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9B0E9C8-A204-4B5B-B451-7A1B01DE67C6}" xr6:coauthVersionLast="47" xr6:coauthVersionMax="47" xr10:uidLastSave="{00000000-0000-0000-0000-000000000000}"/>
  <bookViews>
    <workbookView xWindow="-38510" yWindow="-110" windowWidth="38620" windowHeight="2110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Case!$M$103</definedName>
    <definedName name="_nIN">Case!$M$104</definedName>
    <definedName name="_tClimate">Climatogram!$C$5:$AF$28</definedName>
    <definedName name="_tWind">Climatogram!$C$35:$AF$58</definedName>
    <definedName name="_xleta.COUNT" hidden="1" xlm="1">#NAME?</definedName>
    <definedName name="_xleta.COUNTA" hidden="1" xlm="1">#NAME?</definedName>
    <definedName name="_xleta.INT" hidden="1" xlm="1">#NAME?</definedName>
    <definedName name="_xleta.MAP" hidden="1" xlm="1">#NAME?</definedName>
    <definedName name="_xleta.N" hidden="1" xlm="1">#NAME?</definedName>
    <definedName name="_xleta.ROUND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8" i="16" l="1"/>
  <c r="W275" i="16" a="1"/>
  <c r="W275" i="16" s="1"/>
  <c r="X275" i="16" s="1" a="1"/>
  <c r="X275" i="16" s="1"/>
  <c r="G228" i="16" a="1"/>
  <c r="G228" i="16" s="1"/>
  <c r="S111" i="16" a="1"/>
  <c r="S111" i="16" s="1"/>
  <c r="AH40" i="16" a="1"/>
  <c r="AD40" i="16" a="1"/>
  <c r="AD40" i="16" s="1"/>
  <c r="AE40" i="16" s="1" a="1"/>
  <c r="AE40" i="16" s="1"/>
  <c r="W40" i="16" a="1"/>
  <c r="W40" i="16" s="1"/>
  <c r="Y40" i="16" s="1" a="1"/>
  <c r="Y40" i="16" s="1"/>
  <c r="E198" i="16"/>
  <c r="L194" i="16" a="1"/>
  <c r="L194" i="16" s="1"/>
  <c r="I194" i="16" a="1"/>
  <c r="I194" i="16" s="1"/>
  <c r="H194" i="16" a="1"/>
  <c r="H194" i="16" s="1"/>
  <c r="I159" i="16" a="1"/>
  <c r="I159" i="16" s="1"/>
  <c r="L159" i="16" a="1"/>
  <c r="L159" i="16" s="1"/>
  <c r="H159" i="16" a="1"/>
  <c r="H159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K109" i="16" a="1"/>
  <c r="K109" i="16" s="1"/>
  <c r="K110" i="16" a="1"/>
  <c r="K110" i="16" s="1"/>
  <c r="K111" i="16" a="1"/>
  <c r="K111" i="16" s="1"/>
  <c r="K112" i="16" a="1"/>
  <c r="K112" i="16" s="1"/>
  <c r="K113" i="16" a="1"/>
  <c r="K113" i="16" s="1"/>
  <c r="K114" i="16" a="1"/>
  <c r="K114" i="16" s="1"/>
  <c r="K115" i="16" a="1"/>
  <c r="K115" i="16" s="1"/>
  <c r="K116" i="16" a="1"/>
  <c r="K116" i="16" s="1"/>
  <c r="K117" i="16" a="1"/>
  <c r="K117" i="16" s="1"/>
  <c r="K118" i="16" a="1"/>
  <c r="K118" i="16" s="1"/>
  <c r="K119" i="16" a="1"/>
  <c r="K119" i="16" s="1"/>
  <c r="K120" i="16" a="1"/>
  <c r="K120" i="16" s="1"/>
  <c r="K121" i="16" a="1"/>
  <c r="K121" i="16" s="1"/>
  <c r="K122" i="16" a="1"/>
  <c r="K122" i="16" s="1"/>
  <c r="K123" i="16" a="1"/>
  <c r="K123" i="16" s="1"/>
  <c r="K124" i="16" a="1"/>
  <c r="K124" i="16" s="1"/>
  <c r="K125" i="16" a="1"/>
  <c r="K125" i="16" s="1"/>
  <c r="K126" i="16" a="1"/>
  <c r="K126" i="16" s="1"/>
  <c r="K127" i="16" a="1"/>
  <c r="K127" i="16" s="1"/>
  <c r="K128" i="16" a="1"/>
  <c r="K128" i="16" s="1"/>
  <c r="K129" i="16" a="1"/>
  <c r="K129" i="16" s="1"/>
  <c r="K130" i="16" a="1"/>
  <c r="K130" i="16" s="1"/>
  <c r="K131" i="16" a="1"/>
  <c r="K131" i="16" s="1"/>
  <c r="K108" i="16" a="1"/>
  <c r="K108" i="16" s="1"/>
  <c r="AQ5" i="18" a="1"/>
  <c r="AQ5" i="18" s="1"/>
  <c r="G108" i="16"/>
  <c r="H108" i="16" s="1" a="1"/>
  <c r="L73" i="16" a="1"/>
  <c r="L73" i="16" s="1"/>
  <c r="L75" i="16" a="1"/>
  <c r="L75" i="16" s="1"/>
  <c r="L76" i="16" a="1"/>
  <c r="L76" i="16" s="1"/>
  <c r="L77" i="16" a="1"/>
  <c r="L77" i="16" s="1"/>
  <c r="L78" i="16" a="1"/>
  <c r="L78" i="16" s="1"/>
  <c r="L79" i="16" a="1"/>
  <c r="L79" i="16" s="1"/>
  <c r="L80" i="16" a="1"/>
  <c r="L80" i="16" s="1"/>
  <c r="L81" i="16" a="1"/>
  <c r="L81" i="16" s="1"/>
  <c r="L82" i="16" a="1"/>
  <c r="L82" i="16" s="1"/>
  <c r="L83" i="16" a="1"/>
  <c r="L83" i="16" s="1"/>
  <c r="L84" i="16" a="1"/>
  <c r="L84" i="16" s="1"/>
  <c r="L85" i="16" a="1"/>
  <c r="L85" i="16" s="1"/>
  <c r="L86" i="16" a="1"/>
  <c r="L86" i="16" s="1"/>
  <c r="L87" i="16" a="1"/>
  <c r="L87" i="16" s="1"/>
  <c r="L88" i="16" a="1"/>
  <c r="L88" i="16" s="1"/>
  <c r="L89" i="16" a="1"/>
  <c r="L89" i="16" s="1"/>
  <c r="L90" i="16" a="1"/>
  <c r="L90" i="16" s="1"/>
  <c r="L91" i="16" a="1"/>
  <c r="L91" i="16" s="1"/>
  <c r="L92" i="16" a="1"/>
  <c r="L92" i="16" s="1"/>
  <c r="L93" i="16" a="1"/>
  <c r="L93" i="16" s="1"/>
  <c r="L94" i="16" a="1"/>
  <c r="L94" i="16" s="1"/>
  <c r="G75" i="16"/>
  <c r="H75" i="16"/>
  <c r="I75" i="16" s="1" a="1"/>
  <c r="I75" i="16" s="1"/>
  <c r="K75" i="16" s="1"/>
  <c r="G76" i="16"/>
  <c r="H76" i="16"/>
  <c r="I76" i="16" s="1" a="1"/>
  <c r="I76" i="16" s="1"/>
  <c r="K76" i="16" s="1"/>
  <c r="G77" i="16"/>
  <c r="H77" i="16"/>
  <c r="I77" i="16" s="1" a="1"/>
  <c r="I77" i="16" s="1"/>
  <c r="K77" i="16" s="1"/>
  <c r="G78" i="16"/>
  <c r="H78" i="16"/>
  <c r="G79" i="16"/>
  <c r="H79" i="16"/>
  <c r="G80" i="16"/>
  <c r="H80" i="16"/>
  <c r="I80" i="16" s="1" a="1"/>
  <c r="I80" i="16" s="1"/>
  <c r="K80" i="16" s="1"/>
  <c r="G81" i="16"/>
  <c r="H81" i="16"/>
  <c r="G82" i="16"/>
  <c r="H82" i="16"/>
  <c r="I82" i="16" s="1" a="1"/>
  <c r="I82" i="16" s="1"/>
  <c r="K82" i="16" s="1"/>
  <c r="G83" i="16"/>
  <c r="H83" i="16"/>
  <c r="I83" i="16" s="1" a="1"/>
  <c r="I83" i="16" s="1"/>
  <c r="K83" i="16" s="1"/>
  <c r="G84" i="16"/>
  <c r="H84" i="16"/>
  <c r="I84" i="16" s="1" a="1"/>
  <c r="I84" i="16" s="1"/>
  <c r="K84" i="16" s="1"/>
  <c r="G85" i="16"/>
  <c r="H85" i="16"/>
  <c r="I85" i="16" s="1" a="1"/>
  <c r="I85" i="16" s="1"/>
  <c r="K85" i="16" s="1"/>
  <c r="G86" i="16"/>
  <c r="H86" i="16"/>
  <c r="G87" i="16"/>
  <c r="H87" i="16"/>
  <c r="G88" i="16"/>
  <c r="H88" i="16"/>
  <c r="I88" i="16" s="1" a="1"/>
  <c r="I88" i="16" s="1"/>
  <c r="K88" i="16" s="1"/>
  <c r="G89" i="16"/>
  <c r="H89" i="16"/>
  <c r="I89" i="16" s="1" a="1"/>
  <c r="I89" i="16" s="1"/>
  <c r="K89" i="16" s="1"/>
  <c r="G90" i="16"/>
  <c r="H90" i="16"/>
  <c r="G91" i="16"/>
  <c r="H91" i="16"/>
  <c r="I91" i="16" s="1" a="1"/>
  <c r="I91" i="16" s="1"/>
  <c r="K91" i="16" s="1"/>
  <c r="G92" i="16"/>
  <c r="H92" i="16"/>
  <c r="I92" i="16" s="1" a="1"/>
  <c r="I92" i="16" s="1"/>
  <c r="K92" i="16" s="1"/>
  <c r="G93" i="16"/>
  <c r="H93" i="16"/>
  <c r="I93" i="16" s="1" a="1"/>
  <c r="I93" i="16" s="1"/>
  <c r="K93" i="16" s="1"/>
  <c r="G94" i="16"/>
  <c r="H94" i="16"/>
  <c r="I94" i="16" s="1" a="1"/>
  <c r="I94" i="16" s="1"/>
  <c r="K94" i="16" s="1"/>
  <c r="H73" i="16"/>
  <c r="G73" i="16"/>
  <c r="H42" i="16"/>
  <c r="L42" i="16" s="1" a="1"/>
  <c r="L42" i="16" s="1"/>
  <c r="H43" i="16"/>
  <c r="L43" i="16" s="1" a="1"/>
  <c r="L43" i="16" s="1"/>
  <c r="H44" i="16"/>
  <c r="L44" i="16" s="1" a="1"/>
  <c r="L44" i="16" s="1"/>
  <c r="H45" i="16"/>
  <c r="L45" i="16" s="1" a="1"/>
  <c r="L45" i="16" s="1"/>
  <c r="H46" i="16"/>
  <c r="L46" i="16" s="1" a="1"/>
  <c r="L46" i="16" s="1"/>
  <c r="H47" i="16"/>
  <c r="L47" i="16" s="1" a="1"/>
  <c r="L47" i="16" s="1"/>
  <c r="H48" i="16"/>
  <c r="L48" i="16" s="1" a="1"/>
  <c r="L48" i="16" s="1"/>
  <c r="H49" i="16"/>
  <c r="L49" i="16" s="1" a="1"/>
  <c r="L49" i="16" s="1"/>
  <c r="H50" i="16"/>
  <c r="L50" i="16" s="1" a="1"/>
  <c r="L50" i="16" s="1"/>
  <c r="H51" i="16"/>
  <c r="L51" i="16" s="1" a="1"/>
  <c r="L51" i="16" s="1"/>
  <c r="H52" i="16"/>
  <c r="L52" i="16" s="1" a="1"/>
  <c r="L52" i="16" s="1"/>
  <c r="H53" i="16"/>
  <c r="L53" i="16" s="1" a="1"/>
  <c r="L53" i="16" s="1"/>
  <c r="H54" i="16"/>
  <c r="L54" i="16" s="1" a="1"/>
  <c r="L54" i="16" s="1"/>
  <c r="H55" i="16"/>
  <c r="L55" i="16" s="1" a="1"/>
  <c r="L55" i="16" s="1"/>
  <c r="H56" i="16"/>
  <c r="L56" i="16" s="1" a="1"/>
  <c r="L56" i="16" s="1"/>
  <c r="H57" i="16"/>
  <c r="L57" i="16" s="1" a="1"/>
  <c r="L57" i="16" s="1"/>
  <c r="H58" i="16"/>
  <c r="L58" i="16" s="1" a="1"/>
  <c r="L58" i="16" s="1"/>
  <c r="H59" i="16"/>
  <c r="L59" i="16" s="1" a="1"/>
  <c r="L59" i="16" s="1"/>
  <c r="H60" i="16"/>
  <c r="L60" i="16" s="1" a="1"/>
  <c r="L60" i="16" s="1"/>
  <c r="H61" i="16"/>
  <c r="L61" i="16" s="1" a="1"/>
  <c r="L61" i="16" s="1"/>
  <c r="H40" i="16"/>
  <c r="L40" i="16" s="1" a="1"/>
  <c r="L40" i="16" s="1"/>
  <c r="G40" i="16"/>
  <c r="G42" i="16"/>
  <c r="I42" i="16" s="1" a="1"/>
  <c r="I42" i="16" s="1"/>
  <c r="K42" i="16" s="1"/>
  <c r="G43" i="16"/>
  <c r="I43" i="16" s="1" a="1"/>
  <c r="I43" i="16" s="1"/>
  <c r="K43" i="16" s="1"/>
  <c r="G44" i="16"/>
  <c r="I44" i="16" s="1" a="1"/>
  <c r="I44" i="16" s="1"/>
  <c r="K44" i="16" s="1"/>
  <c r="G45" i="16"/>
  <c r="I45" i="16" s="1" a="1"/>
  <c r="I45" i="16" s="1"/>
  <c r="K45" i="16" s="1"/>
  <c r="G46" i="16"/>
  <c r="I46" i="16" s="1" a="1"/>
  <c r="I46" i="16" s="1"/>
  <c r="K46" i="16" s="1"/>
  <c r="G47" i="16"/>
  <c r="I47" i="16" s="1" a="1"/>
  <c r="I47" i="16" s="1"/>
  <c r="K47" i="16" s="1"/>
  <c r="G48" i="16"/>
  <c r="I48" i="16" s="1" a="1"/>
  <c r="I48" i="16" s="1"/>
  <c r="K48" i="16" s="1"/>
  <c r="G49" i="16"/>
  <c r="I49" i="16" s="1" a="1"/>
  <c r="I49" i="16" s="1"/>
  <c r="K49" i="16" s="1"/>
  <c r="G50" i="16"/>
  <c r="I50" i="16" s="1" a="1"/>
  <c r="I50" i="16" s="1"/>
  <c r="K50" i="16" s="1"/>
  <c r="G51" i="16"/>
  <c r="I51" i="16" s="1" a="1"/>
  <c r="I51" i="16" s="1"/>
  <c r="K51" i="16" s="1"/>
  <c r="G52" i="16"/>
  <c r="I52" i="16" s="1" a="1"/>
  <c r="I52" i="16" s="1"/>
  <c r="K52" i="16" s="1"/>
  <c r="G53" i="16"/>
  <c r="I53" i="16" s="1" a="1"/>
  <c r="I53" i="16" s="1"/>
  <c r="K53" i="16" s="1"/>
  <c r="G54" i="16"/>
  <c r="I54" i="16" s="1" a="1"/>
  <c r="I54" i="16" s="1"/>
  <c r="K54" i="16" s="1"/>
  <c r="G55" i="16"/>
  <c r="I55" i="16" s="1" a="1"/>
  <c r="I55" i="16" s="1"/>
  <c r="K55" i="16" s="1"/>
  <c r="G56" i="16"/>
  <c r="I56" i="16" s="1" a="1"/>
  <c r="I56" i="16" s="1"/>
  <c r="K56" i="16" s="1"/>
  <c r="G57" i="16"/>
  <c r="I57" i="16" s="1" a="1"/>
  <c r="G58" i="16"/>
  <c r="I58" i="16" s="1" a="1"/>
  <c r="I58" i="16" s="1"/>
  <c r="K58" i="16" s="1"/>
  <c r="G59" i="16"/>
  <c r="I59" i="16" s="1" a="1"/>
  <c r="I59" i="16" s="1"/>
  <c r="K59" i="16" s="1"/>
  <c r="G60" i="16"/>
  <c r="I60" i="16" s="1" a="1"/>
  <c r="I60" i="16" s="1"/>
  <c r="K60" i="16" s="1"/>
  <c r="G61" i="16"/>
  <c r="I61" i="16" s="1" a="1"/>
  <c r="I61" i="16" s="1"/>
  <c r="K61" i="16" s="1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304" i="16"/>
  <c r="E303" i="16"/>
  <c r="E302" i="16"/>
  <c r="E301" i="16"/>
  <c r="E300" i="16"/>
  <c r="E299" i="16"/>
  <c r="E298" i="16"/>
  <c r="E297" i="16"/>
  <c r="E296" i="16"/>
  <c r="E295" i="16"/>
  <c r="E294" i="16"/>
  <c r="E293" i="16"/>
  <c r="E292" i="16"/>
  <c r="E291" i="16"/>
  <c r="E290" i="16"/>
  <c r="E289" i="16"/>
  <c r="E288" i="16"/>
  <c r="E287" i="16"/>
  <c r="E286" i="16"/>
  <c r="E285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7" i="16"/>
  <c r="E196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28" i="16"/>
  <c r="E27" i="16"/>
  <c r="E26" i="16"/>
  <c r="E25" i="16"/>
  <c r="E24" i="16"/>
  <c r="Q19" i="16"/>
  <c r="Q18" i="16"/>
  <c r="Q16" i="16"/>
  <c r="H283" i="16" l="1" a="1"/>
  <c r="H283" i="16" s="1"/>
  <c r="I283" i="16" a="1"/>
  <c r="I283" i="16" s="1"/>
  <c r="I87" i="16" a="1"/>
  <c r="I87" i="16" s="1"/>
  <c r="K87" i="16" s="1"/>
  <c r="I79" i="16" a="1"/>
  <c r="I79" i="16" s="1"/>
  <c r="K79" i="16" s="1"/>
  <c r="I73" i="16" a="1"/>
  <c r="I73" i="16" s="1"/>
  <c r="K73" i="16" s="1"/>
  <c r="M73" i="16" s="1"/>
  <c r="AH40" i="16"/>
  <c r="AJ41" i="16"/>
  <c r="AJ43" i="16"/>
  <c r="AJ44" i="16"/>
  <c r="AJ45" i="16"/>
  <c r="AJ46" i="16"/>
  <c r="AJ47" i="16"/>
  <c r="AJ48" i="16"/>
  <c r="AJ50" i="16"/>
  <c r="AJ51" i="16"/>
  <c r="AJ54" i="16"/>
  <c r="AJ56" i="16"/>
  <c r="AJ58" i="16"/>
  <c r="AJ60" i="16"/>
  <c r="AJ62" i="16"/>
  <c r="AJ67" i="16"/>
  <c r="AJ70" i="16"/>
  <c r="AJ75" i="16"/>
  <c r="AJ78" i="16"/>
  <c r="AI42" i="16"/>
  <c r="AI46" i="16"/>
  <c r="AI50" i="16"/>
  <c r="AI59" i="16"/>
  <c r="AI63" i="16"/>
  <c r="AI66" i="16"/>
  <c r="AI75" i="16"/>
  <c r="AI79" i="16"/>
  <c r="AI58" i="16"/>
  <c r="AI65" i="16"/>
  <c r="AI71" i="16"/>
  <c r="AI76" i="16"/>
  <c r="AJ72" i="16"/>
  <c r="AI68" i="16"/>
  <c r="AJ65" i="16"/>
  <c r="AJ73" i="16"/>
  <c r="AJ76" i="16"/>
  <c r="AI54" i="16"/>
  <c r="AI67" i="16"/>
  <c r="AI73" i="16"/>
  <c r="AI77" i="16"/>
  <c r="AJ59" i="16"/>
  <c r="AJ68" i="16"/>
  <c r="AJ79" i="16"/>
  <c r="AI43" i="16"/>
  <c r="AI48" i="16"/>
  <c r="AI52" i="16"/>
  <c r="AI55" i="16"/>
  <c r="AI62" i="16"/>
  <c r="AI64" i="16"/>
  <c r="AI70" i="16"/>
  <c r="AI74" i="16"/>
  <c r="AI44" i="16"/>
  <c r="AI72" i="16"/>
  <c r="AI53" i="16"/>
  <c r="AI61" i="16"/>
  <c r="AI69" i="16"/>
  <c r="AI41" i="16"/>
  <c r="AI47" i="16"/>
  <c r="AI56" i="16"/>
  <c r="AI78" i="16"/>
  <c r="AJ42" i="16"/>
  <c r="AJ49" i="16"/>
  <c r="AJ52" i="16"/>
  <c r="AJ53" i="16"/>
  <c r="AJ55" i="16"/>
  <c r="AJ57" i="16"/>
  <c r="AJ61" i="16"/>
  <c r="AJ63" i="16"/>
  <c r="AJ64" i="16"/>
  <c r="AJ66" i="16"/>
  <c r="AJ69" i="16"/>
  <c r="AJ71" i="16"/>
  <c r="AJ74" i="16"/>
  <c r="AJ77" i="16"/>
  <c r="AI45" i="16"/>
  <c r="AI49" i="16"/>
  <c r="AI51" i="16"/>
  <c r="AI57" i="16"/>
  <c r="AI60" i="16"/>
  <c r="H196" i="16" a="1"/>
  <c r="M194" i="16" a="1"/>
  <c r="I161" i="16" a="1"/>
  <c r="I81" i="16" a="1"/>
  <c r="I81" i="16" s="1"/>
  <c r="K81" i="16" s="1"/>
  <c r="M81" i="16" s="1"/>
  <c r="I90" i="16" a="1"/>
  <c r="I90" i="16" s="1"/>
  <c r="K90" i="16" s="1"/>
  <c r="M90" i="16" s="1"/>
  <c r="I86" i="16" a="1"/>
  <c r="I86" i="16" s="1"/>
  <c r="K86" i="16" s="1"/>
  <c r="M86" i="16" s="1"/>
  <c r="I78" i="16" a="1"/>
  <c r="I78" i="16" s="1"/>
  <c r="K78" i="16" s="1"/>
  <c r="M78" i="16" s="1"/>
  <c r="N33" i="16" a="1"/>
  <c r="N33" i="16" s="1"/>
  <c r="M77" i="16"/>
  <c r="M79" i="16"/>
  <c r="M82" i="16"/>
  <c r="M84" i="16"/>
  <c r="M88" i="16"/>
  <c r="M92" i="16"/>
  <c r="M94" i="16"/>
  <c r="M75" i="16"/>
  <c r="M76" i="16"/>
  <c r="M80" i="16"/>
  <c r="M83" i="16"/>
  <c r="M85" i="16"/>
  <c r="M87" i="16"/>
  <c r="M89" i="16"/>
  <c r="M91" i="16"/>
  <c r="M93" i="16"/>
  <c r="M159" i="16" a="1"/>
  <c r="G229" i="16"/>
  <c r="I229" i="16" s="1" a="1"/>
  <c r="H108" i="16"/>
  <c r="L108" i="16" s="1"/>
  <c r="L109" i="16"/>
  <c r="L113" i="16"/>
  <c r="L117" i="16"/>
  <c r="L121" i="16"/>
  <c r="L124" i="16"/>
  <c r="L128" i="16"/>
  <c r="L131" i="16"/>
  <c r="L110" i="16"/>
  <c r="L114" i="16"/>
  <c r="L118" i="16"/>
  <c r="L122" i="16"/>
  <c r="L126" i="16"/>
  <c r="L130" i="16"/>
  <c r="L112" i="16"/>
  <c r="L120" i="16"/>
  <c r="L127" i="16"/>
  <c r="L111" i="16"/>
  <c r="L115" i="16"/>
  <c r="L116" i="16"/>
  <c r="L119" i="16"/>
  <c r="L123" i="16"/>
  <c r="L125" i="16"/>
  <c r="L129" i="16"/>
  <c r="I40" i="16" a="1"/>
  <c r="I40" i="16" s="1"/>
  <c r="K40" i="16" s="1"/>
  <c r="I57" i="16"/>
  <c r="K57" i="16" s="1"/>
  <c r="L285" i="16" l="1"/>
  <c r="I285" i="16"/>
  <c r="M285" i="16"/>
  <c r="K285" i="16"/>
  <c r="H285" i="16"/>
  <c r="Q285" i="16"/>
  <c r="P285" i="16"/>
  <c r="N285" i="16"/>
  <c r="O285" i="16"/>
  <c r="G286" i="16"/>
  <c r="N286" i="16" s="1" a="1"/>
  <c r="N286" i="16" s="1"/>
  <c r="G287" i="16"/>
  <c r="G288" i="16"/>
  <c r="I229" i="16"/>
  <c r="M159" i="16"/>
  <c r="M194" i="16"/>
  <c r="AJ40" i="16"/>
  <c r="AI40" i="16"/>
  <c r="H196" i="16"/>
  <c r="I161" i="16"/>
  <c r="J161" i="16" s="1" a="1"/>
  <c r="O286" i="16" a="1"/>
  <c r="O286" i="16" s="1"/>
  <c r="O288" i="16" a="1"/>
  <c r="O288" i="16" s="1"/>
  <c r="O287" i="16" a="1"/>
  <c r="O287" i="16" s="1"/>
  <c r="P288" i="16" a="1"/>
  <c r="P288" i="16" s="1"/>
  <c r="P287" i="16" a="1"/>
  <c r="P287" i="16" s="1"/>
  <c r="P286" i="16" a="1"/>
  <c r="P286" i="16" s="1"/>
  <c r="Q288" i="16" a="1"/>
  <c r="Q288" i="16" s="1"/>
  <c r="Q287" i="16" a="1"/>
  <c r="Q287" i="16" s="1"/>
  <c r="Q286" i="16" a="1"/>
  <c r="Q286" i="16" s="1"/>
  <c r="M229" i="16" a="1"/>
  <c r="L229" i="16" a="1"/>
  <c r="L229" i="16" s="1"/>
  <c r="N108" i="16"/>
  <c r="M108" i="16"/>
  <c r="L286" i="16" l="1" a="1"/>
  <c r="L286" i="16" s="1"/>
  <c r="L288" i="16" a="1"/>
  <c r="L288" i="16" s="1"/>
  <c r="M288" i="16" a="1"/>
  <c r="M288" i="16" s="1"/>
  <c r="M286" i="16" a="1"/>
  <c r="M287" i="16" a="1"/>
  <c r="K288" i="16" a="1"/>
  <c r="K288" i="16" s="1"/>
  <c r="K286" i="16" a="1"/>
  <c r="K286" i="16" s="1"/>
  <c r="N288" i="16" a="1"/>
  <c r="N288" i="16" s="1"/>
  <c r="N287" i="16" a="1"/>
  <c r="N287" i="16" s="1"/>
  <c r="L287" i="16" a="1"/>
  <c r="L287" i="16" s="1"/>
  <c r="K287" i="16" a="1"/>
  <c r="K287" i="16" s="1"/>
  <c r="I286" i="16" a="1"/>
  <c r="I287" i="16" a="1"/>
  <c r="I288" i="16" a="1"/>
  <c r="I288" i="16" s="1"/>
  <c r="H286" i="16" a="1"/>
  <c r="H286" i="16" s="1"/>
  <c r="H287" i="16" a="1"/>
  <c r="H287" i="16" s="1"/>
  <c r="H288" i="16" a="1"/>
  <c r="H288" i="16" s="1"/>
  <c r="M229" i="16"/>
  <c r="N229" i="16" s="1"/>
  <c r="K229" i="16"/>
  <c r="I196" i="16" a="1"/>
  <c r="J161" i="16"/>
  <c r="H161" i="16" a="1"/>
  <c r="O108" i="16"/>
  <c r="Q109" i="16" s="1"/>
  <c r="I286" i="16" l="1"/>
  <c r="M287" i="16"/>
  <c r="M286" i="16"/>
  <c r="I287" i="16"/>
  <c r="O229" i="16"/>
  <c r="I196" i="16"/>
  <c r="K161" i="16" a="1"/>
  <c r="H161" i="16"/>
  <c r="L290" i="16" l="1" a="1"/>
  <c r="L290" i="16" s="1"/>
  <c r="H290" i="16" a="1"/>
  <c r="P229" i="16"/>
  <c r="Q229" i="16" s="1"/>
  <c r="G230" i="16"/>
  <c r="K161" i="16"/>
  <c r="L161" i="16" s="1" a="1"/>
  <c r="Q292" i="16" l="1"/>
  <c r="P291" i="16"/>
  <c r="P292" i="16"/>
  <c r="O291" i="16"/>
  <c r="Q291" i="16"/>
  <c r="H290" i="16"/>
  <c r="O290" i="16" s="1"/>
  <c r="P290" i="16"/>
  <c r="Q290" i="16"/>
  <c r="O292" i="16"/>
  <c r="L161" i="16"/>
  <c r="M161" i="16" s="1" a="1"/>
  <c r="Q293" i="16" l="1"/>
  <c r="Q294" i="16" s="1"/>
  <c r="U284" i="16" s="1"/>
  <c r="M161" i="16"/>
  <c r="N161" i="16" s="1"/>
  <c r="O161" i="16" s="1"/>
  <c r="R160" i="16" s="1"/>
  <c r="J196" i="16" a="1"/>
  <c r="J196" i="16" l="1"/>
  <c r="K196" i="16" s="1" a="1"/>
  <c r="K196" i="16" l="1"/>
  <c r="L196" i="16" s="1" a="1"/>
  <c r="L196" i="16" l="1"/>
  <c r="M196" i="16" s="1" a="1"/>
  <c r="M196" i="16" l="1"/>
  <c r="N196" i="16" s="1"/>
  <c r="O196" i="16" s="1"/>
  <c r="R195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<sst xmlns="http://schemas.openxmlformats.org/spreadsheetml/2006/main" count="675" uniqueCount="246">
  <si>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</si>
  <si>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</si>
  <si>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</si>
  <si>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</si>
  <si>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</si>
  <si>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</si>
  <si>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</si>
  <si>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</si>
  <si>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</si>
  <si>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</si>
  <si>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</si>
  <si>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</si>
  <si>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</si>
  <si>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</si>
  <si>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</si>
  <si>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</si>
  <si>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</si>
  <si>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</si>
  <si>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</si>
  <si>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</si>
  <si>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</si>
  <si>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</si>
  <si>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</si>
  <si>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</si>
  <si>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</si>
  <si>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</si>
  <si>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</si>
  <si>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</si>
  <si>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</si>
  <si>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</si>
  <si>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</si>
  <si>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</si>
  <si>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</si>
  <si>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</si>
  <si>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</si>
  <si>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</si>
  <si>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</si>
  <si>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</si>
  <si>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</si>
  <si>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</si>
  <si>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</si>
  <si>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</si>
  <si>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</si>
  <si>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</si>
  <si>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</si>
  <si>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</si>
  <si>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</si>
  <si>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</si>
  <si>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</si>
  <si>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</si>
  <si>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</si>
  <si>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</si>
  <si>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</si>
  <si>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</si>
  <si>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</si>
  <si>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</si>
  <si>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</si>
  <si>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</si>
  <si>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</si>
  <si>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</si>
  <si>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</si>
  <si>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</si>
  <si>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</si>
  <si>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</si>
  <si>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</si>
  <si>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</si>
  <si>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</si>
  <si>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</si>
  <si>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</si>
  <si>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</si>
  <si>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</si>
  <si>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</si>
  <si>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</si>
  <si>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</si>
  <si>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</si>
  <si>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</si>
  <si>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</si>
  <si>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</si>
  <si>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</si>
  <si>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</si>
  <si>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</si>
  <si>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</si>
  <si>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</si>
  <si>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</si>
  <si>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</si>
  <si>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</si>
  <si>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</si>
  <si>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</si>
  <si>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</si>
  <si>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</si>
  <si>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</si>
  <si>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</si>
  <si>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</si>
  <si>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</si>
  <si>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</si>
  <si>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</si>
  <si>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</si>
  <si>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</si>
  <si>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</si>
  <si>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</si>
  <si>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</si>
  <si>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</si>
  <si>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</si>
  <si>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</si>
  <si>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</si>
  <si>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</si>
  <si>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</si>
  <si>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</si>
  <si>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</si>
  <si>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</si>
  <si>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</si>
  <si>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</si>
  <si>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</si>
  <si>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</si>
  <si>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</si>
  <si>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</si>
  <si>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</si>
  <si>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</si>
  <si>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</si>
  <si>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</si>
  <si>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</si>
  <si>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</si>
  <si>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</si>
  <si>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</si>
  <si>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</si>
  <si>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</si>
  <si>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</si>
  <si>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</si>
  <si>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</si>
  <si>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</si>
  <si>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</si>
  <si>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</si>
  <si>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</si>
  <si>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</si>
  <si>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</si>
  <si>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</si>
  <si>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</si>
  <si>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</si>
  <si>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</si>
  <si>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</si>
  <si>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</si>
  <si>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</si>
  <si>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</si>
  <si>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</si>
  <si>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</si>
  <si>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Wind</t>
  </si>
  <si>
    <t>Temp</t>
  </si>
  <si>
    <t>F235</t>
  </si>
  <si>
    <t>F231</t>
  </si>
  <si>
    <t>F232</t>
  </si>
  <si>
    <t>F233</t>
  </si>
  <si>
    <t>F234</t>
  </si>
  <si>
    <t>Hour</t>
  </si>
  <si>
    <t>Temperature</t>
  </si>
  <si>
    <t>Wind Speed</t>
  </si>
  <si>
    <t>Day/Night</t>
  </si>
  <si>
    <t>F251</t>
  </si>
  <si>
    <t>Pointer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</si>
  <si>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</si>
  <si>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</si>
  <si>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</si>
  <si>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</si>
  <si>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</si>
  <si>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</si>
  <si>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</si>
  <si>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</si>
  <si>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</si>
  <si>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</si>
  <si>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</si>
  <si>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</si>
  <si>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</si>
  <si>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</si>
  <si>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</si>
  <si>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</si>
  <si>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</si>
  <si>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</si>
  <si>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</si>
  <si>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</si>
  <si>
    <t xml:space="preserve"> 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</si>
  <si>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</si>
  <si>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</si>
  <si>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</si>
  <si>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</si>
  <si>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</si>
  <si>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</si>
  <si>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</si>
  <si>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</si>
  <si>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</si>
  <si>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</si>
  <si>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</si>
  <si>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</si>
  <si>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</si>
  <si>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</si>
  <si>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</si>
  <si>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</si>
  <si>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</si>
  <si>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</si>
  <si>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</si>
  <si>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</si>
  <si>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=IF(I146#&lt;0,24+I146#,IF(I146#&gt;23,24-I146#,I146#))</t>
  </si>
  <si>
    <t>HourExt</t>
  </si>
  <si>
    <t>HourNorm</t>
  </si>
  <si>
    <t>Index</t>
  </si>
  <si>
    <t>Color</t>
  </si>
  <si>
    <t>Ave Temp By Hour</t>
  </si>
  <si>
    <t>Mean</t>
  </si>
  <si>
    <t>Perception</t>
  </si>
  <si>
    <t>Ave Wind Speed By Hour</t>
  </si>
  <si>
    <t>F181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</si>
  <si>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</si>
  <si>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</si>
  <si>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</si>
  <si>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</si>
  <si>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</si>
  <si>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</si>
  <si>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</si>
  <si>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</si>
  <si>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</si>
  <si>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</si>
  <si>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</si>
  <si>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</si>
  <si>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</si>
  <si>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</si>
  <si>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</si>
  <si>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</si>
  <si>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</si>
  <si>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</si>
  <si>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</si>
  <si>
    <t>Augmented with dates not in table</t>
  </si>
  <si>
    <t>From the example being space sep.</t>
  </si>
  <si>
    <t>F236</t>
  </si>
  <si>
    <t>F237</t>
  </si>
  <si>
    <t>F238</t>
  </si>
  <si>
    <t>F239</t>
  </si>
  <si>
    <t>F240</t>
  </si>
  <si>
    <t>F241</t>
  </si>
  <si>
    <t>F242</t>
  </si>
  <si>
    <t>F243</t>
  </si>
  <si>
    <t>F244</t>
  </si>
  <si>
    <t>F245</t>
  </si>
  <si>
    <t>F246</t>
  </si>
  <si>
    <t>F247</t>
  </si>
  <si>
    <t>F248</t>
  </si>
  <si>
    <t>F249</t>
  </si>
  <si>
    <t>F250</t>
  </si>
  <si>
    <t>F252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</si>
</sst>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  <numFmt numFmtId="170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49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22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Continuous"/>
    </xf>
    <xf numFmtId="0" fontId="0" fillId="26" borderId="0" xfId="0" applyFill="1" applyAlignment="1">
      <alignment horizontal="right"/>
    </xf>
    <xf numFmtId="0" fontId="0" fillId="28" borderId="0" xfId="0" applyFill="1" applyAlignment="1">
      <alignment horizontal="centerContinuous"/>
    </xf>
    <xf numFmtId="0" fontId="0" fillId="29" borderId="0" xfId="0" applyFill="1" applyAlignment="1">
      <alignment horizontal="centerContinuous"/>
    </xf>
    <xf numFmtId="0" fontId="0" fillId="27" borderId="0" xfId="0" applyFill="1" applyAlignment="1">
      <alignment horizontal="right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23" borderId="0" xfId="0" applyFill="1"/>
    <xf numFmtId="0" fontId="0" fillId="24" borderId="0" xfId="0" applyFill="1"/>
    <xf numFmtId="0" fontId="0" fillId="32" borderId="0" xfId="0" applyFill="1"/>
    <xf numFmtId="0" fontId="0" fillId="33" borderId="0" xfId="0" applyFill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170" fontId="0" fillId="0" borderId="0" xfId="0" applyNumberFormat="1"/>
    <xf numFmtId="0" fontId="19" fillId="25" borderId="0" xfId="0" applyFont="1" applyFill="1"/>
    <xf numFmtId="0" fontId="0" fillId="0" borderId="0" xfId="0" quotePrefix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2" fillId="0" borderId="74" xfId="0" applyFont="1" applyBorder="1" applyAlignment="1">
      <alignment horizontal="right"/>
    </xf>
    <xf numFmtId="0" fontId="2" fillId="0" borderId="75" xfId="0" applyFont="1" applyBorder="1" applyAlignment="1">
      <alignment horizontal="right"/>
    </xf>
    <xf numFmtId="0" fontId="2" fillId="0" borderId="76" xfId="0" applyFont="1" applyBorder="1" applyAlignment="1">
      <alignment horizontal="right"/>
    </xf>
    <xf numFmtId="0" fontId="2" fillId="0" borderId="0" xfId="0" applyFont="1" applyAlignment="1">
      <alignment horizontal="center"/>
    </xf>
    <xf numFmtId="14" fontId="0" fillId="34" borderId="0" xfId="0" applyNumberFormat="1" applyFill="1"/>
    <xf numFmtId="0" fontId="0" fillId="34" borderId="0" xfId="0" applyFill="1"/>
    <xf numFmtId="4" fontId="0" fillId="0" borderId="0" xfId="0" applyNumberFormat="1"/>
    <xf numFmtId="22" fontId="4" fillId="23" borderId="12" xfId="0" applyNumberFormat="1" applyFont="1" applyFill="1" applyBorder="1" applyAlignment="1">
      <alignment horizontal="center"/>
    </xf>
    <xf numFmtId="4" fontId="0" fillId="23" borderId="0" xfId="0" applyNumberFormat="1" applyFill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15" fontId="0" fillId="0" borderId="0" xfId="0" applyNumberFormat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4</xdr:row>
      <xdr:rowOff>75371</xdr:rowOff>
    </xdr:from>
    <xdr:to>
      <xdr:col>16</xdr:col>
      <xdr:colOff>263416</xdr:colOff>
      <xdr:row>14</xdr:row>
      <xdr:rowOff>111218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79499</xdr:colOff>
      <xdr:row>37</xdr:row>
      <xdr:rowOff>41464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13</xdr:col>
      <xdr:colOff>991125</xdr:colOff>
      <xdr:row>65</xdr:row>
      <xdr:rowOff>37837</xdr:rowOff>
    </xdr:from>
    <xdr:to>
      <xdr:col>16</xdr:col>
      <xdr:colOff>225611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539509</xdr:colOff>
      <xdr:row>84</xdr:row>
      <xdr:rowOff>153889</xdr:rowOff>
    </xdr:from>
    <xdr:to>
      <xdr:col>19</xdr:col>
      <xdr:colOff>606109</xdr:colOff>
      <xdr:row>107</xdr:row>
      <xdr:rowOff>34487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14</xdr:col>
      <xdr:colOff>308478</xdr:colOff>
      <xdr:row>146</xdr:row>
      <xdr:rowOff>104337</xdr:rowOff>
    </xdr:from>
    <xdr:to>
      <xdr:col>16</xdr:col>
      <xdr:colOff>72600</xdr:colOff>
      <xdr:row>156</xdr:row>
      <xdr:rowOff>34681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76403" y="24040662"/>
          <a:ext cx="1274787" cy="1752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114190</xdr:colOff>
      <xdr:row>182</xdr:row>
      <xdr:rowOff>107555</xdr:rowOff>
    </xdr:from>
    <xdr:to>
      <xdr:col>18</xdr:col>
      <xdr:colOff>193206</xdr:colOff>
      <xdr:row>189</xdr:row>
      <xdr:rowOff>34779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77565" y="30597080"/>
          <a:ext cx="2104031" cy="1188334"/>
        </a:xfrm>
        <a:prstGeom prst="rect">
          <a:avLst/>
        </a:prstGeom>
      </xdr:spPr>
    </xdr:pic>
    <xdr:clientData/>
  </xdr:twoCellAnchor>
  <xdr:twoCellAnchor editAs="oneCell">
    <xdr:from>
      <xdr:col>27</xdr:col>
      <xdr:colOff>574785</xdr:colOff>
      <xdr:row>268</xdr:row>
      <xdr:rowOff>73660</xdr:rowOff>
    </xdr:from>
    <xdr:to>
      <xdr:col>30</xdr:col>
      <xdr:colOff>117223</xdr:colOff>
      <xdr:row>283</xdr:row>
      <xdr:rowOff>79355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624785" y="48022510"/>
          <a:ext cx="1479188" cy="2806045"/>
        </a:xfrm>
        <a:prstGeom prst="rect">
          <a:avLst/>
        </a:prstGeom>
      </xdr:spPr>
    </xdr:pic>
    <xdr:clientData/>
  </xdr:twoCellAnchor>
  <xdr:twoCellAnchor editAs="oneCell">
    <xdr:from>
      <xdr:col>31</xdr:col>
      <xdr:colOff>440493</xdr:colOff>
      <xdr:row>270</xdr:row>
      <xdr:rowOff>27678</xdr:rowOff>
    </xdr:from>
    <xdr:to>
      <xdr:col>33</xdr:col>
      <xdr:colOff>689558</xdr:colOff>
      <xdr:row>284</xdr:row>
      <xdr:rowOff>79846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030493" y="48351178"/>
          <a:ext cx="1474615" cy="2663288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148700</xdr:colOff>
      <xdr:row>15</xdr:row>
      <xdr:rowOff>79847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12</xdr:col>
      <xdr:colOff>3541</xdr:colOff>
      <xdr:row>15</xdr:row>
      <xdr:rowOff>78796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29</v>
    <v>8</v>
    <v>23</v>
    <v>1</v>
  </rv>
  <rv s="1">
    <v>13</v>
    <v>2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subType" t="i"/>
  </s>
</rvStructur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AJ304"/>
  <sheetViews>
    <sheetView showGridLines="0" tabSelected="1" topLeftCell="A8" zoomScaleNormal="100" workbookViewId="0">
      <selection activeCell="U29" sqref="U29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9.44140625" customWidth="1"/>
    <col min="9" max="9" width="7.44140625" bestFit="1" customWidth="1"/>
    <col min="10" max="10" width="10" bestFit="1" customWidth="1"/>
    <col min="11" max="11" width="5.5546875" bestFit="1" customWidth="1"/>
    <col min="12" max="12" width="10.44140625" customWidth="1"/>
    <col min="13" max="13" width="21.5546875" bestFit="1" customWidth="1"/>
    <col min="14" max="14" width="5.6640625" bestFit="1" customWidth="1"/>
    <col min="15" max="15" width="10.109375" bestFit="1" customWidth="1"/>
    <col min="16" max="16" width="11.77734375" customWidth="1"/>
    <col min="17" max="17" width="8.6640625" customWidth="1"/>
    <col min="20" max="21" width="10" bestFit="1" customWidth="1"/>
    <col min="23" max="23" width="12" bestFit="1" customWidth="1"/>
    <col min="25" max="25" width="12" bestFit="1" customWidth="1"/>
    <col min="28" max="28" width="10.33203125" bestFit="1" customWidth="1"/>
    <col min="34" max="34" width="14.77734375" customWidth="1"/>
    <col min="36" max="36" width="10.33203125" bestFit="1" customWidth="1"/>
  </cols>
  <sheetData>
    <row r="2" spans="2:17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17" ht="15" thickTop="1" x14ac:dyDescent="0.3"/>
    <row r="4" spans="2:17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O4" s="232" t="s">
        <v>2</v>
      </c>
      <c r="P4" s="232"/>
      <c r="Q4" s="232"/>
    </row>
    <row r="5" spans="2:17" ht="15" customHeight="1" thickTop="1" x14ac:dyDescent="0.3">
      <c r="B5" s="233" t="s">
        <v>3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</row>
    <row r="6" spans="2:17" x14ac:dyDescent="0.3">
      <c r="B6" s="234"/>
      <c r="C6" s="234"/>
      <c r="D6" s="234"/>
      <c r="E6" s="234"/>
      <c r="F6" s="234"/>
      <c r="G6" s="234"/>
      <c r="H6" s="234"/>
      <c r="I6" s="234"/>
      <c r="J6" s="234"/>
      <c r="K6" s="234"/>
      <c r="L6" s="234"/>
      <c r="M6" s="234"/>
    </row>
    <row r="7" spans="2:17" x14ac:dyDescent="0.3"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  <c r="M7" s="234"/>
    </row>
    <row r="8" spans="2:17" x14ac:dyDescent="0.3">
      <c r="B8" s="234"/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</row>
    <row r="9" spans="2:17" x14ac:dyDescent="0.3">
      <c r="B9" s="234"/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4"/>
    </row>
    <row r="10" spans="2:17" x14ac:dyDescent="0.3">
      <c r="B10" s="234"/>
      <c r="C10" s="234"/>
      <c r="D10" s="234"/>
      <c r="E10" s="234"/>
      <c r="F10" s="234"/>
      <c r="G10" s="234"/>
      <c r="H10" s="234"/>
      <c r="I10" s="234"/>
      <c r="J10" s="234"/>
      <c r="K10" s="234"/>
      <c r="L10" s="234"/>
      <c r="M10" s="234"/>
    </row>
    <row r="11" spans="2:17" x14ac:dyDescent="0.3">
      <c r="B11" s="234"/>
      <c r="C11" s="234"/>
      <c r="D11" s="234"/>
      <c r="E11" s="234"/>
      <c r="F11" s="234"/>
      <c r="G11" s="234"/>
      <c r="H11" s="234"/>
      <c r="I11" s="234"/>
      <c r="J11" s="234"/>
      <c r="K11" s="234"/>
      <c r="L11" s="234"/>
      <c r="M11" s="234"/>
    </row>
    <row r="12" spans="2:17" x14ac:dyDescent="0.3">
      <c r="B12" s="234"/>
      <c r="C12" s="234"/>
      <c r="D12" s="234"/>
      <c r="E12" s="234"/>
      <c r="F12" s="234"/>
      <c r="G12" s="234"/>
      <c r="H12" s="234"/>
      <c r="I12" s="234"/>
      <c r="J12" s="234"/>
      <c r="K12" s="234"/>
      <c r="L12" s="234"/>
      <c r="M12" s="234"/>
    </row>
    <row r="13" spans="2:17" x14ac:dyDescent="0.3"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</row>
    <row r="14" spans="2:17" x14ac:dyDescent="0.3">
      <c r="B14" s="234"/>
      <c r="C14" s="234"/>
      <c r="D14" s="234"/>
      <c r="E14" s="234"/>
      <c r="F14" s="234"/>
      <c r="G14" s="234"/>
      <c r="H14" s="234"/>
      <c r="I14" s="234"/>
      <c r="J14" s="234"/>
      <c r="K14" s="234"/>
      <c r="L14" s="234"/>
      <c r="M14" s="234"/>
    </row>
    <row r="15" spans="2:17" x14ac:dyDescent="0.3">
      <c r="B15" s="234"/>
      <c r="C15" s="234"/>
      <c r="D15" s="234"/>
      <c r="E15" s="234"/>
      <c r="F15" s="234"/>
      <c r="G15" s="234"/>
      <c r="H15" s="234"/>
      <c r="I15" s="234"/>
      <c r="J15" s="234"/>
      <c r="K15" s="234"/>
      <c r="L15" s="234"/>
      <c r="M15" s="234"/>
    </row>
    <row r="16" spans="2:17" ht="15" thickBot="1" x14ac:dyDescent="0.35">
      <c r="B16" s="234"/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O16" s="236" t="s">
        <v>4</v>
      </c>
      <c r="P16" s="236"/>
      <c r="Q16" s="24" t="str">
        <f>HYPERLINK("https://www.linkedin.com/in/thomas-marcelo/","🔗")</f>
        <v>🔗</v>
      </c>
    </row>
    <row r="17" spans="2:17" ht="15" thickTop="1" x14ac:dyDescent="0.3">
      <c r="B17" s="234"/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M17" s="234"/>
      <c r="O17" s="179" t="s">
        <v>5</v>
      </c>
      <c r="P17" s="180"/>
      <c r="Q17" s="180"/>
    </row>
    <row r="18" spans="2:17" x14ac:dyDescent="0.3">
      <c r="B18" s="234"/>
      <c r="C18" s="234"/>
      <c r="D18" s="234"/>
      <c r="E18" s="234"/>
      <c r="F18" s="234"/>
      <c r="G18" s="234"/>
      <c r="H18" s="234"/>
      <c r="I18" s="234"/>
      <c r="J18" s="234"/>
      <c r="K18" s="234"/>
      <c r="L18" s="234"/>
      <c r="M18" s="234"/>
      <c r="O18" s="178" t="s">
        <v>6</v>
      </c>
      <c r="P18" s="176"/>
      <c r="Q18" s="177" t="str">
        <f>HYPERLINK("https://www.linkedin.com/in/laennder/","🔗")</f>
        <v>🔗</v>
      </c>
    </row>
    <row r="19" spans="2:17" ht="15" thickBot="1" x14ac:dyDescent="0.35">
      <c r="B19" s="235"/>
      <c r="C19" s="235"/>
      <c r="D19" s="235"/>
      <c r="E19" s="235"/>
      <c r="F19" s="235"/>
      <c r="G19" s="235"/>
      <c r="H19" s="235"/>
      <c r="I19" s="235"/>
      <c r="J19" s="235"/>
      <c r="K19" s="235"/>
      <c r="L19" s="235"/>
      <c r="M19" s="235"/>
      <c r="O19" s="178" t="s">
        <v>7</v>
      </c>
      <c r="P19" s="176"/>
      <c r="Q19" s="177" t="str">
        <f>HYPERLINK("https://www.linkedin.com/in/brunomerola/","🔗")</f>
        <v>🔗</v>
      </c>
    </row>
    <row r="20" spans="2:17" ht="15" thickTop="1" x14ac:dyDescent="0.3"/>
    <row r="21" spans="2:17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5" thickTop="1" x14ac:dyDescent="0.3"/>
    <row r="23" spans="2:17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2:17" ht="15" customHeight="1" thickTop="1" x14ac:dyDescent="0.3">
      <c r="B24" s="20" t="s">
        <v>13</v>
      </c>
      <c r="C24" s="22" t="s">
        <v>14</v>
      </c>
      <c r="D24" s="30">
        <v>45765</v>
      </c>
      <c r="E24" s="5">
        <f>IF(D24&lt;&gt;"",IF(D24=Answers!D24,1,-1),0)</f>
        <v>1</v>
      </c>
      <c r="F24" s="237" t="s">
        <v>15</v>
      </c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</row>
    <row r="25" spans="2:17" x14ac:dyDescent="0.3">
      <c r="B25" s="21" t="s">
        <v>16</v>
      </c>
      <c r="C25" s="22" t="s">
        <v>17</v>
      </c>
      <c r="D25" s="175">
        <v>3</v>
      </c>
      <c r="E25" s="5">
        <f>IF(D25&lt;&gt;"",IF(D25=Answers!D25,1,-1),0)</f>
        <v>1</v>
      </c>
      <c r="F25" s="222" t="s">
        <v>18</v>
      </c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</row>
    <row r="26" spans="2:17" ht="14.4" customHeight="1" x14ac:dyDescent="0.3">
      <c r="B26" s="21" t="s">
        <v>19</v>
      </c>
      <c r="C26" s="22" t="s">
        <v>20</v>
      </c>
      <c r="D26" s="30">
        <v>46266</v>
      </c>
      <c r="E26" s="5">
        <f>IF(D26&lt;&gt;"",IF(D26=Answers!D26,1,-1),0)</f>
        <v>1</v>
      </c>
      <c r="F26" s="222" t="s">
        <v>21</v>
      </c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</row>
    <row r="27" spans="2:17" ht="14.4" customHeight="1" x14ac:dyDescent="0.3">
      <c r="B27" s="21" t="s">
        <v>22</v>
      </c>
      <c r="C27" s="22" t="s">
        <v>23</v>
      </c>
      <c r="D27" s="30">
        <v>45777</v>
      </c>
      <c r="E27" s="5">
        <f>IF(D27&lt;&gt;"",IF(D27=Answers!D27,1,-1),0)</f>
        <v>1</v>
      </c>
      <c r="F27" s="222" t="s">
        <v>24</v>
      </c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</row>
    <row r="28" spans="2:17" ht="14.4" customHeight="1" x14ac:dyDescent="0.3">
      <c r="B28" s="21" t="s">
        <v>25</v>
      </c>
      <c r="C28" s="22" t="s">
        <v>26</v>
      </c>
      <c r="D28" s="31">
        <v>40</v>
      </c>
      <c r="E28" s="5">
        <f>IF(D28&lt;&gt;"",IF(D28=Answers!D28,1,-1),0)</f>
        <v>1</v>
      </c>
      <c r="F28" s="222" t="s">
        <v>27</v>
      </c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</row>
    <row r="30" spans="2:17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ht="15" thickTop="1" x14ac:dyDescent="0.3"/>
    <row r="32" spans="2:17" ht="15" thickBot="1" x14ac:dyDescent="0.35">
      <c r="B32" s="4" t="s">
        <v>29</v>
      </c>
      <c r="C32" s="14" t="s">
        <v>30</v>
      </c>
      <c r="N32" s="18" t="s">
        <v>31</v>
      </c>
      <c r="O32" s="18"/>
      <c r="P32" s="18"/>
      <c r="Q32" s="18"/>
    </row>
    <row r="33" spans="2:36" ht="15" customHeight="1" thickTop="1" x14ac:dyDescent="0.3">
      <c r="N33" s="223" t="str" cm="1">
        <f t="array" ref="N33">_xlfn.LET(_xlpm.q,_xlfn.VSTACK(E24:E28,E42:E61,E75:E94,E110:E129,E161:E180,E196:E215,E231:E250,E285:E304),_xlpm.a,SUM(IF(_xlpm.q&gt;=1,_xlpm.q,0)),_xlpm.a&amp;"/"&amp;ROWS(_xlpm.q)&amp;" ("&amp;TEXT(_xlpm.a/ROWS(_xlpm.q),"0%")&amp;")")</f>
        <v>145/145 (100%)</v>
      </c>
      <c r="O33" s="224"/>
      <c r="P33" s="224"/>
      <c r="Q33" s="225"/>
    </row>
    <row r="34" spans="2:36" ht="14.4" customHeight="1" x14ac:dyDescent="0.3">
      <c r="B34" s="10" t="s">
        <v>32</v>
      </c>
      <c r="N34" s="226"/>
      <c r="O34" s="227"/>
      <c r="P34" s="227"/>
      <c r="Q34" s="228"/>
    </row>
    <row r="35" spans="2:36" ht="14.4" customHeight="1" x14ac:dyDescent="0.3">
      <c r="B35" s="11" t="s">
        <v>33</v>
      </c>
      <c r="N35" s="226"/>
      <c r="O35" s="227"/>
      <c r="P35" s="227"/>
      <c r="Q35" s="228"/>
    </row>
    <row r="36" spans="2:36" ht="14.4" customHeight="1" x14ac:dyDescent="0.3">
      <c r="B36" s="12" t="s">
        <v>34</v>
      </c>
      <c r="N36" s="229"/>
      <c r="O36" s="230"/>
      <c r="P36" s="230"/>
      <c r="Q36" s="231"/>
    </row>
    <row r="37" spans="2:36" ht="14.4" customHeight="1" x14ac:dyDescent="0.3"/>
    <row r="38" spans="2:3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36" ht="15" thickTop="1" x14ac:dyDescent="0.3">
      <c r="G39" t="s">
        <v>137</v>
      </c>
      <c r="H39" t="s">
        <v>136</v>
      </c>
      <c r="W39" s="10" t="s">
        <v>13</v>
      </c>
      <c r="AD39" s="10" t="s">
        <v>16</v>
      </c>
      <c r="AH39" s="10" t="s">
        <v>19</v>
      </c>
    </row>
    <row r="40" spans="2:3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K40">
        <f>_xlfn.XLOOKUP(I40,Climatogram!$AM$5:$AM$10,Climatogram!$AL$5:$AL$10)</f>
        <v>27</v>
      </c>
      <c r="L40" t="str" cm="1">
        <f t="array" ref="L40">INDEX(_nDorN,Case!H40)</f>
        <v>Day</v>
      </c>
      <c r="W40" t="str" cm="1">
        <f t="array" ref="W40:W179">_xlfn.LET(_xlpm.z,_xlfn.VSTACK(F42:F61,F75:F94,F110:F129,F161:F180,F196:F215,F231:F250,F285:F304),DAY(_xlpm.z)&amp;"-"&amp;MONTH(_xlpm.z)&amp;"-"&amp;YEAR(_xlpm.z))</f>
        <v>12-4-2025</v>
      </c>
      <c r="Y40" t="str" cm="1">
        <f t="array" ref="Y40:Z70">_xlfn._xlws.SORT(_xlfn.GROUPBY(_xlfn.ANCHORARRAY(W40),_xlfn.ANCHORARRAY(W40),_xleta.COUNTA),2,-1)</f>
        <v>Total</v>
      </c>
      <c r="Z40">
        <v>140</v>
      </c>
      <c r="AD40" cm="1">
        <f t="array" ref="AD40:AD159">_xlfn.LET(_xlpm.z,_xlfn.VSTACK(F42:F61,F75:F94,F161:F180,F196:F215,F231:F250,F285:F304),HOUR(_xlpm.z))</f>
        <v>11</v>
      </c>
      <c r="AE40" t="str" cm="1">
        <f t="array" ref="AE40:AF64">_xlfn._xlws.SORT(_xlfn.GROUPBY(_xlfn.ANCHORARRAY(AD40),_xlfn.ANCHORARRAY(AD40),_xleta.COUNT),2,-1)</f>
        <v>Total</v>
      </c>
      <c r="AF40">
        <v>120</v>
      </c>
      <c r="AH40" s="220" cm="1">
        <f t="array" ref="AH40:AH79">DATE(2025,_xlfn.SEQUENCE(40,1,4),1)</f>
        <v>45748</v>
      </c>
      <c r="AI40" s="201">
        <f>WEEKDAY(AH40)</f>
        <v>3</v>
      </c>
      <c r="AJ40" s="221">
        <f>EOMONTH(AH40,0)-DATE(YEAR(AH40),MONTH(AH40),0)</f>
        <v>30</v>
      </c>
    </row>
    <row r="41" spans="2:36" x14ac:dyDescent="0.3">
      <c r="F41" s="16"/>
      <c r="H41" s="186"/>
      <c r="W41" t="str">
        <v>27-4-2025</v>
      </c>
      <c r="Y41" s="218" t="str">
        <v>18-4-2025</v>
      </c>
      <c r="Z41" s="218">
        <v>10</v>
      </c>
      <c r="AB41" s="217">
        <v>45765</v>
      </c>
      <c r="AD41">
        <v>10</v>
      </c>
      <c r="AE41" s="218">
        <v>3</v>
      </c>
      <c r="AF41" s="218">
        <v>9</v>
      </c>
      <c r="AH41" s="27">
        <v>45778</v>
      </c>
      <c r="AI41">
        <f t="shared" ref="AI41:AI79" si="0">WEEKDAY(AH41)</f>
        <v>5</v>
      </c>
      <c r="AJ41" s="219">
        <f t="shared" ref="AJ41:AJ79" si="1">EOMONTH(AH41,0)-DATE(YEAR(AH41),MONTH(AH41),0)</f>
        <v>31</v>
      </c>
    </row>
    <row r="42" spans="2:3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2">DAY(F42)</f>
        <v>12</v>
      </c>
      <c r="H42" s="186">
        <f t="shared" ref="H42:H61" si="3">ROUND(24-HOUR(F42),0)</f>
        <v>13</v>
      </c>
      <c r="I42" cm="1">
        <f t="array" ref="I42">INDEX(_tClimate,H42,G42)</f>
        <v>5921712</v>
      </c>
      <c r="K42">
        <f>_xlfn.XLOOKUP(I42,Climatogram!$AM$5:$AM$10,Climatogram!$AL$5:$AL$10)</f>
        <v>32</v>
      </c>
      <c r="L42" t="str" cm="1">
        <f t="array" ref="L42">INDEX(_nDorN,Case!H42)</f>
        <v>Day</v>
      </c>
      <c r="W42" t="str">
        <v>5-4-2025</v>
      </c>
      <c r="Y42" t="str">
        <v>14-4-2025</v>
      </c>
      <c r="Z42">
        <v>9</v>
      </c>
      <c r="AD42">
        <v>20</v>
      </c>
      <c r="AE42">
        <v>1</v>
      </c>
      <c r="AF42">
        <v>8</v>
      </c>
      <c r="AH42" s="27">
        <v>45809</v>
      </c>
      <c r="AI42">
        <f t="shared" si="0"/>
        <v>1</v>
      </c>
      <c r="AJ42" s="219">
        <f t="shared" si="1"/>
        <v>30</v>
      </c>
    </row>
    <row r="43" spans="2:3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2"/>
        <v>27</v>
      </c>
      <c r="H43" s="186">
        <f t="shared" si="3"/>
        <v>14</v>
      </c>
      <c r="I43" cm="1">
        <f t="array" ref="I43">INDEX(_tClimate,H43,G43)</f>
        <v>6321607</v>
      </c>
      <c r="K43">
        <f>_xlfn.XLOOKUP(I43,Climatogram!$AM$5:$AM$10,Climatogram!$AL$5:$AL$10)</f>
        <v>27</v>
      </c>
      <c r="L43" t="str" cm="1">
        <f t="array" ref="L43">INDEX(_nDorN,Case!H43)</f>
        <v>Day</v>
      </c>
      <c r="W43" t="str">
        <v>9-4-2025</v>
      </c>
      <c r="Y43" t="str">
        <v>12-4-2025</v>
      </c>
      <c r="Z43">
        <v>7</v>
      </c>
      <c r="AD43">
        <v>18</v>
      </c>
      <c r="AE43">
        <v>17</v>
      </c>
      <c r="AF43">
        <v>8</v>
      </c>
      <c r="AH43" s="27">
        <v>45839</v>
      </c>
      <c r="AI43">
        <f t="shared" si="0"/>
        <v>3</v>
      </c>
      <c r="AJ43" s="219">
        <f t="shared" si="1"/>
        <v>31</v>
      </c>
    </row>
    <row r="44" spans="2:3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2"/>
        <v>5</v>
      </c>
      <c r="H44" s="186">
        <f t="shared" si="3"/>
        <v>4</v>
      </c>
      <c r="I44" cm="1">
        <f t="array" ref="I44">INDEX(_tClimate,H44,G44)</f>
        <v>7851241</v>
      </c>
      <c r="K44">
        <f>_xlfn.XLOOKUP(I44,Climatogram!$AM$5:$AM$10,Climatogram!$AL$5:$AL$10)</f>
        <v>22</v>
      </c>
      <c r="L44" t="str" cm="1">
        <f t="array" ref="L44">INDEX(_nDorN,Case!H44)</f>
        <v>Night</v>
      </c>
      <c r="W44" t="str">
        <v>2-4-2025</v>
      </c>
      <c r="Y44" t="str">
        <v>11-4-2025</v>
      </c>
      <c r="Z44">
        <v>6</v>
      </c>
      <c r="AD44">
        <v>6</v>
      </c>
      <c r="AE44">
        <v>21</v>
      </c>
      <c r="AF44">
        <v>8</v>
      </c>
      <c r="AH44" s="27">
        <v>45870</v>
      </c>
      <c r="AI44">
        <f t="shared" si="0"/>
        <v>6</v>
      </c>
      <c r="AJ44" s="219">
        <f t="shared" si="1"/>
        <v>31</v>
      </c>
    </row>
    <row r="45" spans="2:3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2"/>
        <v>9</v>
      </c>
      <c r="H45" s="186">
        <f t="shared" si="3"/>
        <v>6</v>
      </c>
      <c r="I45" cm="1">
        <f t="array" ref="I45">INDEX(_tClimate,H45,G45)</f>
        <v>6321607</v>
      </c>
      <c r="K45">
        <f>_xlfn.XLOOKUP(I45,Climatogram!$AM$5:$AM$10,Climatogram!$AL$5:$AL$10)</f>
        <v>27</v>
      </c>
      <c r="L45" t="str" cm="1">
        <f t="array" ref="L45">INDEX(_nDorN,Case!H45)</f>
        <v>Day</v>
      </c>
      <c r="W45" t="str">
        <v>16-4-2025</v>
      </c>
      <c r="Y45" t="str">
        <v>16-4-2025</v>
      </c>
      <c r="Z45">
        <v>6</v>
      </c>
      <c r="AD45">
        <v>9</v>
      </c>
      <c r="AE45">
        <v>14</v>
      </c>
      <c r="AF45">
        <v>7</v>
      </c>
      <c r="AH45" s="27">
        <v>45901</v>
      </c>
      <c r="AI45">
        <f t="shared" si="0"/>
        <v>2</v>
      </c>
      <c r="AJ45" s="219">
        <f t="shared" si="1"/>
        <v>30</v>
      </c>
    </row>
    <row r="46" spans="2:3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2"/>
        <v>2</v>
      </c>
      <c r="H46" s="186">
        <f t="shared" si="3"/>
        <v>18</v>
      </c>
      <c r="I46" cm="1">
        <f t="array" ref="I46">INDEX(_tClimate,H46,G46)</f>
        <v>7454605</v>
      </c>
      <c r="K46">
        <f>_xlfn.XLOOKUP(I46,Climatogram!$AM$5:$AM$10,Climatogram!$AL$5:$AL$10)</f>
        <v>16</v>
      </c>
      <c r="L46" t="str" cm="1">
        <f t="array" ref="L46">INDEX(_nDorN,Case!H46)</f>
        <v>Day</v>
      </c>
      <c r="W46" t="str">
        <v>26-4-2025</v>
      </c>
      <c r="Y46" t="str">
        <v>20-4-2025</v>
      </c>
      <c r="Z46">
        <v>6</v>
      </c>
      <c r="AD46">
        <v>13</v>
      </c>
      <c r="AE46">
        <v>18</v>
      </c>
      <c r="AF46">
        <v>7</v>
      </c>
      <c r="AH46" s="27">
        <v>45931</v>
      </c>
      <c r="AI46">
        <f t="shared" si="0"/>
        <v>4</v>
      </c>
      <c r="AJ46" s="219">
        <f t="shared" si="1"/>
        <v>31</v>
      </c>
    </row>
    <row r="47" spans="2:3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2"/>
        <v>16</v>
      </c>
      <c r="H47" s="186">
        <f t="shared" si="3"/>
        <v>15</v>
      </c>
      <c r="I47" cm="1">
        <f t="array" ref="I47">INDEX(_tClimate,H47,G47)</f>
        <v>6321607</v>
      </c>
      <c r="K47">
        <f>_xlfn.XLOOKUP(I47,Climatogram!$AM$5:$AM$10,Climatogram!$AL$5:$AL$10)</f>
        <v>27</v>
      </c>
      <c r="L47" t="str" cm="1">
        <f t="array" ref="L47">INDEX(_nDorN,Case!H47)</f>
        <v>Day</v>
      </c>
      <c r="W47" t="str">
        <v>20-4-2025</v>
      </c>
      <c r="Y47" t="str">
        <v>21-4-2025</v>
      </c>
      <c r="Z47">
        <v>6</v>
      </c>
      <c r="AD47">
        <v>17</v>
      </c>
      <c r="AE47">
        <v>7</v>
      </c>
      <c r="AF47">
        <v>6</v>
      </c>
      <c r="AH47" s="27">
        <v>45962</v>
      </c>
      <c r="AI47">
        <f t="shared" si="0"/>
        <v>7</v>
      </c>
      <c r="AJ47" s="219">
        <f t="shared" si="1"/>
        <v>30</v>
      </c>
    </row>
    <row r="48" spans="2:3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2"/>
        <v>26</v>
      </c>
      <c r="H48" s="186">
        <f t="shared" si="3"/>
        <v>11</v>
      </c>
      <c r="I48" cm="1">
        <f t="array" ref="I48">INDEX(_tClimate,H48,G48)</f>
        <v>6321607</v>
      </c>
      <c r="K48">
        <f>_xlfn.XLOOKUP(I48,Climatogram!$AM$5:$AM$10,Climatogram!$AL$5:$AL$10)</f>
        <v>27</v>
      </c>
      <c r="L48" t="str" cm="1">
        <f t="array" ref="L48">INDEX(_nDorN,Case!H48)</f>
        <v>Day</v>
      </c>
      <c r="W48" t="str">
        <v>13-4-2025</v>
      </c>
      <c r="Y48" t="str">
        <v>22-4-2025</v>
      </c>
      <c r="Z48">
        <v>6</v>
      </c>
      <c r="AD48">
        <v>2</v>
      </c>
      <c r="AE48">
        <v>12</v>
      </c>
      <c r="AF48">
        <v>6</v>
      </c>
      <c r="AH48" s="27">
        <v>45992</v>
      </c>
      <c r="AI48">
        <f t="shared" si="0"/>
        <v>2</v>
      </c>
      <c r="AJ48" s="219">
        <f t="shared" si="1"/>
        <v>31</v>
      </c>
    </row>
    <row r="49" spans="2:36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2"/>
        <v>20</v>
      </c>
      <c r="H49" s="186">
        <f t="shared" si="3"/>
        <v>7</v>
      </c>
      <c r="I49" cm="1">
        <f t="array" ref="I49">INDEX(_tClimate,H49,G49)</f>
        <v>6321607</v>
      </c>
      <c r="K49">
        <f>_xlfn.XLOOKUP(I49,Climatogram!$AM$5:$AM$10,Climatogram!$AL$5:$AL$10)</f>
        <v>27</v>
      </c>
      <c r="L49" t="str" cm="1">
        <f t="array" ref="L49">INDEX(_nDorN,Case!H49)</f>
        <v>Day</v>
      </c>
      <c r="W49" t="str">
        <v>7-4-2025</v>
      </c>
      <c r="Y49" t="str">
        <v>30-4-2025</v>
      </c>
      <c r="Z49">
        <v>6</v>
      </c>
      <c r="AD49">
        <v>1</v>
      </c>
      <c r="AE49">
        <v>16</v>
      </c>
      <c r="AF49">
        <v>6</v>
      </c>
      <c r="AH49" s="27">
        <v>46023</v>
      </c>
      <c r="AI49">
        <f t="shared" si="0"/>
        <v>5</v>
      </c>
      <c r="AJ49" s="219">
        <f t="shared" si="1"/>
        <v>31</v>
      </c>
    </row>
    <row r="50" spans="2:36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2"/>
        <v>13</v>
      </c>
      <c r="H50" s="186">
        <f t="shared" si="3"/>
        <v>22</v>
      </c>
      <c r="I50" cm="1">
        <f t="array" ref="I50">INDEX(_tClimate,H50,G50)</f>
        <v>7454605</v>
      </c>
      <c r="K50">
        <f>_xlfn.XLOOKUP(I50,Climatogram!$AM$5:$AM$10,Climatogram!$AL$5:$AL$10)</f>
        <v>16</v>
      </c>
      <c r="L50" t="str" cm="1">
        <f t="array" ref="L50">INDEX(_nDorN,Case!H50)</f>
        <v>Night</v>
      </c>
      <c r="W50" t="str">
        <v>14-4-2025</v>
      </c>
      <c r="Y50" t="str">
        <v>1-4-2025</v>
      </c>
      <c r="Z50">
        <v>5</v>
      </c>
      <c r="AD50">
        <v>1</v>
      </c>
      <c r="AE50">
        <v>6</v>
      </c>
      <c r="AF50">
        <v>5</v>
      </c>
      <c r="AH50" s="27">
        <v>46054</v>
      </c>
      <c r="AI50">
        <f t="shared" si="0"/>
        <v>1</v>
      </c>
      <c r="AJ50" s="219">
        <f t="shared" si="1"/>
        <v>28</v>
      </c>
    </row>
    <row r="51" spans="2:36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2"/>
        <v>7</v>
      </c>
      <c r="H51" s="186">
        <f t="shared" si="3"/>
        <v>23</v>
      </c>
      <c r="I51" cm="1">
        <f t="array" ref="I51">INDEX(_tClimate,H51,G51)</f>
        <v>7454605</v>
      </c>
      <c r="K51">
        <f>_xlfn.XLOOKUP(I51,Climatogram!$AM$5:$AM$10,Climatogram!$AL$5:$AL$10)</f>
        <v>16</v>
      </c>
      <c r="L51" t="str" cm="1">
        <f t="array" ref="L51">INDEX(_nDorN,Case!H51)</f>
        <v>Night</v>
      </c>
      <c r="W51" t="str">
        <v>14-4-2025</v>
      </c>
      <c r="Y51" t="str">
        <v>2-4-2025</v>
      </c>
      <c r="Z51">
        <v>5</v>
      </c>
      <c r="AD51">
        <v>23</v>
      </c>
      <c r="AE51">
        <v>8</v>
      </c>
      <c r="AF51">
        <v>5</v>
      </c>
      <c r="AH51" s="27">
        <v>46082</v>
      </c>
      <c r="AI51">
        <f t="shared" si="0"/>
        <v>1</v>
      </c>
      <c r="AJ51" s="219">
        <f t="shared" si="1"/>
        <v>31</v>
      </c>
    </row>
    <row r="52" spans="2:36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2"/>
        <v>14</v>
      </c>
      <c r="H52" s="186">
        <f t="shared" si="3"/>
        <v>23</v>
      </c>
      <c r="I52" cm="1">
        <f t="array" ref="I52">INDEX(_tClimate,H52,G52)</f>
        <v>7454605</v>
      </c>
      <c r="K52">
        <f>_xlfn.XLOOKUP(I52,Climatogram!$AM$5:$AM$10,Climatogram!$AL$5:$AL$10)</f>
        <v>16</v>
      </c>
      <c r="L52" t="str" cm="1">
        <f t="array" ref="L52">INDEX(_nDorN,Case!H52)</f>
        <v>Night</v>
      </c>
      <c r="W52" t="str">
        <v>20-4-2025</v>
      </c>
      <c r="Y52" t="str">
        <v>3-4-2025</v>
      </c>
      <c r="Z52">
        <v>5</v>
      </c>
      <c r="AD52">
        <v>17</v>
      </c>
      <c r="AE52">
        <v>11</v>
      </c>
      <c r="AF52">
        <v>5</v>
      </c>
      <c r="AH52" s="27">
        <v>46113</v>
      </c>
      <c r="AI52">
        <f t="shared" si="0"/>
        <v>4</v>
      </c>
      <c r="AJ52" s="219">
        <f t="shared" si="1"/>
        <v>30</v>
      </c>
    </row>
    <row r="53" spans="2:36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2"/>
        <v>14</v>
      </c>
      <c r="H53" s="186">
        <f t="shared" si="3"/>
        <v>1</v>
      </c>
      <c r="I53" cm="1">
        <f t="array" ref="I53">INDEX(_tClimate,H53,G53)</f>
        <v>7454605</v>
      </c>
      <c r="K53">
        <f>_xlfn.XLOOKUP(I53,Climatogram!$AM$5:$AM$10,Climatogram!$AL$5:$AL$10)</f>
        <v>16</v>
      </c>
      <c r="L53" t="str" cm="1">
        <f t="array" ref="L53">INDEX(_nDorN,Case!H53)</f>
        <v>Night</v>
      </c>
      <c r="W53" t="str">
        <v>18-4-2025</v>
      </c>
      <c r="Y53" t="str">
        <v>6-4-2025</v>
      </c>
      <c r="Z53">
        <v>5</v>
      </c>
      <c r="AD53">
        <v>17</v>
      </c>
      <c r="AE53">
        <v>13</v>
      </c>
      <c r="AF53">
        <v>5</v>
      </c>
      <c r="AH53" s="27">
        <v>46143</v>
      </c>
      <c r="AI53">
        <f t="shared" si="0"/>
        <v>6</v>
      </c>
      <c r="AJ53" s="219">
        <f t="shared" si="1"/>
        <v>31</v>
      </c>
    </row>
    <row r="54" spans="2:36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2"/>
        <v>20</v>
      </c>
      <c r="H54" s="186">
        <f t="shared" si="3"/>
        <v>7</v>
      </c>
      <c r="I54" cm="1">
        <f t="array" ref="I54">INDEX(_tClimate,H54,G54)</f>
        <v>6321607</v>
      </c>
      <c r="K54">
        <f>_xlfn.XLOOKUP(I54,Climatogram!$AM$5:$AM$10,Climatogram!$AL$5:$AL$10)</f>
        <v>27</v>
      </c>
      <c r="L54" t="str" cm="1">
        <f t="array" ref="L54">INDEX(_nDorN,Case!H54)</f>
        <v>Day</v>
      </c>
      <c r="W54" t="str">
        <v>27-4-2025</v>
      </c>
      <c r="Y54" t="str">
        <v>10-4-2025</v>
      </c>
      <c r="Z54">
        <v>4</v>
      </c>
      <c r="AD54">
        <v>19</v>
      </c>
      <c r="AE54">
        <v>19</v>
      </c>
      <c r="AF54">
        <v>5</v>
      </c>
      <c r="AH54" s="27">
        <v>46174</v>
      </c>
      <c r="AI54">
        <f t="shared" si="0"/>
        <v>2</v>
      </c>
      <c r="AJ54" s="219">
        <f t="shared" si="1"/>
        <v>30</v>
      </c>
    </row>
    <row r="55" spans="2:36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2"/>
        <v>18</v>
      </c>
      <c r="H55" s="186">
        <f t="shared" si="3"/>
        <v>7</v>
      </c>
      <c r="I55" cm="1">
        <f t="array" ref="I55">INDEX(_tClimate,H55,G55)</f>
        <v>6321607</v>
      </c>
      <c r="K55">
        <f>_xlfn.XLOOKUP(I55,Climatogram!$AM$5:$AM$10,Climatogram!$AL$5:$AL$10)</f>
        <v>27</v>
      </c>
      <c r="L55" t="str" cm="1">
        <f t="array" ref="L55">INDEX(_nDorN,Case!H55)</f>
        <v>Day</v>
      </c>
      <c r="W55" t="str">
        <v>10-4-2025</v>
      </c>
      <c r="Y55" t="str">
        <v>15-4-2025</v>
      </c>
      <c r="Z55">
        <v>4</v>
      </c>
      <c r="AD55">
        <v>0</v>
      </c>
      <c r="AE55">
        <v>4</v>
      </c>
      <c r="AF55">
        <v>4</v>
      </c>
      <c r="AH55" s="27">
        <v>46204</v>
      </c>
      <c r="AI55">
        <f t="shared" si="0"/>
        <v>4</v>
      </c>
      <c r="AJ55" s="219">
        <f t="shared" si="1"/>
        <v>31</v>
      </c>
    </row>
    <row r="56" spans="2:36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2"/>
        <v>27</v>
      </c>
      <c r="H56" s="186">
        <f t="shared" si="3"/>
        <v>5</v>
      </c>
      <c r="I56" cm="1">
        <f t="array" ref="I56">INDEX(_tClimate,H56,G56)</f>
        <v>6321607</v>
      </c>
      <c r="K56">
        <f>_xlfn.XLOOKUP(I56,Climatogram!$AM$5:$AM$10,Climatogram!$AL$5:$AL$10)</f>
        <v>27</v>
      </c>
      <c r="L56" t="str" cm="1">
        <f t="array" ref="L56">INDEX(_nDorN,Case!H56)</f>
        <v>Day</v>
      </c>
      <c r="W56" t="str">
        <v>28-4-2025</v>
      </c>
      <c r="Y56" t="str">
        <v>17-4-2025</v>
      </c>
      <c r="Z56">
        <v>4</v>
      </c>
      <c r="AD56">
        <v>3</v>
      </c>
      <c r="AE56">
        <v>9</v>
      </c>
      <c r="AF56">
        <v>4</v>
      </c>
      <c r="AH56" s="27">
        <v>46235</v>
      </c>
      <c r="AI56">
        <f t="shared" si="0"/>
        <v>7</v>
      </c>
      <c r="AJ56" s="219">
        <f t="shared" si="1"/>
        <v>31</v>
      </c>
    </row>
    <row r="57" spans="2:36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2"/>
        <v>10</v>
      </c>
      <c r="H57" s="186">
        <f t="shared" si="3"/>
        <v>24</v>
      </c>
      <c r="I57" cm="1">
        <f t="array" ref="I57">INDEX(_tClimate,H57,G57)</f>
        <v>7454605</v>
      </c>
      <c r="K57">
        <f>_xlfn.XLOOKUP(I57,Climatogram!$AM$5:$AM$10,Climatogram!$AL$5:$AL$10)</f>
        <v>16</v>
      </c>
      <c r="L57" t="str" cm="1">
        <f t="array" ref="L57">INDEX(_nDorN,Case!H57)</f>
        <v>Night</v>
      </c>
      <c r="W57" t="str">
        <v>18-4-2025</v>
      </c>
      <c r="Y57" t="str">
        <v>19-4-2025</v>
      </c>
      <c r="Z57">
        <v>4</v>
      </c>
      <c r="AD57">
        <v>11</v>
      </c>
      <c r="AE57">
        <v>20</v>
      </c>
      <c r="AF57">
        <v>4</v>
      </c>
      <c r="AH57" s="27">
        <v>46266</v>
      </c>
      <c r="AI57">
        <f t="shared" si="0"/>
        <v>3</v>
      </c>
      <c r="AJ57" s="219">
        <f t="shared" si="1"/>
        <v>30</v>
      </c>
    </row>
    <row r="58" spans="2:36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2"/>
        <v>28</v>
      </c>
      <c r="H58" s="186">
        <f t="shared" si="3"/>
        <v>21</v>
      </c>
      <c r="I58" cm="1">
        <f t="array" ref="I58">INDEX(_tClimate,H58,G58)</f>
        <v>7454605</v>
      </c>
      <c r="K58">
        <f>_xlfn.XLOOKUP(I58,Climatogram!$AM$5:$AM$10,Climatogram!$AL$5:$AL$10)</f>
        <v>16</v>
      </c>
      <c r="L58" t="str" cm="1">
        <f t="array" ref="L58">INDEX(_nDorN,Case!H58)</f>
        <v>Night</v>
      </c>
      <c r="W58" t="str">
        <v>22-4-2025</v>
      </c>
      <c r="Y58" t="str">
        <v>24-4-2025</v>
      </c>
      <c r="Z58">
        <v>4</v>
      </c>
      <c r="AD58">
        <v>17</v>
      </c>
      <c r="AE58">
        <v>2</v>
      </c>
      <c r="AF58">
        <v>3</v>
      </c>
      <c r="AH58" s="27">
        <v>46296</v>
      </c>
      <c r="AI58">
        <f t="shared" si="0"/>
        <v>5</v>
      </c>
      <c r="AJ58" s="219">
        <f t="shared" si="1"/>
        <v>31</v>
      </c>
    </row>
    <row r="59" spans="2:36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2"/>
        <v>18</v>
      </c>
      <c r="H59" s="186">
        <f t="shared" si="3"/>
        <v>13</v>
      </c>
      <c r="I59" cm="1">
        <f t="array" ref="I59">INDEX(_tClimate,H59,G59)</f>
        <v>6321607</v>
      </c>
      <c r="K59">
        <f>_xlfn.XLOOKUP(I59,Climatogram!$AM$5:$AM$10,Climatogram!$AL$5:$AL$10)</f>
        <v>27</v>
      </c>
      <c r="L59" t="str" cm="1">
        <f t="array" ref="L59">INDEX(_nDorN,Case!H59)</f>
        <v>Day</v>
      </c>
      <c r="W59" t="str">
        <v>12-4-2025</v>
      </c>
      <c r="Y59" t="str">
        <v>25-4-2025</v>
      </c>
      <c r="Z59">
        <v>4</v>
      </c>
      <c r="AD59">
        <v>13</v>
      </c>
      <c r="AE59">
        <v>5</v>
      </c>
      <c r="AF59">
        <v>3</v>
      </c>
      <c r="AH59" s="27">
        <v>46327</v>
      </c>
      <c r="AI59">
        <f t="shared" si="0"/>
        <v>1</v>
      </c>
      <c r="AJ59" s="219">
        <f t="shared" si="1"/>
        <v>30</v>
      </c>
    </row>
    <row r="60" spans="2:36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2"/>
        <v>22</v>
      </c>
      <c r="H60" s="186">
        <f t="shared" si="3"/>
        <v>7</v>
      </c>
      <c r="I60" cm="1">
        <f t="array" ref="I60">INDEX(_tClimate,H60,G60)</f>
        <v>6321607</v>
      </c>
      <c r="K60">
        <f>_xlfn.XLOOKUP(I60,Climatogram!$AM$5:$AM$10,Climatogram!$AL$5:$AL$10)</f>
        <v>27</v>
      </c>
      <c r="L60" t="str" cm="1">
        <f t="array" ref="L60">INDEX(_nDorN,Case!H60)</f>
        <v>Day</v>
      </c>
      <c r="W60" t="str">
        <v>10-4-2025</v>
      </c>
      <c r="Y60" t="str">
        <v>26-4-2025</v>
      </c>
      <c r="Z60">
        <v>4</v>
      </c>
      <c r="AD60">
        <v>18</v>
      </c>
      <c r="AE60">
        <v>10</v>
      </c>
      <c r="AF60">
        <v>3</v>
      </c>
      <c r="AH60" s="27">
        <v>46357</v>
      </c>
      <c r="AI60">
        <f t="shared" si="0"/>
        <v>3</v>
      </c>
      <c r="AJ60" s="219">
        <f t="shared" si="1"/>
        <v>31</v>
      </c>
    </row>
    <row r="61" spans="2:36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2"/>
        <v>12</v>
      </c>
      <c r="H61" s="186">
        <f t="shared" si="3"/>
        <v>11</v>
      </c>
      <c r="I61" cm="1">
        <f t="array" ref="I61">INDEX(_tClimate,H61,G61)</f>
        <v>5921712</v>
      </c>
      <c r="K61">
        <f>_xlfn.XLOOKUP(I61,Climatogram!$AM$5:$AM$10,Climatogram!$AL$5:$AL$10)</f>
        <v>32</v>
      </c>
      <c r="L61" t="str" cm="1">
        <f t="array" ref="L61">INDEX(_nDorN,Case!H61)</f>
        <v>Day</v>
      </c>
      <c r="W61" t="str">
        <v>3-4-2025</v>
      </c>
      <c r="Y61" t="str">
        <v>28-4-2025</v>
      </c>
      <c r="Z61">
        <v>4</v>
      </c>
      <c r="AD61">
        <v>11</v>
      </c>
      <c r="AE61">
        <v>15</v>
      </c>
      <c r="AF61">
        <v>3</v>
      </c>
      <c r="AH61" s="27">
        <v>46388</v>
      </c>
      <c r="AI61">
        <f t="shared" si="0"/>
        <v>6</v>
      </c>
      <c r="AJ61" s="219">
        <f t="shared" si="1"/>
        <v>31</v>
      </c>
    </row>
    <row r="62" spans="2:36" x14ac:dyDescent="0.3">
      <c r="W62" t="str">
        <v>14-4-2025</v>
      </c>
      <c r="Y62" t="str">
        <v>29-4-2025</v>
      </c>
      <c r="Z62">
        <v>4</v>
      </c>
      <c r="AD62">
        <v>4</v>
      </c>
      <c r="AE62">
        <v>22</v>
      </c>
      <c r="AF62">
        <v>3</v>
      </c>
      <c r="AH62" s="27">
        <v>46419</v>
      </c>
      <c r="AI62">
        <f t="shared" si="0"/>
        <v>2</v>
      </c>
      <c r="AJ62" s="219">
        <f t="shared" si="1"/>
        <v>28</v>
      </c>
    </row>
    <row r="63" spans="2:36" x14ac:dyDescent="0.3">
      <c r="W63" t="str">
        <v>18-4-2025</v>
      </c>
      <c r="Y63" t="str">
        <v>7-4-2025</v>
      </c>
      <c r="Z63">
        <v>4</v>
      </c>
      <c r="AD63">
        <v>6</v>
      </c>
      <c r="AE63">
        <v>23</v>
      </c>
      <c r="AF63">
        <v>2</v>
      </c>
      <c r="AH63" s="27">
        <v>46447</v>
      </c>
      <c r="AI63">
        <f t="shared" si="0"/>
        <v>2</v>
      </c>
      <c r="AJ63" s="219">
        <f t="shared" si="1"/>
        <v>31</v>
      </c>
    </row>
    <row r="64" spans="2:36" ht="15" thickBot="1" x14ac:dyDescent="0.35">
      <c r="B64" s="4" t="s">
        <v>38</v>
      </c>
      <c r="C64" s="14" t="s">
        <v>30</v>
      </c>
      <c r="W64" t="str">
        <v>6-4-2025</v>
      </c>
      <c r="Y64" t="str">
        <v>4-4-2025</v>
      </c>
      <c r="Z64">
        <v>3</v>
      </c>
      <c r="AD64">
        <v>1</v>
      </c>
      <c r="AE64">
        <v>0</v>
      </c>
      <c r="AF64">
        <v>1</v>
      </c>
      <c r="AH64" s="27">
        <v>46478</v>
      </c>
      <c r="AI64">
        <f t="shared" si="0"/>
        <v>5</v>
      </c>
      <c r="AJ64" s="219">
        <f t="shared" si="1"/>
        <v>30</v>
      </c>
    </row>
    <row r="65" spans="2:36" ht="15" thickTop="1" x14ac:dyDescent="0.3">
      <c r="W65" t="str">
        <v>11-4-2025</v>
      </c>
      <c r="Y65" t="str">
        <v>5-4-2025</v>
      </c>
      <c r="Z65">
        <v>3</v>
      </c>
      <c r="AD65">
        <v>3</v>
      </c>
      <c r="AH65" s="27">
        <v>46508</v>
      </c>
      <c r="AI65">
        <f t="shared" si="0"/>
        <v>7</v>
      </c>
      <c r="AJ65" s="219">
        <f t="shared" si="1"/>
        <v>31</v>
      </c>
    </row>
    <row r="66" spans="2:36" x14ac:dyDescent="0.3">
      <c r="B66" s="10" t="s">
        <v>39</v>
      </c>
      <c r="W66" t="str">
        <v>30-4-2025</v>
      </c>
      <c r="Y66" t="str">
        <v>8-4-2025</v>
      </c>
      <c r="Z66">
        <v>3</v>
      </c>
      <c r="AD66">
        <v>21</v>
      </c>
      <c r="AH66" s="220">
        <v>46539</v>
      </c>
      <c r="AI66" s="201">
        <f t="shared" si="0"/>
        <v>3</v>
      </c>
      <c r="AJ66" s="221">
        <f t="shared" si="1"/>
        <v>30</v>
      </c>
    </row>
    <row r="67" spans="2:36" x14ac:dyDescent="0.3">
      <c r="B67" s="10" t="s">
        <v>40</v>
      </c>
      <c r="W67" t="str">
        <v>21-4-2025</v>
      </c>
      <c r="Y67" t="str">
        <v>9-4-2025</v>
      </c>
      <c r="Z67">
        <v>3</v>
      </c>
      <c r="AD67">
        <v>9</v>
      </c>
      <c r="AH67" s="27">
        <v>46569</v>
      </c>
      <c r="AI67">
        <f t="shared" si="0"/>
        <v>5</v>
      </c>
      <c r="AJ67" s="219">
        <f t="shared" si="1"/>
        <v>31</v>
      </c>
    </row>
    <row r="68" spans="2:36" x14ac:dyDescent="0.3">
      <c r="B68" s="23" t="s">
        <v>41</v>
      </c>
      <c r="W68" t="str">
        <v>21-4-2025</v>
      </c>
      <c r="Y68" t="str">
        <v>13-4-2025</v>
      </c>
      <c r="Z68">
        <v>2</v>
      </c>
      <c r="AD68">
        <v>12</v>
      </c>
      <c r="AH68" s="27">
        <v>46600</v>
      </c>
      <c r="AI68">
        <f t="shared" si="0"/>
        <v>1</v>
      </c>
      <c r="AJ68" s="219">
        <f t="shared" si="1"/>
        <v>31</v>
      </c>
    </row>
    <row r="69" spans="2:36" x14ac:dyDescent="0.3">
      <c r="B69" s="12" t="s">
        <v>42</v>
      </c>
      <c r="W69" t="str">
        <v>1-4-2025</v>
      </c>
      <c r="Y69" t="str">
        <v>23-4-2025</v>
      </c>
      <c r="Z69">
        <v>2</v>
      </c>
      <c r="AD69">
        <v>9</v>
      </c>
      <c r="AH69" s="27">
        <v>46631</v>
      </c>
      <c r="AI69">
        <f t="shared" si="0"/>
        <v>4</v>
      </c>
      <c r="AJ69" s="219">
        <f t="shared" si="1"/>
        <v>30</v>
      </c>
    </row>
    <row r="70" spans="2:36" x14ac:dyDescent="0.3">
      <c r="W70" t="str">
        <v>12-4-2025</v>
      </c>
      <c r="Y70" t="str">
        <v>27-4-2025</v>
      </c>
      <c r="Z70">
        <v>2</v>
      </c>
      <c r="AD70">
        <v>18</v>
      </c>
      <c r="AH70" s="27">
        <v>46661</v>
      </c>
      <c r="AI70">
        <f t="shared" si="0"/>
        <v>6</v>
      </c>
      <c r="AJ70" s="219">
        <f t="shared" si="1"/>
        <v>31</v>
      </c>
    </row>
    <row r="71" spans="2:3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  <c r="W71" t="str">
        <v>22-4-2025</v>
      </c>
      <c r="AD71">
        <v>18</v>
      </c>
      <c r="AH71" s="27">
        <v>46692</v>
      </c>
      <c r="AI71">
        <f t="shared" si="0"/>
        <v>2</v>
      </c>
      <c r="AJ71" s="219">
        <f t="shared" si="1"/>
        <v>30</v>
      </c>
    </row>
    <row r="72" spans="2:36" ht="15" thickTop="1" x14ac:dyDescent="0.3">
      <c r="W72" t="str">
        <v>25-4-2025</v>
      </c>
      <c r="AD72">
        <v>13</v>
      </c>
      <c r="AH72" s="27">
        <v>46722</v>
      </c>
      <c r="AI72">
        <f t="shared" si="0"/>
        <v>4</v>
      </c>
      <c r="AJ72" s="219">
        <f t="shared" si="1"/>
        <v>31</v>
      </c>
    </row>
    <row r="73" spans="2:36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K73">
        <f>_xlfn.XLOOKUP(I73,Climatogram!$AM$5:$AM$10,Climatogram!$AL$5:$AL$10)</f>
        <v>27</v>
      </c>
      <c r="L73" t="str" cm="1">
        <f t="array" aca="1" ref="L73" ca="1">IF(_fnDay(INDIRECT("Climatogram!"&amp;ADDRESS(H73+4,G73+2))),"D","N")</f>
        <v>N</v>
      </c>
      <c r="M73" t="str">
        <f ca="1">K73&amp;"-"&amp;L73</f>
        <v>27-N</v>
      </c>
      <c r="W73" t="str">
        <v>9-4-2025</v>
      </c>
      <c r="AD73">
        <v>8</v>
      </c>
      <c r="AH73" s="27">
        <v>46753</v>
      </c>
      <c r="AI73">
        <f t="shared" si="0"/>
        <v>7</v>
      </c>
      <c r="AJ73" s="219">
        <f t="shared" si="1"/>
        <v>31</v>
      </c>
    </row>
    <row r="74" spans="2:36" x14ac:dyDescent="0.3">
      <c r="F74" s="16"/>
      <c r="H74" s="186"/>
      <c r="W74" t="str">
        <v>16-4-2025</v>
      </c>
      <c r="AD74">
        <v>17</v>
      </c>
      <c r="AH74" s="27">
        <v>46784</v>
      </c>
      <c r="AI74">
        <f t="shared" si="0"/>
        <v>3</v>
      </c>
      <c r="AJ74" s="219">
        <f t="shared" si="1"/>
        <v>29</v>
      </c>
    </row>
    <row r="75" spans="2:36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4">DAY(F75)</f>
        <v>10</v>
      </c>
      <c r="H75" s="186">
        <f t="shared" ref="H75:H94" si="5">ROUND(24-HOUR(F75),0)</f>
        <v>6</v>
      </c>
      <c r="I75" cm="1">
        <f t="array" ref="I75">INDEX(_tClimate,H75,G75)</f>
        <v>6321607</v>
      </c>
      <c r="K75">
        <f>_xlfn.XLOOKUP(I75,Climatogram!$AM$5:$AM$10,Climatogram!$AL$5:$AL$10)</f>
        <v>27</v>
      </c>
      <c r="L75" t="str" cm="1">
        <f t="array" aca="1" ref="L75" ca="1">IF(_fnDay(INDIRECT("Climatogram!"&amp;ADDRESS(H75+4,G75+2))),"D","N")</f>
        <v>N</v>
      </c>
      <c r="M75" t="str">
        <f t="shared" ref="M75:M94" ca="1" si="6">K75&amp;"-"&amp;L75</f>
        <v>27-N</v>
      </c>
      <c r="W75" t="str">
        <v>30-4-2025</v>
      </c>
      <c r="AD75">
        <v>19</v>
      </c>
      <c r="AH75" s="27">
        <v>46813</v>
      </c>
      <c r="AI75">
        <f t="shared" si="0"/>
        <v>4</v>
      </c>
      <c r="AJ75" s="219">
        <f t="shared" si="1"/>
        <v>31</v>
      </c>
    </row>
    <row r="76" spans="2:36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4"/>
        <v>3</v>
      </c>
      <c r="H76" s="186">
        <f t="shared" si="5"/>
        <v>13</v>
      </c>
      <c r="I76" cm="1">
        <f t="array" ref="I76">INDEX(_tClimate,H76,G76)</f>
        <v>6321607</v>
      </c>
      <c r="K76">
        <f>_xlfn.XLOOKUP(I76,Climatogram!$AM$5:$AM$10,Climatogram!$AL$5:$AL$10)</f>
        <v>27</v>
      </c>
      <c r="L76" t="str" cm="1">
        <f t="array" aca="1" ref="L76" ca="1">IF(_fnDay(INDIRECT("Climatogram!"&amp;ADDRESS(H76+4,G76+2))),"D","N")</f>
        <v>D</v>
      </c>
      <c r="M76" t="str">
        <f t="shared" ca="1" si="6"/>
        <v>27-D</v>
      </c>
      <c r="W76" t="str">
        <v>24-4-2025</v>
      </c>
      <c r="AD76">
        <v>7</v>
      </c>
      <c r="AH76" s="27">
        <v>46844</v>
      </c>
      <c r="AI76">
        <f t="shared" si="0"/>
        <v>7</v>
      </c>
      <c r="AJ76" s="219">
        <f t="shared" si="1"/>
        <v>30</v>
      </c>
    </row>
    <row r="77" spans="2:36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4"/>
        <v>14</v>
      </c>
      <c r="H77" s="186">
        <f t="shared" si="5"/>
        <v>20</v>
      </c>
      <c r="I77" cm="1">
        <f t="array" ref="I77">INDEX(_tClimate,H77,G77)</f>
        <v>7841908</v>
      </c>
      <c r="K77">
        <f>_xlfn.XLOOKUP(I77,Climatogram!$AM$5:$AM$10,Climatogram!$AL$5:$AL$10)</f>
        <v>10</v>
      </c>
      <c r="L77" t="str" cm="1">
        <f t="array" aca="1" ref="L77" ca="1">IF(_fnDay(INDIRECT("Climatogram!"&amp;ADDRESS(H77+4,G77+2))),"D","N")</f>
        <v>N</v>
      </c>
      <c r="M77" t="str">
        <f t="shared" ca="1" si="6"/>
        <v>10-N</v>
      </c>
      <c r="W77" t="str">
        <v>3-4-2025</v>
      </c>
      <c r="AD77">
        <v>6</v>
      </c>
      <c r="AH77" s="27">
        <v>46874</v>
      </c>
      <c r="AI77">
        <f t="shared" si="0"/>
        <v>2</v>
      </c>
      <c r="AJ77" s="219">
        <f t="shared" si="1"/>
        <v>31</v>
      </c>
    </row>
    <row r="78" spans="2:36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4"/>
        <v>18</v>
      </c>
      <c r="H78" s="186">
        <f t="shared" si="5"/>
        <v>18</v>
      </c>
      <c r="I78" cm="1">
        <f t="array" ref="I78">INDEX(_tClimate,H78,G78)</f>
        <v>7454605</v>
      </c>
      <c r="K78">
        <f>_xlfn.XLOOKUP(I78,Climatogram!$AM$5:$AM$10,Climatogram!$AL$5:$AL$10)</f>
        <v>16</v>
      </c>
      <c r="L78" t="str" cm="1">
        <f t="array" aca="1" ref="L78" ca="1">IF(_fnDay(INDIRECT("Climatogram!"&amp;ADDRESS(H78+4,G78+2))),"D","N")</f>
        <v>D</v>
      </c>
      <c r="M78" t="str">
        <f t="shared" ca="1" si="6"/>
        <v>16-D</v>
      </c>
      <c r="W78" t="str">
        <v>30-4-2025</v>
      </c>
      <c r="AD78">
        <v>1</v>
      </c>
      <c r="AH78" s="27">
        <v>46905</v>
      </c>
      <c r="AI78">
        <f t="shared" si="0"/>
        <v>5</v>
      </c>
      <c r="AJ78" s="219">
        <f t="shared" si="1"/>
        <v>30</v>
      </c>
    </row>
    <row r="79" spans="2:36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4"/>
        <v>6</v>
      </c>
      <c r="H79" s="186">
        <f t="shared" si="5"/>
        <v>23</v>
      </c>
      <c r="I79" cm="1">
        <f t="array" ref="I79">INDEX(_tClimate,H79,G79)</f>
        <v>7454605</v>
      </c>
      <c r="K79">
        <f>_xlfn.XLOOKUP(I79,Climatogram!$AM$5:$AM$10,Climatogram!$AL$5:$AL$10)</f>
        <v>16</v>
      </c>
      <c r="L79" t="str" cm="1">
        <f t="array" aca="1" ref="L79" ca="1">IF(_fnDay(INDIRECT("Climatogram!"&amp;ADDRESS(H79+4,G79+2))),"D","N")</f>
        <v>N</v>
      </c>
      <c r="M79" t="str">
        <f t="shared" ca="1" si="6"/>
        <v>16-N</v>
      </c>
      <c r="W79" t="str">
        <v>18-4-2025</v>
      </c>
      <c r="AD79">
        <v>6</v>
      </c>
      <c r="AH79" s="27">
        <v>46935</v>
      </c>
      <c r="AI79">
        <f t="shared" si="0"/>
        <v>7</v>
      </c>
      <c r="AJ79" s="219">
        <f t="shared" si="1"/>
        <v>31</v>
      </c>
    </row>
    <row r="80" spans="2:36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4"/>
        <v>11</v>
      </c>
      <c r="H80" s="186">
        <f t="shared" si="5"/>
        <v>21</v>
      </c>
      <c r="I80" cm="1">
        <f t="array" ref="I80">INDEX(_tClimate,H80,G80)</f>
        <v>7454605</v>
      </c>
      <c r="K80">
        <f>_xlfn.XLOOKUP(I80,Climatogram!$AM$5:$AM$10,Climatogram!$AL$5:$AL$10)</f>
        <v>16</v>
      </c>
      <c r="L80" t="str" cm="1">
        <f t="array" aca="1" ref="L80" ca="1">IF(_fnDay(INDIRECT("Climatogram!"&amp;ADDRESS(H80+4,G80+2))),"D","N")</f>
        <v>N</v>
      </c>
      <c r="M80" t="str">
        <f t="shared" ca="1" si="6"/>
        <v>16-N</v>
      </c>
      <c r="W80" t="str">
        <v>5-4-2025</v>
      </c>
      <c r="AD80">
        <v>11</v>
      </c>
    </row>
    <row r="81" spans="2:30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4"/>
        <v>30</v>
      </c>
      <c r="H81" s="186">
        <f t="shared" si="5"/>
        <v>3</v>
      </c>
      <c r="I81" cm="1">
        <f t="array" ref="I81">INDEX(_tClimate,H81,G81)</f>
        <v>7851241</v>
      </c>
      <c r="K81">
        <f>_xlfn.XLOOKUP(I81,Climatogram!$AM$5:$AM$10,Climatogram!$AL$5:$AL$10)</f>
        <v>22</v>
      </c>
      <c r="L81" t="str" cm="1">
        <f t="array" aca="1" ref="L81" ca="1">IF(_fnDay(INDIRECT("Climatogram!"&amp;ADDRESS(H81+4,G81+2))),"D","N")</f>
        <v>N</v>
      </c>
      <c r="M81" t="str">
        <f t="shared" ca="1" si="6"/>
        <v>22-N</v>
      </c>
      <c r="W81" t="str">
        <v>6-4-2025</v>
      </c>
      <c r="AD81">
        <v>8</v>
      </c>
    </row>
    <row r="82" spans="2:30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4"/>
        <v>21</v>
      </c>
      <c r="H82" s="186">
        <f t="shared" si="5"/>
        <v>15</v>
      </c>
      <c r="I82" cm="1">
        <f t="array" ref="I82">INDEX(_tClimate,H82,G82)</f>
        <v>6321607</v>
      </c>
      <c r="K82">
        <f>_xlfn.XLOOKUP(I82,Climatogram!$AM$5:$AM$10,Climatogram!$AL$5:$AL$10)</f>
        <v>27</v>
      </c>
      <c r="L82" t="str" cm="1">
        <f t="array" aca="1" ref="L82" ca="1">IF(_fnDay(INDIRECT("Climatogram!"&amp;ADDRESS(H82+4,G82+2))),"D","N")</f>
        <v>D</v>
      </c>
      <c r="M82" t="str">
        <f t="shared" ca="1" si="6"/>
        <v>27-D</v>
      </c>
      <c r="W82" t="str">
        <v>7-4-2025</v>
      </c>
      <c r="AD82">
        <v>3</v>
      </c>
    </row>
    <row r="83" spans="2:30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4"/>
        <v>21</v>
      </c>
      <c r="H83" s="186">
        <f t="shared" si="5"/>
        <v>12</v>
      </c>
      <c r="I83" cm="1">
        <f t="array" ref="I83">INDEX(_tClimate,H83,G83)</f>
        <v>6321607</v>
      </c>
      <c r="K83">
        <f>_xlfn.XLOOKUP(I83,Climatogram!$AM$5:$AM$10,Climatogram!$AL$5:$AL$10)</f>
        <v>27</v>
      </c>
      <c r="L83" t="str" cm="1">
        <f t="array" aca="1" ref="L83" ca="1">IF(_fnDay(INDIRECT("Climatogram!"&amp;ADDRESS(H83+4,G83+2))),"D","N")</f>
        <v>D</v>
      </c>
      <c r="M83" t="str">
        <f t="shared" ca="1" si="6"/>
        <v>27-D</v>
      </c>
      <c r="W83" t="str">
        <v>8-4-2025</v>
      </c>
      <c r="AD83">
        <v>19</v>
      </c>
    </row>
    <row r="84" spans="2:30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4"/>
        <v>1</v>
      </c>
      <c r="H84" s="186">
        <f t="shared" si="5"/>
        <v>15</v>
      </c>
      <c r="I84" cm="1">
        <f t="array" ref="I84">INDEX(_tClimate,H84,G84)</f>
        <v>7851241</v>
      </c>
      <c r="K84">
        <f>_xlfn.XLOOKUP(I84,Climatogram!$AM$5:$AM$10,Climatogram!$AL$5:$AL$10)</f>
        <v>22</v>
      </c>
      <c r="L84" t="str" cm="1">
        <f t="array" aca="1" ref="L84" ca="1">IF(_fnDay(INDIRECT("Climatogram!"&amp;ADDRESS(H84+4,G84+2))),"D","N")</f>
        <v>D</v>
      </c>
      <c r="M84" t="str">
        <f t="shared" ca="1" si="6"/>
        <v>22-D</v>
      </c>
      <c r="W84" t="str">
        <v>9-4-2025</v>
      </c>
      <c r="AD84">
        <v>4</v>
      </c>
    </row>
    <row r="85" spans="2:30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4"/>
        <v>12</v>
      </c>
      <c r="H85" s="186">
        <f t="shared" si="5"/>
        <v>6</v>
      </c>
      <c r="I85" cm="1">
        <f t="array" ref="I85">INDEX(_tClimate,H85,G85)</f>
        <v>6321607</v>
      </c>
      <c r="K85">
        <f>_xlfn.XLOOKUP(I85,Climatogram!$AM$5:$AM$10,Climatogram!$AL$5:$AL$10)</f>
        <v>27</v>
      </c>
      <c r="L85" t="str" cm="1">
        <f t="array" aca="1" ref="L85" ca="1">IF(_fnDay(INDIRECT("Climatogram!"&amp;ADDRESS(H85+4,G85+2))),"D","N")</f>
        <v>N</v>
      </c>
      <c r="M85" t="str">
        <f t="shared" ca="1" si="6"/>
        <v>27-N</v>
      </c>
      <c r="W85" t="str">
        <v>10-4-2025</v>
      </c>
      <c r="AD85">
        <v>12</v>
      </c>
    </row>
    <row r="86" spans="2:30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4"/>
        <v>22</v>
      </c>
      <c r="H86" s="186">
        <f t="shared" si="5"/>
        <v>6</v>
      </c>
      <c r="I86" cm="1">
        <f t="array" ref="I86">INDEX(_tClimate,H86,G86)</f>
        <v>6321607</v>
      </c>
      <c r="K86">
        <f>_xlfn.XLOOKUP(I86,Climatogram!$AM$5:$AM$10,Climatogram!$AL$5:$AL$10)</f>
        <v>27</v>
      </c>
      <c r="L86" t="str" cm="1">
        <f t="array" aca="1" ref="L86" ca="1">IF(_fnDay(INDIRECT("Climatogram!"&amp;ADDRESS(H86+4,G86+2))),"D","N")</f>
        <v>D</v>
      </c>
      <c r="M86" t="str">
        <f t="shared" ca="1" si="6"/>
        <v>27-D</v>
      </c>
      <c r="W86" t="str">
        <v>11-4-2025</v>
      </c>
      <c r="AD86">
        <v>21</v>
      </c>
    </row>
    <row r="87" spans="2:30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4"/>
        <v>25</v>
      </c>
      <c r="H87" s="186">
        <f t="shared" si="5"/>
        <v>11</v>
      </c>
      <c r="I87" cm="1">
        <f t="array" ref="I87">INDEX(_tClimate,H87,G87)</f>
        <v>6321607</v>
      </c>
      <c r="K87">
        <f>_xlfn.XLOOKUP(I87,Climatogram!$AM$5:$AM$10,Climatogram!$AL$5:$AL$10)</f>
        <v>27</v>
      </c>
      <c r="L87" t="str" cm="1">
        <f t="array" aca="1" ref="L87" ca="1">IF(_fnDay(INDIRECT("Climatogram!"&amp;ADDRESS(H87+4,G87+2))),"D","N")</f>
        <v>D</v>
      </c>
      <c r="M87" t="str">
        <f t="shared" ca="1" si="6"/>
        <v>27-D</v>
      </c>
      <c r="W87" t="str">
        <v>12-4-2025</v>
      </c>
      <c r="AD87">
        <v>8</v>
      </c>
    </row>
    <row r="88" spans="2:30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4"/>
        <v>9</v>
      </c>
      <c r="H88" s="186">
        <f t="shared" si="5"/>
        <v>16</v>
      </c>
      <c r="I88" cm="1">
        <f t="array" ref="I88">INDEX(_tClimate,H88,G88)</f>
        <v>7851241</v>
      </c>
      <c r="K88">
        <f>_xlfn.XLOOKUP(I88,Climatogram!$AM$5:$AM$10,Climatogram!$AL$5:$AL$10)</f>
        <v>22</v>
      </c>
      <c r="L88" t="str" cm="1">
        <f t="array" aca="1" ref="L88" ca="1">IF(_fnDay(INDIRECT("Climatogram!"&amp;ADDRESS(H88+4,G88+2))),"D","N")</f>
        <v>D</v>
      </c>
      <c r="M88" t="str">
        <f t="shared" ca="1" si="6"/>
        <v>22-D</v>
      </c>
      <c r="W88" t="str">
        <v>13-4-2025</v>
      </c>
      <c r="AD88">
        <v>6</v>
      </c>
    </row>
    <row r="89" spans="2:30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4"/>
        <v>16</v>
      </c>
      <c r="H89" s="186">
        <f t="shared" si="5"/>
        <v>7</v>
      </c>
      <c r="I89" cm="1">
        <f t="array" ref="I89">INDEX(_tClimate,H89,G89)</f>
        <v>6321607</v>
      </c>
      <c r="K89">
        <f>_xlfn.XLOOKUP(I89,Climatogram!$AM$5:$AM$10,Climatogram!$AL$5:$AL$10)</f>
        <v>27</v>
      </c>
      <c r="L89" t="str" cm="1">
        <f t="array" aca="1" ref="L89" ca="1">IF(_fnDay(INDIRECT("Climatogram!"&amp;ADDRESS(H89+4,G89+2))),"D","N")</f>
        <v>D</v>
      </c>
      <c r="M89" t="str">
        <f t="shared" ca="1" si="6"/>
        <v>27-D</v>
      </c>
      <c r="W89" t="str">
        <v>14-4-2025</v>
      </c>
      <c r="AD89">
        <v>15</v>
      </c>
    </row>
    <row r="90" spans="2:30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4"/>
        <v>30</v>
      </c>
      <c r="H90" s="186">
        <f t="shared" si="5"/>
        <v>5</v>
      </c>
      <c r="I90" cm="1">
        <f t="array" ref="I90">INDEX(_tClimate,H90,G90)</f>
        <v>6321607</v>
      </c>
      <c r="K90">
        <f>_xlfn.XLOOKUP(I90,Climatogram!$AM$5:$AM$10,Climatogram!$AL$5:$AL$10)</f>
        <v>27</v>
      </c>
      <c r="L90" t="str" cm="1">
        <f t="array" aca="1" ref="L90" ca="1">IF(_fnDay(INDIRECT("Climatogram!"&amp;ADDRESS(H90+4,G90+2))),"D","N")</f>
        <v>D</v>
      </c>
      <c r="M90" t="str">
        <f t="shared" ca="1" si="6"/>
        <v>27-D</v>
      </c>
      <c r="W90" t="str">
        <v>15-4-2025</v>
      </c>
      <c r="AD90">
        <v>21</v>
      </c>
    </row>
    <row r="91" spans="2:30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4"/>
        <v>24</v>
      </c>
      <c r="H91" s="186">
        <f t="shared" si="5"/>
        <v>17</v>
      </c>
      <c r="I91" cm="1">
        <f t="array" ref="I91">INDEX(_tClimate,H91,G91)</f>
        <v>7454605</v>
      </c>
      <c r="K91">
        <f>_xlfn.XLOOKUP(I91,Climatogram!$AM$5:$AM$10,Climatogram!$AL$5:$AL$10)</f>
        <v>16</v>
      </c>
      <c r="L91" t="str" cm="1">
        <f t="array" aca="1" ref="L91" ca="1">IF(_fnDay(INDIRECT("Climatogram!"&amp;ADDRESS(H91+4,G91+2))),"D","N")</f>
        <v>D</v>
      </c>
      <c r="M91" t="str">
        <f t="shared" ca="1" si="6"/>
        <v>16-D</v>
      </c>
      <c r="W91" t="str">
        <v>16-4-2025</v>
      </c>
      <c r="AD91">
        <v>5</v>
      </c>
    </row>
    <row r="92" spans="2:30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4"/>
        <v>3</v>
      </c>
      <c r="H92" s="186">
        <f t="shared" si="5"/>
        <v>18</v>
      </c>
      <c r="I92" cm="1">
        <f t="array" ref="I92">INDEX(_tClimate,H92,G92)</f>
        <v>7454605</v>
      </c>
      <c r="K92">
        <f>_xlfn.XLOOKUP(I92,Climatogram!$AM$5:$AM$10,Climatogram!$AL$5:$AL$10)</f>
        <v>16</v>
      </c>
      <c r="L92" t="str" cm="1">
        <f t="array" aca="1" ref="L92" ca="1">IF(_fnDay(INDIRECT("Climatogram!"&amp;ADDRESS(H92+4,G92+2))),"D","N")</f>
        <v>N</v>
      </c>
      <c r="M92" t="str">
        <f t="shared" ca="1" si="6"/>
        <v>16-N</v>
      </c>
      <c r="W92" t="str">
        <v>17-4-2025</v>
      </c>
      <c r="AD92">
        <v>17</v>
      </c>
    </row>
    <row r="93" spans="2:30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4"/>
        <v>30</v>
      </c>
      <c r="H93" s="186">
        <f t="shared" si="5"/>
        <v>23</v>
      </c>
      <c r="I93" cm="1">
        <f t="array" ref="I93">INDEX(_tClimate,H93,G93)</f>
        <v>7851241</v>
      </c>
      <c r="K93">
        <f>_xlfn.XLOOKUP(I93,Climatogram!$AM$5:$AM$10,Climatogram!$AL$5:$AL$10)</f>
        <v>22</v>
      </c>
      <c r="L93" t="str" cm="1">
        <f t="array" aca="1" ref="L93" ca="1">IF(_fnDay(INDIRECT("Climatogram!"&amp;ADDRESS(H93+4,G93+2))),"D","N")</f>
        <v>N</v>
      </c>
      <c r="M93" t="str">
        <f t="shared" ca="1" si="6"/>
        <v>22-N</v>
      </c>
      <c r="W93" t="str">
        <v>18-4-2025</v>
      </c>
      <c r="AD93">
        <v>8</v>
      </c>
    </row>
    <row r="94" spans="2:30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4"/>
        <v>18</v>
      </c>
      <c r="H94" s="186">
        <f t="shared" si="5"/>
        <v>18</v>
      </c>
      <c r="I94" cm="1">
        <f t="array" ref="I94">INDEX(_tClimate,H94,G94)</f>
        <v>7454605</v>
      </c>
      <c r="K94">
        <f>_xlfn.XLOOKUP(I94,Climatogram!$AM$5:$AM$10,Climatogram!$AL$5:$AL$10)</f>
        <v>16</v>
      </c>
      <c r="L94" t="str" cm="1">
        <f t="array" aca="1" ref="L94" ca="1">IF(_fnDay(INDIRECT("Climatogram!"&amp;ADDRESS(H94+4,G94+2))),"D","N")</f>
        <v>D</v>
      </c>
      <c r="M94" t="str">
        <f t="shared" ca="1" si="6"/>
        <v>16-D</v>
      </c>
      <c r="W94" t="str">
        <v>19-4-2025</v>
      </c>
      <c r="AD94">
        <v>2</v>
      </c>
    </row>
    <row r="95" spans="2:30" x14ac:dyDescent="0.3">
      <c r="W95" t="str">
        <v>20-4-2025</v>
      </c>
      <c r="AD95">
        <v>3</v>
      </c>
    </row>
    <row r="96" spans="2:30" x14ac:dyDescent="0.3">
      <c r="W96" t="str">
        <v>21-4-2025</v>
      </c>
      <c r="AD96">
        <v>14</v>
      </c>
    </row>
    <row r="97" spans="2:30" ht="15" thickBot="1" x14ac:dyDescent="0.35">
      <c r="B97" s="4" t="s">
        <v>23</v>
      </c>
      <c r="C97" s="14" t="s">
        <v>45</v>
      </c>
      <c r="W97" t="str">
        <v>22-4-2025</v>
      </c>
      <c r="AD97">
        <v>14</v>
      </c>
    </row>
    <row r="98" spans="2:30" ht="15" thickTop="1" x14ac:dyDescent="0.3">
      <c r="W98" t="str">
        <v>24-4-2025</v>
      </c>
      <c r="AD98">
        <v>1</v>
      </c>
    </row>
    <row r="99" spans="2:30" x14ac:dyDescent="0.3">
      <c r="B99" s="10" t="s">
        <v>46</v>
      </c>
      <c r="W99" t="str">
        <v>25-4-2025</v>
      </c>
      <c r="AD99">
        <v>3</v>
      </c>
    </row>
    <row r="100" spans="2:30" x14ac:dyDescent="0.3">
      <c r="B100" s="10" t="s">
        <v>47</v>
      </c>
      <c r="W100" t="str">
        <v>29-4-2025</v>
      </c>
      <c r="AD100">
        <v>5</v>
      </c>
    </row>
    <row r="101" spans="2:30" x14ac:dyDescent="0.3">
      <c r="B101" s="10" t="s">
        <v>48</v>
      </c>
      <c r="W101" t="str">
        <v>26-4-2025</v>
      </c>
      <c r="AD101">
        <v>3</v>
      </c>
    </row>
    <row r="102" spans="2:30" x14ac:dyDescent="0.3">
      <c r="B102" s="10" t="s">
        <v>49</v>
      </c>
      <c r="W102" t="str">
        <v>14-4-2025</v>
      </c>
      <c r="AD102">
        <v>16</v>
      </c>
    </row>
    <row r="103" spans="2:30" x14ac:dyDescent="0.3">
      <c r="B103" s="11" t="s">
        <v>50</v>
      </c>
      <c r="L103" t="s">
        <v>141</v>
      </c>
      <c r="M103">
        <v>26</v>
      </c>
      <c r="W103" t="str">
        <v>18-4-2025</v>
      </c>
      <c r="AD103">
        <v>4</v>
      </c>
    </row>
    <row r="104" spans="2:30" x14ac:dyDescent="0.3">
      <c r="B104" s="12" t="s">
        <v>51</v>
      </c>
      <c r="L104" t="s">
        <v>142</v>
      </c>
      <c r="M104">
        <v>16</v>
      </c>
      <c r="W104" t="str">
        <v>22-4-2025</v>
      </c>
      <c r="AD104">
        <v>13</v>
      </c>
    </row>
    <row r="105" spans="2:30" x14ac:dyDescent="0.3">
      <c r="H105">
        <v>13</v>
      </c>
      <c r="W105" t="str">
        <v>2-4-2025</v>
      </c>
      <c r="AD105">
        <v>20</v>
      </c>
    </row>
    <row r="106" spans="2:30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  <c r="W106" t="str">
        <v>25-4-2025</v>
      </c>
      <c r="AD106">
        <v>7</v>
      </c>
    </row>
    <row r="107" spans="2:30" ht="15" thickTop="1" x14ac:dyDescent="0.3">
      <c r="G107" s="187" t="s">
        <v>52</v>
      </c>
      <c r="M107" t="s">
        <v>138</v>
      </c>
      <c r="N107" t="s">
        <v>139</v>
      </c>
      <c r="O107" t="s">
        <v>140</v>
      </c>
      <c r="W107" t="str">
        <v>14-4-2025</v>
      </c>
      <c r="AD107">
        <v>12</v>
      </c>
    </row>
    <row r="108" spans="2:30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K108" t="str" cm="1">
        <f t="array" aca="1" ref="K108" ca="1">IF(_fnDay(INDIRECT("Climatogram!"&amp;ADDRESS(-I108+28,$G$108+2))),"D","N")</f>
        <v>N</v>
      </c>
      <c r="L108">
        <f>_xlfn.XLOOKUP(H108,Climatogram!$AM$5:$AM$10,Climatogram!$AL$5:$AL$10)</f>
        <v>16</v>
      </c>
      <c r="M108">
        <f ca="1">ROUND(AVERAGEIFS($L$108:$L$131,$K$108:$K$131,"N"),0)</f>
        <v>18</v>
      </c>
      <c r="N108">
        <f ca="1">ROUND(AVERAGEIFS($L$108:$L$131,$K$108:$K$131,"D"),0)</f>
        <v>26</v>
      </c>
      <c r="O108">
        <f ca="1">ABS(M108-_nIN)+ABS(_nID-N108)</f>
        <v>2</v>
      </c>
      <c r="W108" t="str">
        <v>2-4-2025</v>
      </c>
      <c r="AD108">
        <v>3</v>
      </c>
    </row>
    <row r="109" spans="2:30" x14ac:dyDescent="0.3">
      <c r="F109" s="16"/>
      <c r="H109">
        <v>7454605</v>
      </c>
      <c r="I109">
        <v>22</v>
      </c>
      <c r="K109" t="str" cm="1">
        <f t="array" aca="1" ref="K109" ca="1">IF(_fnDay(INDIRECT("Climatogram!"&amp;ADDRESS(-I109+28,$G$108+2))),"D","N")</f>
        <v>N</v>
      </c>
      <c r="L109">
        <f>_xlfn.XLOOKUP(H109,Climatogram!$AM$5:$AM$10,Climatogram!$AL$5:$AL$10)</f>
        <v>16</v>
      </c>
      <c r="Q109">
        <f ca="1">O108</f>
        <v>2</v>
      </c>
      <c r="W109" t="str">
        <v>20-4-2025</v>
      </c>
      <c r="AD109">
        <v>22</v>
      </c>
    </row>
    <row r="110" spans="2:30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K110" t="str" cm="1">
        <f t="array" aca="1" ref="K110" ca="1">IF(_fnDay(INDIRECT("Climatogram!"&amp;ADDRESS(-I110+28,$G$108+2))),"D","N")</f>
        <v>N</v>
      </c>
      <c r="L110">
        <f>_xlfn.XLOOKUP(H110,Climatogram!$AM$5:$AM$10,Climatogram!$AL$5:$AL$10)</f>
        <v>22</v>
      </c>
      <c r="O110" s="186"/>
      <c r="P110" s="186">
        <v>1</v>
      </c>
      <c r="Q110">
        <f t="dataTable" ref="Q110:Q140" dt2D="0" dtr="0" r1="H105" ca="1"/>
        <v>4</v>
      </c>
      <c r="W110" t="str">
        <v>30-4-2025</v>
      </c>
      <c r="AD110">
        <v>3</v>
      </c>
    </row>
    <row r="111" spans="2:30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K111" t="str" cm="1">
        <f t="array" aca="1" ref="K111" ca="1">IF(_fnDay(INDIRECT("Climatogram!"&amp;ADDRESS(-I111+28,$G$108+2))),"D","N")</f>
        <v>N</v>
      </c>
      <c r="L111">
        <f>_xlfn.XLOOKUP(H111,Climatogram!$AM$5:$AM$10,Climatogram!$AL$5:$AL$10)</f>
        <v>22</v>
      </c>
      <c r="O111" s="186"/>
      <c r="P111" s="186">
        <v>2</v>
      </c>
      <c r="Q111">
        <v>5</v>
      </c>
      <c r="S111" cm="1">
        <f t="array" ref="S111:S119">_xlfn.UNIQUE(_xlfn.VSTACK(F110:F129,F108,DATE(2025,4,_xlfn.SEQUENCE(30,1,1))),,TRUE)</f>
        <v>45748</v>
      </c>
      <c r="W111" t="str">
        <v>11-4-2025</v>
      </c>
      <c r="AD111">
        <v>5</v>
      </c>
    </row>
    <row r="112" spans="2:30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K112" t="str" cm="1">
        <f t="array" aca="1" ref="K112" ca="1">IF(_fnDay(INDIRECT("Climatogram!"&amp;ADDRESS(-I112+28,$G$108+2))),"D","N")</f>
        <v>N</v>
      </c>
      <c r="L112">
        <f>_xlfn.XLOOKUP(H112,Climatogram!$AM$5:$AM$10,Climatogram!$AL$5:$AL$10)</f>
        <v>27</v>
      </c>
      <c r="O112" s="186"/>
      <c r="P112" s="186">
        <v>3</v>
      </c>
      <c r="Q112">
        <v>4</v>
      </c>
      <c r="S112">
        <v>45749</v>
      </c>
      <c r="W112" t="str">
        <v>30-4-2025</v>
      </c>
      <c r="AD112">
        <v>14</v>
      </c>
    </row>
    <row r="113" spans="2:30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K113" t="str" cm="1">
        <f t="array" aca="1" ref="K113" ca="1">IF(_fnDay(INDIRECT("Climatogram!"&amp;ADDRESS(-I113+28,$G$108+2))),"D","N")</f>
        <v>D</v>
      </c>
      <c r="L113">
        <f>_xlfn.XLOOKUP(H113,Climatogram!$AM$5:$AM$10,Climatogram!$AL$5:$AL$10)</f>
        <v>27</v>
      </c>
      <c r="O113" s="186"/>
      <c r="P113" s="186">
        <v>4</v>
      </c>
      <c r="Q113">
        <v>6</v>
      </c>
      <c r="S113">
        <v>45750</v>
      </c>
      <c r="W113" t="str">
        <v>4-4-2025</v>
      </c>
      <c r="AD113">
        <v>1</v>
      </c>
    </row>
    <row r="114" spans="2:30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K114" t="str" cm="1">
        <f t="array" aca="1" ref="K114" ca="1">IF(_fnDay(INDIRECT("Climatogram!"&amp;ADDRESS(-I114+28,$G$108+2))),"D","N")</f>
        <v>D</v>
      </c>
      <c r="L114">
        <f>_xlfn.XLOOKUP(H114,Climatogram!$AM$5:$AM$10,Climatogram!$AL$5:$AL$10)</f>
        <v>27</v>
      </c>
      <c r="O114" s="186"/>
      <c r="P114" s="186">
        <v>5</v>
      </c>
      <c r="Q114">
        <v>4</v>
      </c>
      <c r="S114">
        <v>45751</v>
      </c>
      <c r="W114" t="str">
        <v>17-4-2025</v>
      </c>
      <c r="AD114">
        <v>17</v>
      </c>
    </row>
    <row r="115" spans="2:30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K115" t="str" cm="1">
        <f t="array" aca="1" ref="K115" ca="1">IF(_fnDay(INDIRECT("Climatogram!"&amp;ADDRESS(-I115+28,$G$108+2))),"D","N")</f>
        <v>D</v>
      </c>
      <c r="L115">
        <f>_xlfn.XLOOKUP(H115,Climatogram!$AM$5:$AM$10,Climatogram!$AL$5:$AL$10)</f>
        <v>27</v>
      </c>
      <c r="O115" s="186"/>
      <c r="P115" s="186">
        <v>6</v>
      </c>
      <c r="Q115">
        <v>5</v>
      </c>
      <c r="S115">
        <v>45773</v>
      </c>
      <c r="W115" t="str">
        <v>14-4-2025</v>
      </c>
      <c r="AD115">
        <v>16</v>
      </c>
    </row>
    <row r="116" spans="2:30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K116" t="str" cm="1">
        <f t="array" aca="1" ref="K116" ca="1">IF(_fnDay(INDIRECT("Climatogram!"&amp;ADDRESS(-I116+28,$G$108+2))),"D","N")</f>
        <v>D</v>
      </c>
      <c r="L116">
        <f>_xlfn.XLOOKUP(H116,Climatogram!$AM$5:$AM$10,Climatogram!$AL$5:$AL$10)</f>
        <v>27</v>
      </c>
      <c r="O116" s="186"/>
      <c r="P116" s="186">
        <v>7</v>
      </c>
      <c r="Q116">
        <v>4</v>
      </c>
      <c r="S116">
        <v>45774</v>
      </c>
      <c r="W116" t="str">
        <v>4-4-2025</v>
      </c>
      <c r="AD116">
        <v>4</v>
      </c>
    </row>
    <row r="117" spans="2:30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K117" t="str" cm="1">
        <f t="array" aca="1" ref="K117" ca="1">IF(_fnDay(INDIRECT("Climatogram!"&amp;ADDRESS(-I117+28,$G$108+2))),"D","N")</f>
        <v>D</v>
      </c>
      <c r="L117">
        <f>_xlfn.XLOOKUP(H117,Climatogram!$AM$5:$AM$10,Climatogram!$AL$5:$AL$10)</f>
        <v>27</v>
      </c>
      <c r="O117" s="186"/>
      <c r="P117" s="186">
        <v>8</v>
      </c>
      <c r="Q117">
        <v>5</v>
      </c>
      <c r="S117">
        <v>45775</v>
      </c>
      <c r="W117" t="str">
        <v>8-4-2025</v>
      </c>
      <c r="AD117">
        <v>16</v>
      </c>
    </row>
    <row r="118" spans="2:30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K118" t="str" cm="1">
        <f t="array" aca="1" ref="K118" ca="1">IF(_fnDay(INDIRECT("Climatogram!"&amp;ADDRESS(-I118+28,$G$108+2))),"D","N")</f>
        <v>D</v>
      </c>
      <c r="L118">
        <f>_xlfn.XLOOKUP(H118,Climatogram!$AM$5:$AM$10,Climatogram!$AL$5:$AL$10)</f>
        <v>27</v>
      </c>
      <c r="O118" s="186"/>
      <c r="P118" s="186">
        <v>9</v>
      </c>
      <c r="Q118">
        <v>6</v>
      </c>
      <c r="S118">
        <v>45776</v>
      </c>
      <c r="W118" t="str">
        <v>19-4-2025</v>
      </c>
      <c r="AD118">
        <v>22</v>
      </c>
    </row>
    <row r="119" spans="2:30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K119" t="str" cm="1">
        <f t="array" aca="1" ref="K119" ca="1">IF(_fnDay(INDIRECT("Climatogram!"&amp;ADDRESS(-I119+28,$G$108+2))),"D","N")</f>
        <v>D</v>
      </c>
      <c r="L119">
        <f>_xlfn.XLOOKUP(H119,Climatogram!$AM$5:$AM$10,Climatogram!$AL$5:$AL$10)</f>
        <v>27</v>
      </c>
      <c r="O119" s="186"/>
      <c r="P119" s="186">
        <v>10</v>
      </c>
      <c r="Q119">
        <v>5</v>
      </c>
      <c r="S119">
        <v>45777</v>
      </c>
      <c r="W119" t="str">
        <v>30-4-2025</v>
      </c>
      <c r="AD119">
        <v>22</v>
      </c>
    </row>
    <row r="120" spans="2:30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K120" t="str" cm="1">
        <f t="array" aca="1" ref="K120" ca="1">IF(_fnDay(INDIRECT("Climatogram!"&amp;ADDRESS(-I120+28,$G$108+2))),"D","N")</f>
        <v>D</v>
      </c>
      <c r="L120">
        <f>_xlfn.XLOOKUP(H120,Climatogram!$AM$5:$AM$10,Climatogram!$AL$5:$AL$10)</f>
        <v>27</v>
      </c>
      <c r="O120" s="186"/>
      <c r="P120" s="186">
        <v>11</v>
      </c>
      <c r="Q120">
        <v>7</v>
      </c>
      <c r="W120" t="str">
        <v>22-4-2025</v>
      </c>
      <c r="AD120">
        <v>19</v>
      </c>
    </row>
    <row r="121" spans="2:30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K121" t="str" cm="1">
        <f t="array" aca="1" ref="K121" ca="1">IF(_fnDay(INDIRECT("Climatogram!"&amp;ADDRESS(-I121+28,$G$108+2))),"D","N")</f>
        <v>D</v>
      </c>
      <c r="L121">
        <f>_xlfn.XLOOKUP(H121,Climatogram!$AM$5:$AM$10,Climatogram!$AL$5:$AL$10)</f>
        <v>27</v>
      </c>
      <c r="O121" s="186"/>
      <c r="P121" s="186">
        <v>12</v>
      </c>
      <c r="Q121">
        <v>6</v>
      </c>
      <c r="W121" t="str">
        <v>10-4-2025</v>
      </c>
      <c r="AD121">
        <v>10</v>
      </c>
    </row>
    <row r="122" spans="2:30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K122" t="str" cm="1">
        <f t="array" aca="1" ref="K122" ca="1">IF(_fnDay(INDIRECT("Climatogram!"&amp;ADDRESS(-I122+28,$G$108+2))),"D","N")</f>
        <v>D</v>
      </c>
      <c r="L122">
        <f>_xlfn.XLOOKUP(H122,Climatogram!$AM$5:$AM$10,Climatogram!$AL$5:$AL$10)</f>
        <v>27</v>
      </c>
      <c r="O122" s="186"/>
      <c r="P122" s="186">
        <v>13</v>
      </c>
      <c r="Q122">
        <v>2</v>
      </c>
      <c r="W122" t="str">
        <v>6-4-2025</v>
      </c>
      <c r="AD122">
        <v>18</v>
      </c>
    </row>
    <row r="123" spans="2:30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K123" t="str" cm="1">
        <f t="array" aca="1" ref="K123" ca="1">IF(_fnDay(INDIRECT("Climatogram!"&amp;ADDRESS(-I123+28,$G$108+2))),"D","N")</f>
        <v>D</v>
      </c>
      <c r="L123">
        <f>_xlfn.XLOOKUP(H123,Climatogram!$AM$5:$AM$10,Climatogram!$AL$5:$AL$10)</f>
        <v>22</v>
      </c>
      <c r="O123" s="186"/>
      <c r="P123" s="186">
        <v>14</v>
      </c>
      <c r="Q123">
        <v>3</v>
      </c>
      <c r="W123" t="str">
        <v>26-4-2025</v>
      </c>
      <c r="AD123">
        <v>23</v>
      </c>
    </row>
    <row r="124" spans="2:30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K124" t="str" cm="1">
        <f t="array" aca="1" ref="K124" ca="1">IF(_fnDay(INDIRECT("Climatogram!"&amp;ADDRESS(-I124+28,$G$108+2))),"D","N")</f>
        <v>D</v>
      </c>
      <c r="L124">
        <f>_xlfn.XLOOKUP(H124,Climatogram!$AM$5:$AM$10,Climatogram!$AL$5:$AL$10)</f>
        <v>22</v>
      </c>
      <c r="O124" s="186"/>
      <c r="P124" s="186">
        <v>15</v>
      </c>
      <c r="Q124">
        <v>2</v>
      </c>
      <c r="S124" t="s">
        <v>228</v>
      </c>
      <c r="W124" t="str">
        <v>18-4-2025</v>
      </c>
      <c r="AD124">
        <v>21</v>
      </c>
    </row>
    <row r="125" spans="2:30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K125" t="str" cm="1">
        <f t="array" aca="1" ref="K125" ca="1">IF(_fnDay(INDIRECT("Climatogram!"&amp;ADDRESS(-I125+28,$G$108+2))),"D","N")</f>
        <v>N</v>
      </c>
      <c r="L125">
        <f>_xlfn.XLOOKUP(H125,Climatogram!$AM$5:$AM$10,Climatogram!$AL$5:$AL$10)</f>
        <v>16</v>
      </c>
      <c r="O125" s="186"/>
      <c r="P125" s="186">
        <v>16</v>
      </c>
      <c r="Q125">
        <v>1</v>
      </c>
      <c r="W125" t="str">
        <v>28-4-2025</v>
      </c>
      <c r="AD125">
        <v>11</v>
      </c>
    </row>
    <row r="126" spans="2:30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K126" t="str" cm="1">
        <f t="array" aca="1" ref="K126" ca="1">IF(_fnDay(INDIRECT("Climatogram!"&amp;ADDRESS(-I126+28,$G$108+2))),"D","N")</f>
        <v>N</v>
      </c>
      <c r="L126">
        <f>_xlfn.XLOOKUP(H126,Climatogram!$AM$5:$AM$10,Climatogram!$AL$5:$AL$10)</f>
        <v>16</v>
      </c>
      <c r="O126" s="186"/>
      <c r="P126" s="186">
        <v>17</v>
      </c>
      <c r="Q126">
        <v>3</v>
      </c>
      <c r="W126" t="str">
        <v>20-4-2025</v>
      </c>
      <c r="AD126">
        <v>16</v>
      </c>
    </row>
    <row r="127" spans="2:30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K127" t="str" cm="1">
        <f t="array" aca="1" ref="K127" ca="1">IF(_fnDay(INDIRECT("Climatogram!"&amp;ADDRESS(-I127+28,$G$108+2))),"D","N")</f>
        <v>N</v>
      </c>
      <c r="L127">
        <f>_xlfn.XLOOKUP(H127,Climatogram!$AM$5:$AM$10,Climatogram!$AL$5:$AL$10)</f>
        <v>16</v>
      </c>
      <c r="O127" s="186"/>
      <c r="P127" s="186">
        <v>18</v>
      </c>
      <c r="Q127">
        <v>4</v>
      </c>
      <c r="W127" t="str">
        <v>7-4-2025</v>
      </c>
      <c r="AD127">
        <v>12</v>
      </c>
    </row>
    <row r="128" spans="2:30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K128" t="str" cm="1">
        <f t="array" aca="1" ref="K128" ca="1">IF(_fnDay(INDIRECT("Climatogram!"&amp;ADDRESS(-I128+28,$G$108+2))),"D","N")</f>
        <v>N</v>
      </c>
      <c r="L128">
        <f>_xlfn.XLOOKUP(H128,Climatogram!$AM$5:$AM$10,Climatogram!$AL$5:$AL$10)</f>
        <v>16</v>
      </c>
      <c r="O128" s="186"/>
      <c r="P128" s="186">
        <v>19</v>
      </c>
      <c r="Q128">
        <v>3</v>
      </c>
      <c r="W128" t="str">
        <v>18-4-2025</v>
      </c>
      <c r="AD128">
        <v>21</v>
      </c>
    </row>
    <row r="129" spans="2:30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K129" t="str" cm="1">
        <f t="array" aca="1" ref="K129" ca="1">IF(_fnDay(INDIRECT("Climatogram!"&amp;ADDRESS(-I129+28,$G$108+2))),"D","N")</f>
        <v>N</v>
      </c>
      <c r="L129">
        <f>_xlfn.XLOOKUP(H129,Climatogram!$AM$5:$AM$10,Climatogram!$AL$5:$AL$10)</f>
        <v>16</v>
      </c>
      <c r="O129" s="186"/>
      <c r="P129" s="186">
        <v>20</v>
      </c>
      <c r="Q129">
        <v>5</v>
      </c>
      <c r="W129" t="str">
        <v>14-4-2025</v>
      </c>
      <c r="AD129">
        <v>12</v>
      </c>
    </row>
    <row r="130" spans="2:30" x14ac:dyDescent="0.3">
      <c r="F130" s="26">
        <v>45748</v>
      </c>
      <c r="H130">
        <v>7454605</v>
      </c>
      <c r="I130">
        <v>1</v>
      </c>
      <c r="K130" t="str" cm="1">
        <f t="array" aca="1" ref="K130" ca="1">IF(_fnDay(INDIRECT("Climatogram!"&amp;ADDRESS(-I130+28,$G$108+2))),"D","N")</f>
        <v>N</v>
      </c>
      <c r="L130">
        <f>_xlfn.XLOOKUP(H130,Climatogram!$AM$5:$AM$10,Climatogram!$AL$5:$AL$10)</f>
        <v>16</v>
      </c>
      <c r="P130" s="186">
        <v>21</v>
      </c>
      <c r="Q130">
        <v>4</v>
      </c>
      <c r="W130" t="str">
        <v>12-4-2025</v>
      </c>
      <c r="AD130">
        <v>15</v>
      </c>
    </row>
    <row r="131" spans="2:30" x14ac:dyDescent="0.3">
      <c r="F131" s="26">
        <v>45749</v>
      </c>
      <c r="H131">
        <v>7851241</v>
      </c>
      <c r="I131">
        <v>0</v>
      </c>
      <c r="K131" t="str" cm="1">
        <f t="array" aca="1" ref="K131" ca="1">IF(_fnDay(INDIRECT("Climatogram!"&amp;ADDRESS(-I131+28,$G$108+2))),"D","N")</f>
        <v>N</v>
      </c>
      <c r="L131">
        <f>_xlfn.XLOOKUP(H131,Climatogram!$AM$5:$AM$10,Climatogram!$AL$5:$AL$10)</f>
        <v>22</v>
      </c>
      <c r="P131" s="186">
        <v>22</v>
      </c>
      <c r="Q131">
        <v>4</v>
      </c>
      <c r="W131" t="str">
        <v>24-4-2025</v>
      </c>
      <c r="AD131">
        <v>16</v>
      </c>
    </row>
    <row r="132" spans="2:30" x14ac:dyDescent="0.3">
      <c r="F132" s="26">
        <v>45750</v>
      </c>
      <c r="P132" s="186">
        <v>23</v>
      </c>
      <c r="Q132">
        <v>4</v>
      </c>
      <c r="W132" t="str">
        <v>21-4-2025</v>
      </c>
      <c r="AD132">
        <v>7</v>
      </c>
    </row>
    <row r="133" spans="2:30" x14ac:dyDescent="0.3">
      <c r="F133" s="26">
        <v>45751</v>
      </c>
      <c r="P133" s="186">
        <v>24</v>
      </c>
      <c r="Q133">
        <v>2</v>
      </c>
      <c r="W133" t="str">
        <v>25-4-2025</v>
      </c>
      <c r="AD133">
        <v>14</v>
      </c>
    </row>
    <row r="134" spans="2:30" x14ac:dyDescent="0.3">
      <c r="F134" s="26">
        <v>45773</v>
      </c>
      <c r="P134" s="186">
        <v>25</v>
      </c>
      <c r="Q134">
        <v>3</v>
      </c>
      <c r="W134" t="str">
        <v>4-4-2025</v>
      </c>
      <c r="AD134">
        <v>18</v>
      </c>
    </row>
    <row r="135" spans="2:30" x14ac:dyDescent="0.3">
      <c r="F135" s="26">
        <v>45774</v>
      </c>
      <c r="P135" s="186">
        <v>26</v>
      </c>
      <c r="Q135">
        <v>1</v>
      </c>
      <c r="W135" t="str">
        <v>29-4-2025</v>
      </c>
      <c r="AD135">
        <v>7</v>
      </c>
    </row>
    <row r="136" spans="2:30" x14ac:dyDescent="0.3">
      <c r="F136" s="26">
        <v>45775</v>
      </c>
      <c r="P136" s="186">
        <v>27</v>
      </c>
      <c r="Q136">
        <v>4</v>
      </c>
      <c r="W136" t="str">
        <v>15-4-2025</v>
      </c>
      <c r="AD136">
        <v>8</v>
      </c>
    </row>
    <row r="137" spans="2:30" x14ac:dyDescent="0.3">
      <c r="F137" s="26">
        <v>45776</v>
      </c>
      <c r="P137" s="186">
        <v>28</v>
      </c>
      <c r="Q137">
        <v>6</v>
      </c>
      <c r="W137" t="str">
        <v>3-4-2025</v>
      </c>
      <c r="AD137">
        <v>20</v>
      </c>
    </row>
    <row r="138" spans="2:30" x14ac:dyDescent="0.3">
      <c r="F138" s="26">
        <v>45777</v>
      </c>
      <c r="P138" s="186">
        <v>29</v>
      </c>
      <c r="Q138">
        <v>6</v>
      </c>
      <c r="W138" t="str">
        <v>3-4-2025</v>
      </c>
      <c r="AD138">
        <v>1</v>
      </c>
    </row>
    <row r="139" spans="2:30" x14ac:dyDescent="0.3">
      <c r="P139" s="186">
        <v>30</v>
      </c>
      <c r="Q139">
        <v>8</v>
      </c>
      <c r="W139" t="str">
        <v>6-4-2025</v>
      </c>
      <c r="AD139">
        <v>13</v>
      </c>
    </row>
    <row r="140" spans="2:30" x14ac:dyDescent="0.3">
      <c r="P140" s="186"/>
      <c r="Q140" t="e">
        <v>#VALUE!</v>
      </c>
      <c r="S140" t="s">
        <v>229</v>
      </c>
      <c r="W140" t="str">
        <v>6-4-2025</v>
      </c>
      <c r="AD140">
        <v>14</v>
      </c>
    </row>
    <row r="141" spans="2:30" x14ac:dyDescent="0.3">
      <c r="P141" s="186"/>
      <c r="W141" t="str">
        <v>17-4-2025</v>
      </c>
      <c r="AD141">
        <v>21</v>
      </c>
    </row>
    <row r="142" spans="2:30" x14ac:dyDescent="0.3">
      <c r="P142" s="186"/>
      <c r="W142" t="str">
        <v>21-4-2025</v>
      </c>
      <c r="AD142">
        <v>14</v>
      </c>
    </row>
    <row r="143" spans="2:30" x14ac:dyDescent="0.3">
      <c r="P143" s="186"/>
      <c r="W143" t="str">
        <v>29-4-2025</v>
      </c>
      <c r="AD143">
        <v>15</v>
      </c>
    </row>
    <row r="144" spans="2:30" x14ac:dyDescent="0.3">
      <c r="P144" s="186"/>
      <c r="W144" t="str">
        <v>5-4-2025</v>
      </c>
      <c r="AD144">
        <v>2</v>
      </c>
    </row>
    <row r="145" spans="2:30" x14ac:dyDescent="0.3">
      <c r="P145" s="186"/>
      <c r="W145" t="str">
        <v>8-4-2025</v>
      </c>
      <c r="AD145">
        <v>9</v>
      </c>
    </row>
    <row r="146" spans="2:30" x14ac:dyDescent="0.3">
      <c r="P146" s="186"/>
      <c r="W146" t="str">
        <v>2-4-2025</v>
      </c>
      <c r="AD146">
        <v>18</v>
      </c>
    </row>
    <row r="147" spans="2:30" ht="15" thickBot="1" x14ac:dyDescent="0.35">
      <c r="B147" s="4" t="s">
        <v>54</v>
      </c>
      <c r="C147" s="14" t="s">
        <v>55</v>
      </c>
      <c r="W147" t="str">
        <v>1-4-2025</v>
      </c>
      <c r="AD147">
        <v>16</v>
      </c>
    </row>
    <row r="148" spans="2:30" ht="15" thickTop="1" x14ac:dyDescent="0.3">
      <c r="W148" t="str">
        <v>28-4-2025</v>
      </c>
      <c r="AD148">
        <v>19</v>
      </c>
    </row>
    <row r="149" spans="2:30" x14ac:dyDescent="0.3">
      <c r="B149" s="10" t="s">
        <v>56</v>
      </c>
      <c r="W149" t="str">
        <v>29-4-2025</v>
      </c>
      <c r="AD149">
        <v>3</v>
      </c>
    </row>
    <row r="150" spans="2:30" x14ac:dyDescent="0.3">
      <c r="B150" s="10" t="s">
        <v>57</v>
      </c>
      <c r="W150" t="str">
        <v>18-4-2025</v>
      </c>
      <c r="AD150">
        <v>12</v>
      </c>
    </row>
    <row r="151" spans="2:30" x14ac:dyDescent="0.3">
      <c r="B151" s="10" t="s">
        <v>58</v>
      </c>
      <c r="W151" t="str">
        <v>15-4-2025</v>
      </c>
      <c r="AD151">
        <v>1</v>
      </c>
    </row>
    <row r="152" spans="2:30" x14ac:dyDescent="0.3">
      <c r="B152" s="10" t="s">
        <v>59</v>
      </c>
      <c r="W152" t="str">
        <v>1-4-2025</v>
      </c>
      <c r="AD152">
        <v>20</v>
      </c>
    </row>
    <row r="153" spans="2:30" x14ac:dyDescent="0.3">
      <c r="B153" s="11" t="s">
        <v>60</v>
      </c>
      <c r="W153" t="str">
        <v>1-4-2025</v>
      </c>
      <c r="AD153">
        <v>14</v>
      </c>
    </row>
    <row r="154" spans="2:30" x14ac:dyDescent="0.3">
      <c r="B154" s="12" t="s">
        <v>61</v>
      </c>
      <c r="W154" t="str">
        <v>1-4-2025</v>
      </c>
      <c r="AD154">
        <v>17</v>
      </c>
    </row>
    <row r="155" spans="2:30" x14ac:dyDescent="0.3">
      <c r="B155" s="12" t="s">
        <v>62</v>
      </c>
      <c r="W155" t="str">
        <v>2-4-2025</v>
      </c>
      <c r="AD155">
        <v>7</v>
      </c>
    </row>
    <row r="156" spans="2:30" x14ac:dyDescent="0.3">
      <c r="J156" s="209" t="s">
        <v>199</v>
      </c>
      <c r="W156" t="str">
        <v>22-4-2025</v>
      </c>
      <c r="AD156">
        <v>21</v>
      </c>
    </row>
    <row r="157" spans="2:30" ht="15" thickBot="1" x14ac:dyDescent="0.35">
      <c r="B157" s="1" t="s">
        <v>9</v>
      </c>
      <c r="C157" s="1" t="s">
        <v>35</v>
      </c>
      <c r="D157" s="1" t="s">
        <v>11</v>
      </c>
      <c r="F157" s="1" t="s">
        <v>36</v>
      </c>
      <c r="G157" s="1" t="s">
        <v>63</v>
      </c>
      <c r="H157" s="207" t="s">
        <v>182</v>
      </c>
      <c r="W157" t="str">
        <v>14-4-2025</v>
      </c>
      <c r="AD157">
        <v>21</v>
      </c>
    </row>
    <row r="158" spans="2:30" ht="15" thickTop="1" x14ac:dyDescent="0.3">
      <c r="G158" s="16"/>
      <c r="W158" t="str">
        <v>18-4-2025</v>
      </c>
      <c r="AD158">
        <v>10</v>
      </c>
    </row>
    <row r="159" spans="2:30" x14ac:dyDescent="0.3">
      <c r="B159" s="3" t="s">
        <v>64</v>
      </c>
      <c r="C159" s="2">
        <v>4</v>
      </c>
      <c r="D159" s="9" t="s">
        <v>65</v>
      </c>
      <c r="F159" s="27">
        <v>45770.791666666664</v>
      </c>
      <c r="G159" s="13">
        <v>2</v>
      </c>
      <c r="H159" cm="1">
        <f t="array" aca="1" ref="H159" ca="1">DAY(INDIRECT(H157))</f>
        <v>0</v>
      </c>
      <c r="I159" s="186" cm="1">
        <f t="array" aca="1" ref="I159" ca="1">ROUND(HOUR(INDIRECT(H157)),0)</f>
        <v>0</v>
      </c>
      <c r="J159" s="186"/>
      <c r="K159" s="186"/>
      <c r="L159" cm="1">
        <f t="array" aca="1" ref="L159" ca="1">OFFSET(INDIRECT(H157),0,1)</f>
        <v>0</v>
      </c>
      <c r="M159" t="e" cm="1" vm="1">
        <f t="array" aca="1" ref="M159" ca="1">INDEX(_tClimate,I159,H159)</f>
        <v>#VALUE!</v>
      </c>
      <c r="W159" t="str">
        <v>12-4-2025</v>
      </c>
      <c r="AD159">
        <v>7</v>
      </c>
    </row>
    <row r="160" spans="2:30" ht="15" thickBot="1" x14ac:dyDescent="0.35">
      <c r="F160" s="16"/>
      <c r="H160" s="213" t="s">
        <v>108</v>
      </c>
      <c r="I160" s="214" t="s">
        <v>200</v>
      </c>
      <c r="J160" s="214" t="s">
        <v>201</v>
      </c>
      <c r="K160" s="214" t="s">
        <v>202</v>
      </c>
      <c r="L160" s="214" t="s">
        <v>203</v>
      </c>
      <c r="M160" s="214" t="s">
        <v>204</v>
      </c>
      <c r="N160" s="214" t="s">
        <v>205</v>
      </c>
      <c r="O160" s="215" t="s">
        <v>206</v>
      </c>
      <c r="R160" t="e">
        <f ca="1">O161</f>
        <v>#DIV/0!</v>
      </c>
      <c r="W160" t="str">
        <v>16-4-2025</v>
      </c>
    </row>
    <row r="161" spans="2:23" ht="15" thickTop="1" x14ac:dyDescent="0.3">
      <c r="B161" s="3">
        <v>61</v>
      </c>
      <c r="C161" s="2">
        <v>4</v>
      </c>
      <c r="D161" s="6" t="s">
        <v>65</v>
      </c>
      <c r="E161" s="5">
        <f>IF(D161&lt;&gt;"",IF(D161=Answers!D146,1,-1),0)</f>
        <v>1</v>
      </c>
      <c r="F161" s="27">
        <v>45776.458333333336</v>
      </c>
      <c r="G161" s="13">
        <v>7</v>
      </c>
      <c r="H161" s="210" cm="1">
        <f t="array" aca="1" ref="H161" ca="1">INT(_xlfn.SEQUENCE(ROWS(_xlfn.ANCHORARRAY(I161)),1,H159,0)+_xlfn.ANCHORARRAY(I161)/24)</f>
        <v>0</v>
      </c>
      <c r="I161" s="211" cm="1">
        <f t="array" aca="1" ref="I161" ca="1">_xlfn.SEQUENCE(2*L159+1,1,I159-L159)</f>
        <v>0</v>
      </c>
      <c r="J161" s="211" cm="1">
        <f t="array" aca="1" ref="J161" ca="1">MOD(_xlfn.ANCHORARRAY(I161),24)</f>
        <v>0</v>
      </c>
      <c r="K161" s="211" cm="1">
        <f t="array" aca="1" ref="K161" ca="1">24-_xlfn.ANCHORARRAY(J161)</f>
        <v>24</v>
      </c>
      <c r="L161" s="211" t="e" cm="1" vm="2">
        <f t="array" aca="1" ref="L161" ca="1">_xlfn.BYROW(_xlfn.HSTACK(_xlfn.ANCHORARRAY(H161),_xlfn.ANCHORARRAY(K161)),_xlfn.LAMBDA(_xlpm.r,IF(INDEX(_xlpm.r,1,2)&lt;1,-1,INDEX(_tClimate,INDEX(_xlpm.r,1,2),INDEX(_xlpm.r,1,1)))))</f>
        <v>#VALUE!</v>
      </c>
      <c r="M161" s="211" cm="1">
        <f t="array" aca="1" ref="M161" ca="1">IFERROR(_xlfn.XLOOKUP(_xlfn.ANCHORARRAY(L161),Climatogram!$AM$5:$AM$10,Climatogram!$AL$5:$AL$10),-1)</f>
        <v>-1</v>
      </c>
      <c r="N161" s="211" t="e">
        <f ca="1">AVERAGEIFS(_xlfn.ANCHORARRAY(M161),_xlfn.ANCHORARRAY(M161),"&gt;0")</f>
        <v>#DIV/0!</v>
      </c>
      <c r="O161" s="212" t="e">
        <f ca="1">_xlfn.XLOOKUP(N161,Climatogram!AJ5:AJ10,Climatogram!AI5:AI10,,-1)</f>
        <v>#DIV/0!</v>
      </c>
      <c r="Q161" t="s">
        <v>179</v>
      </c>
      <c r="R161" t="e">
        <f t="dataTable" ref="R161:R180" dt2D="0" dtr="0" r1="H157" ca="1"/>
        <v>#DIV/0!</v>
      </c>
      <c r="W161" t="str">
        <v>3-4-2025</v>
      </c>
    </row>
    <row r="162" spans="2:23" x14ac:dyDescent="0.3">
      <c r="B162" s="3">
        <v>62</v>
      </c>
      <c r="C162" s="2">
        <v>4</v>
      </c>
      <c r="D162" s="6" t="s">
        <v>97</v>
      </c>
      <c r="E162" s="5">
        <f>IF(D162&lt;&gt;"",IF(D162=Answers!D147,1,-1),0)</f>
        <v>1</v>
      </c>
      <c r="F162" s="27">
        <v>45773.333333333336</v>
      </c>
      <c r="G162" s="13">
        <v>5</v>
      </c>
      <c r="H162" s="210"/>
      <c r="I162" s="211"/>
      <c r="J162" s="211"/>
      <c r="K162" s="211"/>
      <c r="L162" s="211"/>
      <c r="M162" s="211"/>
      <c r="N162" s="211"/>
      <c r="O162" s="212"/>
      <c r="Q162" t="s">
        <v>180</v>
      </c>
      <c r="R162" t="e">
        <v>#DIV/0!</v>
      </c>
      <c r="W162" t="str">
        <v>24-4-2025</v>
      </c>
    </row>
    <row r="163" spans="2:23" x14ac:dyDescent="0.3">
      <c r="B163" s="3">
        <v>63</v>
      </c>
      <c r="C163" s="2">
        <v>4</v>
      </c>
      <c r="D163" s="6" t="s">
        <v>107</v>
      </c>
      <c r="E163" s="5">
        <f>IF(D163&lt;&gt;"",IF(D163=Answers!D148,1,-1),0)</f>
        <v>1</v>
      </c>
      <c r="F163" s="27">
        <v>45761.125</v>
      </c>
      <c r="G163" s="13">
        <v>8</v>
      </c>
      <c r="H163" s="210"/>
      <c r="I163" s="211"/>
      <c r="J163" s="211"/>
      <c r="K163" s="211"/>
      <c r="L163" s="211"/>
      <c r="M163" s="211"/>
      <c r="N163" s="211"/>
      <c r="O163" s="212"/>
      <c r="Q163" t="s">
        <v>181</v>
      </c>
      <c r="R163" t="e">
        <v>#DIV/0!</v>
      </c>
      <c r="W163" t="str">
        <v>28-4-2025</v>
      </c>
    </row>
    <row r="164" spans="2:23" x14ac:dyDescent="0.3">
      <c r="B164" s="3">
        <v>64</v>
      </c>
      <c r="C164" s="2">
        <v>4</v>
      </c>
      <c r="D164" s="6" t="s">
        <v>97</v>
      </c>
      <c r="E164" s="5">
        <f>IF(D164&lt;&gt;"",IF(D164=Answers!D149,1,-1),0)</f>
        <v>1</v>
      </c>
      <c r="F164" s="27">
        <v>45765.791666666664</v>
      </c>
      <c r="G164" s="13">
        <v>10</v>
      </c>
      <c r="H164" s="210"/>
      <c r="I164" s="211"/>
      <c r="J164" s="211"/>
      <c r="K164" s="211"/>
      <c r="L164" s="211"/>
      <c r="M164" s="211"/>
      <c r="N164" s="211"/>
      <c r="O164" s="212"/>
      <c r="Q164" t="s">
        <v>182</v>
      </c>
      <c r="R164" t="e">
        <v>#DIV/0!</v>
      </c>
      <c r="W164" t="str">
        <v>23-4-2025</v>
      </c>
    </row>
    <row r="165" spans="2:23" x14ac:dyDescent="0.3">
      <c r="B165" s="3">
        <v>65</v>
      </c>
      <c r="C165" s="2">
        <v>4</v>
      </c>
      <c r="D165" s="6" t="s">
        <v>97</v>
      </c>
      <c r="E165" s="5">
        <f>IF(D165&lt;&gt;"",IF(D165=Answers!D150,1,-1),0)</f>
        <v>1</v>
      </c>
      <c r="F165" s="27">
        <v>45769.166666666664</v>
      </c>
      <c r="G165" s="13">
        <v>10</v>
      </c>
      <c r="H165" s="210"/>
      <c r="I165" s="211"/>
      <c r="J165" s="211"/>
      <c r="K165" s="211"/>
      <c r="L165" s="211"/>
      <c r="M165" s="211"/>
      <c r="N165" s="211"/>
      <c r="O165" s="212"/>
      <c r="Q165" t="s">
        <v>183</v>
      </c>
      <c r="R165" t="e">
        <v>#DIV/0!</v>
      </c>
      <c r="W165" t="str">
        <v>11-4-2025</v>
      </c>
    </row>
    <row r="166" spans="2:23" x14ac:dyDescent="0.3">
      <c r="B166" s="3">
        <v>66</v>
      </c>
      <c r="C166" s="2">
        <v>4</v>
      </c>
      <c r="D166" s="6" t="s">
        <v>65</v>
      </c>
      <c r="E166" s="5">
        <f>IF(D166&lt;&gt;"",IF(D166=Answers!D151,1,-1),0)</f>
        <v>1</v>
      </c>
      <c r="F166" s="27">
        <v>45749.5</v>
      </c>
      <c r="G166" s="13">
        <v>8</v>
      </c>
      <c r="H166" s="210"/>
      <c r="I166" s="211"/>
      <c r="J166" s="211"/>
      <c r="K166" s="211"/>
      <c r="L166" s="211"/>
      <c r="M166" s="211"/>
      <c r="N166" s="211"/>
      <c r="O166" s="212"/>
      <c r="Q166" t="s">
        <v>184</v>
      </c>
      <c r="R166" t="e">
        <v>#DIV/0!</v>
      </c>
      <c r="W166" t="str">
        <v>17-4-2025</v>
      </c>
    </row>
    <row r="167" spans="2:23" x14ac:dyDescent="0.3">
      <c r="B167" s="3">
        <v>67</v>
      </c>
      <c r="C167" s="2">
        <v>4</v>
      </c>
      <c r="D167" s="6" t="s">
        <v>97</v>
      </c>
      <c r="E167" s="5">
        <f>IF(D167&lt;&gt;"",IF(D167=Answers!D152,1,-1),0)</f>
        <v>1</v>
      </c>
      <c r="F167" s="27">
        <v>45772.875</v>
      </c>
      <c r="G167" s="13">
        <v>11</v>
      </c>
      <c r="H167" s="210"/>
      <c r="I167" s="211"/>
      <c r="J167" s="211"/>
      <c r="K167" s="211"/>
      <c r="L167" s="211"/>
      <c r="M167" s="211"/>
      <c r="N167" s="211"/>
      <c r="O167" s="212"/>
      <c r="Q167" t="s">
        <v>185</v>
      </c>
      <c r="R167" t="e">
        <v>#DIV/0!</v>
      </c>
      <c r="W167" t="str">
        <v>11-4-2025</v>
      </c>
    </row>
    <row r="168" spans="2:23" x14ac:dyDescent="0.3">
      <c r="B168" s="3">
        <v>68</v>
      </c>
      <c r="C168" s="2">
        <v>4</v>
      </c>
      <c r="D168" s="6" t="s">
        <v>97</v>
      </c>
      <c r="E168" s="5">
        <f>IF(D168&lt;&gt;"",IF(D168=Answers!D153,1,-1),0)</f>
        <v>1</v>
      </c>
      <c r="F168" s="27">
        <v>45761.333333333336</v>
      </c>
      <c r="G168" s="13">
        <v>9</v>
      </c>
      <c r="H168" s="210"/>
      <c r="I168" s="211"/>
      <c r="J168" s="211"/>
      <c r="K168" s="211"/>
      <c r="L168" s="211"/>
      <c r="M168" s="211"/>
      <c r="N168" s="211"/>
      <c r="O168" s="212"/>
      <c r="Q168" t="s">
        <v>186</v>
      </c>
      <c r="R168" t="e">
        <v>#DIV/0!</v>
      </c>
      <c r="W168" t="str">
        <v>19-4-2025</v>
      </c>
    </row>
    <row r="169" spans="2:23" x14ac:dyDescent="0.3">
      <c r="B169" s="3">
        <v>69</v>
      </c>
      <c r="C169" s="2">
        <v>4</v>
      </c>
      <c r="D169" s="6" t="s">
        <v>97</v>
      </c>
      <c r="E169" s="5">
        <f>IF(D169&lt;&gt;"",IF(D169=Answers!D154,1,-1),0)</f>
        <v>1</v>
      </c>
      <c r="F169" s="27">
        <v>45749.25</v>
      </c>
      <c r="G169" s="13">
        <v>5</v>
      </c>
      <c r="H169" s="210"/>
      <c r="I169" s="211"/>
      <c r="J169" s="211"/>
      <c r="K169" s="211"/>
      <c r="L169" s="211"/>
      <c r="M169" s="211"/>
      <c r="N169" s="211"/>
      <c r="O169" s="212"/>
      <c r="Q169" t="s">
        <v>187</v>
      </c>
      <c r="R169" t="e">
        <v>#DIV/0!</v>
      </c>
      <c r="W169" t="str">
        <v>16-4-2025</v>
      </c>
    </row>
    <row r="170" spans="2:23" x14ac:dyDescent="0.3">
      <c r="B170" s="3">
        <v>70</v>
      </c>
      <c r="C170" s="2">
        <v>4</v>
      </c>
      <c r="D170" s="6" t="s">
        <v>65</v>
      </c>
      <c r="E170" s="5">
        <f>IF(D170&lt;&gt;"",IF(D170=Answers!D155,1,-1),0)</f>
        <v>1</v>
      </c>
      <c r="F170" s="27">
        <v>45767.625</v>
      </c>
      <c r="G170" s="13">
        <v>3</v>
      </c>
      <c r="H170" s="210"/>
      <c r="I170" s="211"/>
      <c r="J170" s="211"/>
      <c r="K170" s="211"/>
      <c r="L170" s="211"/>
      <c r="M170" s="211"/>
      <c r="N170" s="211"/>
      <c r="O170" s="212"/>
      <c r="Q170" t="s">
        <v>188</v>
      </c>
      <c r="R170" t="e">
        <v>#DIV/0!</v>
      </c>
      <c r="W170" t="str">
        <v>23-4-2025</v>
      </c>
    </row>
    <row r="171" spans="2:23" x14ac:dyDescent="0.3">
      <c r="B171" s="3">
        <v>71</v>
      </c>
      <c r="C171" s="2">
        <v>4</v>
      </c>
      <c r="D171" s="6" t="s">
        <v>109</v>
      </c>
      <c r="E171" s="5">
        <f>IF(D171&lt;&gt;"",IF(D171=Answers!D156,1,-1),0)</f>
        <v>1</v>
      </c>
      <c r="F171" s="27">
        <v>45777.875</v>
      </c>
      <c r="G171" s="13">
        <v>11</v>
      </c>
      <c r="H171" s="210"/>
      <c r="I171" s="211"/>
      <c r="J171" s="211"/>
      <c r="K171" s="211"/>
      <c r="L171" s="211"/>
      <c r="M171" s="211"/>
      <c r="N171" s="211"/>
      <c r="O171" s="212"/>
      <c r="Q171" t="s">
        <v>189</v>
      </c>
      <c r="R171" t="e">
        <v>#DIV/0!</v>
      </c>
      <c r="W171" t="str">
        <v>19-4-2025</v>
      </c>
    </row>
    <row r="172" spans="2:23" x14ac:dyDescent="0.3">
      <c r="B172" s="3">
        <v>72</v>
      </c>
      <c r="C172" s="2">
        <v>4</v>
      </c>
      <c r="D172" s="6" t="s">
        <v>107</v>
      </c>
      <c r="E172" s="5">
        <f>IF(D172&lt;&gt;"",IF(D172=Answers!D157,1,-1),0)</f>
        <v>1</v>
      </c>
      <c r="F172" s="27">
        <v>45758.208333333336</v>
      </c>
      <c r="G172" s="13">
        <v>1</v>
      </c>
      <c r="H172" s="210"/>
      <c r="I172" s="211"/>
      <c r="J172" s="211"/>
      <c r="K172" s="211"/>
      <c r="L172" s="211"/>
      <c r="M172" s="211"/>
      <c r="N172" s="211"/>
      <c r="O172" s="212"/>
      <c r="Q172" t="s">
        <v>190</v>
      </c>
      <c r="R172" t="e">
        <v>#DIV/0!</v>
      </c>
      <c r="W172" t="str">
        <v>26-4-2025</v>
      </c>
    </row>
    <row r="173" spans="2:23" x14ac:dyDescent="0.3">
      <c r="B173" s="3">
        <v>73</v>
      </c>
      <c r="C173" s="2">
        <v>4</v>
      </c>
      <c r="D173" s="6" t="s">
        <v>109</v>
      </c>
      <c r="E173" s="5">
        <f>IF(D173&lt;&gt;"",IF(D173=Answers!D158,1,-1),0)</f>
        <v>1</v>
      </c>
      <c r="F173" s="27">
        <v>45777.708333333336</v>
      </c>
      <c r="G173" s="13">
        <v>8</v>
      </c>
      <c r="H173" s="210"/>
      <c r="I173" s="211"/>
      <c r="J173" s="211"/>
      <c r="K173" s="211"/>
      <c r="L173" s="211"/>
      <c r="M173" s="211"/>
      <c r="N173" s="211" t="s">
        <v>178</v>
      </c>
      <c r="O173" s="212"/>
      <c r="Q173" t="s">
        <v>191</v>
      </c>
      <c r="R173" t="e">
        <v>#DIV/0!</v>
      </c>
      <c r="W173" t="str">
        <v>11-4-2025</v>
      </c>
    </row>
    <row r="174" spans="2:23" x14ac:dyDescent="0.3">
      <c r="B174" s="3">
        <v>74</v>
      </c>
      <c r="C174" s="2">
        <v>4</v>
      </c>
      <c r="D174" s="6" t="s">
        <v>97</v>
      </c>
      <c r="E174" s="5">
        <f>IF(D174&lt;&gt;"",IF(D174=Answers!D159,1,-1),0)</f>
        <v>1</v>
      </c>
      <c r="F174" s="27">
        <v>45751.333333333336</v>
      </c>
      <c r="G174" s="13">
        <v>10</v>
      </c>
      <c r="H174" s="210"/>
      <c r="I174" s="211"/>
      <c r="J174" s="211"/>
      <c r="K174" s="211"/>
      <c r="L174" s="211"/>
      <c r="M174" s="211"/>
      <c r="N174" s="211"/>
      <c r="O174" s="212"/>
      <c r="Q174" t="s">
        <v>192</v>
      </c>
      <c r="R174" t="str">
        <v>Warm</v>
      </c>
      <c r="W174" t="str">
        <v>21-4-2025</v>
      </c>
    </row>
    <row r="175" spans="2:23" x14ac:dyDescent="0.3">
      <c r="B175" s="3">
        <v>75</v>
      </c>
      <c r="C175" s="2">
        <v>4</v>
      </c>
      <c r="D175" s="6" t="s">
        <v>97</v>
      </c>
      <c r="E175" s="5">
        <f>IF(D175&lt;&gt;"",IF(D175=Answers!D160,1,-1),0)</f>
        <v>1</v>
      </c>
      <c r="F175" s="27">
        <v>45764.083333333336</v>
      </c>
      <c r="G175" s="13">
        <v>8</v>
      </c>
      <c r="H175" s="210"/>
      <c r="I175" s="211"/>
      <c r="J175" s="211"/>
      <c r="K175" s="211"/>
      <c r="L175" s="211"/>
      <c r="M175" s="211"/>
      <c r="N175" s="211"/>
      <c r="O175" s="212"/>
      <c r="Q175" t="s">
        <v>193</v>
      </c>
      <c r="R175" t="e">
        <v>#DIV/0!</v>
      </c>
      <c r="W175" t="str">
        <v>12-4-2025</v>
      </c>
    </row>
    <row r="176" spans="2:23" x14ac:dyDescent="0.3">
      <c r="B176" s="3">
        <v>76</v>
      </c>
      <c r="C176" s="2">
        <v>4</v>
      </c>
      <c r="D176" s="6" t="s">
        <v>107</v>
      </c>
      <c r="E176" s="5">
        <f>IF(D176&lt;&gt;"",IF(D176=Answers!D161,1,-1),0)</f>
        <v>1</v>
      </c>
      <c r="F176" s="27">
        <v>45761.125</v>
      </c>
      <c r="G176" s="13">
        <v>7</v>
      </c>
      <c r="H176" s="210"/>
      <c r="I176" s="211"/>
      <c r="J176" s="211"/>
      <c r="K176" s="211"/>
      <c r="L176" s="211"/>
      <c r="M176" s="211"/>
      <c r="N176" s="211"/>
      <c r="O176" s="212"/>
      <c r="Q176" t="s">
        <v>194</v>
      </c>
      <c r="R176" t="str">
        <v>Warm</v>
      </c>
      <c r="W176" t="str">
        <v>15-4-2025</v>
      </c>
    </row>
    <row r="177" spans="2:23" x14ac:dyDescent="0.3">
      <c r="B177" s="3">
        <v>77</v>
      </c>
      <c r="C177" s="2">
        <v>4</v>
      </c>
      <c r="D177" s="6" t="s">
        <v>65</v>
      </c>
      <c r="E177" s="5">
        <f>IF(D177&lt;&gt;"",IF(D177=Answers!D162,1,-1),0)</f>
        <v>1</v>
      </c>
      <c r="F177" s="27">
        <v>45751.583333333336</v>
      </c>
      <c r="G177" s="13">
        <v>2</v>
      </c>
      <c r="H177" s="210"/>
      <c r="I177" s="211"/>
      <c r="J177" s="211"/>
      <c r="K177" s="211"/>
      <c r="L177" s="211"/>
      <c r="M177" s="211"/>
      <c r="N177" s="211"/>
      <c r="O177" s="212"/>
      <c r="Q177" t="s">
        <v>195</v>
      </c>
      <c r="R177" t="str">
        <v>Pleasant</v>
      </c>
      <c r="W177" t="str">
        <v>16-4-2025</v>
      </c>
    </row>
    <row r="178" spans="2:23" x14ac:dyDescent="0.3">
      <c r="B178" s="3">
        <v>78</v>
      </c>
      <c r="C178" s="2">
        <v>4</v>
      </c>
      <c r="D178" s="6" t="s">
        <v>97</v>
      </c>
      <c r="E178" s="5">
        <f>IF(D178&lt;&gt;"",IF(D178=Answers!D163,1,-1),0)</f>
        <v>1</v>
      </c>
      <c r="F178" s="27">
        <v>45755.583333333336</v>
      </c>
      <c r="G178" s="13">
        <v>12</v>
      </c>
      <c r="H178" s="210"/>
      <c r="I178" s="211"/>
      <c r="J178" s="211"/>
      <c r="K178" s="211"/>
      <c r="L178" s="211"/>
      <c r="M178" s="211"/>
      <c r="N178" s="211"/>
      <c r="O178" s="212"/>
      <c r="Q178" t="s">
        <v>196</v>
      </c>
      <c r="R178" t="str">
        <v>Mild</v>
      </c>
      <c r="W178" t="str">
        <v>7-4-2025</v>
      </c>
    </row>
    <row r="179" spans="2:23" x14ac:dyDescent="0.3">
      <c r="B179" s="3">
        <v>79</v>
      </c>
      <c r="C179" s="2">
        <v>4</v>
      </c>
      <c r="D179" s="6" t="s">
        <v>97</v>
      </c>
      <c r="E179" s="5">
        <f>IF(D179&lt;&gt;"",IF(D179=Answers!D164,1,-1),0)</f>
        <v>1</v>
      </c>
      <c r="F179" s="27">
        <v>45766.041666666664</v>
      </c>
      <c r="G179" s="13">
        <v>11</v>
      </c>
      <c r="H179" s="210"/>
      <c r="I179" s="211"/>
      <c r="J179" s="211"/>
      <c r="K179" s="211"/>
      <c r="L179" s="211"/>
      <c r="M179" s="211"/>
      <c r="N179" s="211"/>
      <c r="O179" s="212"/>
      <c r="Q179" t="s">
        <v>197</v>
      </c>
      <c r="R179" t="str">
        <v>Pleasant</v>
      </c>
      <c r="W179" t="str">
        <v>20-4-2025</v>
      </c>
    </row>
    <row r="180" spans="2:23" x14ac:dyDescent="0.3">
      <c r="B180" s="3">
        <v>80</v>
      </c>
      <c r="C180" s="2">
        <v>4</v>
      </c>
      <c r="D180" s="6" t="s">
        <v>97</v>
      </c>
      <c r="E180" s="5">
        <f>IF(D180&lt;&gt;"",IF(D180=Answers!D165,1,-1),0)</f>
        <v>1</v>
      </c>
      <c r="F180" s="27">
        <v>45777.125</v>
      </c>
      <c r="G180" s="13">
        <v>6</v>
      </c>
      <c r="H180" s="210"/>
      <c r="I180" s="211"/>
      <c r="J180" s="211"/>
      <c r="K180" s="211"/>
      <c r="L180" s="211"/>
      <c r="M180" s="211"/>
      <c r="N180" s="211"/>
      <c r="O180" s="212"/>
      <c r="Q180" t="s">
        <v>198</v>
      </c>
      <c r="R180" t="str">
        <v>Pleasant</v>
      </c>
    </row>
    <row r="181" spans="2:23" x14ac:dyDescent="0.3">
      <c r="H181" s="210"/>
      <c r="I181" s="211"/>
      <c r="J181" s="211"/>
      <c r="K181" s="211"/>
      <c r="L181" s="211"/>
      <c r="M181" s="211"/>
      <c r="N181" s="211"/>
      <c r="O181" s="212"/>
    </row>
    <row r="183" spans="2:23" ht="15" thickBot="1" x14ac:dyDescent="0.35">
      <c r="B183" s="4" t="s">
        <v>66</v>
      </c>
      <c r="C183" s="14" t="s">
        <v>55</v>
      </c>
    </row>
    <row r="184" spans="2:23" ht="15" thickTop="1" x14ac:dyDescent="0.3"/>
    <row r="185" spans="2:23" x14ac:dyDescent="0.3">
      <c r="B185" s="10" t="s">
        <v>67</v>
      </c>
    </row>
    <row r="186" spans="2:23" x14ac:dyDescent="0.3">
      <c r="B186" s="10" t="s">
        <v>68</v>
      </c>
    </row>
    <row r="187" spans="2:23" x14ac:dyDescent="0.3">
      <c r="B187" s="10" t="s">
        <v>69</v>
      </c>
    </row>
    <row r="188" spans="2:23" x14ac:dyDescent="0.3">
      <c r="B188" s="23" t="s">
        <v>70</v>
      </c>
    </row>
    <row r="189" spans="2:23" x14ac:dyDescent="0.3">
      <c r="B189" s="12" t="s">
        <v>71</v>
      </c>
    </row>
    <row r="190" spans="2:23" x14ac:dyDescent="0.3">
      <c r="B190" s="12" t="s">
        <v>72</v>
      </c>
    </row>
    <row r="192" spans="2:23" ht="15" thickBot="1" x14ac:dyDescent="0.35">
      <c r="B192" s="1" t="s">
        <v>9</v>
      </c>
      <c r="C192" s="1" t="s">
        <v>35</v>
      </c>
      <c r="D192" s="1" t="s">
        <v>11</v>
      </c>
      <c r="F192" s="1" t="s">
        <v>36</v>
      </c>
      <c r="G192" s="1" t="s">
        <v>73</v>
      </c>
      <c r="H192" s="216" t="s">
        <v>210</v>
      </c>
    </row>
    <row r="193" spans="2:18" ht="15" thickTop="1" x14ac:dyDescent="0.3">
      <c r="G193" s="16"/>
    </row>
    <row r="194" spans="2:18" x14ac:dyDescent="0.3">
      <c r="B194" s="3" t="s">
        <v>74</v>
      </c>
      <c r="C194" s="2">
        <v>5</v>
      </c>
      <c r="D194" s="9" t="s">
        <v>75</v>
      </c>
      <c r="F194" s="27">
        <v>45770.791666666664</v>
      </c>
      <c r="G194" s="13">
        <v>2</v>
      </c>
      <c r="H194" cm="1">
        <f t="array" aca="1" ref="H194" ca="1">DAY(INDIRECT(H192))</f>
        <v>0</v>
      </c>
      <c r="I194" s="186" cm="1">
        <f t="array" aca="1" ref="I194" ca="1">ROUND(HOUR(INDIRECT(H192)),0)</f>
        <v>0</v>
      </c>
      <c r="L194" cm="1">
        <f t="array" aca="1" ref="L194" ca="1">OFFSET(INDIRECT(H192),0,1)</f>
        <v>0</v>
      </c>
      <c r="M194" t="e" cm="1" vm="1">
        <f t="array" aca="1" ref="M194" ca="1">INDEX(_tClimate,I194,H194)</f>
        <v>#VALUE!</v>
      </c>
    </row>
    <row r="195" spans="2:18" ht="15" thickBot="1" x14ac:dyDescent="0.35">
      <c r="F195" s="16"/>
      <c r="H195" s="213" t="s">
        <v>108</v>
      </c>
      <c r="I195" s="214" t="s">
        <v>200</v>
      </c>
      <c r="J195" s="214" t="s">
        <v>201</v>
      </c>
      <c r="K195" s="214" t="s">
        <v>202</v>
      </c>
      <c r="L195" s="214" t="s">
        <v>203</v>
      </c>
      <c r="M195" s="214" t="s">
        <v>207</v>
      </c>
      <c r="N195" s="214" t="s">
        <v>205</v>
      </c>
      <c r="O195" s="215" t="s">
        <v>206</v>
      </c>
      <c r="R195" t="e">
        <f ca="1">O196</f>
        <v>#DIV/0!</v>
      </c>
    </row>
    <row r="196" spans="2:18" ht="15" thickTop="1" x14ac:dyDescent="0.3">
      <c r="B196" s="3">
        <v>81</v>
      </c>
      <c r="C196" s="2">
        <v>5</v>
      </c>
      <c r="D196" s="6" t="s">
        <v>114</v>
      </c>
      <c r="E196" s="5">
        <f>IF(D196&lt;&gt;"",IF(D196=Answers!D181,1,-1),0)</f>
        <v>1</v>
      </c>
      <c r="F196" s="27">
        <v>45769.208333333336</v>
      </c>
      <c r="G196" s="13">
        <v>1</v>
      </c>
      <c r="H196" s="210" cm="1">
        <f t="array" aca="1" ref="H196" ca="1">_xlfn.SEQUENCE(2*L194+1,1,H194-L194)</f>
        <v>0</v>
      </c>
      <c r="I196" s="211" cm="1">
        <f t="array" aca="1" ref="I196" ca="1">INT(_xlfn.SEQUENCE(ROWS(_xlfn.ANCHORARRAY(H196)),1,I194,0))</f>
        <v>0</v>
      </c>
      <c r="J196" s="211" cm="1">
        <f t="array" aca="1" ref="J196" ca="1">MOD(_xlfn.ANCHORARRAY(I196),24)</f>
        <v>0</v>
      </c>
      <c r="K196" s="211" cm="1">
        <f t="array" aca="1" ref="K196" ca="1">24-_xlfn.ANCHORARRAY(J196)</f>
        <v>24</v>
      </c>
      <c r="L196" s="211" cm="1">
        <f t="array" aca="1" ref="L196" ca="1">_xlfn.BYROW(_xlfn.HSTACK(_xlfn.ANCHORARRAY(H196),_xlfn.ANCHORARRAY(K196)),_xlfn.LAMBDA(_xlpm.r,IF(INDEX(_xlpm.r,1,1)&lt;1,-1,INDEX(_tWind,INDEX(_xlpm.r,1,2),INDEX(_xlpm.r,1,1)))))</f>
        <v>-1</v>
      </c>
      <c r="M196" s="211" cm="1">
        <f t="array" aca="1" ref="M196" ca="1">IFERROR(_xlfn.XLOOKUP(_xlfn.ANCHORARRAY(L196),Climatogram!AN35:AN41,Climatogram!AL35:AL41),-1)</f>
        <v>-1</v>
      </c>
      <c r="N196" s="211" t="e">
        <f ca="1">AVERAGEIFS(_xlfn.ANCHORARRAY(M196),_xlfn.ANCHORARRAY(M196),"&gt;0")</f>
        <v>#DIV/0!</v>
      </c>
      <c r="O196" s="212" t="e">
        <f ca="1">_xlfn.XLOOKUP(N196,Climatogram!AJ35:AJ41,Climatogram!AI35:AI41,,-1)</f>
        <v>#DIV/0!</v>
      </c>
      <c r="Q196" t="s">
        <v>208</v>
      </c>
      <c r="R196" t="e">
        <f t="dataTable" ref="R196:R215" dt2D="0" dtr="0" r1="H192" ca="1"/>
        <v>#DIV/0!</v>
      </c>
    </row>
    <row r="197" spans="2:18" x14ac:dyDescent="0.3">
      <c r="B197" s="3">
        <v>82</v>
      </c>
      <c r="C197" s="2">
        <v>5</v>
      </c>
      <c r="D197" s="7" t="s">
        <v>115</v>
      </c>
      <c r="E197" s="5">
        <f>IF(D197&lt;&gt;"",IF(D197=Answers!D182,1,-1),0)</f>
        <v>1</v>
      </c>
      <c r="F197" s="27">
        <v>45757.125</v>
      </c>
      <c r="G197" s="13">
        <v>7</v>
      </c>
      <c r="Q197" t="s">
        <v>209</v>
      </c>
      <c r="R197" t="e">
        <v>#DIV/0!</v>
      </c>
    </row>
    <row r="198" spans="2:18" x14ac:dyDescent="0.3">
      <c r="B198" s="3">
        <v>83</v>
      </c>
      <c r="C198" s="2">
        <v>5</v>
      </c>
      <c r="D198" s="7" t="s">
        <v>75</v>
      </c>
      <c r="E198" s="5">
        <f>IF(D198&lt;&gt;"",IF(D198=Answers!D183,1,-1),0)</f>
        <v>1</v>
      </c>
      <c r="F198" s="27">
        <v>45753.666666666664</v>
      </c>
      <c r="G198" s="13">
        <v>10</v>
      </c>
      <c r="Q198" t="s">
        <v>210</v>
      </c>
      <c r="R198" t="e">
        <v>#DIV/0!</v>
      </c>
    </row>
    <row r="199" spans="2:18" x14ac:dyDescent="0.3">
      <c r="B199" s="3">
        <v>84</v>
      </c>
      <c r="C199" s="2">
        <v>5</v>
      </c>
      <c r="D199" s="7" t="s">
        <v>115</v>
      </c>
      <c r="E199" s="5">
        <f>IF(D199&lt;&gt;"",IF(D199=Answers!D184,1,-1),0)</f>
        <v>1</v>
      </c>
      <c r="F199" s="27">
        <v>45773.166666666664</v>
      </c>
      <c r="G199" s="13">
        <v>10</v>
      </c>
      <c r="Q199" t="s">
        <v>211</v>
      </c>
      <c r="R199" t="e">
        <v>#DIV/0!</v>
      </c>
    </row>
    <row r="200" spans="2:18" x14ac:dyDescent="0.3">
      <c r="B200" s="3">
        <v>85</v>
      </c>
      <c r="C200" s="2">
        <v>5</v>
      </c>
      <c r="D200" s="7" t="s">
        <v>75</v>
      </c>
      <c r="E200" s="5">
        <f>IF(D200&lt;&gt;"",IF(D200=Answers!D185,1,-1),0)</f>
        <v>1</v>
      </c>
      <c r="F200" s="27">
        <v>45765.541666666664</v>
      </c>
      <c r="G200" s="13">
        <v>8</v>
      </c>
      <c r="Q200" t="s">
        <v>212</v>
      </c>
      <c r="R200" t="e">
        <v>#DIV/0!</v>
      </c>
    </row>
    <row r="201" spans="2:18" x14ac:dyDescent="0.3">
      <c r="B201" s="3">
        <v>86</v>
      </c>
      <c r="C201" s="2">
        <v>5</v>
      </c>
      <c r="D201" s="7" t="s">
        <v>116</v>
      </c>
      <c r="E201" s="5">
        <f>IF(D201&lt;&gt;"",IF(D201=Answers!D186,1,-1),0)</f>
        <v>1</v>
      </c>
      <c r="F201" s="27">
        <v>45775.833333333336</v>
      </c>
      <c r="G201" s="13">
        <v>10</v>
      </c>
      <c r="Q201" t="s">
        <v>213</v>
      </c>
      <c r="R201" t="e">
        <v>#DIV/0!</v>
      </c>
    </row>
    <row r="202" spans="2:18" x14ac:dyDescent="0.3">
      <c r="B202" s="3">
        <v>87</v>
      </c>
      <c r="C202" s="2">
        <v>5</v>
      </c>
      <c r="D202" s="7" t="s">
        <v>115</v>
      </c>
      <c r="E202" s="5">
        <f>IF(D202&lt;&gt;"",IF(D202=Answers!D187,1,-1),0)</f>
        <v>1</v>
      </c>
      <c r="F202" s="27">
        <v>45767.291666666664</v>
      </c>
      <c r="G202" s="13">
        <v>7</v>
      </c>
      <c r="Q202" t="s">
        <v>214</v>
      </c>
      <c r="R202" t="e">
        <v>#DIV/0!</v>
      </c>
    </row>
    <row r="203" spans="2:18" x14ac:dyDescent="0.3">
      <c r="B203" s="3">
        <v>88</v>
      </c>
      <c r="C203" s="2">
        <v>5</v>
      </c>
      <c r="D203" s="7" t="s">
        <v>75</v>
      </c>
      <c r="E203" s="5">
        <f>IF(D203&lt;&gt;"",IF(D203=Answers!D188,1,-1),0)</f>
        <v>1</v>
      </c>
      <c r="F203" s="27">
        <v>45754.5</v>
      </c>
      <c r="G203" s="13">
        <v>10</v>
      </c>
      <c r="Q203" t="s">
        <v>215</v>
      </c>
      <c r="R203" t="e">
        <v>#DIV/0!</v>
      </c>
    </row>
    <row r="204" spans="2:18" x14ac:dyDescent="0.3">
      <c r="B204" s="3">
        <v>89</v>
      </c>
      <c r="C204" s="2">
        <v>5</v>
      </c>
      <c r="D204" s="7" t="s">
        <v>115</v>
      </c>
      <c r="E204" s="5">
        <f>IF(D204&lt;&gt;"",IF(D204=Answers!D189,1,-1),0)</f>
        <v>1</v>
      </c>
      <c r="F204" s="27">
        <v>45765.125</v>
      </c>
      <c r="G204" s="13">
        <v>3</v>
      </c>
      <c r="Q204" t="s">
        <v>216</v>
      </c>
      <c r="R204" t="e">
        <v>#DIV/0!</v>
      </c>
    </row>
    <row r="205" spans="2:18" x14ac:dyDescent="0.3">
      <c r="B205" s="3">
        <v>90</v>
      </c>
      <c r="C205" s="2">
        <v>5</v>
      </c>
      <c r="D205" s="8" t="s">
        <v>116</v>
      </c>
      <c r="E205" s="5">
        <f>IF(D205&lt;&gt;"",IF(D205=Answers!D190,1,-1),0)</f>
        <v>1</v>
      </c>
      <c r="F205" s="27">
        <v>45761.916666666664</v>
      </c>
      <c r="G205" s="13">
        <v>3</v>
      </c>
      <c r="Q205" t="s">
        <v>217</v>
      </c>
      <c r="R205" t="e">
        <v>#DIV/0!</v>
      </c>
    </row>
    <row r="206" spans="2:18" x14ac:dyDescent="0.3">
      <c r="B206" s="3">
        <v>91</v>
      </c>
      <c r="C206" s="2">
        <v>5</v>
      </c>
      <c r="D206" s="8" t="s">
        <v>115</v>
      </c>
      <c r="E206" s="5">
        <f>IF(D206&lt;&gt;"",IF(D206=Answers!D191,1,-1),0)</f>
        <v>1</v>
      </c>
      <c r="F206" s="27">
        <v>45759.125</v>
      </c>
      <c r="G206" s="13">
        <v>10</v>
      </c>
      <c r="Q206" t="s">
        <v>218</v>
      </c>
      <c r="R206" t="e">
        <v>#DIV/0!</v>
      </c>
    </row>
    <row r="207" spans="2:18" x14ac:dyDescent="0.3">
      <c r="B207" s="3">
        <v>92</v>
      </c>
      <c r="C207" s="2">
        <v>5</v>
      </c>
      <c r="D207" s="8" t="s">
        <v>115</v>
      </c>
      <c r="E207" s="5">
        <f>IF(D207&lt;&gt;"",IF(D207=Answers!D192,1,-1),0)</f>
        <v>1</v>
      </c>
      <c r="F207" s="27">
        <v>45771.208333333336</v>
      </c>
      <c r="G207" s="13">
        <v>4</v>
      </c>
      <c r="Q207" t="s">
        <v>219</v>
      </c>
      <c r="R207" t="e">
        <v>#DIV/0!</v>
      </c>
    </row>
    <row r="208" spans="2:18" x14ac:dyDescent="0.3">
      <c r="B208" s="3">
        <v>93</v>
      </c>
      <c r="C208" s="2">
        <v>5</v>
      </c>
      <c r="D208" s="8" t="s">
        <v>75</v>
      </c>
      <c r="E208" s="5">
        <f>IF(D208&lt;&gt;"",IF(D208=Answers!D193,1,-1),0)</f>
        <v>1</v>
      </c>
      <c r="F208" s="27">
        <v>45768.583333333336</v>
      </c>
      <c r="G208" s="13">
        <v>1</v>
      </c>
      <c r="Q208" t="s">
        <v>220</v>
      </c>
      <c r="R208" t="e">
        <v>#DIV/0!</v>
      </c>
    </row>
    <row r="209" spans="2:18" x14ac:dyDescent="0.3">
      <c r="B209" s="3">
        <v>94</v>
      </c>
      <c r="C209" s="2">
        <v>5</v>
      </c>
      <c r="D209" s="8" t="s">
        <v>115</v>
      </c>
      <c r="E209" s="5">
        <f>IF(D209&lt;&gt;"",IF(D209=Answers!D194,1,-1),0)</f>
        <v>1</v>
      </c>
      <c r="F209" s="27">
        <v>45772.041666666664</v>
      </c>
      <c r="G209" s="13">
        <v>10</v>
      </c>
      <c r="Q209" t="s">
        <v>221</v>
      </c>
      <c r="R209" t="str">
        <v>Gentle Breeze</v>
      </c>
    </row>
    <row r="210" spans="2:18" x14ac:dyDescent="0.3">
      <c r="B210" s="3">
        <v>95</v>
      </c>
      <c r="C210" s="2">
        <v>5</v>
      </c>
      <c r="D210" s="8" t="s">
        <v>116</v>
      </c>
      <c r="E210" s="5">
        <f>IF(D210&lt;&gt;"",IF(D210=Answers!D195,1,-1),0)</f>
        <v>1</v>
      </c>
      <c r="F210" s="27">
        <v>45751.708333333336</v>
      </c>
      <c r="G210" s="13">
        <v>6</v>
      </c>
      <c r="Q210" t="s">
        <v>222</v>
      </c>
      <c r="R210" t="e">
        <v>#DIV/0!</v>
      </c>
    </row>
    <row r="211" spans="2:18" x14ac:dyDescent="0.3">
      <c r="B211" s="3">
        <v>96</v>
      </c>
      <c r="C211" s="2">
        <v>5</v>
      </c>
      <c r="D211" s="8" t="s">
        <v>116</v>
      </c>
      <c r="E211" s="5">
        <f>IF(D211&lt;&gt;"",IF(D211=Answers!D196,1,-1),0)</f>
        <v>1</v>
      </c>
      <c r="F211" s="27">
        <v>45776.666666666664</v>
      </c>
      <c r="G211" s="13">
        <v>7</v>
      </c>
      <c r="Q211" t="s">
        <v>223</v>
      </c>
      <c r="R211" t="str">
        <v>Calm</v>
      </c>
    </row>
    <row r="212" spans="2:18" x14ac:dyDescent="0.3">
      <c r="B212" s="3">
        <v>97</v>
      </c>
      <c r="C212" s="2">
        <v>5</v>
      </c>
      <c r="D212" s="8" t="s">
        <v>115</v>
      </c>
      <c r="E212" s="5">
        <f>IF(D212&lt;&gt;"",IF(D212=Answers!D197,1,-1),0)</f>
        <v>1</v>
      </c>
      <c r="F212" s="27">
        <v>45762.166666666664</v>
      </c>
      <c r="G212" s="13">
        <v>9</v>
      </c>
      <c r="Q212" t="s">
        <v>224</v>
      </c>
      <c r="R212" t="str">
        <v>Light Air</v>
      </c>
    </row>
    <row r="213" spans="2:18" x14ac:dyDescent="0.3">
      <c r="B213" s="3">
        <v>98</v>
      </c>
      <c r="C213" s="2">
        <v>5</v>
      </c>
      <c r="D213" s="8" t="s">
        <v>75</v>
      </c>
      <c r="E213" s="5">
        <f>IF(D213&lt;&gt;"",IF(D213=Answers!D198,1,-1),0)</f>
        <v>1</v>
      </c>
      <c r="F213" s="27">
        <v>45750.666666666664</v>
      </c>
      <c r="G213" s="13">
        <v>12</v>
      </c>
      <c r="Q213" t="s">
        <v>225</v>
      </c>
      <c r="R213" t="str">
        <v>Gentle Breeze</v>
      </c>
    </row>
    <row r="214" spans="2:18" x14ac:dyDescent="0.3">
      <c r="B214" s="3">
        <v>99</v>
      </c>
      <c r="C214" s="2">
        <v>5</v>
      </c>
      <c r="D214" s="8" t="s">
        <v>116</v>
      </c>
      <c r="E214" s="5">
        <f>IF(D214&lt;&gt;"",IF(D214=Answers!D199,1,-1),0)</f>
        <v>1</v>
      </c>
      <c r="F214" s="27">
        <v>45750.916666666664</v>
      </c>
      <c r="G214" s="13">
        <v>12</v>
      </c>
      <c r="Q214" t="s">
        <v>226</v>
      </c>
      <c r="R214" t="str">
        <v>Light Air</v>
      </c>
    </row>
    <row r="215" spans="2:18" x14ac:dyDescent="0.3">
      <c r="B215" s="3">
        <v>100</v>
      </c>
      <c r="C215" s="2">
        <v>5</v>
      </c>
      <c r="D215" s="8" t="s">
        <v>115</v>
      </c>
      <c r="E215" s="5">
        <f>IF(D215&lt;&gt;"",IF(D215=Answers!D200,1,-1),0)</f>
        <v>1</v>
      </c>
      <c r="F215" s="27">
        <v>45753.916666666664</v>
      </c>
      <c r="G215" s="13">
        <v>3</v>
      </c>
      <c r="Q215" t="s">
        <v>227</v>
      </c>
      <c r="R215" t="str">
        <v>Gentle Breeze</v>
      </c>
    </row>
    <row r="218" spans="2:18" ht="15" thickBot="1" x14ac:dyDescent="0.35">
      <c r="B218" s="4" t="s">
        <v>26</v>
      </c>
      <c r="C218" s="14" t="s">
        <v>45</v>
      </c>
    </row>
    <row r="219" spans="2:18" ht="15" thickTop="1" x14ac:dyDescent="0.3"/>
    <row r="220" spans="2:18" x14ac:dyDescent="0.3">
      <c r="B220" s="10" t="s">
        <v>76</v>
      </c>
    </row>
    <row r="221" spans="2:18" x14ac:dyDescent="0.3">
      <c r="B221" s="19" t="s">
        <v>77</v>
      </c>
    </row>
    <row r="222" spans="2:18" x14ac:dyDescent="0.3">
      <c r="B222" s="10" t="s">
        <v>78</v>
      </c>
    </row>
    <row r="223" spans="2:18" x14ac:dyDescent="0.3">
      <c r="B223" s="11" t="s">
        <v>79</v>
      </c>
    </row>
    <row r="224" spans="2:18" x14ac:dyDescent="0.3">
      <c r="B224" s="12" t="s">
        <v>80</v>
      </c>
    </row>
    <row r="225" spans="2:31" x14ac:dyDescent="0.3">
      <c r="B225" s="12" t="s">
        <v>81</v>
      </c>
    </row>
    <row r="227" spans="2:31" ht="15" thickBot="1" x14ac:dyDescent="0.35">
      <c r="B227" s="1" t="s">
        <v>9</v>
      </c>
      <c r="C227" s="1" t="s">
        <v>35</v>
      </c>
      <c r="D227" s="1" t="s">
        <v>11</v>
      </c>
      <c r="F227" s="1" t="s">
        <v>36</v>
      </c>
      <c r="G227" s="190" t="s">
        <v>148</v>
      </c>
    </row>
    <row r="228" spans="2:31" ht="15" thickTop="1" x14ac:dyDescent="0.3">
      <c r="G228" s="189" cm="1">
        <f t="array" aca="1" ref="G228" ca="1">INDIRECT(G227)</f>
        <v>45753.791666666664</v>
      </c>
      <c r="I228" t="s">
        <v>145</v>
      </c>
      <c r="M228" t="s">
        <v>146</v>
      </c>
    </row>
    <row r="229" spans="2:31" x14ac:dyDescent="0.3">
      <c r="B229" s="3" t="s">
        <v>82</v>
      </c>
      <c r="C229" s="2">
        <v>6</v>
      </c>
      <c r="D229" s="9" t="s">
        <v>83</v>
      </c>
      <c r="F229" s="25">
        <v>45770.791666666664</v>
      </c>
      <c r="G229">
        <f ca="1">DAY(G228)</f>
        <v>6</v>
      </c>
      <c r="H229" s="186">
        <v>5</v>
      </c>
      <c r="I229" cm="1">
        <f t="array" aca="1" ref="I229" ca="1">INDEX(_tWind,H229,G229)</f>
        <v>16706262</v>
      </c>
      <c r="K229">
        <f ca="1">_xlfn.XLOOKUP(I229,Climatogram!$AN$35:$AN$41,Climatogram!$AM$35:$AM$41)</f>
        <v>2</v>
      </c>
      <c r="L229" t="str" cm="1">
        <f t="array" aca="1" ref="L229" ca="1">IF(_fnDay(INDIRECT("Climatogram!"&amp;ADDRESS(-H229+28,G229+2))),"D","N")</f>
        <v>N</v>
      </c>
      <c r="M229" cm="1">
        <f t="array" aca="1" ref="M229" ca="1">INDEX(_tClimate,H229,G229)</f>
        <v>7851241</v>
      </c>
      <c r="N229">
        <f ca="1">_xlfn.XLOOKUP(M229,Climatogram!$AM$5:$AM$10,Climatogram!$AL$5:$AL$10)</f>
        <v>22</v>
      </c>
      <c r="O229">
        <f ca="1">N229+IF(L229="N",1.5*K229,K229)</f>
        <v>25</v>
      </c>
      <c r="P229" t="str">
        <f ca="1">_xlfn.XLOOKUP(O229,Climatogram!$AJ$5:$AJ$10,Climatogram!$AI$5:$AI$10,,-1)</f>
        <v>Warm</v>
      </c>
      <c r="Q229" t="str">
        <f ca="1">O229&amp;"-"&amp;P229</f>
        <v>25-Warm</v>
      </c>
    </row>
    <row r="230" spans="2:31" x14ac:dyDescent="0.3">
      <c r="F230" s="16"/>
      <c r="G230">
        <f ca="1">O229</f>
        <v>25</v>
      </c>
      <c r="H230">
        <v>1</v>
      </c>
      <c r="I230">
        <v>2</v>
      </c>
      <c r="J230">
        <v>3</v>
      </c>
      <c r="K230">
        <v>4</v>
      </c>
      <c r="L230">
        <v>5</v>
      </c>
      <c r="M230">
        <v>6</v>
      </c>
      <c r="N230">
        <v>7</v>
      </c>
      <c r="O230">
        <v>8</v>
      </c>
      <c r="P230">
        <v>9</v>
      </c>
      <c r="Q230">
        <v>10</v>
      </c>
      <c r="R230">
        <v>11</v>
      </c>
      <c r="S230">
        <v>12</v>
      </c>
      <c r="T230">
        <v>13</v>
      </c>
      <c r="U230">
        <v>14</v>
      </c>
      <c r="V230">
        <v>15</v>
      </c>
      <c r="W230">
        <v>16</v>
      </c>
      <c r="X230">
        <v>17</v>
      </c>
      <c r="Y230">
        <v>18</v>
      </c>
      <c r="Z230">
        <v>19</v>
      </c>
      <c r="AA230">
        <v>20</v>
      </c>
      <c r="AB230">
        <v>21</v>
      </c>
      <c r="AC230">
        <v>22</v>
      </c>
      <c r="AD230">
        <v>23</v>
      </c>
      <c r="AE230">
        <v>24</v>
      </c>
    </row>
    <row r="231" spans="2:31" x14ac:dyDescent="0.3">
      <c r="B231" s="3">
        <v>101</v>
      </c>
      <c r="C231" s="2">
        <v>6</v>
      </c>
      <c r="D231" s="6" t="s">
        <v>126</v>
      </c>
      <c r="E231" s="5">
        <f>IF(D231&lt;&gt;"",IF(D231=Answers!D216,1,-1),0)</f>
        <v>1</v>
      </c>
      <c r="F231" s="25">
        <v>45753.791666666664</v>
      </c>
      <c r="G231" s="191" t="s">
        <v>148</v>
      </c>
      <c r="H231" s="192">
        <f t="dataTable" ref="H231:AE266" dt2D="1" dtr="1" r1="H229" r2="G227" ca="1"/>
        <v>19</v>
      </c>
      <c r="I231">
        <v>25</v>
      </c>
      <c r="J231">
        <v>28</v>
      </c>
      <c r="K231">
        <v>28</v>
      </c>
      <c r="L231">
        <v>25</v>
      </c>
      <c r="M231">
        <v>27</v>
      </c>
      <c r="N231">
        <v>31</v>
      </c>
      <c r="O231">
        <v>34</v>
      </c>
      <c r="P231">
        <v>32</v>
      </c>
      <c r="Q231">
        <v>32</v>
      </c>
      <c r="R231">
        <v>32</v>
      </c>
      <c r="S231">
        <v>32</v>
      </c>
      <c r="T231">
        <v>27</v>
      </c>
      <c r="U231">
        <v>27</v>
      </c>
      <c r="V231">
        <v>29</v>
      </c>
      <c r="W231">
        <v>26</v>
      </c>
      <c r="X231">
        <v>20</v>
      </c>
      <c r="Y231">
        <v>22</v>
      </c>
      <c r="Z231">
        <v>22</v>
      </c>
      <c r="AA231">
        <v>16</v>
      </c>
      <c r="AB231">
        <v>16</v>
      </c>
      <c r="AC231">
        <v>16</v>
      </c>
      <c r="AD231">
        <v>22</v>
      </c>
      <c r="AE231">
        <v>16</v>
      </c>
    </row>
    <row r="232" spans="2:31" x14ac:dyDescent="0.3">
      <c r="B232" s="3">
        <v>102</v>
      </c>
      <c r="C232" s="2">
        <v>6</v>
      </c>
      <c r="D232" s="7" t="s">
        <v>127</v>
      </c>
      <c r="E232" s="5">
        <f>IF(D232&lt;&gt;"",IF(D232=Answers!D217,1,-1),0)</f>
        <v>1</v>
      </c>
      <c r="F232" s="25">
        <v>45764.416666666664</v>
      </c>
      <c r="G232" s="191" t="s">
        <v>149</v>
      </c>
      <c r="H232" s="192">
        <v>25</v>
      </c>
      <c r="I232">
        <v>22</v>
      </c>
      <c r="J232">
        <v>28</v>
      </c>
      <c r="K232">
        <v>22</v>
      </c>
      <c r="L232">
        <v>22</v>
      </c>
      <c r="M232">
        <v>27</v>
      </c>
      <c r="N232">
        <v>27</v>
      </c>
      <c r="O232">
        <v>27</v>
      </c>
      <c r="P232">
        <v>27</v>
      </c>
      <c r="Q232">
        <v>29</v>
      </c>
      <c r="R232">
        <v>27</v>
      </c>
      <c r="S232">
        <v>27</v>
      </c>
      <c r="T232">
        <v>27</v>
      </c>
      <c r="U232">
        <v>29</v>
      </c>
      <c r="V232">
        <v>24</v>
      </c>
      <c r="W232">
        <v>26</v>
      </c>
      <c r="X232">
        <v>20</v>
      </c>
      <c r="Y232">
        <v>18</v>
      </c>
      <c r="Z232">
        <v>16</v>
      </c>
      <c r="AA232">
        <v>16</v>
      </c>
      <c r="AB232">
        <v>16</v>
      </c>
      <c r="AC232">
        <v>16</v>
      </c>
      <c r="AD232">
        <v>16</v>
      </c>
      <c r="AE232">
        <v>16</v>
      </c>
    </row>
    <row r="233" spans="2:31" x14ac:dyDescent="0.3">
      <c r="B233" s="3">
        <v>103</v>
      </c>
      <c r="C233" s="2">
        <v>6</v>
      </c>
      <c r="D233" s="7" t="s">
        <v>126</v>
      </c>
      <c r="E233" s="5">
        <f>IF(D233&lt;&gt;"",IF(D233=Answers!D218,1,-1),0)</f>
        <v>1</v>
      </c>
      <c r="F233" s="25">
        <v>45768.75</v>
      </c>
      <c r="G233" s="191" t="s">
        <v>150</v>
      </c>
      <c r="H233" s="192">
        <v>25</v>
      </c>
      <c r="I233">
        <v>19</v>
      </c>
      <c r="J233">
        <v>19</v>
      </c>
      <c r="K233">
        <v>19</v>
      </c>
      <c r="L233">
        <v>19</v>
      </c>
      <c r="M233">
        <v>25</v>
      </c>
      <c r="N233">
        <v>25</v>
      </c>
      <c r="O233">
        <v>25</v>
      </c>
      <c r="P233">
        <v>25</v>
      </c>
      <c r="Q233">
        <v>25</v>
      </c>
      <c r="R233">
        <v>25</v>
      </c>
      <c r="S233">
        <v>23</v>
      </c>
      <c r="T233">
        <v>23</v>
      </c>
      <c r="U233">
        <v>25</v>
      </c>
      <c r="V233">
        <v>25</v>
      </c>
      <c r="W233">
        <v>22</v>
      </c>
      <c r="X233">
        <v>20</v>
      </c>
      <c r="Y233">
        <v>20</v>
      </c>
      <c r="Z233">
        <v>22</v>
      </c>
      <c r="AA233">
        <v>22</v>
      </c>
      <c r="AB233">
        <v>22</v>
      </c>
      <c r="AC233">
        <v>19</v>
      </c>
      <c r="AD233">
        <v>19</v>
      </c>
      <c r="AE233">
        <v>19</v>
      </c>
    </row>
    <row r="234" spans="2:31" x14ac:dyDescent="0.3">
      <c r="B234" s="3">
        <v>104</v>
      </c>
      <c r="C234" s="2">
        <v>6</v>
      </c>
      <c r="D234" s="7" t="s">
        <v>128</v>
      </c>
      <c r="E234" s="5">
        <f>IF(D234&lt;&gt;"",IF(D234=Answers!D219,1,-1),0)</f>
        <v>1</v>
      </c>
      <c r="F234" s="25">
        <v>45776.958333333336</v>
      </c>
      <c r="G234" s="191" t="s">
        <v>151</v>
      </c>
      <c r="H234" s="192">
        <v>28</v>
      </c>
      <c r="I234">
        <v>22</v>
      </c>
      <c r="J234">
        <v>28</v>
      </c>
      <c r="K234">
        <v>30</v>
      </c>
      <c r="L234">
        <v>30</v>
      </c>
      <c r="M234">
        <v>29</v>
      </c>
      <c r="N234">
        <v>32</v>
      </c>
      <c r="O234">
        <v>32</v>
      </c>
      <c r="P234">
        <v>32</v>
      </c>
      <c r="Q234">
        <v>38</v>
      </c>
      <c r="R234">
        <v>32</v>
      </c>
      <c r="S234">
        <v>32</v>
      </c>
      <c r="T234">
        <v>34</v>
      </c>
      <c r="U234">
        <v>29</v>
      </c>
      <c r="V234">
        <v>29</v>
      </c>
      <c r="W234">
        <v>24</v>
      </c>
      <c r="X234">
        <v>18</v>
      </c>
      <c r="Y234">
        <v>20</v>
      </c>
      <c r="Z234">
        <v>22</v>
      </c>
      <c r="AA234">
        <v>19</v>
      </c>
      <c r="AB234">
        <v>19</v>
      </c>
      <c r="AC234">
        <v>19</v>
      </c>
      <c r="AD234">
        <v>22</v>
      </c>
      <c r="AE234">
        <v>22</v>
      </c>
    </row>
    <row r="235" spans="2:31" x14ac:dyDescent="0.3">
      <c r="B235" s="3">
        <v>105</v>
      </c>
      <c r="C235" s="2">
        <v>6</v>
      </c>
      <c r="D235" s="7" t="s">
        <v>126</v>
      </c>
      <c r="E235" s="5">
        <f>IF(D235&lt;&gt;"",IF(D235=Answers!D220,1,-1),0)</f>
        <v>1</v>
      </c>
      <c r="F235" s="25">
        <v>45752.875</v>
      </c>
      <c r="G235" s="191" t="s">
        <v>147</v>
      </c>
      <c r="H235" s="192">
        <v>19</v>
      </c>
      <c r="I235">
        <v>25</v>
      </c>
      <c r="J235">
        <v>25</v>
      </c>
      <c r="K235">
        <v>22</v>
      </c>
      <c r="L235">
        <v>27</v>
      </c>
      <c r="M235">
        <v>27</v>
      </c>
      <c r="N235">
        <v>27</v>
      </c>
      <c r="O235">
        <v>27</v>
      </c>
      <c r="P235">
        <v>27</v>
      </c>
      <c r="Q235">
        <v>27</v>
      </c>
      <c r="R235">
        <v>27</v>
      </c>
      <c r="S235">
        <v>25</v>
      </c>
      <c r="T235">
        <v>25</v>
      </c>
      <c r="U235">
        <v>25</v>
      </c>
      <c r="V235">
        <v>25</v>
      </c>
      <c r="W235">
        <v>24</v>
      </c>
      <c r="X235">
        <v>18</v>
      </c>
      <c r="Y235">
        <v>19</v>
      </c>
      <c r="Z235">
        <v>22</v>
      </c>
      <c r="AA235">
        <v>19</v>
      </c>
      <c r="AB235">
        <v>22</v>
      </c>
      <c r="AC235">
        <v>22</v>
      </c>
      <c r="AD235">
        <v>22</v>
      </c>
      <c r="AE235">
        <v>22</v>
      </c>
    </row>
    <row r="236" spans="2:31" x14ac:dyDescent="0.3">
      <c r="B236" s="3">
        <v>106</v>
      </c>
      <c r="C236" s="2">
        <v>6</v>
      </c>
      <c r="D236" s="7" t="s">
        <v>127</v>
      </c>
      <c r="E236" s="5">
        <f>IF(D236&lt;&gt;"",IF(D236=Answers!D221,1,-1),0)</f>
        <v>1</v>
      </c>
      <c r="F236" s="25">
        <v>45755.458333333336</v>
      </c>
      <c r="G236" s="191" t="s">
        <v>230</v>
      </c>
      <c r="H236" s="192">
        <v>19</v>
      </c>
      <c r="I236">
        <v>25</v>
      </c>
      <c r="J236">
        <v>25</v>
      </c>
      <c r="K236">
        <v>25</v>
      </c>
      <c r="L236">
        <v>27</v>
      </c>
      <c r="M236">
        <v>27</v>
      </c>
      <c r="N236">
        <v>27</v>
      </c>
      <c r="O236">
        <v>32</v>
      </c>
      <c r="P236">
        <v>32</v>
      </c>
      <c r="Q236">
        <v>38</v>
      </c>
      <c r="R236">
        <v>32</v>
      </c>
      <c r="S236">
        <v>32</v>
      </c>
      <c r="T236">
        <v>29</v>
      </c>
      <c r="U236">
        <v>27</v>
      </c>
      <c r="V236">
        <v>29</v>
      </c>
      <c r="W236">
        <v>26</v>
      </c>
      <c r="X236">
        <v>20</v>
      </c>
      <c r="Y236">
        <v>22</v>
      </c>
      <c r="Z236">
        <v>19</v>
      </c>
      <c r="AA236">
        <v>19</v>
      </c>
      <c r="AB236">
        <v>19</v>
      </c>
      <c r="AC236">
        <v>19</v>
      </c>
      <c r="AD236">
        <v>16</v>
      </c>
      <c r="AE236">
        <v>19</v>
      </c>
    </row>
    <row r="237" spans="2:31" x14ac:dyDescent="0.3">
      <c r="B237" s="3">
        <v>107</v>
      </c>
      <c r="C237" s="2">
        <v>6</v>
      </c>
      <c r="D237" s="7" t="s">
        <v>126</v>
      </c>
      <c r="E237" s="5">
        <f>IF(D237&lt;&gt;"",IF(D237=Answers!D222,1,-1),0)</f>
        <v>1</v>
      </c>
      <c r="F237" s="25">
        <v>45749.666666666664</v>
      </c>
      <c r="G237" s="191" t="s">
        <v>231</v>
      </c>
      <c r="H237" s="192">
        <v>16</v>
      </c>
      <c r="I237">
        <v>16</v>
      </c>
      <c r="J237">
        <v>21</v>
      </c>
      <c r="K237">
        <v>24</v>
      </c>
      <c r="L237">
        <v>22</v>
      </c>
      <c r="M237">
        <v>24</v>
      </c>
      <c r="N237">
        <v>25</v>
      </c>
      <c r="O237">
        <v>25</v>
      </c>
      <c r="P237">
        <v>30</v>
      </c>
      <c r="Q237">
        <v>30</v>
      </c>
      <c r="R237">
        <v>30</v>
      </c>
      <c r="S237">
        <v>30</v>
      </c>
      <c r="T237">
        <v>25</v>
      </c>
      <c r="U237">
        <v>25</v>
      </c>
      <c r="V237">
        <v>25</v>
      </c>
      <c r="W237">
        <v>20</v>
      </c>
      <c r="X237">
        <v>14</v>
      </c>
      <c r="Y237">
        <v>16</v>
      </c>
      <c r="Z237">
        <v>16</v>
      </c>
      <c r="AA237">
        <v>16</v>
      </c>
      <c r="AB237">
        <v>16</v>
      </c>
      <c r="AC237">
        <v>16</v>
      </c>
      <c r="AD237">
        <v>16</v>
      </c>
      <c r="AE237">
        <v>16</v>
      </c>
    </row>
    <row r="238" spans="2:31" x14ac:dyDescent="0.3">
      <c r="B238" s="3">
        <v>108</v>
      </c>
      <c r="C238" s="2">
        <v>6</v>
      </c>
      <c r="D238" s="7" t="s">
        <v>129</v>
      </c>
      <c r="E238" s="5">
        <f>IF(D238&lt;&gt;"",IF(D238=Answers!D223,1,-1),0)</f>
        <v>1</v>
      </c>
      <c r="F238" s="25">
        <v>45748.5</v>
      </c>
      <c r="G238" s="191" t="s">
        <v>232</v>
      </c>
      <c r="H238" s="192">
        <v>19</v>
      </c>
      <c r="I238">
        <v>19</v>
      </c>
      <c r="J238">
        <v>19</v>
      </c>
      <c r="K238">
        <v>25</v>
      </c>
      <c r="L238">
        <v>22</v>
      </c>
      <c r="M238">
        <v>27</v>
      </c>
      <c r="N238">
        <v>27</v>
      </c>
      <c r="O238">
        <v>32</v>
      </c>
      <c r="P238">
        <v>32</v>
      </c>
      <c r="Q238">
        <v>30</v>
      </c>
      <c r="R238">
        <v>34</v>
      </c>
      <c r="S238">
        <v>32</v>
      </c>
      <c r="T238">
        <v>27</v>
      </c>
      <c r="U238">
        <v>27</v>
      </c>
      <c r="V238">
        <v>22</v>
      </c>
      <c r="W238">
        <v>22</v>
      </c>
      <c r="X238">
        <v>18</v>
      </c>
      <c r="Y238">
        <v>22</v>
      </c>
      <c r="Z238">
        <v>22</v>
      </c>
      <c r="AA238">
        <v>19</v>
      </c>
      <c r="AB238">
        <v>22</v>
      </c>
      <c r="AC238">
        <v>19</v>
      </c>
      <c r="AD238">
        <v>19</v>
      </c>
      <c r="AE238">
        <v>22</v>
      </c>
    </row>
    <row r="239" spans="2:31" x14ac:dyDescent="0.3">
      <c r="B239" s="3">
        <v>109</v>
      </c>
      <c r="C239" s="2">
        <v>6</v>
      </c>
      <c r="D239" s="7" t="s">
        <v>126</v>
      </c>
      <c r="E239" s="5">
        <f>IF(D239&lt;&gt;"",IF(D239=Answers!D224,1,-1),0)</f>
        <v>1</v>
      </c>
      <c r="F239" s="25">
        <v>45775.875</v>
      </c>
      <c r="G239" s="191" t="s">
        <v>233</v>
      </c>
      <c r="H239" s="192">
        <v>25</v>
      </c>
      <c r="I239">
        <v>22</v>
      </c>
      <c r="J239">
        <v>25</v>
      </c>
      <c r="K239">
        <v>25</v>
      </c>
      <c r="L239">
        <v>25</v>
      </c>
      <c r="M239">
        <v>31</v>
      </c>
      <c r="N239">
        <v>27</v>
      </c>
      <c r="O239">
        <v>32</v>
      </c>
      <c r="P239">
        <v>32</v>
      </c>
      <c r="Q239">
        <v>34</v>
      </c>
      <c r="R239">
        <v>30</v>
      </c>
      <c r="S239">
        <v>30</v>
      </c>
      <c r="T239">
        <v>25</v>
      </c>
      <c r="U239">
        <v>25</v>
      </c>
      <c r="V239">
        <v>27</v>
      </c>
      <c r="W239">
        <v>26</v>
      </c>
      <c r="X239">
        <v>26</v>
      </c>
      <c r="Y239">
        <v>20</v>
      </c>
      <c r="Z239">
        <v>22</v>
      </c>
      <c r="AA239">
        <v>28</v>
      </c>
      <c r="AB239">
        <v>22</v>
      </c>
      <c r="AC239">
        <v>28</v>
      </c>
      <c r="AD239">
        <v>28</v>
      </c>
      <c r="AE239">
        <v>28</v>
      </c>
    </row>
    <row r="240" spans="2:31" x14ac:dyDescent="0.3">
      <c r="B240" s="3">
        <v>110</v>
      </c>
      <c r="C240" s="2">
        <v>6</v>
      </c>
      <c r="D240" s="8" t="s">
        <v>129</v>
      </c>
      <c r="E240" s="5">
        <f>IF(D240&lt;&gt;"",IF(D240=Answers!D225,1,-1),0)</f>
        <v>1</v>
      </c>
      <c r="F240" s="25">
        <v>45776.5</v>
      </c>
      <c r="G240" s="191" t="s">
        <v>234</v>
      </c>
      <c r="H240" s="192">
        <v>28</v>
      </c>
      <c r="I240">
        <v>22</v>
      </c>
      <c r="J240">
        <v>28</v>
      </c>
      <c r="K240">
        <v>30</v>
      </c>
      <c r="L240">
        <v>30</v>
      </c>
      <c r="M240">
        <v>29</v>
      </c>
      <c r="N240">
        <v>32</v>
      </c>
      <c r="O240">
        <v>32</v>
      </c>
      <c r="P240">
        <v>32</v>
      </c>
      <c r="Q240">
        <v>38</v>
      </c>
      <c r="R240">
        <v>32</v>
      </c>
      <c r="S240">
        <v>32</v>
      </c>
      <c r="T240">
        <v>34</v>
      </c>
      <c r="U240">
        <v>29</v>
      </c>
      <c r="V240">
        <v>29</v>
      </c>
      <c r="W240">
        <v>24</v>
      </c>
      <c r="X240">
        <v>18</v>
      </c>
      <c r="Y240">
        <v>20</v>
      </c>
      <c r="Z240">
        <v>22</v>
      </c>
      <c r="AA240">
        <v>19</v>
      </c>
      <c r="AB240">
        <v>19</v>
      </c>
      <c r="AC240">
        <v>19</v>
      </c>
      <c r="AD240">
        <v>22</v>
      </c>
      <c r="AE240">
        <v>22</v>
      </c>
    </row>
    <row r="241" spans="2:31" x14ac:dyDescent="0.3">
      <c r="B241" s="3">
        <v>111</v>
      </c>
      <c r="C241" s="2">
        <v>6</v>
      </c>
      <c r="D241" s="8" t="s">
        <v>126</v>
      </c>
      <c r="E241" s="5">
        <f>IF(D241&lt;&gt;"",IF(D241=Answers!D226,1,-1),0)</f>
        <v>1</v>
      </c>
      <c r="F241" s="25">
        <v>45765.625</v>
      </c>
      <c r="G241" s="191" t="s">
        <v>235</v>
      </c>
      <c r="H241" s="192">
        <v>16</v>
      </c>
      <c r="I241">
        <v>16</v>
      </c>
      <c r="J241">
        <v>25</v>
      </c>
      <c r="K241">
        <v>25</v>
      </c>
      <c r="L241">
        <v>24</v>
      </c>
      <c r="M241">
        <v>27</v>
      </c>
      <c r="N241">
        <v>25</v>
      </c>
      <c r="O241">
        <v>25</v>
      </c>
      <c r="P241">
        <v>25</v>
      </c>
      <c r="Q241">
        <v>25</v>
      </c>
      <c r="R241">
        <v>27</v>
      </c>
      <c r="S241">
        <v>27</v>
      </c>
      <c r="T241">
        <v>25</v>
      </c>
      <c r="U241">
        <v>27</v>
      </c>
      <c r="V241">
        <v>29</v>
      </c>
      <c r="W241">
        <v>26</v>
      </c>
      <c r="X241">
        <v>20</v>
      </c>
      <c r="Y241">
        <v>18</v>
      </c>
      <c r="Z241">
        <v>22</v>
      </c>
      <c r="AA241">
        <v>22</v>
      </c>
      <c r="AB241">
        <v>22</v>
      </c>
      <c r="AC241">
        <v>22</v>
      </c>
      <c r="AD241">
        <v>22</v>
      </c>
      <c r="AE241">
        <v>19</v>
      </c>
    </row>
    <row r="242" spans="2:31" x14ac:dyDescent="0.3">
      <c r="B242" s="3">
        <v>112</v>
      </c>
      <c r="C242" s="2">
        <v>6</v>
      </c>
      <c r="D242" s="8" t="s">
        <v>126</v>
      </c>
      <c r="E242" s="5">
        <f>IF(D242&lt;&gt;"",IF(D242=Answers!D227,1,-1),0)</f>
        <v>1</v>
      </c>
      <c r="F242" s="25">
        <v>45762.666666666664</v>
      </c>
      <c r="G242" s="191" t="s">
        <v>236</v>
      </c>
      <c r="H242" s="192">
        <v>16</v>
      </c>
      <c r="I242">
        <v>22</v>
      </c>
      <c r="J242">
        <v>22</v>
      </c>
      <c r="K242">
        <v>22</v>
      </c>
      <c r="L242">
        <v>22</v>
      </c>
      <c r="M242">
        <v>22</v>
      </c>
      <c r="N242">
        <v>27</v>
      </c>
      <c r="O242">
        <v>25</v>
      </c>
      <c r="P242">
        <v>25</v>
      </c>
      <c r="Q242">
        <v>27</v>
      </c>
      <c r="R242">
        <v>27</v>
      </c>
      <c r="S242">
        <v>25</v>
      </c>
      <c r="T242">
        <v>25</v>
      </c>
      <c r="U242">
        <v>25</v>
      </c>
      <c r="V242">
        <v>27</v>
      </c>
      <c r="W242">
        <v>22</v>
      </c>
      <c r="X242">
        <v>16</v>
      </c>
      <c r="Y242">
        <v>16</v>
      </c>
      <c r="Z242">
        <v>7</v>
      </c>
      <c r="AA242">
        <v>10</v>
      </c>
      <c r="AB242">
        <v>10</v>
      </c>
      <c r="AC242">
        <v>16</v>
      </c>
      <c r="AD242">
        <v>19</v>
      </c>
      <c r="AE242">
        <v>16</v>
      </c>
    </row>
    <row r="243" spans="2:31" x14ac:dyDescent="0.3">
      <c r="B243" s="3">
        <v>113</v>
      </c>
      <c r="C243" s="2">
        <v>6</v>
      </c>
      <c r="D243" s="8" t="s">
        <v>130</v>
      </c>
      <c r="E243" s="5">
        <f>IF(D243&lt;&gt;"",IF(D243=Answers!D228,1,-1),0)</f>
        <v>1</v>
      </c>
      <c r="F243" s="25">
        <v>45748.291666666664</v>
      </c>
      <c r="G243" s="191" t="s">
        <v>237</v>
      </c>
      <c r="H243" s="192">
        <v>19</v>
      </c>
      <c r="I243">
        <v>19</v>
      </c>
      <c r="J243">
        <v>19</v>
      </c>
      <c r="K243">
        <v>25</v>
      </c>
      <c r="L243">
        <v>22</v>
      </c>
      <c r="M243">
        <v>27</v>
      </c>
      <c r="N243">
        <v>27</v>
      </c>
      <c r="O243">
        <v>32</v>
      </c>
      <c r="P243">
        <v>32</v>
      </c>
      <c r="Q243">
        <v>30</v>
      </c>
      <c r="R243">
        <v>34</v>
      </c>
      <c r="S243">
        <v>32</v>
      </c>
      <c r="T243">
        <v>27</v>
      </c>
      <c r="U243">
        <v>27</v>
      </c>
      <c r="V243">
        <v>22</v>
      </c>
      <c r="W243">
        <v>22</v>
      </c>
      <c r="X243">
        <v>18</v>
      </c>
      <c r="Y243">
        <v>22</v>
      </c>
      <c r="Z243">
        <v>22</v>
      </c>
      <c r="AA243">
        <v>19</v>
      </c>
      <c r="AB243">
        <v>22</v>
      </c>
      <c r="AC243">
        <v>19</v>
      </c>
      <c r="AD243">
        <v>19</v>
      </c>
      <c r="AE243">
        <v>22</v>
      </c>
    </row>
    <row r="244" spans="2:31" x14ac:dyDescent="0.3">
      <c r="B244" s="3">
        <v>114</v>
      </c>
      <c r="C244" s="2">
        <v>6</v>
      </c>
      <c r="D244" s="8" t="s">
        <v>131</v>
      </c>
      <c r="E244" s="5">
        <f>IF(D244&lt;&gt;"",IF(D244=Answers!D229,1,-1),0)</f>
        <v>1</v>
      </c>
      <c r="F244" s="25">
        <v>45748.583333333336</v>
      </c>
      <c r="G244" s="191" t="s">
        <v>238</v>
      </c>
      <c r="H244" s="192">
        <v>19</v>
      </c>
      <c r="I244">
        <v>19</v>
      </c>
      <c r="J244">
        <v>19</v>
      </c>
      <c r="K244">
        <v>25</v>
      </c>
      <c r="L244">
        <v>22</v>
      </c>
      <c r="M244">
        <v>27</v>
      </c>
      <c r="N244">
        <v>27</v>
      </c>
      <c r="O244">
        <v>32</v>
      </c>
      <c r="P244">
        <v>32</v>
      </c>
      <c r="Q244">
        <v>30</v>
      </c>
      <c r="R244">
        <v>34</v>
      </c>
      <c r="S244">
        <v>32</v>
      </c>
      <c r="T244">
        <v>27</v>
      </c>
      <c r="U244">
        <v>27</v>
      </c>
      <c r="V244">
        <v>22</v>
      </c>
      <c r="W244">
        <v>22</v>
      </c>
      <c r="X244">
        <v>18</v>
      </c>
      <c r="Y244">
        <v>22</v>
      </c>
      <c r="Z244">
        <v>22</v>
      </c>
      <c r="AA244">
        <v>19</v>
      </c>
      <c r="AB244">
        <v>22</v>
      </c>
      <c r="AC244">
        <v>19</v>
      </c>
      <c r="AD244">
        <v>19</v>
      </c>
      <c r="AE244">
        <v>22</v>
      </c>
    </row>
    <row r="245" spans="2:31" x14ac:dyDescent="0.3">
      <c r="B245" s="3">
        <v>115</v>
      </c>
      <c r="C245" s="2">
        <v>6</v>
      </c>
      <c r="D245" s="8" t="s">
        <v>132</v>
      </c>
      <c r="E245" s="5">
        <f>IF(D245&lt;&gt;"",IF(D245=Answers!D230,1,-1),0)</f>
        <v>1</v>
      </c>
      <c r="F245" s="25">
        <v>45748.75</v>
      </c>
      <c r="G245" s="191" t="s">
        <v>239</v>
      </c>
      <c r="H245" s="192">
        <v>19</v>
      </c>
      <c r="I245">
        <v>19</v>
      </c>
      <c r="J245">
        <v>19</v>
      </c>
      <c r="K245">
        <v>25</v>
      </c>
      <c r="L245">
        <v>22</v>
      </c>
      <c r="M245">
        <v>27</v>
      </c>
      <c r="N245">
        <v>27</v>
      </c>
      <c r="O245">
        <v>32</v>
      </c>
      <c r="P245">
        <v>32</v>
      </c>
      <c r="Q245">
        <v>30</v>
      </c>
      <c r="R245">
        <v>34</v>
      </c>
      <c r="S245">
        <v>32</v>
      </c>
      <c r="T245">
        <v>27</v>
      </c>
      <c r="U245">
        <v>27</v>
      </c>
      <c r="V245">
        <v>22</v>
      </c>
      <c r="W245">
        <v>22</v>
      </c>
      <c r="X245">
        <v>18</v>
      </c>
      <c r="Y245">
        <v>22</v>
      </c>
      <c r="Z245">
        <v>22</v>
      </c>
      <c r="AA245">
        <v>19</v>
      </c>
      <c r="AB245">
        <v>22</v>
      </c>
      <c r="AC245">
        <v>19</v>
      </c>
      <c r="AD245">
        <v>19</v>
      </c>
      <c r="AE245">
        <v>22</v>
      </c>
    </row>
    <row r="246" spans="2:31" x14ac:dyDescent="0.3">
      <c r="B246" s="3">
        <v>116</v>
      </c>
      <c r="C246" s="2">
        <v>6</v>
      </c>
      <c r="D246" s="8" t="s">
        <v>133</v>
      </c>
      <c r="E246" s="5">
        <f>IF(D246&lt;&gt;"",IF(D246=Answers!D231,1,-1),0)</f>
        <v>1</v>
      </c>
      <c r="F246" s="25">
        <v>45749.291666666664</v>
      </c>
      <c r="G246" s="191" t="s">
        <v>240</v>
      </c>
      <c r="H246" s="192">
        <v>16</v>
      </c>
      <c r="I246">
        <v>16</v>
      </c>
      <c r="J246">
        <v>21</v>
      </c>
      <c r="K246">
        <v>24</v>
      </c>
      <c r="L246">
        <v>22</v>
      </c>
      <c r="M246">
        <v>24</v>
      </c>
      <c r="N246">
        <v>25</v>
      </c>
      <c r="O246">
        <v>25</v>
      </c>
      <c r="P246">
        <v>30</v>
      </c>
      <c r="Q246">
        <v>30</v>
      </c>
      <c r="R246">
        <v>30</v>
      </c>
      <c r="S246">
        <v>30</v>
      </c>
      <c r="T246">
        <v>25</v>
      </c>
      <c r="U246">
        <v>25</v>
      </c>
      <c r="V246">
        <v>25</v>
      </c>
      <c r="W246">
        <v>20</v>
      </c>
      <c r="X246">
        <v>14</v>
      </c>
      <c r="Y246">
        <v>16</v>
      </c>
      <c r="Z246">
        <v>16</v>
      </c>
      <c r="AA246">
        <v>16</v>
      </c>
      <c r="AB246">
        <v>16</v>
      </c>
      <c r="AC246">
        <v>16</v>
      </c>
      <c r="AD246">
        <v>16</v>
      </c>
      <c r="AE246">
        <v>16</v>
      </c>
    </row>
    <row r="247" spans="2:31" x14ac:dyDescent="0.3">
      <c r="B247" s="3">
        <v>117</v>
      </c>
      <c r="C247" s="2">
        <v>6</v>
      </c>
      <c r="D247" s="8" t="s">
        <v>134</v>
      </c>
      <c r="E247" s="5">
        <f>IF(D247&lt;&gt;"",IF(D247=Answers!D232,1,-1),0)</f>
        <v>1</v>
      </c>
      <c r="F247" s="25">
        <v>45769.333333333336</v>
      </c>
      <c r="G247" s="191" t="s">
        <v>241</v>
      </c>
      <c r="H247" s="192">
        <v>22</v>
      </c>
      <c r="I247">
        <v>22</v>
      </c>
      <c r="J247">
        <v>19</v>
      </c>
      <c r="K247">
        <v>24</v>
      </c>
      <c r="L247">
        <v>22</v>
      </c>
      <c r="M247">
        <v>25</v>
      </c>
      <c r="N247">
        <v>27</v>
      </c>
      <c r="O247">
        <v>25</v>
      </c>
      <c r="P247">
        <v>25</v>
      </c>
      <c r="Q247">
        <v>25</v>
      </c>
      <c r="R247">
        <v>25</v>
      </c>
      <c r="S247">
        <v>25</v>
      </c>
      <c r="T247">
        <v>25</v>
      </c>
      <c r="U247">
        <v>23</v>
      </c>
      <c r="V247">
        <v>21</v>
      </c>
      <c r="W247">
        <v>24</v>
      </c>
      <c r="X247">
        <v>20</v>
      </c>
      <c r="Y247">
        <v>20</v>
      </c>
      <c r="Z247">
        <v>22</v>
      </c>
      <c r="AA247">
        <v>22</v>
      </c>
      <c r="AB247">
        <v>22</v>
      </c>
      <c r="AC247">
        <v>16</v>
      </c>
      <c r="AD247">
        <v>19</v>
      </c>
      <c r="AE247">
        <v>16</v>
      </c>
    </row>
    <row r="248" spans="2:31" x14ac:dyDescent="0.3">
      <c r="B248" s="3">
        <v>118</v>
      </c>
      <c r="C248" s="2">
        <v>6</v>
      </c>
      <c r="D248" s="8" t="s">
        <v>135</v>
      </c>
      <c r="E248" s="5">
        <f>IF(D248&lt;&gt;"",IF(D248=Answers!D233,1,-1),0)</f>
        <v>1</v>
      </c>
      <c r="F248" s="25">
        <v>45761.833333333336</v>
      </c>
      <c r="G248" s="191" t="s">
        <v>242</v>
      </c>
      <c r="H248" s="192">
        <v>22</v>
      </c>
      <c r="I248">
        <v>19</v>
      </c>
      <c r="J248">
        <v>22</v>
      </c>
      <c r="K248">
        <v>22</v>
      </c>
      <c r="L248">
        <v>19</v>
      </c>
      <c r="M248">
        <v>22</v>
      </c>
      <c r="N248">
        <v>27</v>
      </c>
      <c r="O248">
        <v>25</v>
      </c>
      <c r="P248">
        <v>25</v>
      </c>
      <c r="Q248">
        <v>25</v>
      </c>
      <c r="R248">
        <v>27</v>
      </c>
      <c r="S248">
        <v>27</v>
      </c>
      <c r="T248">
        <v>25</v>
      </c>
      <c r="U248">
        <v>25</v>
      </c>
      <c r="V248">
        <v>22</v>
      </c>
      <c r="W248">
        <v>16</v>
      </c>
      <c r="X248">
        <v>16</v>
      </c>
      <c r="Y248">
        <v>18</v>
      </c>
      <c r="Z248">
        <v>16</v>
      </c>
      <c r="AA248">
        <v>16</v>
      </c>
      <c r="AB248">
        <v>22</v>
      </c>
      <c r="AC248">
        <v>19</v>
      </c>
      <c r="AD248">
        <v>16</v>
      </c>
      <c r="AE248">
        <v>16</v>
      </c>
    </row>
    <row r="249" spans="2:31" x14ac:dyDescent="0.3">
      <c r="B249" s="3">
        <v>119</v>
      </c>
      <c r="C249" s="2">
        <v>6</v>
      </c>
      <c r="D249" s="8" t="s">
        <v>135</v>
      </c>
      <c r="E249" s="5">
        <f>IF(D249&lt;&gt;"",IF(D249=Answers!D234,1,-1),0)</f>
        <v>1</v>
      </c>
      <c r="F249" s="25">
        <v>45765.041666666664</v>
      </c>
      <c r="G249" s="191" t="s">
        <v>243</v>
      </c>
      <c r="H249" s="192">
        <v>16</v>
      </c>
      <c r="I249">
        <v>16</v>
      </c>
      <c r="J249">
        <v>25</v>
      </c>
      <c r="K249">
        <v>25</v>
      </c>
      <c r="L249">
        <v>24</v>
      </c>
      <c r="M249">
        <v>27</v>
      </c>
      <c r="N249">
        <v>25</v>
      </c>
      <c r="O249">
        <v>25</v>
      </c>
      <c r="P249">
        <v>25</v>
      </c>
      <c r="Q249">
        <v>25</v>
      </c>
      <c r="R249">
        <v>27</v>
      </c>
      <c r="S249">
        <v>27</v>
      </c>
      <c r="T249">
        <v>25</v>
      </c>
      <c r="U249">
        <v>27</v>
      </c>
      <c r="V249">
        <v>29</v>
      </c>
      <c r="W249">
        <v>26</v>
      </c>
      <c r="X249">
        <v>20</v>
      </c>
      <c r="Y249">
        <v>18</v>
      </c>
      <c r="Z249">
        <v>22</v>
      </c>
      <c r="AA249">
        <v>22</v>
      </c>
      <c r="AB249">
        <v>22</v>
      </c>
      <c r="AC249">
        <v>22</v>
      </c>
      <c r="AD249">
        <v>22</v>
      </c>
      <c r="AE249">
        <v>19</v>
      </c>
    </row>
    <row r="250" spans="2:31" x14ac:dyDescent="0.3">
      <c r="B250" s="3">
        <v>120</v>
      </c>
      <c r="C250" s="2">
        <v>6</v>
      </c>
      <c r="D250" s="8" t="s">
        <v>131</v>
      </c>
      <c r="E250" s="5">
        <f>IF(D250&lt;&gt;"",IF(D250=Answers!D235,1,-1),0)</f>
        <v>1</v>
      </c>
      <c r="F250" s="25">
        <v>45759.541666666664</v>
      </c>
      <c r="G250" s="191" t="s">
        <v>244</v>
      </c>
      <c r="H250" s="192">
        <v>22</v>
      </c>
      <c r="I250">
        <v>19</v>
      </c>
      <c r="J250">
        <v>19</v>
      </c>
      <c r="K250">
        <v>24</v>
      </c>
      <c r="L250">
        <v>27</v>
      </c>
      <c r="M250">
        <v>24</v>
      </c>
      <c r="N250">
        <v>25</v>
      </c>
      <c r="O250">
        <v>30</v>
      </c>
      <c r="P250">
        <v>30</v>
      </c>
      <c r="Q250">
        <v>30</v>
      </c>
      <c r="R250">
        <v>30</v>
      </c>
      <c r="S250">
        <v>30</v>
      </c>
      <c r="T250">
        <v>30</v>
      </c>
      <c r="U250">
        <v>25</v>
      </c>
      <c r="V250">
        <v>27</v>
      </c>
      <c r="W250">
        <v>20</v>
      </c>
      <c r="X250">
        <v>16</v>
      </c>
      <c r="Y250">
        <v>19</v>
      </c>
      <c r="Z250">
        <v>22</v>
      </c>
      <c r="AA250">
        <v>22</v>
      </c>
      <c r="AB250">
        <v>19</v>
      </c>
      <c r="AC250">
        <v>22</v>
      </c>
      <c r="AD250">
        <v>22</v>
      </c>
      <c r="AE250">
        <v>28</v>
      </c>
    </row>
    <row r="251" spans="2:31" x14ac:dyDescent="0.3">
      <c r="F251" s="248">
        <v>45750</v>
      </c>
      <c r="G251" s="191" t="s">
        <v>156</v>
      </c>
      <c r="H251">
        <v>22</v>
      </c>
      <c r="I251">
        <v>25</v>
      </c>
      <c r="J251">
        <v>25</v>
      </c>
      <c r="K251">
        <v>25</v>
      </c>
      <c r="L251">
        <v>24</v>
      </c>
      <c r="M251">
        <v>24</v>
      </c>
      <c r="N251">
        <v>25</v>
      </c>
      <c r="O251">
        <v>25</v>
      </c>
      <c r="P251">
        <v>29</v>
      </c>
      <c r="Q251">
        <v>27</v>
      </c>
      <c r="R251">
        <v>27</v>
      </c>
      <c r="S251">
        <v>25</v>
      </c>
      <c r="T251">
        <v>25</v>
      </c>
      <c r="U251">
        <v>23</v>
      </c>
      <c r="V251">
        <v>23</v>
      </c>
      <c r="W251">
        <v>26</v>
      </c>
      <c r="X251">
        <v>20</v>
      </c>
      <c r="Y251">
        <v>16</v>
      </c>
      <c r="Z251">
        <v>16</v>
      </c>
      <c r="AA251">
        <v>16</v>
      </c>
      <c r="AB251">
        <v>16</v>
      </c>
      <c r="AC251">
        <v>22</v>
      </c>
      <c r="AD251">
        <v>19</v>
      </c>
      <c r="AE251">
        <v>16</v>
      </c>
    </row>
    <row r="252" spans="2:31" x14ac:dyDescent="0.3">
      <c r="F252" s="248">
        <v>45751</v>
      </c>
      <c r="G252" s="191" t="s">
        <v>245</v>
      </c>
      <c r="H252">
        <v>16</v>
      </c>
      <c r="I252">
        <v>22</v>
      </c>
      <c r="J252">
        <v>28</v>
      </c>
      <c r="K252">
        <v>25</v>
      </c>
      <c r="L252">
        <v>25</v>
      </c>
      <c r="M252">
        <v>27</v>
      </c>
      <c r="N252">
        <v>27</v>
      </c>
      <c r="O252">
        <v>27</v>
      </c>
      <c r="P252">
        <v>29</v>
      </c>
      <c r="Q252">
        <v>27</v>
      </c>
      <c r="R252">
        <v>27</v>
      </c>
      <c r="S252">
        <v>27</v>
      </c>
      <c r="T252">
        <v>27</v>
      </c>
      <c r="U252">
        <v>27</v>
      </c>
      <c r="V252">
        <v>22</v>
      </c>
      <c r="W252">
        <v>22</v>
      </c>
      <c r="X252">
        <v>16</v>
      </c>
      <c r="Y252">
        <v>19</v>
      </c>
      <c r="Z252">
        <v>16</v>
      </c>
      <c r="AA252">
        <v>22</v>
      </c>
      <c r="AB252">
        <v>28</v>
      </c>
      <c r="AC252">
        <v>28</v>
      </c>
      <c r="AD252">
        <v>25</v>
      </c>
      <c r="AE252">
        <v>22</v>
      </c>
    </row>
    <row r="253" spans="2:31" x14ac:dyDescent="0.3">
      <c r="F253" s="248">
        <v>45754</v>
      </c>
      <c r="G253" s="191" t="s">
        <v>158</v>
      </c>
      <c r="H253">
        <v>16</v>
      </c>
      <c r="I253">
        <v>19</v>
      </c>
      <c r="J253">
        <v>25</v>
      </c>
      <c r="K253">
        <v>25</v>
      </c>
      <c r="L253">
        <v>25</v>
      </c>
      <c r="M253">
        <v>27</v>
      </c>
      <c r="N253">
        <v>29</v>
      </c>
      <c r="O253">
        <v>32</v>
      </c>
      <c r="P253">
        <v>32</v>
      </c>
      <c r="Q253">
        <v>30</v>
      </c>
      <c r="R253">
        <v>30</v>
      </c>
      <c r="S253">
        <v>30</v>
      </c>
      <c r="T253">
        <v>25</v>
      </c>
      <c r="U253">
        <v>23</v>
      </c>
      <c r="V253">
        <v>23</v>
      </c>
      <c r="W253">
        <v>24</v>
      </c>
      <c r="X253">
        <v>26</v>
      </c>
      <c r="Y253">
        <v>22</v>
      </c>
      <c r="Z253">
        <v>22</v>
      </c>
      <c r="AA253">
        <v>22</v>
      </c>
      <c r="AB253">
        <v>22</v>
      </c>
      <c r="AC253">
        <v>19</v>
      </c>
      <c r="AD253">
        <v>22</v>
      </c>
      <c r="AE253">
        <v>22</v>
      </c>
    </row>
    <row r="254" spans="2:31" x14ac:dyDescent="0.3">
      <c r="F254" s="248">
        <v>45756</v>
      </c>
      <c r="G254" s="191" t="s">
        <v>159</v>
      </c>
      <c r="H254">
        <v>22</v>
      </c>
      <c r="I254">
        <v>22</v>
      </c>
      <c r="J254">
        <v>22</v>
      </c>
      <c r="K254">
        <v>22</v>
      </c>
      <c r="L254">
        <v>27</v>
      </c>
      <c r="M254">
        <v>30</v>
      </c>
      <c r="N254">
        <v>27</v>
      </c>
      <c r="O254">
        <v>30</v>
      </c>
      <c r="P254">
        <v>30</v>
      </c>
      <c r="Q254">
        <v>36</v>
      </c>
      <c r="R254">
        <v>30</v>
      </c>
      <c r="S254">
        <v>28</v>
      </c>
      <c r="T254">
        <v>27</v>
      </c>
      <c r="U254">
        <v>27</v>
      </c>
      <c r="V254">
        <v>24</v>
      </c>
      <c r="W254">
        <v>24</v>
      </c>
      <c r="X254">
        <v>20</v>
      </c>
      <c r="Y254">
        <v>19</v>
      </c>
      <c r="Z254">
        <v>22</v>
      </c>
      <c r="AA254">
        <v>22</v>
      </c>
      <c r="AB254">
        <v>19</v>
      </c>
      <c r="AC254">
        <v>16</v>
      </c>
      <c r="AD254">
        <v>19</v>
      </c>
      <c r="AE254">
        <v>19</v>
      </c>
    </row>
    <row r="255" spans="2:31" x14ac:dyDescent="0.3">
      <c r="F255" s="248">
        <v>45757</v>
      </c>
      <c r="G255" s="191" t="s">
        <v>160</v>
      </c>
      <c r="H255">
        <v>19</v>
      </c>
      <c r="I255">
        <v>25</v>
      </c>
      <c r="J255">
        <v>28</v>
      </c>
      <c r="K255">
        <v>25</v>
      </c>
      <c r="L255">
        <v>30</v>
      </c>
      <c r="M255">
        <v>30</v>
      </c>
      <c r="N255">
        <v>29</v>
      </c>
      <c r="O255">
        <v>32</v>
      </c>
      <c r="P255">
        <v>30</v>
      </c>
      <c r="Q255">
        <v>40</v>
      </c>
      <c r="R255">
        <v>32</v>
      </c>
      <c r="S255">
        <v>32</v>
      </c>
      <c r="T255">
        <v>27</v>
      </c>
      <c r="U255">
        <v>27</v>
      </c>
      <c r="V255">
        <v>26</v>
      </c>
      <c r="W255">
        <v>24</v>
      </c>
      <c r="X255">
        <v>20</v>
      </c>
      <c r="Y255">
        <v>19</v>
      </c>
      <c r="Z255">
        <v>16</v>
      </c>
      <c r="AA255">
        <v>22</v>
      </c>
      <c r="AB255">
        <v>19</v>
      </c>
      <c r="AC255">
        <v>16</v>
      </c>
      <c r="AD255">
        <v>19</v>
      </c>
      <c r="AE255">
        <v>22</v>
      </c>
    </row>
    <row r="256" spans="2:31" x14ac:dyDescent="0.3">
      <c r="F256" s="248">
        <v>45758</v>
      </c>
      <c r="G256" s="191" t="s">
        <v>161</v>
      </c>
      <c r="H256">
        <v>25</v>
      </c>
      <c r="I256">
        <v>25</v>
      </c>
      <c r="J256">
        <v>25</v>
      </c>
      <c r="K256">
        <v>33</v>
      </c>
      <c r="L256">
        <v>27</v>
      </c>
      <c r="M256">
        <v>24</v>
      </c>
      <c r="N256">
        <v>30</v>
      </c>
      <c r="O256">
        <v>32</v>
      </c>
      <c r="P256">
        <v>30</v>
      </c>
      <c r="Q256">
        <v>30</v>
      </c>
      <c r="R256">
        <v>30</v>
      </c>
      <c r="S256">
        <v>30</v>
      </c>
      <c r="T256">
        <v>30</v>
      </c>
      <c r="U256">
        <v>27</v>
      </c>
      <c r="V256">
        <v>31</v>
      </c>
      <c r="W256">
        <v>26</v>
      </c>
      <c r="X256">
        <v>20</v>
      </c>
      <c r="Y256">
        <v>22</v>
      </c>
      <c r="Z256">
        <v>19</v>
      </c>
      <c r="AA256">
        <v>22</v>
      </c>
      <c r="AB256">
        <v>22</v>
      </c>
      <c r="AC256">
        <v>16</v>
      </c>
      <c r="AD256">
        <v>19</v>
      </c>
      <c r="AE256">
        <v>22</v>
      </c>
    </row>
    <row r="257" spans="2:31" x14ac:dyDescent="0.3">
      <c r="F257" s="248">
        <v>45760</v>
      </c>
      <c r="G257" s="191" t="s">
        <v>162</v>
      </c>
      <c r="H257">
        <v>19</v>
      </c>
      <c r="I257">
        <v>22</v>
      </c>
      <c r="J257">
        <v>19</v>
      </c>
      <c r="K257">
        <v>19</v>
      </c>
      <c r="L257">
        <v>24</v>
      </c>
      <c r="M257">
        <v>27</v>
      </c>
      <c r="N257">
        <v>25</v>
      </c>
      <c r="O257">
        <v>23</v>
      </c>
      <c r="P257">
        <v>23</v>
      </c>
      <c r="Q257">
        <v>19</v>
      </c>
      <c r="R257">
        <v>23</v>
      </c>
      <c r="S257">
        <v>23</v>
      </c>
      <c r="T257">
        <v>25</v>
      </c>
      <c r="U257">
        <v>21</v>
      </c>
      <c r="V257">
        <v>25</v>
      </c>
      <c r="W257">
        <v>18</v>
      </c>
      <c r="X257">
        <v>22</v>
      </c>
      <c r="Y257">
        <v>16</v>
      </c>
      <c r="Z257">
        <v>19</v>
      </c>
      <c r="AA257">
        <v>16</v>
      </c>
      <c r="AB257">
        <v>16</v>
      </c>
      <c r="AC257">
        <v>16</v>
      </c>
      <c r="AD257">
        <v>19</v>
      </c>
      <c r="AE257">
        <v>25</v>
      </c>
    </row>
    <row r="258" spans="2:31" x14ac:dyDescent="0.3">
      <c r="F258" s="248">
        <v>45763</v>
      </c>
      <c r="G258" s="191" t="s">
        <v>163</v>
      </c>
      <c r="H258">
        <v>16</v>
      </c>
      <c r="I258">
        <v>22</v>
      </c>
      <c r="J258">
        <v>22</v>
      </c>
      <c r="K258">
        <v>19</v>
      </c>
      <c r="L258">
        <v>22</v>
      </c>
      <c r="M258">
        <v>24</v>
      </c>
      <c r="N258">
        <v>25</v>
      </c>
      <c r="O258">
        <v>25</v>
      </c>
      <c r="P258">
        <v>25</v>
      </c>
      <c r="Q258">
        <v>27</v>
      </c>
      <c r="R258">
        <v>27</v>
      </c>
      <c r="S258">
        <v>25</v>
      </c>
      <c r="T258">
        <v>25</v>
      </c>
      <c r="U258">
        <v>25</v>
      </c>
      <c r="V258">
        <v>27</v>
      </c>
      <c r="W258">
        <v>22</v>
      </c>
      <c r="X258">
        <v>16</v>
      </c>
      <c r="Y258">
        <v>16</v>
      </c>
      <c r="Z258">
        <v>10</v>
      </c>
      <c r="AA258">
        <v>10</v>
      </c>
      <c r="AB258">
        <v>19</v>
      </c>
      <c r="AC258">
        <v>22</v>
      </c>
      <c r="AD258">
        <v>22</v>
      </c>
      <c r="AE258">
        <v>22</v>
      </c>
    </row>
    <row r="259" spans="2:31" x14ac:dyDescent="0.3">
      <c r="F259" s="248">
        <v>45766</v>
      </c>
      <c r="G259" s="191" t="s">
        <v>164</v>
      </c>
      <c r="H259">
        <v>22</v>
      </c>
      <c r="I259">
        <v>22</v>
      </c>
      <c r="J259">
        <v>22</v>
      </c>
      <c r="K259">
        <v>22</v>
      </c>
      <c r="L259">
        <v>25</v>
      </c>
      <c r="M259">
        <v>27</v>
      </c>
      <c r="N259">
        <v>27</v>
      </c>
      <c r="O259">
        <v>27</v>
      </c>
      <c r="P259">
        <v>27</v>
      </c>
      <c r="Q259">
        <v>32</v>
      </c>
      <c r="R259">
        <v>30</v>
      </c>
      <c r="S259">
        <v>25</v>
      </c>
      <c r="T259">
        <v>25</v>
      </c>
      <c r="U259">
        <v>25</v>
      </c>
      <c r="V259">
        <v>19</v>
      </c>
      <c r="W259">
        <v>24</v>
      </c>
      <c r="X259">
        <v>20</v>
      </c>
      <c r="Y259">
        <v>20</v>
      </c>
      <c r="Z259">
        <v>22</v>
      </c>
      <c r="AA259">
        <v>16</v>
      </c>
      <c r="AB259">
        <v>22</v>
      </c>
      <c r="AC259">
        <v>22</v>
      </c>
      <c r="AD259">
        <v>19</v>
      </c>
      <c r="AE259">
        <v>22</v>
      </c>
    </row>
    <row r="260" spans="2:31" x14ac:dyDescent="0.3">
      <c r="F260" s="248">
        <v>45767</v>
      </c>
      <c r="G260" s="191" t="s">
        <v>165</v>
      </c>
      <c r="H260">
        <v>19</v>
      </c>
      <c r="I260">
        <v>16</v>
      </c>
      <c r="J260">
        <v>19</v>
      </c>
      <c r="K260">
        <v>25</v>
      </c>
      <c r="L260">
        <v>24</v>
      </c>
      <c r="M260">
        <v>25</v>
      </c>
      <c r="N260">
        <v>25</v>
      </c>
      <c r="O260">
        <v>25</v>
      </c>
      <c r="P260">
        <v>25</v>
      </c>
      <c r="Q260">
        <v>25</v>
      </c>
      <c r="R260">
        <v>25</v>
      </c>
      <c r="S260">
        <v>25</v>
      </c>
      <c r="T260">
        <v>25</v>
      </c>
      <c r="U260">
        <v>25</v>
      </c>
      <c r="V260">
        <v>25</v>
      </c>
      <c r="W260">
        <v>24</v>
      </c>
      <c r="X260">
        <v>18</v>
      </c>
      <c r="Y260">
        <v>20</v>
      </c>
      <c r="Z260">
        <v>19</v>
      </c>
      <c r="AA260">
        <v>22</v>
      </c>
      <c r="AB260">
        <v>22</v>
      </c>
      <c r="AC260">
        <v>22</v>
      </c>
      <c r="AD260">
        <v>16</v>
      </c>
      <c r="AE260">
        <v>19</v>
      </c>
    </row>
    <row r="261" spans="2:31" x14ac:dyDescent="0.3">
      <c r="F261" s="248">
        <v>45770</v>
      </c>
      <c r="G261" s="191" t="s">
        <v>166</v>
      </c>
      <c r="H261">
        <v>19</v>
      </c>
      <c r="I261">
        <v>19</v>
      </c>
      <c r="J261">
        <v>19</v>
      </c>
      <c r="K261">
        <v>19</v>
      </c>
      <c r="L261">
        <v>21</v>
      </c>
      <c r="M261">
        <v>25</v>
      </c>
      <c r="N261">
        <v>27</v>
      </c>
      <c r="O261">
        <v>25</v>
      </c>
      <c r="P261">
        <v>21</v>
      </c>
      <c r="Q261">
        <v>21</v>
      </c>
      <c r="R261">
        <v>25</v>
      </c>
      <c r="S261">
        <v>21</v>
      </c>
      <c r="T261">
        <v>25</v>
      </c>
      <c r="U261">
        <v>19</v>
      </c>
      <c r="V261">
        <v>24</v>
      </c>
      <c r="W261">
        <v>26</v>
      </c>
      <c r="X261">
        <v>20</v>
      </c>
      <c r="Y261">
        <v>20</v>
      </c>
      <c r="Z261">
        <v>22</v>
      </c>
      <c r="AA261">
        <v>22</v>
      </c>
      <c r="AB261">
        <v>19</v>
      </c>
      <c r="AC261">
        <v>19</v>
      </c>
      <c r="AD261">
        <v>22</v>
      </c>
      <c r="AE261">
        <v>22</v>
      </c>
    </row>
    <row r="262" spans="2:31" x14ac:dyDescent="0.3">
      <c r="F262" s="248">
        <v>45771</v>
      </c>
      <c r="G262" s="191" t="s">
        <v>167</v>
      </c>
      <c r="H262">
        <v>19</v>
      </c>
      <c r="I262">
        <v>28</v>
      </c>
      <c r="J262">
        <v>28</v>
      </c>
      <c r="K262">
        <v>22</v>
      </c>
      <c r="L262">
        <v>22</v>
      </c>
      <c r="M262">
        <v>25</v>
      </c>
      <c r="N262">
        <v>27</v>
      </c>
      <c r="O262">
        <v>32</v>
      </c>
      <c r="P262">
        <v>32</v>
      </c>
      <c r="Q262">
        <v>30</v>
      </c>
      <c r="R262">
        <v>27</v>
      </c>
      <c r="S262">
        <v>25</v>
      </c>
      <c r="T262">
        <v>25</v>
      </c>
      <c r="U262">
        <v>23</v>
      </c>
      <c r="V262">
        <v>23</v>
      </c>
      <c r="W262">
        <v>22</v>
      </c>
      <c r="X262">
        <v>18</v>
      </c>
      <c r="Y262">
        <v>16</v>
      </c>
      <c r="Z262">
        <v>19</v>
      </c>
      <c r="AA262">
        <v>22</v>
      </c>
      <c r="AB262">
        <v>22</v>
      </c>
      <c r="AC262">
        <v>22</v>
      </c>
      <c r="AD262">
        <v>19</v>
      </c>
      <c r="AE262">
        <v>19</v>
      </c>
    </row>
    <row r="263" spans="2:31" x14ac:dyDescent="0.3">
      <c r="F263" s="248">
        <v>45772</v>
      </c>
      <c r="G263" s="191" t="s">
        <v>168</v>
      </c>
      <c r="H263">
        <v>16</v>
      </c>
      <c r="I263">
        <v>25</v>
      </c>
      <c r="J263">
        <v>22</v>
      </c>
      <c r="K263">
        <v>25</v>
      </c>
      <c r="L263">
        <v>19</v>
      </c>
      <c r="M263">
        <v>29</v>
      </c>
      <c r="N263">
        <v>27</v>
      </c>
      <c r="O263">
        <v>27</v>
      </c>
      <c r="P263">
        <v>27</v>
      </c>
      <c r="Q263">
        <v>32</v>
      </c>
      <c r="R263">
        <v>27</v>
      </c>
      <c r="S263">
        <v>27</v>
      </c>
      <c r="T263">
        <v>27</v>
      </c>
      <c r="U263">
        <v>27</v>
      </c>
      <c r="V263">
        <v>24</v>
      </c>
      <c r="W263">
        <v>22</v>
      </c>
      <c r="X263">
        <v>18</v>
      </c>
      <c r="Y263">
        <v>20</v>
      </c>
      <c r="Z263">
        <v>19</v>
      </c>
      <c r="AA263">
        <v>22</v>
      </c>
      <c r="AB263">
        <v>22</v>
      </c>
      <c r="AC263">
        <v>16</v>
      </c>
      <c r="AD263">
        <v>16</v>
      </c>
      <c r="AE263">
        <v>19</v>
      </c>
    </row>
    <row r="264" spans="2:31" x14ac:dyDescent="0.3">
      <c r="F264" s="248">
        <v>45773</v>
      </c>
      <c r="G264" s="191" t="s">
        <v>169</v>
      </c>
      <c r="H264">
        <v>22</v>
      </c>
      <c r="I264">
        <v>22</v>
      </c>
      <c r="J264">
        <v>22</v>
      </c>
      <c r="K264">
        <v>28</v>
      </c>
      <c r="L264">
        <v>25</v>
      </c>
      <c r="M264">
        <v>29</v>
      </c>
      <c r="N264">
        <v>27</v>
      </c>
      <c r="O264">
        <v>34</v>
      </c>
      <c r="P264">
        <v>32</v>
      </c>
      <c r="Q264">
        <v>32</v>
      </c>
      <c r="R264">
        <v>27</v>
      </c>
      <c r="S264">
        <v>27</v>
      </c>
      <c r="T264">
        <v>27</v>
      </c>
      <c r="U264">
        <v>25</v>
      </c>
      <c r="V264">
        <v>27</v>
      </c>
      <c r="W264">
        <v>22</v>
      </c>
      <c r="X264">
        <v>20</v>
      </c>
      <c r="Y264">
        <v>18</v>
      </c>
      <c r="Z264">
        <v>19</v>
      </c>
      <c r="AA264">
        <v>19</v>
      </c>
      <c r="AB264">
        <v>19</v>
      </c>
      <c r="AC264">
        <v>16</v>
      </c>
      <c r="AD264">
        <v>19</v>
      </c>
      <c r="AE264">
        <v>16</v>
      </c>
    </row>
    <row r="265" spans="2:31" x14ac:dyDescent="0.3">
      <c r="F265" s="248">
        <v>45774</v>
      </c>
      <c r="G265" s="191" t="s">
        <v>170</v>
      </c>
      <c r="H265">
        <v>28</v>
      </c>
      <c r="I265">
        <v>28</v>
      </c>
      <c r="J265">
        <v>22</v>
      </c>
      <c r="K265">
        <v>30</v>
      </c>
      <c r="L265">
        <v>27</v>
      </c>
      <c r="M265">
        <v>27</v>
      </c>
      <c r="N265">
        <v>27</v>
      </c>
      <c r="O265">
        <v>32</v>
      </c>
      <c r="P265">
        <v>34</v>
      </c>
      <c r="Q265">
        <v>32</v>
      </c>
      <c r="R265">
        <v>32</v>
      </c>
      <c r="S265">
        <v>27</v>
      </c>
      <c r="T265">
        <v>25</v>
      </c>
      <c r="U265">
        <v>27</v>
      </c>
      <c r="V265">
        <v>29</v>
      </c>
      <c r="W265">
        <v>24</v>
      </c>
      <c r="X265">
        <v>20</v>
      </c>
      <c r="Y265">
        <v>20</v>
      </c>
      <c r="Z265">
        <v>22</v>
      </c>
      <c r="AA265">
        <v>22</v>
      </c>
      <c r="AB265">
        <v>19</v>
      </c>
      <c r="AC265">
        <v>16</v>
      </c>
      <c r="AD265">
        <v>19</v>
      </c>
      <c r="AE265">
        <v>19</v>
      </c>
    </row>
    <row r="266" spans="2:31" x14ac:dyDescent="0.3">
      <c r="F266" s="248">
        <v>45777</v>
      </c>
      <c r="G266" s="191" t="s">
        <v>171</v>
      </c>
      <c r="H266">
        <v>25</v>
      </c>
      <c r="I266">
        <v>25</v>
      </c>
      <c r="J266">
        <v>22</v>
      </c>
      <c r="K266">
        <v>27</v>
      </c>
      <c r="L266">
        <v>24</v>
      </c>
      <c r="M266">
        <v>27</v>
      </c>
      <c r="N266">
        <v>27</v>
      </c>
      <c r="O266">
        <v>32</v>
      </c>
      <c r="P266">
        <v>36</v>
      </c>
      <c r="Q266">
        <v>36</v>
      </c>
      <c r="R266">
        <v>32</v>
      </c>
      <c r="S266">
        <v>34</v>
      </c>
      <c r="T266">
        <v>32</v>
      </c>
      <c r="U266">
        <v>30</v>
      </c>
      <c r="V266">
        <v>27</v>
      </c>
      <c r="W266">
        <v>24</v>
      </c>
      <c r="X266">
        <v>26</v>
      </c>
      <c r="Y266">
        <v>20</v>
      </c>
      <c r="Z266">
        <v>20</v>
      </c>
      <c r="AA266">
        <v>22</v>
      </c>
      <c r="AB266">
        <v>28</v>
      </c>
      <c r="AC266">
        <v>28</v>
      </c>
      <c r="AD266">
        <v>28</v>
      </c>
      <c r="AE266">
        <v>25</v>
      </c>
    </row>
    <row r="268" spans="2:31" x14ac:dyDescent="0.3">
      <c r="H268">
        <f>MAX(H231:AE266)</f>
        <v>40</v>
      </c>
    </row>
    <row r="270" spans="2:31" ht="15" thickBot="1" x14ac:dyDescent="0.35">
      <c r="B270" s="4" t="s">
        <v>84</v>
      </c>
      <c r="C270" s="14" t="s">
        <v>45</v>
      </c>
    </row>
    <row r="271" spans="2:31" ht="15" thickTop="1" x14ac:dyDescent="0.3"/>
    <row r="272" spans="2:31" x14ac:dyDescent="0.3">
      <c r="B272" s="10" t="s">
        <v>85</v>
      </c>
    </row>
    <row r="273" spans="2:24" x14ac:dyDescent="0.3">
      <c r="B273" s="10" t="s">
        <v>86</v>
      </c>
    </row>
    <row r="274" spans="2:24" x14ac:dyDescent="0.3">
      <c r="B274" s="10" t="s">
        <v>87</v>
      </c>
    </row>
    <row r="275" spans="2:24" x14ac:dyDescent="0.3">
      <c r="B275" s="11" t="s">
        <v>88</v>
      </c>
      <c r="W275" cm="1">
        <f t="array" ref="W275:W288">_xlfn.UNIQUE(_xlfn._xlws.SORT(DAY(F231:F250)))</f>
        <v>1</v>
      </c>
      <c r="X275" cm="1">
        <f t="array" ref="X275:X290">_xlfn.UNIQUE(_xlfn.VSTACK(_xlfn.ANCHORARRAY(W275),_xlfn.SEQUENCE(30,1,1)),,TRUE)</f>
        <v>3</v>
      </c>
    </row>
    <row r="276" spans="2:24" x14ac:dyDescent="0.3">
      <c r="B276" s="169">
        <v>0.83333333333333337</v>
      </c>
      <c r="C276" s="171" t="s">
        <v>89</v>
      </c>
      <c r="D276" s="171"/>
      <c r="F276" s="169">
        <v>0.83333333333333337</v>
      </c>
      <c r="G276" s="171" t="s">
        <v>90</v>
      </c>
      <c r="H276" s="171"/>
      <c r="I276" s="173"/>
      <c r="J276" s="173"/>
      <c r="K276" s="173"/>
      <c r="W276">
        <v>2</v>
      </c>
      <c r="X276">
        <v>4</v>
      </c>
    </row>
    <row r="277" spans="2:24" x14ac:dyDescent="0.3">
      <c r="B277" s="170">
        <v>0.79166666666666663</v>
      </c>
      <c r="C277" s="172" t="s">
        <v>91</v>
      </c>
      <c r="D277" s="172"/>
      <c r="F277" s="169">
        <v>0.79166666666666663</v>
      </c>
      <c r="G277" s="172" t="s">
        <v>92</v>
      </c>
      <c r="H277" s="172"/>
      <c r="I277" s="174"/>
      <c r="J277" s="174"/>
      <c r="K277" s="174"/>
      <c r="W277">
        <v>5</v>
      </c>
      <c r="X277">
        <v>7</v>
      </c>
    </row>
    <row r="278" spans="2:24" x14ac:dyDescent="0.3">
      <c r="B278" s="170">
        <v>0.75</v>
      </c>
      <c r="C278" s="172" t="s">
        <v>93</v>
      </c>
      <c r="D278" s="172"/>
      <c r="F278" s="169">
        <v>0.75</v>
      </c>
      <c r="G278" s="172" t="s">
        <v>94</v>
      </c>
      <c r="H278" s="172"/>
      <c r="I278" s="174"/>
      <c r="J278" s="174"/>
      <c r="K278" s="174"/>
      <c r="W278">
        <v>6</v>
      </c>
      <c r="X278">
        <v>9</v>
      </c>
    </row>
    <row r="279" spans="2:24" x14ac:dyDescent="0.3">
      <c r="B279" s="181" t="s">
        <v>95</v>
      </c>
      <c r="W279">
        <v>8</v>
      </c>
      <c r="X279">
        <v>10</v>
      </c>
    </row>
    <row r="280" spans="2:24" x14ac:dyDescent="0.3">
      <c r="W280">
        <v>12</v>
      </c>
      <c r="X280">
        <v>11</v>
      </c>
    </row>
    <row r="281" spans="2:24" ht="15" thickBot="1" x14ac:dyDescent="0.35">
      <c r="B281" s="1" t="s">
        <v>9</v>
      </c>
      <c r="C281" s="1" t="s">
        <v>35</v>
      </c>
      <c r="D281" s="1" t="s">
        <v>11</v>
      </c>
      <c r="F281" s="1" t="s">
        <v>36</v>
      </c>
      <c r="G281" s="205" t="s">
        <v>157</v>
      </c>
      <c r="H281" s="206" t="s">
        <v>156</v>
      </c>
      <c r="W281">
        <v>14</v>
      </c>
      <c r="X281">
        <v>13</v>
      </c>
    </row>
    <row r="282" spans="2:24" ht="15" thickTop="1" x14ac:dyDescent="0.3">
      <c r="H282" s="205" t="s">
        <v>108</v>
      </c>
      <c r="I282" s="205" t="s">
        <v>152</v>
      </c>
      <c r="J282" s="205"/>
      <c r="W282">
        <v>15</v>
      </c>
      <c r="X282">
        <v>16</v>
      </c>
    </row>
    <row r="283" spans="2:24" x14ac:dyDescent="0.3">
      <c r="B283" s="3" t="s">
        <v>96</v>
      </c>
      <c r="C283" s="2">
        <v>7</v>
      </c>
      <c r="D283" s="9" t="s">
        <v>97</v>
      </c>
      <c r="F283" s="25">
        <v>45770.791666666664</v>
      </c>
      <c r="H283" cm="1">
        <f t="array" aca="1" ref="H283" ca="1">DAY(INDIRECT(H281))</f>
        <v>3</v>
      </c>
      <c r="I283" s="186" cm="1">
        <f t="array" aca="1" ref="I283" ca="1">ROUND(24-HOUR(INDIRECT(H281)),0)</f>
        <v>24</v>
      </c>
      <c r="J283" s="186"/>
      <c r="W283">
        <v>17</v>
      </c>
      <c r="X283">
        <v>19</v>
      </c>
    </row>
    <row r="284" spans="2:24" x14ac:dyDescent="0.3">
      <c r="F284" s="16"/>
      <c r="H284" s="195" t="s">
        <v>153</v>
      </c>
      <c r="I284" s="195"/>
      <c r="J284" s="195"/>
      <c r="K284" s="195"/>
      <c r="L284" s="193" t="s">
        <v>154</v>
      </c>
      <c r="M284" s="193"/>
      <c r="N284" s="193"/>
      <c r="O284" s="196" t="s">
        <v>155</v>
      </c>
      <c r="P284" s="196"/>
      <c r="Q284" s="196"/>
      <c r="U284" t="e">
        <f ca="1">Q294</f>
        <v>#REF!</v>
      </c>
      <c r="W284">
        <v>18</v>
      </c>
      <c r="X284">
        <v>20</v>
      </c>
    </row>
    <row r="285" spans="2:24" x14ac:dyDescent="0.3">
      <c r="B285" s="3">
        <v>121</v>
      </c>
      <c r="C285" s="2">
        <v>7</v>
      </c>
      <c r="D285" s="6" t="s">
        <v>65</v>
      </c>
      <c r="E285" s="5">
        <f>IF(D285&lt;&gt;"",IF(D285=Answers!D253,1,-1),0)</f>
        <v>1</v>
      </c>
      <c r="F285" s="25">
        <v>45763.583333333336</v>
      </c>
      <c r="H285" s="198">
        <f ca="1">$H$283-1</f>
        <v>2</v>
      </c>
      <c r="I285" s="199">
        <f ca="1">$H$283</f>
        <v>3</v>
      </c>
      <c r="J285" s="199"/>
      <c r="K285" s="200">
        <f ca="1">$H$283+1</f>
        <v>4</v>
      </c>
      <c r="L285" s="198">
        <f ca="1">$H$283-1</f>
        <v>2</v>
      </c>
      <c r="M285" s="199">
        <f ca="1">$H$283</f>
        <v>3</v>
      </c>
      <c r="N285" s="200">
        <f ca="1">$H$283+1</f>
        <v>4</v>
      </c>
      <c r="O285" s="198">
        <f ca="1">$H$283-1</f>
        <v>2</v>
      </c>
      <c r="P285" s="199">
        <f ca="1">$H$283</f>
        <v>3</v>
      </c>
      <c r="Q285" s="200">
        <f ca="1">$H$283+1</f>
        <v>4</v>
      </c>
      <c r="T285" t="s">
        <v>158</v>
      </c>
      <c r="U285" t="e">
        <f t="dataTable" ref="U285:U304" dt2D="0" dtr="0" r1="H281" ca="1"/>
        <v>#REF!</v>
      </c>
      <c r="W285">
        <v>21</v>
      </c>
      <c r="X285">
        <v>23</v>
      </c>
    </row>
    <row r="286" spans="2:24" x14ac:dyDescent="0.3">
      <c r="B286" s="3">
        <v>122</v>
      </c>
      <c r="C286" s="2">
        <v>7</v>
      </c>
      <c r="D286" s="7" t="s">
        <v>97</v>
      </c>
      <c r="E286" s="5">
        <f>IF(D286&lt;&gt;"",IF(D286=Answers!D254,1,-1),0)</f>
        <v>1</v>
      </c>
      <c r="F286" s="25">
        <v>45750.875</v>
      </c>
      <c r="G286" s="186">
        <f ca="1">$I$283-1</f>
        <v>23</v>
      </c>
      <c r="H286" s="191" t="str" cm="1">
        <f t="array" aca="1" ref="H286" ca="1">_xlfn.XLOOKUP(INDEX(_tClimate,$G286,H$285),Climatogram!$AM$5:$AM$10,Climatogram!$AI$5:$AI$10)</f>
        <v>Mild</v>
      </c>
      <c r="I286" s="191" t="str" cm="1">
        <f t="array" aca="1" ref="I286" ca="1">_xlfn.XLOOKUP(INDEX(_tClimate,$G286,I$285),Climatogram!$AM$5:$AM$10,Climatogram!$AI$5:$AI$10)</f>
        <v>Mild</v>
      </c>
      <c r="J286" s="191"/>
      <c r="K286" s="191" t="str" cm="1">
        <f t="array" aca="1" ref="K286" ca="1">_xlfn.XLOOKUP(INDEX(_tClimate,$G286,K$285),Climatogram!$AM$5:$AM$10,Climatogram!$AI$5:$AI$10)</f>
        <v>Pleasant</v>
      </c>
      <c r="L286" s="194" t="str" cm="1">
        <f t="array" aca="1" ref="L286" ca="1">_xlfn.XLOOKUP(INDEX(_tWind,$G286,L$285),Climatogram!$AN$35:$AN$41,Climatogram!$AI$35:$AI$41)</f>
        <v>Light Breeze</v>
      </c>
      <c r="M286" s="194" t="str" cm="1">
        <f t="array" aca="1" ref="M286" ca="1">_xlfn.XLOOKUP(INDEX(_tWind,$G286,M$285),Climatogram!$AN$35:$AN$41,Climatogram!$AI$35:$AI$41)</f>
        <v>Light Air</v>
      </c>
      <c r="N286" s="194" t="str" cm="1">
        <f t="array" aca="1" ref="N286" ca="1">_xlfn.XLOOKUP(INDEX(_tWind,$G286,N$285),Climatogram!$AN$35:$AN$41,Climatogram!$AI$35:$AI$41)</f>
        <v>Light Air</v>
      </c>
      <c r="O286" s="197" t="str" cm="1">
        <f t="array" aca="1" ref="O286" ca="1">IF(_fnDay(INDIRECT("Climatogram!"&amp;ADDRESS(-$G286+28,O$285+2))),"D","N")</f>
        <v>N</v>
      </c>
      <c r="P286" s="197" t="str" cm="1">
        <f t="array" aca="1" ref="P286" ca="1">IF(_fnDay(INDIRECT("Climatogram!"&amp;ADDRESS(-$G286+28,P$285+2))),"D","N")</f>
        <v>N</v>
      </c>
      <c r="Q286" s="197" t="str" cm="1">
        <f t="array" aca="1" ref="Q286" ca="1">IF(_fnDay(INDIRECT("Climatogram!"&amp;ADDRESS(-$G286+28,Q$285+2))),"D","N")</f>
        <v>N</v>
      </c>
      <c r="T286" t="s">
        <v>159</v>
      </c>
      <c r="U286" t="e">
        <v>#REF!</v>
      </c>
      <c r="W286">
        <v>22</v>
      </c>
      <c r="X286">
        <v>24</v>
      </c>
    </row>
    <row r="287" spans="2:24" x14ac:dyDescent="0.3">
      <c r="B287" s="3">
        <v>123</v>
      </c>
      <c r="C287" s="2">
        <v>7</v>
      </c>
      <c r="D287" s="7" t="s">
        <v>65</v>
      </c>
      <c r="E287" s="5">
        <f>IF(D287&lt;&gt;"",IF(D287=Answers!D255,1,-1),0)</f>
        <v>1</v>
      </c>
      <c r="F287" s="25">
        <v>45771.583333333336</v>
      </c>
      <c r="G287" s="186">
        <f ca="1">$I$283</f>
        <v>24</v>
      </c>
      <c r="H287" s="191" t="str" cm="1">
        <f t="array" aca="1" ref="H287" ca="1">_xlfn.XLOOKUP(INDEX(_tClimate,$G287,H$285),Climatogram!$AM$5:$AM$10,Climatogram!$AI$5:$AI$10)</f>
        <v>Mild</v>
      </c>
      <c r="I287" s="191" t="str" cm="1">
        <f t="array" aca="1" ref="I287" ca="1">_xlfn.XLOOKUP(INDEX(_tClimate,$G287,I$285),Climatogram!$AM$5:$AM$10,Climatogram!$AI$5:$AI$10)</f>
        <v>Mild</v>
      </c>
      <c r="J287" s="191"/>
      <c r="K287" s="191" t="str" cm="1">
        <f t="array" aca="1" ref="K287" ca="1">_xlfn.XLOOKUP(INDEX(_tClimate,$G287,K$285),Climatogram!$AM$5:$AM$10,Climatogram!$AI$5:$AI$10)</f>
        <v>Pleasant</v>
      </c>
      <c r="L287" s="194" t="str" cm="1">
        <f t="array" aca="1" ref="L287" ca="1">_xlfn.XLOOKUP(INDEX(_tWind,$G287,L$285),Climatogram!$AN$35:$AN$41,Climatogram!$AI$35:$AI$41)</f>
        <v>Light Breeze</v>
      </c>
      <c r="M287" s="194" t="str" cm="1">
        <f t="array" aca="1" ref="M287" ca="1">_xlfn.XLOOKUP(INDEX(_tWind,$G287,M$285),Climatogram!$AN$35:$AN$41,Climatogram!$AI$35:$AI$41)</f>
        <v>Light Breeze</v>
      </c>
      <c r="N287" s="194" t="str" cm="1">
        <f t="array" aca="1" ref="N287" ca="1">_xlfn.XLOOKUP(INDEX(_tWind,$G287,N$285),Climatogram!$AN$35:$AN$41,Climatogram!$AI$35:$AI$41)</f>
        <v>Light Breeze</v>
      </c>
      <c r="O287" s="197" t="str" cm="1">
        <f t="array" aca="1" ref="O287" ca="1">IF(_fnDay(INDIRECT("Climatogram!"&amp;ADDRESS(-$G287+28,O$285+2))),"D","N")</f>
        <v>N</v>
      </c>
      <c r="P287" s="197" t="str" cm="1">
        <f t="array" aca="1" ref="P287" ca="1">IF(_fnDay(INDIRECT("Climatogram!"&amp;ADDRESS(-$G287+28,P$285+2))),"D","N")</f>
        <v>N</v>
      </c>
      <c r="Q287" s="197" t="str" cm="1">
        <f t="array" aca="1" ref="Q287" ca="1">IF(_fnDay(INDIRECT("Climatogram!"&amp;ADDRESS(-$G287+28,Q$285+2))),"D","N")</f>
        <v>N</v>
      </c>
      <c r="T287" t="s">
        <v>160</v>
      </c>
      <c r="U287" t="e">
        <v>#REF!</v>
      </c>
      <c r="W287">
        <v>28</v>
      </c>
      <c r="X287">
        <v>25</v>
      </c>
    </row>
    <row r="288" spans="2:24" x14ac:dyDescent="0.3">
      <c r="B288" s="3">
        <v>124</v>
      </c>
      <c r="C288" s="2">
        <v>7</v>
      </c>
      <c r="D288" s="7" t="s">
        <v>109</v>
      </c>
      <c r="E288" s="5">
        <f>IF(D288&lt;&gt;"",IF(D288=Answers!D256,1,-1),0)</f>
        <v>1</v>
      </c>
      <c r="F288" s="25">
        <v>45775.625</v>
      </c>
      <c r="G288" s="186">
        <f ca="1">$I$283+1</f>
        <v>25</v>
      </c>
      <c r="H288" s="191" t="e" cm="1">
        <f t="array" aca="1" ref="H288" ca="1">_xlfn.XLOOKUP(INDEX(_tClimate,$G288,H$285),Climatogram!$AM$5:$AM$10,Climatogram!$AI$5:$AI$10)</f>
        <v>#REF!</v>
      </c>
      <c r="I288" s="191" t="e" cm="1">
        <f t="array" aca="1" ref="I288" ca="1">_xlfn.XLOOKUP(INDEX(_tClimate,$G288,I$285),Climatogram!$AM$5:$AM$10,Climatogram!$AI$5:$AI$10)</f>
        <v>#REF!</v>
      </c>
      <c r="J288" s="191"/>
      <c r="K288" s="191" t="e" cm="1">
        <f t="array" aca="1" ref="K288" ca="1">_xlfn.XLOOKUP(INDEX(_tClimate,$G288,K$285),Climatogram!$AM$5:$AM$10,Climatogram!$AI$5:$AI$10)</f>
        <v>#REF!</v>
      </c>
      <c r="L288" s="194" t="e" cm="1">
        <f t="array" aca="1" ref="L288" ca="1">_xlfn.XLOOKUP(INDEX(_tWind,$G288,L$285),Climatogram!$AN$35:$AN$41,Climatogram!$AI$35:$AI$41)</f>
        <v>#REF!</v>
      </c>
      <c r="M288" s="194" t="e" cm="1">
        <f t="array" aca="1" ref="M288" ca="1">_xlfn.XLOOKUP(INDEX(_tWind,$G288,M$285),Climatogram!$AN$35:$AN$41,Climatogram!$AI$35:$AI$41)</f>
        <v>#REF!</v>
      </c>
      <c r="N288" s="194" t="e" cm="1">
        <f t="array" aca="1" ref="N288" ca="1">_xlfn.XLOOKUP(INDEX(_tWind,$G288,N$285),Climatogram!$AN$35:$AN$41,Climatogram!$AI$35:$AI$41)</f>
        <v>#REF!</v>
      </c>
      <c r="O288" s="197" t="str" cm="1">
        <f t="array" aca="1" ref="O288" ca="1">IF(_fnDay(INDIRECT("Climatogram!"&amp;ADDRESS(-$G288+28,O$285+2))),"D","N")</f>
        <v>N</v>
      </c>
      <c r="P288" s="197" t="str" cm="1">
        <f t="array" aca="1" ref="P288" ca="1">IF(_fnDay(INDIRECT("Climatogram!"&amp;ADDRESS(-$G288+28,P$285+2))),"D","N")</f>
        <v>N</v>
      </c>
      <c r="Q288" s="197" t="str" cm="1">
        <f t="array" aca="1" ref="Q288" ca="1">IF(_fnDay(INDIRECT("Climatogram!"&amp;ADDRESS(-$G288+28,Q$285+2))),"D","N")</f>
        <v>N</v>
      </c>
      <c r="T288" t="s">
        <v>161</v>
      </c>
      <c r="U288" t="e">
        <v>#REF!</v>
      </c>
      <c r="W288">
        <v>29</v>
      </c>
      <c r="X288">
        <v>26</v>
      </c>
    </row>
    <row r="289" spans="2:24" x14ac:dyDescent="0.3">
      <c r="B289" s="3">
        <v>125</v>
      </c>
      <c r="C289" s="2">
        <v>7</v>
      </c>
      <c r="D289" s="7" t="s">
        <v>97</v>
      </c>
      <c r="E289" s="5">
        <f>IF(D289&lt;&gt;"",IF(D289=Answers!D257,1,-1),0)</f>
        <v>1</v>
      </c>
      <c r="F289" s="25">
        <v>45770.083333333336</v>
      </c>
      <c r="T289" t="s">
        <v>162</v>
      </c>
      <c r="U289" t="e">
        <v>#REF!</v>
      </c>
      <c r="X289">
        <v>27</v>
      </c>
    </row>
    <row r="290" spans="2:24" x14ac:dyDescent="0.3">
      <c r="B290" s="3">
        <v>126</v>
      </c>
      <c r="C290" s="2">
        <v>7</v>
      </c>
      <c r="D290" s="7" t="s">
        <v>65</v>
      </c>
      <c r="E290" s="5">
        <f>IF(D290&lt;&gt;"",IF(D290=Answers!D258,1,-1),0)</f>
        <v>1</v>
      </c>
      <c r="F290" s="25">
        <v>45758.375</v>
      </c>
      <c r="H290" s="201" cm="1">
        <f t="array" aca="1" ref="H290:K292" ca="1">_xlfn.XLOOKUP(H286:K288,Climatogram!AI5:AI10,Climatogram!AL5:AL10)</f>
        <v>16</v>
      </c>
      <c r="I290" s="201">
        <f ca="1"/>
        <v>16</v>
      </c>
      <c r="J290" s="201" t="e">
        <f ca="1"/>
        <v>#N/A</v>
      </c>
      <c r="K290" s="201">
        <f ca="1"/>
        <v>22</v>
      </c>
      <c r="L290" s="202" cm="1">
        <f t="array" aca="1" ref="L290:N292" ca="1">_xlfn.XLOOKUP(L286:N288,Climatogram!AI35:AI41,Climatogram!AM35:AM41)</f>
        <v>0</v>
      </c>
      <c r="M290" s="202">
        <f ca="1"/>
        <v>2</v>
      </c>
      <c r="N290" s="202">
        <f ca="1"/>
        <v>2</v>
      </c>
      <c r="O290" s="203">
        <f t="shared" ref="O290:P292" ca="1" si="7">H290+IF(O286="N",1.5*L290,L290)</f>
        <v>16</v>
      </c>
      <c r="P290" s="203">
        <f t="shared" ca="1" si="7"/>
        <v>19</v>
      </c>
      <c r="Q290" s="203">
        <f t="shared" ref="Q290:Q292" ca="1" si="8">K290+IF(Q286="N",1.5*N290,N290)</f>
        <v>25</v>
      </c>
      <c r="T290" t="s">
        <v>163</v>
      </c>
      <c r="U290" t="e">
        <v>#REF!</v>
      </c>
      <c r="X290">
        <v>30</v>
      </c>
    </row>
    <row r="291" spans="2:24" x14ac:dyDescent="0.3">
      <c r="B291" s="3">
        <v>127</v>
      </c>
      <c r="C291" s="2">
        <v>7</v>
      </c>
      <c r="D291" s="7" t="s">
        <v>97</v>
      </c>
      <c r="E291" s="5">
        <f>IF(D291&lt;&gt;"",IF(D291=Answers!D259,1,-1),0)</f>
        <v>1</v>
      </c>
      <c r="F291" s="25">
        <v>45764.75</v>
      </c>
      <c r="H291" s="201">
        <f ca="1"/>
        <v>16</v>
      </c>
      <c r="I291" s="201">
        <f ca="1"/>
        <v>16</v>
      </c>
      <c r="J291" s="201" t="e">
        <f ca="1"/>
        <v>#N/A</v>
      </c>
      <c r="K291" s="201">
        <f ca="1"/>
        <v>22</v>
      </c>
      <c r="L291" s="202">
        <f ca="1"/>
        <v>0</v>
      </c>
      <c r="M291" s="202">
        <f ca="1"/>
        <v>0</v>
      </c>
      <c r="N291" s="202">
        <f ca="1"/>
        <v>0</v>
      </c>
      <c r="O291" s="203">
        <f t="shared" ca="1" si="7"/>
        <v>16</v>
      </c>
      <c r="P291" s="203">
        <f t="shared" ca="1" si="7"/>
        <v>16</v>
      </c>
      <c r="Q291" s="203">
        <f t="shared" ca="1" si="8"/>
        <v>22</v>
      </c>
      <c r="T291" t="s">
        <v>164</v>
      </c>
      <c r="U291" t="e">
        <v>#REF!</v>
      </c>
    </row>
    <row r="292" spans="2:24" x14ac:dyDescent="0.3">
      <c r="B292" s="3">
        <v>128</v>
      </c>
      <c r="C292" s="2">
        <v>7</v>
      </c>
      <c r="D292" s="7" t="s">
        <v>109</v>
      </c>
      <c r="E292" s="5">
        <f>IF(D292&lt;&gt;"",IF(D292=Answers!D260,1,-1),0)</f>
        <v>1</v>
      </c>
      <c r="F292" s="25">
        <v>45758.666666666664</v>
      </c>
      <c r="H292" s="201" t="e">
        <f ca="1"/>
        <v>#REF!</v>
      </c>
      <c r="I292" s="201" t="e">
        <f ca="1"/>
        <v>#REF!</v>
      </c>
      <c r="J292" s="201" t="e">
        <f ca="1"/>
        <v>#N/A</v>
      </c>
      <c r="K292" s="201" t="e">
        <f ca="1"/>
        <v>#REF!</v>
      </c>
      <c r="L292" s="202" t="e">
        <f ca="1"/>
        <v>#REF!</v>
      </c>
      <c r="M292" s="202" t="e">
        <f ca="1"/>
        <v>#REF!</v>
      </c>
      <c r="N292" s="202" t="e">
        <f ca="1"/>
        <v>#REF!</v>
      </c>
      <c r="O292" s="203" t="e">
        <f t="shared" ca="1" si="7"/>
        <v>#REF!</v>
      </c>
      <c r="P292" s="203" t="e">
        <f t="shared" ca="1" si="7"/>
        <v>#REF!</v>
      </c>
      <c r="Q292" s="203" t="e">
        <f t="shared" ca="1" si="8"/>
        <v>#REF!</v>
      </c>
      <c r="T292" t="s">
        <v>165</v>
      </c>
      <c r="U292" t="e">
        <v>#REF!</v>
      </c>
    </row>
    <row r="293" spans="2:24" x14ac:dyDescent="0.3">
      <c r="B293" s="3">
        <v>129</v>
      </c>
      <c r="C293" s="2">
        <v>7</v>
      </c>
      <c r="D293" s="7" t="s">
        <v>97</v>
      </c>
      <c r="E293" s="5">
        <f>IF(D293&lt;&gt;"",IF(D293=Answers!D261,1,-1),0)</f>
        <v>1</v>
      </c>
      <c r="F293" s="25">
        <v>45766.791666666664</v>
      </c>
      <c r="Q293" s="204" t="e">
        <f ca="1">AVERAGE(O290:Q292)</f>
        <v>#REF!</v>
      </c>
      <c r="T293" t="s">
        <v>166</v>
      </c>
      <c r="U293" t="e">
        <v>#REF!</v>
      </c>
    </row>
    <row r="294" spans="2:24" x14ac:dyDescent="0.3">
      <c r="B294" s="3">
        <v>130</v>
      </c>
      <c r="C294" s="2">
        <v>7</v>
      </c>
      <c r="D294" s="8" t="s">
        <v>107</v>
      </c>
      <c r="E294" s="5">
        <f>IF(D294&lt;&gt;"",IF(D294=Answers!D262,1,-1),0)</f>
        <v>1</v>
      </c>
      <c r="F294" s="25">
        <v>45763.125</v>
      </c>
      <c r="Q294" t="e">
        <f ca="1">_xlfn.XLOOKUP(Q293,Climatogram!AJ5:AJ10,Climatogram!AI5:AI10,,-1)</f>
        <v>#REF!</v>
      </c>
      <c r="T294" t="s">
        <v>167</v>
      </c>
      <c r="U294" t="e">
        <v>#REF!</v>
      </c>
    </row>
    <row r="295" spans="2:24" x14ac:dyDescent="0.3">
      <c r="B295" s="3">
        <v>131</v>
      </c>
      <c r="C295" s="2">
        <v>7</v>
      </c>
      <c r="D295" s="8" t="s">
        <v>97</v>
      </c>
      <c r="E295" s="5">
        <f>IF(D295&lt;&gt;"",IF(D295=Answers!D263,1,-1),0)</f>
        <v>1</v>
      </c>
      <c r="F295" s="25">
        <v>45770.5</v>
      </c>
      <c r="T295" t="s">
        <v>168</v>
      </c>
      <c r="U295" t="e">
        <v>#REF!</v>
      </c>
    </row>
    <row r="296" spans="2:24" x14ac:dyDescent="0.3">
      <c r="B296" s="3">
        <v>132</v>
      </c>
      <c r="C296" s="2">
        <v>7</v>
      </c>
      <c r="D296" s="8" t="s">
        <v>97</v>
      </c>
      <c r="E296" s="5">
        <f>IF(D296&lt;&gt;"",IF(D296=Answers!D264,1,-1),0)</f>
        <v>1</v>
      </c>
      <c r="F296" s="25">
        <v>45766.041666666664</v>
      </c>
      <c r="T296" t="s">
        <v>169</v>
      </c>
      <c r="U296" t="e">
        <v>#REF!</v>
      </c>
    </row>
    <row r="297" spans="2:24" x14ac:dyDescent="0.3">
      <c r="B297" s="3">
        <v>133</v>
      </c>
      <c r="C297" s="2">
        <v>7</v>
      </c>
      <c r="D297" s="8" t="s">
        <v>97</v>
      </c>
      <c r="E297" s="5">
        <f>IF(D297&lt;&gt;"",IF(D297=Answers!D265,1,-1),0)</f>
        <v>1</v>
      </c>
      <c r="F297" s="25">
        <v>45773.833333333336</v>
      </c>
      <c r="T297" t="s">
        <v>170</v>
      </c>
      <c r="U297" t="e">
        <v>#REF!</v>
      </c>
    </row>
    <row r="298" spans="2:24" x14ac:dyDescent="0.3">
      <c r="B298" s="3">
        <v>134</v>
      </c>
      <c r="C298" s="2">
        <v>7</v>
      </c>
      <c r="D298" s="8" t="s">
        <v>109</v>
      </c>
      <c r="E298" s="5">
        <f>IF(D298&lt;&gt;"",IF(D298=Answers!D266,1,-1),0)</f>
        <v>1</v>
      </c>
      <c r="F298" s="25">
        <v>45758.583333333336</v>
      </c>
      <c r="T298" t="s">
        <v>171</v>
      </c>
      <c r="U298" t="e">
        <v>#REF!</v>
      </c>
    </row>
    <row r="299" spans="2:24" x14ac:dyDescent="0.3">
      <c r="B299" s="3">
        <v>135</v>
      </c>
      <c r="C299" s="2">
        <v>7</v>
      </c>
      <c r="D299" s="8" t="s">
        <v>65</v>
      </c>
      <c r="E299" s="5">
        <f>IF(D299&lt;&gt;"",IF(D299=Answers!D267,1,-1),0)</f>
        <v>1</v>
      </c>
      <c r="F299" s="25">
        <v>45768.708333333336</v>
      </c>
      <c r="T299" t="s">
        <v>172</v>
      </c>
      <c r="U299" t="e">
        <v>#VALUE!</v>
      </c>
    </row>
    <row r="300" spans="2:24" x14ac:dyDescent="0.3">
      <c r="B300" s="3">
        <v>136</v>
      </c>
      <c r="C300" s="2">
        <v>7</v>
      </c>
      <c r="D300" s="8" t="s">
        <v>97</v>
      </c>
      <c r="E300" s="5">
        <f>IF(D300&lt;&gt;"",IF(D300=Answers!D268,1,-1),0)</f>
        <v>1</v>
      </c>
      <c r="F300" s="25">
        <v>45759.291666666664</v>
      </c>
      <c r="T300" t="s">
        <v>173</v>
      </c>
      <c r="U300" t="e">
        <v>#VALUE!</v>
      </c>
    </row>
    <row r="301" spans="2:24" x14ac:dyDescent="0.3">
      <c r="B301" s="3">
        <v>137</v>
      </c>
      <c r="C301" s="2">
        <v>7</v>
      </c>
      <c r="D301" s="8" t="s">
        <v>97</v>
      </c>
      <c r="E301" s="5">
        <f>IF(D301&lt;&gt;"",IF(D301=Answers!D269,1,-1),0)</f>
        <v>1</v>
      </c>
      <c r="F301" s="25">
        <v>45762.875</v>
      </c>
      <c r="T301" t="s">
        <v>174</v>
      </c>
      <c r="U301" t="e">
        <v>#VALUE!</v>
      </c>
    </row>
    <row r="302" spans="2:24" x14ac:dyDescent="0.3">
      <c r="B302" s="3">
        <v>138</v>
      </c>
      <c r="C302" s="2">
        <v>7</v>
      </c>
      <c r="D302" s="8" t="s">
        <v>97</v>
      </c>
      <c r="E302" s="5">
        <f>IF(D302&lt;&gt;"",IF(D302=Answers!D270,1,-1),0)</f>
        <v>1</v>
      </c>
      <c r="F302" s="25">
        <v>45763.875</v>
      </c>
      <c r="T302" t="s">
        <v>175</v>
      </c>
      <c r="U302" t="e">
        <v>#VALUE!</v>
      </c>
    </row>
    <row r="303" spans="2:24" x14ac:dyDescent="0.3">
      <c r="B303" s="3">
        <v>139</v>
      </c>
      <c r="C303" s="2">
        <v>7</v>
      </c>
      <c r="D303" s="8" t="s">
        <v>65</v>
      </c>
      <c r="E303" s="5">
        <f>IF(D303&lt;&gt;"",IF(D303=Answers!D271,1,-1),0)</f>
        <v>1</v>
      </c>
      <c r="F303" s="25">
        <v>45754.416666666664</v>
      </c>
      <c r="T303" t="s">
        <v>176</v>
      </c>
      <c r="U303" t="e">
        <v>#VALUE!</v>
      </c>
    </row>
    <row r="304" spans="2:24" x14ac:dyDescent="0.3">
      <c r="B304" s="3">
        <v>140</v>
      </c>
      <c r="C304" s="2">
        <v>7</v>
      </c>
      <c r="D304" s="8" t="s">
        <v>97</v>
      </c>
      <c r="E304" s="5">
        <f>IF(D304&lt;&gt;"",IF(D304=Answers!D272,1,-1),0)</f>
        <v>1</v>
      </c>
      <c r="F304" s="25">
        <v>45767.291666666664</v>
      </c>
      <c r="T304" t="s">
        <v>177</v>
      </c>
      <c r="U304" t="e">
        <v>#VALUE!</v>
      </c>
    </row>
  </sheetData>
  <mergeCells count="9">
    <mergeCell ref="F26:Q26"/>
    <mergeCell ref="F27:Q27"/>
    <mergeCell ref="F28:Q28"/>
    <mergeCell ref="N33:Q36"/>
    <mergeCell ref="O4:Q4"/>
    <mergeCell ref="B5:M19"/>
    <mergeCell ref="O16:P16"/>
    <mergeCell ref="F24:Q24"/>
    <mergeCell ref="F25:Q25"/>
  </mergeCells>
  <phoneticPr fontId="34" type="noConversion"/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E161:E180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E162:E163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E162:E180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E196:E215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E197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E198:E215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E231:E250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E285:E304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AN37" sqref="AN37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43">
        <v>45748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5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M13" s="32">
        <v>6321607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M14" s="32">
        <v>6321607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>
        <v>7851241</v>
      </c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M16" s="32">
        <v>7454605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M17" s="32">
        <v>7454605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M18" s="32">
        <v>7454605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M19" s="32">
        <v>7454605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M20" s="32">
        <v>7841908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M21" s="188">
        <v>7454605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M22" s="208">
        <v>7454605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M23" s="208">
        <v>7454605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M24" s="208">
        <v>7454605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M25" s="32">
        <v>7454605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M26" s="32">
        <v>7454605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M27" s="32">
        <v>7851241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M28" s="32">
        <v>7851241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  <c r="AM29" s="32">
        <v>6321607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44">
        <v>45748</v>
      </c>
      <c r="D34" s="244"/>
      <c r="E34" s="244"/>
      <c r="F34" s="244"/>
      <c r="G34" s="244"/>
      <c r="H34" s="244"/>
      <c r="I34" s="244"/>
      <c r="J34" s="244"/>
      <c r="K34" s="244"/>
      <c r="L34" s="244"/>
      <c r="M34" s="244"/>
      <c r="N34" s="244"/>
      <c r="O34" s="244"/>
      <c r="P34" s="244"/>
      <c r="Q34" s="244"/>
      <c r="R34" s="244"/>
      <c r="S34" s="244"/>
      <c r="T34" s="244"/>
      <c r="U34" s="244"/>
      <c r="V34" s="244"/>
      <c r="W34" s="244"/>
      <c r="X34" s="244"/>
      <c r="Y34" s="244"/>
      <c r="Z34" s="244"/>
      <c r="AA34" s="244"/>
      <c r="AB34" s="244"/>
      <c r="AC34" s="244"/>
      <c r="AD34" s="244"/>
      <c r="AE34" s="244"/>
      <c r="AF34" s="244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46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41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41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47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38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38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38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38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38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38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38"/>
      <c r="AJ45" s="32">
        <v>16564099</v>
      </c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38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38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38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38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38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38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39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40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41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41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41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41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42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132" zoomScaleNormal="100" workbookViewId="0">
      <selection activeCell="D152" sqref="D152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32" t="s">
        <v>2</v>
      </c>
      <c r="O4" s="232"/>
      <c r="P4" s="232"/>
    </row>
    <row r="5" spans="2:16" ht="15" customHeight="1" thickTop="1" x14ac:dyDescent="0.3">
      <c r="B5" s="233" t="s">
        <v>3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</row>
    <row r="6" spans="2:16" x14ac:dyDescent="0.3">
      <c r="B6" s="234"/>
      <c r="C6" s="234"/>
      <c r="D6" s="234"/>
      <c r="E6" s="234"/>
      <c r="F6" s="234"/>
      <c r="G6" s="234"/>
      <c r="H6" s="234"/>
      <c r="I6" s="234"/>
      <c r="J6" s="234"/>
      <c r="K6" s="234"/>
      <c r="L6" s="234"/>
    </row>
    <row r="7" spans="2:16" x14ac:dyDescent="0.3">
      <c r="B7" s="234"/>
      <c r="C7" s="234"/>
      <c r="D7" s="234"/>
      <c r="E7" s="234"/>
      <c r="F7" s="234"/>
      <c r="G7" s="234"/>
      <c r="H7" s="234"/>
      <c r="I7" s="234"/>
      <c r="J7" s="234"/>
      <c r="K7" s="234"/>
      <c r="L7" s="234"/>
    </row>
    <row r="8" spans="2:16" x14ac:dyDescent="0.3">
      <c r="B8" s="234"/>
      <c r="C8" s="234"/>
      <c r="D8" s="234"/>
      <c r="E8" s="234"/>
      <c r="F8" s="234"/>
      <c r="G8" s="234"/>
      <c r="H8" s="234"/>
      <c r="I8" s="234"/>
      <c r="J8" s="234"/>
      <c r="K8" s="234"/>
      <c r="L8" s="234"/>
    </row>
    <row r="9" spans="2:16" x14ac:dyDescent="0.3">
      <c r="B9" s="234"/>
      <c r="C9" s="234"/>
      <c r="D9" s="234"/>
      <c r="E9" s="234"/>
      <c r="F9" s="234"/>
      <c r="G9" s="234"/>
      <c r="H9" s="234"/>
      <c r="I9" s="234"/>
      <c r="J9" s="234"/>
      <c r="K9" s="234"/>
      <c r="L9" s="234"/>
    </row>
    <row r="10" spans="2:16" x14ac:dyDescent="0.3">
      <c r="B10" s="234"/>
      <c r="C10" s="234"/>
      <c r="D10" s="234"/>
      <c r="E10" s="234"/>
      <c r="F10" s="234"/>
      <c r="G10" s="234"/>
      <c r="H10" s="234"/>
      <c r="I10" s="234"/>
      <c r="J10" s="234"/>
      <c r="K10" s="234"/>
      <c r="L10" s="234"/>
    </row>
    <row r="11" spans="2:16" x14ac:dyDescent="0.3">
      <c r="B11" s="234"/>
      <c r="C11" s="234"/>
      <c r="D11" s="234"/>
      <c r="E11" s="234"/>
      <c r="F11" s="234"/>
      <c r="G11" s="234"/>
      <c r="H11" s="234"/>
      <c r="I11" s="234"/>
      <c r="J11" s="234"/>
      <c r="K11" s="234"/>
      <c r="L11" s="234"/>
    </row>
    <row r="12" spans="2:16" x14ac:dyDescent="0.3">
      <c r="B12" s="234"/>
      <c r="C12" s="234"/>
      <c r="D12" s="234"/>
      <c r="E12" s="234"/>
      <c r="F12" s="234"/>
      <c r="G12" s="234"/>
      <c r="H12" s="234"/>
      <c r="I12" s="234"/>
      <c r="J12" s="234"/>
      <c r="K12" s="234"/>
      <c r="L12" s="234"/>
    </row>
    <row r="13" spans="2:16" x14ac:dyDescent="0.3"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</row>
    <row r="14" spans="2:16" x14ac:dyDescent="0.3">
      <c r="B14" s="234"/>
      <c r="C14" s="234"/>
      <c r="D14" s="234"/>
      <c r="E14" s="234"/>
      <c r="F14" s="234"/>
      <c r="G14" s="234"/>
      <c r="H14" s="234"/>
      <c r="I14" s="234"/>
      <c r="J14" s="234"/>
      <c r="K14" s="234"/>
      <c r="L14" s="234"/>
    </row>
    <row r="15" spans="2:16" x14ac:dyDescent="0.3">
      <c r="B15" s="234"/>
      <c r="C15" s="234"/>
      <c r="D15" s="234"/>
      <c r="E15" s="234"/>
      <c r="F15" s="234"/>
      <c r="G15" s="234"/>
      <c r="H15" s="234"/>
      <c r="I15" s="234"/>
      <c r="J15" s="234"/>
      <c r="K15" s="234"/>
      <c r="L15" s="234"/>
    </row>
    <row r="16" spans="2:16" ht="15" thickBot="1" x14ac:dyDescent="0.35">
      <c r="B16" s="234"/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N16" s="236" t="s">
        <v>4</v>
      </c>
      <c r="O16" s="236"/>
      <c r="P16" s="24" t="str">
        <f>HYPERLINK("https://www.linkedin.com/in/thomas-marcelo/","🔗")</f>
        <v>🔗</v>
      </c>
    </row>
    <row r="17" spans="2:16" ht="15" thickTop="1" x14ac:dyDescent="0.3">
      <c r="B17" s="234"/>
      <c r="C17" s="234"/>
      <c r="D17" s="234"/>
      <c r="E17" s="234"/>
      <c r="F17" s="234"/>
      <c r="G17" s="234"/>
      <c r="H17" s="234"/>
      <c r="I17" s="234"/>
      <c r="J17" s="234"/>
      <c r="K17" s="234"/>
      <c r="L17" s="234"/>
      <c r="N17" s="179" t="s">
        <v>5</v>
      </c>
      <c r="O17" s="180"/>
      <c r="P17" s="180"/>
    </row>
    <row r="18" spans="2:16" x14ac:dyDescent="0.3">
      <c r="B18" s="234"/>
      <c r="C18" s="234"/>
      <c r="D18" s="234"/>
      <c r="E18" s="234"/>
      <c r="F18" s="234"/>
      <c r="G18" s="234"/>
      <c r="H18" s="234"/>
      <c r="I18" s="234"/>
      <c r="J18" s="234"/>
      <c r="K18" s="234"/>
      <c r="L18" s="234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35"/>
      <c r="C19" s="235"/>
      <c r="D19" s="235"/>
      <c r="E19" s="235"/>
      <c r="F19" s="235"/>
      <c r="G19" s="235"/>
      <c r="H19" s="235"/>
      <c r="I19" s="235"/>
      <c r="J19" s="235"/>
      <c r="K19" s="235"/>
      <c r="L19" s="235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37" t="s">
        <v>15</v>
      </c>
      <c r="G24" s="237"/>
      <c r="H24" s="237"/>
      <c r="I24" s="237"/>
      <c r="J24" s="237"/>
      <c r="K24" s="237"/>
      <c r="L24" s="237"/>
      <c r="M24" s="237"/>
      <c r="N24" s="237"/>
      <c r="O24" s="237"/>
      <c r="P24" s="237"/>
    </row>
    <row r="25" spans="2:16" x14ac:dyDescent="0.3">
      <c r="B25" s="21" t="s">
        <v>16</v>
      </c>
      <c r="C25" s="22" t="s">
        <v>17</v>
      </c>
      <c r="D25" s="175">
        <v>3</v>
      </c>
      <c r="F25" s="222" t="s">
        <v>18</v>
      </c>
      <c r="G25" s="222"/>
      <c r="H25" s="222"/>
      <c r="I25" s="222"/>
      <c r="J25" s="222"/>
      <c r="K25" s="222"/>
      <c r="L25" s="222"/>
      <c r="M25" s="222"/>
      <c r="N25" s="222"/>
      <c r="O25" s="222"/>
      <c r="P25" s="222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222" t="s">
        <v>21</v>
      </c>
      <c r="G26" s="222"/>
      <c r="H26" s="222"/>
      <c r="I26" s="222"/>
      <c r="J26" s="222"/>
      <c r="K26" s="222"/>
      <c r="L26" s="222"/>
      <c r="M26" s="222"/>
      <c r="N26" s="222"/>
      <c r="O26" s="222"/>
      <c r="P26" s="222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222" t="s">
        <v>24</v>
      </c>
      <c r="G27" s="222"/>
      <c r="H27" s="222"/>
      <c r="I27" s="222"/>
      <c r="J27" s="222"/>
      <c r="K27" s="222"/>
      <c r="L27" s="222"/>
      <c r="M27" s="222"/>
      <c r="N27" s="222"/>
      <c r="O27" s="222"/>
      <c r="P27" s="222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222" t="s">
        <v>27</v>
      </c>
      <c r="G28" s="222"/>
      <c r="H28" s="222"/>
      <c r="I28" s="222"/>
      <c r="J28" s="222"/>
      <c r="K28" s="222"/>
      <c r="L28" s="222"/>
      <c r="M28" s="222"/>
      <c r="N28" s="222"/>
      <c r="O28" s="222"/>
      <c r="P28" s="222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2025-07-12T16:25:40Z</dcterms:modified>
  <cp:category/>
  <cp:contentStatus/>
</cp:coreProperties>
</file>