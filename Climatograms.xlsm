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CC00B0-5AED-4BA5-AB5D-FF8B1436A56A}" xr6:coauthVersionLast="47" xr6:coauthVersionMax="47" xr10:uidLastSave="{00000000-0000-0000-0000-000000000000}"/>
  <bookViews>
    <workbookView xWindow="-38510" yWindow="-110" windowWidth="38620" windowHeight="2110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Case!$M$103</definedName>
    <definedName name="_nIN">Case!$M$104</definedName>
    <definedName name="_tClimate">Climatogram!$C$5:$AF$28</definedName>
    <definedName name="_tWind">Climatogram!$C$35:$AF$58</definedName>
    <definedName name="_xleta.COUNT" hidden="1" xlm="1">#NAME?</definedName>
    <definedName name="_xleta.COUNTA" hidden="1" xlm="1">#NAME?</definedName>
    <definedName name="_xleta.INT" hidden="1" xlm="1">#NAME?</definedName>
    <definedName name="_xleta.MAP" hidden="1" xlm="1">#NAME?</definedName>
    <definedName name="_xleta.N" hidden="1" xlm="1">#NAME?</definedName>
    <definedName name="_xleta.ROUND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1" i="16" l="1"/>
  <c r="AJ42" i="16"/>
  <c r="AJ43" i="16"/>
  <c r="AJ44" i="16"/>
  <c r="AJ45" i="16"/>
  <c r="AJ46" i="16"/>
  <c r="AJ47" i="16"/>
  <c r="AJ48" i="16"/>
  <c r="AJ49" i="16"/>
  <c r="AJ50" i="16"/>
  <c r="AJ51" i="16"/>
  <c r="AJ52" i="16"/>
  <c r="AJ53" i="16"/>
  <c r="AJ54" i="16"/>
  <c r="AJ55" i="16"/>
  <c r="AJ56" i="16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71" i="16"/>
  <c r="AJ72" i="16"/>
  <c r="AJ73" i="16"/>
  <c r="AJ74" i="16"/>
  <c r="AJ75" i="16"/>
  <c r="AJ76" i="16"/>
  <c r="AJ77" i="16"/>
  <c r="AJ78" i="16"/>
  <c r="AJ79" i="16"/>
  <c r="AJ40" i="16"/>
  <c r="AH40" i="16" a="1"/>
  <c r="AH40" i="16" s="1"/>
  <c r="AI40" i="16" s="1"/>
  <c r="AI41" i="16"/>
  <c r="AI42" i="16"/>
  <c r="AI43" i="16"/>
  <c r="AI44" i="16"/>
  <c r="AI45" i="16"/>
  <c r="AI46" i="16"/>
  <c r="AI47" i="16"/>
  <c r="AI48" i="16"/>
  <c r="AI49" i="16"/>
  <c r="AI50" i="16"/>
  <c r="AI51" i="16"/>
  <c r="AI52" i="16"/>
  <c r="AI53" i="16"/>
  <c r="AI54" i="16"/>
  <c r="AI55" i="16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I75" i="16"/>
  <c r="AI76" i="16"/>
  <c r="AI77" i="16"/>
  <c r="AI78" i="16"/>
  <c r="AI79" i="16"/>
  <c r="AD40" i="16" a="1"/>
  <c r="AD40" i="16" s="1"/>
  <c r="AE40" i="16" s="1" a="1"/>
  <c r="AE40" i="16" s="1"/>
  <c r="Y40" i="16" a="1"/>
  <c r="Y40" i="16" s="1"/>
  <c r="W40" i="16" a="1"/>
  <c r="W40" i="16" s="1"/>
  <c r="E183" i="16"/>
  <c r="L179" i="16" a="1"/>
  <c r="L179" i="16" s="1"/>
  <c r="I179" i="16" a="1"/>
  <c r="I179" i="16" s="1"/>
  <c r="H179" i="16" a="1"/>
  <c r="H179" i="16" s="1"/>
  <c r="I144" i="16" a="1"/>
  <c r="I144" i="16" s="1"/>
  <c r="L144" i="16" a="1"/>
  <c r="L144" i="16" s="1"/>
  <c r="H144" i="16" a="1"/>
  <c r="H144" i="16" s="1"/>
  <c r="I251" i="16" a="1"/>
  <c r="I251" i="16" s="1"/>
  <c r="H251" i="16" a="1"/>
  <c r="H251" i="16" s="1"/>
  <c r="G213" i="16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K109" i="16" a="1"/>
  <c r="K109" i="16" s="1"/>
  <c r="K110" i="16" a="1"/>
  <c r="K110" i="16" s="1"/>
  <c r="K111" i="16" a="1"/>
  <c r="K111" i="16" s="1"/>
  <c r="K112" i="16" a="1"/>
  <c r="K112" i="16" s="1"/>
  <c r="K113" i="16" a="1"/>
  <c r="K113" i="16" s="1"/>
  <c r="K114" i="16" a="1"/>
  <c r="K114" i="16" s="1"/>
  <c r="K115" i="16" a="1"/>
  <c r="K115" i="16" s="1"/>
  <c r="K116" i="16" a="1"/>
  <c r="K116" i="16" s="1"/>
  <c r="K117" i="16" a="1"/>
  <c r="K117" i="16" s="1"/>
  <c r="K118" i="16" a="1"/>
  <c r="K118" i="16" s="1"/>
  <c r="K119" i="16" a="1"/>
  <c r="K119" i="16" s="1"/>
  <c r="K120" i="16" a="1"/>
  <c r="K120" i="16" s="1"/>
  <c r="K121" i="16" a="1"/>
  <c r="K121" i="16" s="1"/>
  <c r="K122" i="16" a="1"/>
  <c r="K122" i="16" s="1"/>
  <c r="K123" i="16" a="1"/>
  <c r="K123" i="16" s="1"/>
  <c r="K124" i="16" a="1"/>
  <c r="K124" i="16" s="1"/>
  <c r="K125" i="16" a="1"/>
  <c r="K125" i="16" s="1"/>
  <c r="K126" i="16" a="1"/>
  <c r="K126" i="16" s="1"/>
  <c r="K127" i="16" a="1"/>
  <c r="K127" i="16" s="1"/>
  <c r="K128" i="16" a="1"/>
  <c r="K128" i="16" s="1"/>
  <c r="K129" i="16" a="1"/>
  <c r="K129" i="16" s="1"/>
  <c r="K130" i="16" a="1"/>
  <c r="K130" i="16" s="1"/>
  <c r="K131" i="16" a="1"/>
  <c r="K131" i="16" s="1"/>
  <c r="K108" i="16" a="1"/>
  <c r="K108" i="16" s="1"/>
  <c r="AQ5" i="18" a="1"/>
  <c r="AQ5" i="18" s="1"/>
  <c r="G108" i="16"/>
  <c r="H108" i="16" s="1" a="1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10" i="16"/>
  <c r="L73" i="16" a="1"/>
  <c r="L73" i="16" s="1"/>
  <c r="L75" i="16" a="1"/>
  <c r="L75" i="16" s="1"/>
  <c r="L76" i="16" a="1"/>
  <c r="L76" i="16" s="1"/>
  <c r="L77" i="16" a="1"/>
  <c r="L77" i="16" s="1"/>
  <c r="L78" i="16" a="1"/>
  <c r="L78" i="16" s="1"/>
  <c r="L79" i="16" a="1"/>
  <c r="L79" i="16" s="1"/>
  <c r="L80" i="16" a="1"/>
  <c r="L80" i="16" s="1"/>
  <c r="L81" i="16" a="1"/>
  <c r="L81" i="16" s="1"/>
  <c r="L82" i="16" a="1"/>
  <c r="L82" i="16" s="1"/>
  <c r="L83" i="16" a="1"/>
  <c r="L83" i="16" s="1"/>
  <c r="L84" i="16" a="1"/>
  <c r="L84" i="16" s="1"/>
  <c r="L85" i="16" a="1"/>
  <c r="L85" i="16" s="1"/>
  <c r="L86" i="16" a="1"/>
  <c r="L86" i="16" s="1"/>
  <c r="L87" i="16" a="1"/>
  <c r="L87" i="16" s="1"/>
  <c r="L88" i="16" a="1"/>
  <c r="L88" i="16" s="1"/>
  <c r="L89" i="16" a="1"/>
  <c r="L89" i="16" s="1"/>
  <c r="L90" i="16" a="1"/>
  <c r="L90" i="16" s="1"/>
  <c r="L91" i="16" a="1"/>
  <c r="L91" i="16" s="1"/>
  <c r="L92" i="16" a="1"/>
  <c r="L92" i="16" s="1"/>
  <c r="L93" i="16" a="1"/>
  <c r="L93" i="16" s="1"/>
  <c r="L94" i="16" a="1"/>
  <c r="L94" i="16" s="1"/>
  <c r="G75" i="16"/>
  <c r="H75" i="16"/>
  <c r="I75" i="16" s="1" a="1"/>
  <c r="I75" i="16" s="1"/>
  <c r="K75" i="16" s="1"/>
  <c r="G76" i="16"/>
  <c r="H76" i="16"/>
  <c r="I76" i="16" s="1" a="1"/>
  <c r="I76" i="16" s="1"/>
  <c r="K76" i="16" s="1"/>
  <c r="G77" i="16"/>
  <c r="H77" i="16"/>
  <c r="I77" i="16" s="1" a="1"/>
  <c r="I77" i="16" s="1"/>
  <c r="K77" i="16" s="1"/>
  <c r="G78" i="16"/>
  <c r="H78" i="16"/>
  <c r="G79" i="16"/>
  <c r="H79" i="16"/>
  <c r="I79" i="16" s="1" a="1"/>
  <c r="I79" i="16" s="1"/>
  <c r="K79" i="16" s="1"/>
  <c r="G80" i="16"/>
  <c r="H80" i="16"/>
  <c r="I80" i="16" s="1" a="1"/>
  <c r="I80" i="16" s="1"/>
  <c r="K80" i="16" s="1"/>
  <c r="G81" i="16"/>
  <c r="H81" i="16"/>
  <c r="G82" i="16"/>
  <c r="H82" i="16"/>
  <c r="I82" i="16" s="1" a="1"/>
  <c r="I82" i="16" s="1"/>
  <c r="K82" i="16" s="1"/>
  <c r="G83" i="16"/>
  <c r="H83" i="16"/>
  <c r="I83" i="16" s="1" a="1"/>
  <c r="I83" i="16" s="1"/>
  <c r="K83" i="16" s="1"/>
  <c r="G84" i="16"/>
  <c r="H84" i="16"/>
  <c r="I84" i="16" s="1" a="1"/>
  <c r="I84" i="16" s="1"/>
  <c r="K84" i="16" s="1"/>
  <c r="G85" i="16"/>
  <c r="H85" i="16"/>
  <c r="I85" i="16" s="1" a="1"/>
  <c r="I85" i="16" s="1"/>
  <c r="K85" i="16" s="1"/>
  <c r="G86" i="16"/>
  <c r="H86" i="16"/>
  <c r="G87" i="16"/>
  <c r="H87" i="16"/>
  <c r="I87" i="16" s="1" a="1"/>
  <c r="I87" i="16" s="1"/>
  <c r="K87" i="16" s="1"/>
  <c r="G88" i="16"/>
  <c r="H88" i="16"/>
  <c r="I88" i="16" s="1" a="1"/>
  <c r="I88" i="16" s="1"/>
  <c r="K88" i="16" s="1"/>
  <c r="G89" i="16"/>
  <c r="H89" i="16"/>
  <c r="I89" i="16" s="1" a="1"/>
  <c r="I89" i="16" s="1"/>
  <c r="K89" i="16" s="1"/>
  <c r="G90" i="16"/>
  <c r="H90" i="16"/>
  <c r="G91" i="16"/>
  <c r="H91" i="16"/>
  <c r="I91" i="16" s="1" a="1"/>
  <c r="I91" i="16" s="1"/>
  <c r="K91" i="16" s="1"/>
  <c r="G92" i="16"/>
  <c r="H92" i="16"/>
  <c r="I92" i="16" s="1" a="1"/>
  <c r="I92" i="16" s="1"/>
  <c r="K92" i="16" s="1"/>
  <c r="G93" i="16"/>
  <c r="H93" i="16"/>
  <c r="I93" i="16" s="1" a="1"/>
  <c r="I93" i="16" s="1"/>
  <c r="K93" i="16" s="1"/>
  <c r="G94" i="16"/>
  <c r="H94" i="16"/>
  <c r="I94" i="16" s="1" a="1"/>
  <c r="I94" i="16" s="1"/>
  <c r="K94" i="16" s="1"/>
  <c r="H73" i="16"/>
  <c r="I73" i="16" s="1" a="1"/>
  <c r="I73" i="16" s="1"/>
  <c r="K73" i="16" s="1"/>
  <c r="G73" i="16"/>
  <c r="H42" i="16"/>
  <c r="L42" i="16" s="1" a="1"/>
  <c r="L42" i="16" s="1"/>
  <c r="H43" i="16"/>
  <c r="L43" i="16" s="1" a="1"/>
  <c r="L43" i="16" s="1"/>
  <c r="H44" i="16"/>
  <c r="L44" i="16" s="1" a="1"/>
  <c r="L44" i="16" s="1"/>
  <c r="H45" i="16"/>
  <c r="L45" i="16" s="1" a="1"/>
  <c r="L45" i="16" s="1"/>
  <c r="H46" i="16"/>
  <c r="L46" i="16" s="1" a="1"/>
  <c r="L46" i="16" s="1"/>
  <c r="H47" i="16"/>
  <c r="L47" i="16" s="1" a="1"/>
  <c r="L47" i="16" s="1"/>
  <c r="H48" i="16"/>
  <c r="L48" i="16" s="1" a="1"/>
  <c r="L48" i="16" s="1"/>
  <c r="H49" i="16"/>
  <c r="L49" i="16" s="1" a="1"/>
  <c r="L49" i="16" s="1"/>
  <c r="H50" i="16"/>
  <c r="L50" i="16" s="1" a="1"/>
  <c r="L50" i="16" s="1"/>
  <c r="H51" i="16"/>
  <c r="L51" i="16" s="1" a="1"/>
  <c r="L51" i="16" s="1"/>
  <c r="H52" i="16"/>
  <c r="L52" i="16" s="1" a="1"/>
  <c r="L52" i="16" s="1"/>
  <c r="H53" i="16"/>
  <c r="L53" i="16" s="1" a="1"/>
  <c r="L53" i="16" s="1"/>
  <c r="H54" i="16"/>
  <c r="L54" i="16" s="1" a="1"/>
  <c r="L54" i="16" s="1"/>
  <c r="H55" i="16"/>
  <c r="L55" i="16" s="1" a="1"/>
  <c r="L55" i="16" s="1"/>
  <c r="H56" i="16"/>
  <c r="L56" i="16" s="1" a="1"/>
  <c r="L56" i="16" s="1"/>
  <c r="H57" i="16"/>
  <c r="L57" i="16" s="1" a="1"/>
  <c r="L57" i="16" s="1"/>
  <c r="H58" i="16"/>
  <c r="L58" i="16" s="1" a="1"/>
  <c r="L58" i="16" s="1"/>
  <c r="H59" i="16"/>
  <c r="L59" i="16" s="1" a="1"/>
  <c r="L59" i="16" s="1"/>
  <c r="H60" i="16"/>
  <c r="L60" i="16" s="1" a="1"/>
  <c r="L60" i="16" s="1"/>
  <c r="H61" i="16"/>
  <c r="L61" i="16" s="1" a="1"/>
  <c r="L61" i="16" s="1"/>
  <c r="H40" i="16"/>
  <c r="L40" i="16" s="1" a="1"/>
  <c r="L40" i="16" s="1"/>
  <c r="G40" i="16"/>
  <c r="G42" i="16"/>
  <c r="I42" i="16" s="1" a="1"/>
  <c r="I42" i="16" s="1"/>
  <c r="K42" i="16" s="1"/>
  <c r="G43" i="16"/>
  <c r="I43" i="16" s="1" a="1"/>
  <c r="I43" i="16" s="1"/>
  <c r="K43" i="16" s="1"/>
  <c r="G44" i="16"/>
  <c r="I44" i="16" s="1" a="1"/>
  <c r="I44" i="16" s="1"/>
  <c r="K44" i="16" s="1"/>
  <c r="G45" i="16"/>
  <c r="I45" i="16" s="1" a="1"/>
  <c r="I45" i="16" s="1"/>
  <c r="K45" i="16" s="1"/>
  <c r="G46" i="16"/>
  <c r="I46" i="16" s="1" a="1"/>
  <c r="I46" i="16" s="1"/>
  <c r="K46" i="16" s="1"/>
  <c r="G47" i="16"/>
  <c r="I47" i="16" s="1" a="1"/>
  <c r="I47" i="16" s="1"/>
  <c r="K47" i="16" s="1"/>
  <c r="G48" i="16"/>
  <c r="I48" i="16" s="1" a="1"/>
  <c r="I48" i="16" s="1"/>
  <c r="K48" i="16" s="1"/>
  <c r="G49" i="16"/>
  <c r="I49" i="16" s="1" a="1"/>
  <c r="I49" i="16" s="1"/>
  <c r="K49" i="16" s="1"/>
  <c r="G50" i="16"/>
  <c r="I50" i="16" s="1" a="1"/>
  <c r="I50" i="16" s="1"/>
  <c r="K50" i="16" s="1"/>
  <c r="G51" i="16"/>
  <c r="I51" i="16" s="1" a="1"/>
  <c r="I51" i="16" s="1"/>
  <c r="K51" i="16" s="1"/>
  <c r="G52" i="16"/>
  <c r="I52" i="16" s="1" a="1"/>
  <c r="I52" i="16" s="1"/>
  <c r="K52" i="16" s="1"/>
  <c r="G53" i="16"/>
  <c r="I53" i="16" s="1" a="1"/>
  <c r="I53" i="16" s="1"/>
  <c r="K53" i="16" s="1"/>
  <c r="G54" i="16"/>
  <c r="I54" i="16" s="1" a="1"/>
  <c r="I54" i="16" s="1"/>
  <c r="K54" i="16" s="1"/>
  <c r="G55" i="16"/>
  <c r="I55" i="16" s="1" a="1"/>
  <c r="I55" i="16" s="1"/>
  <c r="K55" i="16" s="1"/>
  <c r="G56" i="16"/>
  <c r="I56" i="16" s="1" a="1"/>
  <c r="I56" i="16" s="1"/>
  <c r="K56" i="16" s="1"/>
  <c r="G57" i="16"/>
  <c r="I57" i="16" s="1" a="1"/>
  <c r="G58" i="16"/>
  <c r="I58" i="16" s="1" a="1"/>
  <c r="I58" i="16" s="1"/>
  <c r="K58" i="16" s="1"/>
  <c r="G59" i="16"/>
  <c r="I59" i="16" s="1" a="1"/>
  <c r="I59" i="16" s="1"/>
  <c r="K59" i="16" s="1"/>
  <c r="G60" i="16"/>
  <c r="I60" i="16" s="1" a="1"/>
  <c r="I60" i="16" s="1"/>
  <c r="K60" i="16" s="1"/>
  <c r="G61" i="16"/>
  <c r="I61" i="16" s="1" a="1"/>
  <c r="I61" i="16" s="1"/>
  <c r="K61" i="16" s="1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28" i="16"/>
  <c r="E27" i="16"/>
  <c r="E26" i="16"/>
  <c r="E25" i="16"/>
  <c r="E24" i="16"/>
  <c r="Q19" i="16"/>
  <c r="Q18" i="16"/>
  <c r="Q16" i="16"/>
  <c r="H181" i="16" l="1" a="1"/>
  <c r="M179" i="16" a="1"/>
  <c r="M179" i="16" s="1"/>
  <c r="I146" i="16" a="1"/>
  <c r="I81" i="16" a="1"/>
  <c r="I81" i="16" s="1"/>
  <c r="K81" i="16" s="1"/>
  <c r="I90" i="16" a="1"/>
  <c r="I90" i="16" s="1"/>
  <c r="K90" i="16" s="1"/>
  <c r="I86" i="16" a="1"/>
  <c r="I86" i="16" s="1"/>
  <c r="K86" i="16" s="1"/>
  <c r="M86" i="16" s="1"/>
  <c r="I78" i="16" a="1"/>
  <c r="I78" i="16" s="1"/>
  <c r="K78" i="16" s="1"/>
  <c r="M78" i="16" s="1"/>
  <c r="N33" i="16" a="1"/>
  <c r="N33" i="16" s="1"/>
  <c r="M73" i="16"/>
  <c r="M77" i="16"/>
  <c r="M79" i="16"/>
  <c r="M82" i="16"/>
  <c r="M84" i="16"/>
  <c r="M88" i="16"/>
  <c r="M90" i="16"/>
  <c r="M92" i="16"/>
  <c r="M94" i="16"/>
  <c r="M75" i="16"/>
  <c r="M76" i="16"/>
  <c r="M80" i="16"/>
  <c r="M81" i="16"/>
  <c r="M83" i="16"/>
  <c r="M85" i="16"/>
  <c r="M87" i="16"/>
  <c r="M89" i="16"/>
  <c r="M91" i="16"/>
  <c r="M93" i="16"/>
  <c r="M144" i="16" a="1"/>
  <c r="M144" i="16" s="1"/>
  <c r="G255" i="16"/>
  <c r="G254" i="16"/>
  <c r="G256" i="16"/>
  <c r="I253" i="16"/>
  <c r="H253" i="16"/>
  <c r="N253" i="16"/>
  <c r="K253" i="16"/>
  <c r="L253" i="16"/>
  <c r="M253" i="16"/>
  <c r="O253" i="16"/>
  <c r="P253" i="16"/>
  <c r="Q253" i="16"/>
  <c r="G214" i="16"/>
  <c r="H108" i="16"/>
  <c r="L108" i="16" s="1"/>
  <c r="L109" i="16"/>
  <c r="L113" i="16"/>
  <c r="L117" i="16"/>
  <c r="L121" i="16"/>
  <c r="L124" i="16"/>
  <c r="L128" i="16"/>
  <c r="L131" i="16"/>
  <c r="L110" i="16"/>
  <c r="L114" i="16"/>
  <c r="L118" i="16"/>
  <c r="L122" i="16"/>
  <c r="L126" i="16"/>
  <c r="L130" i="16"/>
  <c r="L112" i="16"/>
  <c r="L120" i="16"/>
  <c r="L127" i="16"/>
  <c r="L111" i="16"/>
  <c r="L115" i="16"/>
  <c r="L116" i="16"/>
  <c r="L119" i="16"/>
  <c r="L123" i="16"/>
  <c r="L125" i="16"/>
  <c r="L129" i="16"/>
  <c r="I40" i="16" a="1"/>
  <c r="I40" i="16" s="1"/>
  <c r="K40" i="16" s="1"/>
  <c r="I57" i="16"/>
  <c r="K57" i="16" s="1"/>
  <c r="H181" i="16" l="1"/>
  <c r="I146" i="16"/>
  <c r="J146" i="16" s="1" a="1"/>
  <c r="I254" i="16" a="1"/>
  <c r="I254" i="16" s="1"/>
  <c r="I256" i="16" a="1"/>
  <c r="I256" i="16" s="1"/>
  <c r="I255" i="16" a="1"/>
  <c r="I255" i="16" s="1"/>
  <c r="H254" i="16" a="1"/>
  <c r="H254" i="16" s="1"/>
  <c r="H255" i="16" a="1"/>
  <c r="H255" i="16" s="1"/>
  <c r="H256" i="16" a="1"/>
  <c r="H256" i="16" s="1"/>
  <c r="N255" i="16" a="1"/>
  <c r="N255" i="16" s="1"/>
  <c r="N254" i="16" a="1"/>
  <c r="N254" i="16" s="1"/>
  <c r="N256" i="16" a="1"/>
  <c r="N256" i="16" s="1"/>
  <c r="K256" i="16" a="1"/>
  <c r="K256" i="16" s="1"/>
  <c r="K255" i="16" a="1"/>
  <c r="K255" i="16" s="1"/>
  <c r="K254" i="16" a="1"/>
  <c r="K254" i="16" s="1"/>
  <c r="L254" i="16" a="1"/>
  <c r="L254" i="16" s="1"/>
  <c r="L255" i="16" a="1"/>
  <c r="L255" i="16" s="1"/>
  <c r="L256" i="16" a="1"/>
  <c r="L256" i="16" s="1"/>
  <c r="M256" i="16" a="1"/>
  <c r="M256" i="16" s="1"/>
  <c r="M255" i="16" a="1"/>
  <c r="M255" i="16" s="1"/>
  <c r="M254" i="16" a="1"/>
  <c r="M254" i="16" s="1"/>
  <c r="O254" i="16" a="1"/>
  <c r="O254" i="16" s="1"/>
  <c r="O256" i="16" a="1"/>
  <c r="O256" i="16" s="1"/>
  <c r="O255" i="16" a="1"/>
  <c r="O255" i="16" s="1"/>
  <c r="P256" i="16" a="1"/>
  <c r="P256" i="16" s="1"/>
  <c r="P255" i="16" a="1"/>
  <c r="P255" i="16" s="1"/>
  <c r="P254" i="16" a="1"/>
  <c r="P254" i="16" s="1"/>
  <c r="Q256" i="16" a="1"/>
  <c r="Q256" i="16" s="1"/>
  <c r="Q255" i="16" a="1"/>
  <c r="Q255" i="16" s="1"/>
  <c r="Q254" i="16" a="1"/>
  <c r="Q254" i="16" s="1"/>
  <c r="M214" i="16" a="1"/>
  <c r="M214" i="16" s="1"/>
  <c r="N214" i="16" s="1"/>
  <c r="L214" i="16" a="1"/>
  <c r="L214" i="16" s="1"/>
  <c r="I214" i="16" a="1"/>
  <c r="I214" i="16" s="1"/>
  <c r="K214" i="16" s="1"/>
  <c r="N108" i="16"/>
  <c r="M108" i="16"/>
  <c r="I181" i="16" l="1" a="1"/>
  <c r="J146" i="16"/>
  <c r="H146" i="16" a="1"/>
  <c r="H258" i="16" a="1"/>
  <c r="L258" i="16" a="1"/>
  <c r="L258" i="16" s="1"/>
  <c r="O214" i="16"/>
  <c r="P214" i="16" s="1"/>
  <c r="Q214" i="16" s="1"/>
  <c r="H215" i="16" s="1"/>
  <c r="O108" i="16"/>
  <c r="Q109" i="16" s="1"/>
  <c r="I181" i="16" l="1"/>
  <c r="K146" i="16" a="1"/>
  <c r="H146" i="16"/>
  <c r="Q258" i="16"/>
  <c r="Q259" i="16"/>
  <c r="Q260" i="16"/>
  <c r="P258" i="16"/>
  <c r="P259" i="16"/>
  <c r="P260" i="16"/>
  <c r="O259" i="16"/>
  <c r="O260" i="16"/>
  <c r="H258" i="16"/>
  <c r="O258" i="16" s="1"/>
  <c r="K146" i="16" l="1"/>
  <c r="L146" i="16" s="1" a="1"/>
  <c r="Q261" i="16"/>
  <c r="Q262" i="16" s="1"/>
  <c r="U252" i="16" s="1"/>
  <c r="L146" i="16" l="1"/>
  <c r="M146" i="16" s="1" a="1"/>
  <c r="M146" i="16" l="1"/>
  <c r="N146" i="16" s="1"/>
  <c r="O146" i="16" s="1"/>
  <c r="R145" i="16" s="1"/>
  <c r="J181" i="16" a="1"/>
  <c r="J181" i="16" l="1"/>
  <c r="K181" i="16" s="1" a="1"/>
  <c r="K181" i="16" l="1"/>
  <c r="L181" i="16" s="1" a="1"/>
  <c r="L181" i="16" l="1"/>
  <c r="M181" i="16" s="1" a="1"/>
  <c r="M181" i="16" l="1"/>
  <c r="N181" i="16" s="1"/>
  <c r="O181" i="16" s="1"/>
  <c r="R180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<sst xmlns="http://schemas.openxmlformats.org/spreadsheetml/2006/main" count="657" uniqueCount="243">
  <si>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</si>
  <si>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</si>
  <si>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</si>
  <si>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</si>
  <si>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</si>
  <si>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</si>
  <si>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</si>
  <si>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</si>
  <si>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</si>
  <si>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</si>
  <si>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</si>
  <si>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</si>
  <si>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</si>
  <si>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</si>
  <si>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</si>
  <si>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</si>
  <si>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</si>
  <si>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</si>
  <si>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</si>
  <si>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</si>
  <si>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</si>
  <si>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</si>
  <si>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</si>
  <si>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</si>
  <si>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</si>
  <si>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</si>
  <si>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</si>
  <si>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</si>
  <si>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</si>
  <si>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</si>
  <si>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</si>
  <si>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</si>
  <si>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</si>
  <si>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</si>
  <si>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</si>
  <si>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</si>
  <si>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</si>
  <si>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</si>
  <si>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</si>
  <si>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</si>
  <si>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</si>
  <si>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</si>
  <si>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</si>
  <si>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</si>
  <si>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</si>
  <si>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</si>
  <si>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</si>
  <si>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</si>
  <si>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</si>
  <si>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</si>
  <si>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</si>
  <si>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</si>
  <si>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</si>
  <si>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</si>
  <si>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</si>
  <si>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</si>
  <si>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</si>
  <si>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</si>
  <si>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</si>
  <si>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</si>
  <si>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</si>
  <si>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</si>
  <si>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</si>
  <si>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</si>
  <si>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</si>
  <si>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</si>
  <si>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</si>
  <si>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</si>
  <si>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</si>
  <si>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</si>
  <si>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</si>
  <si>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</si>
  <si>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</si>
  <si>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</si>
  <si>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</si>
  <si>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</si>
  <si>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</si>
  <si>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</si>
  <si>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</si>
  <si>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</si>
  <si>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</si>
  <si>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</si>
  <si>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</si>
  <si>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</si>
  <si>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</si>
  <si>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</si>
  <si>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</si>
  <si>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</si>
  <si>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</si>
  <si>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</si>
  <si>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</si>
  <si>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</si>
  <si>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</si>
  <si>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</si>
  <si>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</si>
  <si>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</si>
  <si>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</si>
  <si>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</si>
  <si>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</si>
  <si>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</si>
  <si>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</si>
  <si>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</si>
  <si>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</si>
  <si>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</si>
  <si>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</si>
  <si>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</si>
  <si>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</si>
  <si>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</si>
  <si>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</si>
  <si>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</si>
  <si>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</si>
  <si>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</si>
  <si>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</si>
  <si>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</si>
  <si>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</si>
  <si>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</si>
  <si>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</si>
  <si>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</si>
  <si>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</si>
  <si>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</si>
  <si>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</si>
  <si>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</si>
  <si>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</si>
  <si>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</si>
  <si>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</si>
  <si>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</si>
  <si>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</si>
  <si>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</si>
  <si>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</si>
  <si>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</si>
  <si>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</si>
  <si>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</si>
  <si>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</si>
  <si>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</si>
  <si>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</si>
  <si>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</si>
  <si>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</si>
  <si>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</si>
  <si>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</si>
  <si>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</si>
  <si>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</si>
  <si>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</si>
  <si>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</si>
  <si>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</si>
  <si>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</si>
  <si>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</si>
  <si>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</si>
  <si>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</si>
  <si>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</si>
  <si>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</si>
  <si>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</si>
  <si>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</si>
  <si>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</si>
  <si>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</si>
  <si>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</si>
  <si>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</si>
  <si>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</si>
  <si>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</si>
  <si>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</si>
  <si>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</si>
  <si>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</si>
  <si>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</si>
  <si>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</si>
  <si>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</si>
  <si>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</si>
  <si>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</si>
  <si>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</si>
  <si>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</si>
  <si>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</si>
  <si>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</si>
  <si>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</si>
  <si>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</si>
  <si>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</si>
  <si>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</si>
  <si>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</si>
  <si>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</si>
  <si>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</si>
  <si>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</si>
  <si>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</si>
  <si>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</si>
  <si>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</si>
  <si>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</si>
  <si>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</si>
  <si>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</si>
  <si>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</si>
  <si>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</si>
  <si>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</si>
  <si>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</si>
  <si>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</si>
  <si>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</si>
  <si>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</si>
  <si>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</si>
  <si>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</si>
  <si>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 xml:space="preserve"> 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</si>
  <si>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</si>
  <si>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</si>
  <si>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</si>
  <si>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</si>
  <si>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</si>
  <si>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</si>
  <si>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</si>
  <si>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</si>
  <si>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</si>
  <si>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</si>
  <si>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</si>
  <si>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</si>
  <si>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</si>
  <si>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</si>
  <si>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</si>
  <si>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</si>
  <si>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</si>
  <si>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</si>
  <si>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</si>
  <si>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</si>
  <si>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=IF(I146#&lt;0,24+I146#,IF(I146#&gt;23,24-I146#,I146#))</t>
  </si>
  <si>
    <t>HourExt</t>
  </si>
  <si>
    <t>HourNorm</t>
  </si>
  <si>
    <t>Index</t>
  </si>
  <si>
    <t>Color</t>
  </si>
  <si>
    <t>Ave Temp By Hour</t>
  </si>
  <si>
    <t>Mean</t>
  </si>
  <si>
    <t>Perception</t>
  </si>
  <si>
    <t>Ave Wind Speed By Hour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</si>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</sst>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  <numFmt numFmtId="170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48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170" fontId="0" fillId="0" borderId="0" xfId="0" applyNumberFormat="1"/>
    <xf numFmtId="0" fontId="19" fillId="25" borderId="0" xfId="0" applyFont="1" applyFill="1"/>
    <xf numFmtId="0" fontId="0" fillId="0" borderId="0" xfId="0" quotePrefix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2" fillId="0" borderId="74" xfId="0" applyFont="1" applyBorder="1" applyAlignment="1">
      <alignment horizontal="right"/>
    </xf>
    <xf numFmtId="0" fontId="2" fillId="0" borderId="75" xfId="0" applyFont="1" applyBorder="1" applyAlignment="1">
      <alignment horizontal="right"/>
    </xf>
    <xf numFmtId="0" fontId="2" fillId="0" borderId="76" xfId="0" applyFont="1" applyBorder="1" applyAlignment="1">
      <alignment horizontal="right"/>
    </xf>
    <xf numFmtId="0" fontId="2" fillId="0" borderId="0" xfId="0" applyFont="1" applyAlignment="1">
      <alignment horizontal="center"/>
    </xf>
    <xf numFmtId="14" fontId="0" fillId="34" borderId="0" xfId="0" applyNumberFormat="1" applyFill="1"/>
    <xf numFmtId="0" fontId="0" fillId="34" borderId="0" xfId="0" applyFill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4" fontId="0" fillId="0" borderId="0" xfId="0" applyNumberFormat="1"/>
    <xf numFmtId="22" fontId="4" fillId="23" borderId="12" xfId="0" applyNumberFormat="1" applyFont="1" applyFill="1" applyBorder="1" applyAlignment="1">
      <alignment horizontal="center"/>
    </xf>
    <xf numFmtId="4" fontId="0" fillId="23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4</xdr:row>
      <xdr:rowOff>75371</xdr:rowOff>
    </xdr:from>
    <xdr:to>
      <xdr:col>16</xdr:col>
      <xdr:colOff>263416</xdr:colOff>
      <xdr:row>14</xdr:row>
      <xdr:rowOff>111218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459229</xdr:colOff>
      <xdr:row>37</xdr:row>
      <xdr:rowOff>41464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13</xdr:col>
      <xdr:colOff>991125</xdr:colOff>
      <xdr:row>65</xdr:row>
      <xdr:rowOff>37837</xdr:rowOff>
    </xdr:from>
    <xdr:to>
      <xdr:col>16</xdr:col>
      <xdr:colOff>225611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539509</xdr:colOff>
      <xdr:row>84</xdr:row>
      <xdr:rowOff>153889</xdr:rowOff>
    </xdr:from>
    <xdr:to>
      <xdr:col>19</xdr:col>
      <xdr:colOff>606109</xdr:colOff>
      <xdr:row>107</xdr:row>
      <xdr:rowOff>34487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308478</xdr:colOff>
      <xdr:row>131</xdr:row>
      <xdr:rowOff>104337</xdr:rowOff>
    </xdr:from>
    <xdr:to>
      <xdr:col>16</xdr:col>
      <xdr:colOff>72600</xdr:colOff>
      <xdr:row>141</xdr:row>
      <xdr:rowOff>34681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76403" y="24040662"/>
          <a:ext cx="1274787" cy="1752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114190</xdr:colOff>
      <xdr:row>167</xdr:row>
      <xdr:rowOff>107555</xdr:rowOff>
    </xdr:from>
    <xdr:to>
      <xdr:col>18</xdr:col>
      <xdr:colOff>193206</xdr:colOff>
      <xdr:row>174</xdr:row>
      <xdr:rowOff>34779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77565" y="30597080"/>
          <a:ext cx="2104031" cy="1188334"/>
        </a:xfrm>
        <a:prstGeom prst="rect">
          <a:avLst/>
        </a:prstGeom>
      </xdr:spPr>
    </xdr:pic>
    <xdr:clientData/>
  </xdr:twoCellAnchor>
  <xdr:twoCellAnchor editAs="oneCell">
    <xdr:from>
      <xdr:col>19</xdr:col>
      <xdr:colOff>94725</xdr:colOff>
      <xdr:row>204</xdr:row>
      <xdr:rowOff>76200</xdr:rowOff>
    </xdr:from>
    <xdr:to>
      <xdr:col>21</xdr:col>
      <xdr:colOff>269623</xdr:colOff>
      <xdr:row>219</xdr:row>
      <xdr:rowOff>111105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23</xdr:col>
      <xdr:colOff>11233</xdr:colOff>
      <xdr:row>232</xdr:row>
      <xdr:rowOff>30218</xdr:rowOff>
    </xdr:from>
    <xdr:to>
      <xdr:col>25</xdr:col>
      <xdr:colOff>41858</xdr:colOff>
      <xdr:row>246</xdr:row>
      <xdr:rowOff>117946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27483" y="42359318"/>
          <a:ext cx="1473345" cy="266709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148700</xdr:colOff>
      <xdr:row>15</xdr:row>
      <xdr:rowOff>79847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12</xdr:col>
      <xdr:colOff>301991</xdr:colOff>
      <xdr:row>15</xdr:row>
      <xdr:rowOff>78796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AJ272"/>
  <sheetViews>
    <sheetView showGridLines="0" tabSelected="1" topLeftCell="C21" zoomScaleNormal="100" workbookViewId="0">
      <selection activeCell="P43" sqref="P43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4.109375" bestFit="1" customWidth="1"/>
    <col min="9" max="9" width="7.44140625" bestFit="1" customWidth="1"/>
    <col min="10" max="10" width="10" bestFit="1" customWidth="1"/>
    <col min="11" max="11" width="5.5546875" bestFit="1" customWidth="1"/>
    <col min="12" max="12" width="10.44140625" customWidth="1"/>
    <col min="13" max="13" width="21.5546875" bestFit="1" customWidth="1"/>
    <col min="14" max="14" width="5.6640625" bestFit="1" customWidth="1"/>
    <col min="15" max="15" width="10.109375" bestFit="1" customWidth="1"/>
    <col min="16" max="16" width="11.77734375" customWidth="1"/>
    <col min="17" max="17" width="8.6640625" customWidth="1"/>
    <col min="20" max="20" width="10" bestFit="1" customWidth="1"/>
    <col min="23" max="23" width="12" bestFit="1" customWidth="1"/>
    <col min="25" max="25" width="12" bestFit="1" customWidth="1"/>
    <col min="28" max="28" width="10.33203125" bestFit="1" customWidth="1"/>
    <col min="34" max="34" width="14.77734375" customWidth="1"/>
    <col min="36" max="36" width="10.33203125" bestFit="1" customWidth="1"/>
  </cols>
  <sheetData>
    <row r="2" spans="2:17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15" thickTop="1" x14ac:dyDescent="0.3"/>
    <row r="4" spans="2:17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O4" s="229" t="s">
        <v>2</v>
      </c>
      <c r="P4" s="229"/>
      <c r="Q4" s="229"/>
    </row>
    <row r="5" spans="2:17" ht="15" customHeight="1" thickTop="1" x14ac:dyDescent="0.3">
      <c r="B5" s="230" t="s">
        <v>3</v>
      </c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</row>
    <row r="6" spans="2:17" x14ac:dyDescent="0.3">
      <c r="B6" s="231"/>
      <c r="C6" s="231"/>
      <c r="D6" s="231"/>
      <c r="E6" s="231"/>
      <c r="F6" s="231"/>
      <c r="G6" s="231"/>
      <c r="H6" s="231"/>
      <c r="I6" s="231"/>
      <c r="J6" s="231"/>
      <c r="K6" s="231"/>
      <c r="L6" s="231"/>
      <c r="M6" s="231"/>
    </row>
    <row r="7" spans="2:17" x14ac:dyDescent="0.3">
      <c r="B7" s="231"/>
      <c r="C7" s="231"/>
      <c r="D7" s="231"/>
      <c r="E7" s="231"/>
      <c r="F7" s="231"/>
      <c r="G7" s="231"/>
      <c r="H7" s="231"/>
      <c r="I7" s="231"/>
      <c r="J7" s="231"/>
      <c r="K7" s="231"/>
      <c r="L7" s="231"/>
      <c r="M7" s="231"/>
    </row>
    <row r="8" spans="2:17" x14ac:dyDescent="0.3">
      <c r="B8" s="231"/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</row>
    <row r="9" spans="2:17" x14ac:dyDescent="0.3"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</row>
    <row r="10" spans="2:17" x14ac:dyDescent="0.3"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</row>
    <row r="11" spans="2:17" x14ac:dyDescent="0.3">
      <c r="B11" s="231"/>
      <c r="C11" s="231"/>
      <c r="D11" s="231"/>
      <c r="E11" s="231"/>
      <c r="F11" s="231"/>
      <c r="G11" s="231"/>
      <c r="H11" s="231"/>
      <c r="I11" s="231"/>
      <c r="J11" s="231"/>
      <c r="K11" s="231"/>
      <c r="L11" s="231"/>
      <c r="M11" s="231"/>
    </row>
    <row r="12" spans="2:17" x14ac:dyDescent="0.3">
      <c r="B12" s="231"/>
      <c r="C12" s="231"/>
      <c r="D12" s="231"/>
      <c r="E12" s="231"/>
      <c r="F12" s="231"/>
      <c r="G12" s="231"/>
      <c r="H12" s="231"/>
      <c r="I12" s="231"/>
      <c r="J12" s="231"/>
      <c r="K12" s="231"/>
      <c r="L12" s="231"/>
      <c r="M12" s="231"/>
    </row>
    <row r="13" spans="2:17" x14ac:dyDescent="0.3"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</row>
    <row r="14" spans="2:17" x14ac:dyDescent="0.3">
      <c r="B14" s="231"/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1"/>
    </row>
    <row r="15" spans="2:17" x14ac:dyDescent="0.3">
      <c r="B15" s="231"/>
      <c r="C15" s="231"/>
      <c r="D15" s="231"/>
      <c r="E15" s="231"/>
      <c r="F15" s="231"/>
      <c r="G15" s="231"/>
      <c r="H15" s="231"/>
      <c r="I15" s="231"/>
      <c r="J15" s="231"/>
      <c r="K15" s="231"/>
      <c r="L15" s="231"/>
      <c r="M15" s="231"/>
    </row>
    <row r="16" spans="2:17" ht="15" thickBot="1" x14ac:dyDescent="0.35">
      <c r="B16" s="231"/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O16" s="233" t="s">
        <v>4</v>
      </c>
      <c r="P16" s="233"/>
      <c r="Q16" s="24" t="str">
        <f>HYPERLINK("https://www.linkedin.com/in/thomas-marcelo/","🔗")</f>
        <v>🔗</v>
      </c>
    </row>
    <row r="17" spans="2:17" ht="15" thickTop="1" x14ac:dyDescent="0.3">
      <c r="B17" s="231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1"/>
      <c r="O17" s="179" t="s">
        <v>5</v>
      </c>
      <c r="P17" s="180"/>
      <c r="Q17" s="180"/>
    </row>
    <row r="18" spans="2:17" x14ac:dyDescent="0.3">
      <c r="B18" s="231"/>
      <c r="C18" s="231"/>
      <c r="D18" s="231"/>
      <c r="E18" s="231"/>
      <c r="F18" s="231"/>
      <c r="G18" s="231"/>
      <c r="H18" s="231"/>
      <c r="I18" s="231"/>
      <c r="J18" s="231"/>
      <c r="K18" s="231"/>
      <c r="L18" s="231"/>
      <c r="M18" s="231"/>
      <c r="O18" s="178" t="s">
        <v>6</v>
      </c>
      <c r="P18" s="176"/>
      <c r="Q18" s="177" t="str">
        <f>HYPERLINK("https://www.linkedin.com/in/laennder/","🔗")</f>
        <v>🔗</v>
      </c>
    </row>
    <row r="19" spans="2:17" ht="15" thickBot="1" x14ac:dyDescent="0.35">
      <c r="B19" s="232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O19" s="178" t="s">
        <v>7</v>
      </c>
      <c r="P19" s="176"/>
      <c r="Q19" s="177" t="str">
        <f>HYPERLINK("https://www.linkedin.com/in/brunomerola/","🔗")</f>
        <v>🔗</v>
      </c>
    </row>
    <row r="20" spans="2:17" ht="15" thickTop="1" x14ac:dyDescent="0.3"/>
    <row r="21" spans="2:17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" thickTop="1" x14ac:dyDescent="0.3"/>
    <row r="23" spans="2:17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ht="15" customHeight="1" thickTop="1" x14ac:dyDescent="0.3">
      <c r="B24" s="20" t="s">
        <v>13</v>
      </c>
      <c r="C24" s="22" t="s">
        <v>14</v>
      </c>
      <c r="D24" s="30">
        <v>45765</v>
      </c>
      <c r="E24" s="5">
        <f>IF(D24&lt;&gt;"",IF(D24=Answers!D24,1,-1),0)</f>
        <v>1</v>
      </c>
      <c r="F24" s="234" t="s">
        <v>15</v>
      </c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</row>
    <row r="25" spans="2:17" x14ac:dyDescent="0.3">
      <c r="B25" s="21" t="s">
        <v>16</v>
      </c>
      <c r="C25" s="22" t="s">
        <v>17</v>
      </c>
      <c r="D25" s="175">
        <v>3</v>
      </c>
      <c r="E25" s="5">
        <f>IF(D25&lt;&gt;"",IF(D25=Answers!D25,1,-1),0)</f>
        <v>1</v>
      </c>
      <c r="F25" s="219" t="s">
        <v>18</v>
      </c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</row>
    <row r="26" spans="2:17" ht="14.4" customHeight="1" x14ac:dyDescent="0.3">
      <c r="B26" s="21" t="s">
        <v>19</v>
      </c>
      <c r="C26" s="22" t="s">
        <v>20</v>
      </c>
      <c r="D26" s="30">
        <v>46266</v>
      </c>
      <c r="E26" s="5">
        <f>IF(D26&lt;&gt;"",IF(D26=Answers!D26,1,-1),0)</f>
        <v>1</v>
      </c>
      <c r="F26" s="219" t="s">
        <v>21</v>
      </c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</row>
    <row r="27" spans="2:17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219" t="s">
        <v>24</v>
      </c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</row>
    <row r="28" spans="2:17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219" t="s">
        <v>27</v>
      </c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</row>
    <row r="30" spans="2:17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" thickTop="1" x14ac:dyDescent="0.3"/>
    <row r="32" spans="2:17" ht="15" thickBot="1" x14ac:dyDescent="0.35">
      <c r="B32" s="4" t="s">
        <v>29</v>
      </c>
      <c r="C32" s="14" t="s">
        <v>30</v>
      </c>
      <c r="N32" s="18" t="s">
        <v>31</v>
      </c>
      <c r="O32" s="18"/>
      <c r="P32" s="18"/>
      <c r="Q32" s="18"/>
    </row>
    <row r="33" spans="2:36" ht="15" customHeight="1" thickTop="1" x14ac:dyDescent="0.3">
      <c r="N33" s="220" t="str" cm="1">
        <f t="array" ref="N33">_xlfn.LET(_xlpm.q,_xlfn.VSTACK(E24:E28,E42:E61,E75:E94,E110:E129,E146:E165,E181:E200,E216:E235,E253:E272),_xlpm.a,SUM(IF(_xlpm.q&gt;=1,_xlpm.q,0)),_xlpm.a&amp;"/"&amp;ROWS(_xlpm.q)&amp;" ("&amp;TEXT(_xlpm.a/ROWS(_xlpm.q),"0%")&amp;")")</f>
        <v>143/145 (99%)</v>
      </c>
      <c r="O33" s="221"/>
      <c r="P33" s="221"/>
      <c r="Q33" s="222"/>
    </row>
    <row r="34" spans="2:36" ht="14.4" customHeight="1" x14ac:dyDescent="0.3">
      <c r="B34" s="10" t="s">
        <v>32</v>
      </c>
      <c r="N34" s="223"/>
      <c r="O34" s="224"/>
      <c r="P34" s="224"/>
      <c r="Q34" s="225"/>
    </row>
    <row r="35" spans="2:36" ht="14.4" customHeight="1" x14ac:dyDescent="0.3">
      <c r="B35" s="11" t="s">
        <v>33</v>
      </c>
      <c r="N35" s="223"/>
      <c r="O35" s="224"/>
      <c r="P35" s="224"/>
      <c r="Q35" s="225"/>
    </row>
    <row r="36" spans="2:36" ht="14.4" customHeight="1" x14ac:dyDescent="0.3">
      <c r="B36" s="12" t="s">
        <v>34</v>
      </c>
      <c r="N36" s="226"/>
      <c r="O36" s="227"/>
      <c r="P36" s="227"/>
      <c r="Q36" s="228"/>
    </row>
    <row r="37" spans="2:36" ht="14.4" customHeight="1" x14ac:dyDescent="0.3"/>
    <row r="38" spans="2:3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36" ht="15" thickTop="1" x14ac:dyDescent="0.3">
      <c r="G39" t="s">
        <v>137</v>
      </c>
      <c r="H39" t="s">
        <v>136</v>
      </c>
      <c r="W39" s="10" t="s">
        <v>13</v>
      </c>
      <c r="AD39" s="10" t="s">
        <v>16</v>
      </c>
      <c r="AH39" s="10" t="s">
        <v>19</v>
      </c>
    </row>
    <row r="40" spans="2:3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K40">
        <f>_xlfn.XLOOKUP(I40,Climatogram!$AM$5:$AM$10,Climatogram!$AL$5:$AL$10)</f>
        <v>27</v>
      </c>
      <c r="L40" t="str" cm="1">
        <f t="array" ref="L40">INDEX(_nDorN,Case!H40)</f>
        <v>Day</v>
      </c>
      <c r="W40" t="str" cm="1">
        <f t="array" ref="W40:W179">_xlfn.LET(_xlpm.z,_xlfn.VSTACK(F42:F61,F75:F94,F110:F129,F146:F165,F181:F200,F216:F235,F253:F272),DAY(_xlpm.z)&amp;"-"&amp;MONTH(_xlpm.z)&amp;"-"&amp;YEAR(_xlpm.z))</f>
        <v>12-4-2025</v>
      </c>
      <c r="Y40" t="str" cm="1">
        <f t="array" ref="Y40:Z70">_xlfn._xlws.SORT(_xlfn.GROUPBY(_xlfn.ANCHORARRAY(W40),_xlfn.ANCHORARRAY(W40),_xleta.COUNTA),2,-1)</f>
        <v>Total</v>
      </c>
      <c r="Z40">
        <v>140</v>
      </c>
      <c r="AD40" cm="1">
        <f t="array" ref="AD40:AD159">_xlfn.LET(_xlpm.z,_xlfn.VSTACK(F42:F61,F75:F94,F146:F165,F181:F200,F216:F235,F253:F272),HOUR(_xlpm.z))</f>
        <v>11</v>
      </c>
      <c r="AE40" t="str" cm="1">
        <f t="array" ref="AE40:AF64">_xlfn._xlws.SORT(_xlfn.GROUPBY(_xlfn.ANCHORARRAY(AD40),_xlfn.ANCHORARRAY(AD40),_xleta.COUNT),2,-1)</f>
        <v>Total</v>
      </c>
      <c r="AF40">
        <v>120</v>
      </c>
      <c r="AH40" s="246" cm="1">
        <f t="array" ref="AH40:AH79">DATE(2025,_xlfn.SEQUENCE(40,1,4),1)</f>
        <v>45748</v>
      </c>
      <c r="AI40" s="201">
        <f>WEEKDAY(AH40)</f>
        <v>3</v>
      </c>
      <c r="AJ40" s="247">
        <f>EOMONTH(AH40,0)-DATE(YEAR(AH40),MONTH(AH40),0)</f>
        <v>30</v>
      </c>
    </row>
    <row r="41" spans="2:36" x14ac:dyDescent="0.3">
      <c r="F41" s="16"/>
      <c r="H41" s="186"/>
      <c r="W41" t="str">
        <v>27-4-2025</v>
      </c>
      <c r="Y41" s="218" t="str">
        <v>18-4-2025</v>
      </c>
      <c r="Z41" s="218">
        <v>10</v>
      </c>
      <c r="AB41" s="217">
        <v>45765</v>
      </c>
      <c r="AD41">
        <v>10</v>
      </c>
      <c r="AE41" s="218">
        <v>3</v>
      </c>
      <c r="AF41" s="218">
        <v>9</v>
      </c>
      <c r="AH41" s="27">
        <v>45778</v>
      </c>
      <c r="AI41">
        <f t="shared" ref="AI41:AI79" si="0">WEEKDAY(AH41)</f>
        <v>5</v>
      </c>
      <c r="AJ41" s="245">
        <f t="shared" ref="AJ41:AJ79" si="1">EOMONTH(AH41,0)-DATE(YEAR(AH41),MONTH(AH41),0)</f>
        <v>31</v>
      </c>
    </row>
    <row r="42" spans="2:3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2">DAY(F42)</f>
        <v>12</v>
      </c>
      <c r="H42" s="186">
        <f t="shared" ref="H42:H61" si="3">ROUND(24-HOUR(F42),0)</f>
        <v>13</v>
      </c>
      <c r="I42" cm="1">
        <f t="array" ref="I42">INDEX(_tClimate,H42,G42)</f>
        <v>5921712</v>
      </c>
      <c r="K42">
        <f>_xlfn.XLOOKUP(I42,Climatogram!$AM$5:$AM$10,Climatogram!$AL$5:$AL$10)</f>
        <v>32</v>
      </c>
      <c r="L42" t="str" cm="1">
        <f t="array" ref="L42">INDEX(_nDorN,Case!H42)</f>
        <v>Day</v>
      </c>
      <c r="W42" t="str">
        <v>5-4-2025</v>
      </c>
      <c r="Y42" t="str">
        <v>14-4-2025</v>
      </c>
      <c r="Z42">
        <v>9</v>
      </c>
      <c r="AD42">
        <v>20</v>
      </c>
      <c r="AE42">
        <v>1</v>
      </c>
      <c r="AF42">
        <v>8</v>
      </c>
      <c r="AH42" s="27">
        <v>45809</v>
      </c>
      <c r="AI42">
        <f t="shared" si="0"/>
        <v>1</v>
      </c>
      <c r="AJ42" s="245">
        <f t="shared" si="1"/>
        <v>30</v>
      </c>
    </row>
    <row r="43" spans="2:3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2"/>
        <v>27</v>
      </c>
      <c r="H43" s="186">
        <f t="shared" si="3"/>
        <v>14</v>
      </c>
      <c r="I43" cm="1">
        <f t="array" ref="I43">INDEX(_tClimate,H43,G43)</f>
        <v>6321607</v>
      </c>
      <c r="K43">
        <f>_xlfn.XLOOKUP(I43,Climatogram!$AM$5:$AM$10,Climatogram!$AL$5:$AL$10)</f>
        <v>27</v>
      </c>
      <c r="L43" t="str" cm="1">
        <f t="array" ref="L43">INDEX(_nDorN,Case!H43)</f>
        <v>Day</v>
      </c>
      <c r="W43" t="str">
        <v>9-4-2025</v>
      </c>
      <c r="Y43" t="str">
        <v>12-4-2025</v>
      </c>
      <c r="Z43">
        <v>7</v>
      </c>
      <c r="AD43">
        <v>18</v>
      </c>
      <c r="AE43">
        <v>17</v>
      </c>
      <c r="AF43">
        <v>8</v>
      </c>
      <c r="AH43" s="27">
        <v>45839</v>
      </c>
      <c r="AI43">
        <f t="shared" si="0"/>
        <v>3</v>
      </c>
      <c r="AJ43" s="245">
        <f t="shared" si="1"/>
        <v>31</v>
      </c>
    </row>
    <row r="44" spans="2:3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2"/>
        <v>5</v>
      </c>
      <c r="H44" s="186">
        <f t="shared" si="3"/>
        <v>4</v>
      </c>
      <c r="I44" cm="1">
        <f t="array" ref="I44">INDEX(_tClimate,H44,G44)</f>
        <v>7851241</v>
      </c>
      <c r="K44">
        <f>_xlfn.XLOOKUP(I44,Climatogram!$AM$5:$AM$10,Climatogram!$AL$5:$AL$10)</f>
        <v>22</v>
      </c>
      <c r="L44" t="str" cm="1">
        <f t="array" ref="L44">INDEX(_nDorN,Case!H44)</f>
        <v>Night</v>
      </c>
      <c r="W44" t="str">
        <v>2-4-2025</v>
      </c>
      <c r="Y44" t="str">
        <v>11-4-2025</v>
      </c>
      <c r="Z44">
        <v>6</v>
      </c>
      <c r="AD44">
        <v>6</v>
      </c>
      <c r="AE44">
        <v>21</v>
      </c>
      <c r="AF44">
        <v>8</v>
      </c>
      <c r="AH44" s="27">
        <v>45870</v>
      </c>
      <c r="AI44">
        <f t="shared" si="0"/>
        <v>6</v>
      </c>
      <c r="AJ44" s="245">
        <f t="shared" si="1"/>
        <v>31</v>
      </c>
    </row>
    <row r="45" spans="2:3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2"/>
        <v>9</v>
      </c>
      <c r="H45" s="186">
        <f t="shared" si="3"/>
        <v>6</v>
      </c>
      <c r="I45" cm="1">
        <f t="array" ref="I45">INDEX(_tClimate,H45,G45)</f>
        <v>6321607</v>
      </c>
      <c r="K45">
        <f>_xlfn.XLOOKUP(I45,Climatogram!$AM$5:$AM$10,Climatogram!$AL$5:$AL$10)</f>
        <v>27</v>
      </c>
      <c r="L45" t="str" cm="1">
        <f t="array" ref="L45">INDEX(_nDorN,Case!H45)</f>
        <v>Day</v>
      </c>
      <c r="W45" t="str">
        <v>16-4-2025</v>
      </c>
      <c r="Y45" t="str">
        <v>16-4-2025</v>
      </c>
      <c r="Z45">
        <v>6</v>
      </c>
      <c r="AD45">
        <v>9</v>
      </c>
      <c r="AE45">
        <v>14</v>
      </c>
      <c r="AF45">
        <v>7</v>
      </c>
      <c r="AH45" s="27">
        <v>45901</v>
      </c>
      <c r="AI45">
        <f t="shared" si="0"/>
        <v>2</v>
      </c>
      <c r="AJ45" s="245">
        <f t="shared" si="1"/>
        <v>30</v>
      </c>
    </row>
    <row r="46" spans="2:3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2"/>
        <v>2</v>
      </c>
      <c r="H46" s="186">
        <f t="shared" si="3"/>
        <v>18</v>
      </c>
      <c r="I46" cm="1">
        <f t="array" ref="I46">INDEX(_tClimate,H46,G46)</f>
        <v>7454605</v>
      </c>
      <c r="K46">
        <f>_xlfn.XLOOKUP(I46,Climatogram!$AM$5:$AM$10,Climatogram!$AL$5:$AL$10)</f>
        <v>16</v>
      </c>
      <c r="L46" t="str" cm="1">
        <f t="array" ref="L46">INDEX(_nDorN,Case!H46)</f>
        <v>Day</v>
      </c>
      <c r="W46" t="str">
        <v>26-4-2025</v>
      </c>
      <c r="Y46" t="str">
        <v>20-4-2025</v>
      </c>
      <c r="Z46">
        <v>6</v>
      </c>
      <c r="AD46">
        <v>13</v>
      </c>
      <c r="AE46">
        <v>18</v>
      </c>
      <c r="AF46">
        <v>7</v>
      </c>
      <c r="AH46" s="27">
        <v>45931</v>
      </c>
      <c r="AI46">
        <f t="shared" si="0"/>
        <v>4</v>
      </c>
      <c r="AJ46" s="245">
        <f t="shared" si="1"/>
        <v>31</v>
      </c>
    </row>
    <row r="47" spans="2:3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2"/>
        <v>16</v>
      </c>
      <c r="H47" s="186">
        <f t="shared" si="3"/>
        <v>15</v>
      </c>
      <c r="I47" cm="1">
        <f t="array" ref="I47">INDEX(_tClimate,H47,G47)</f>
        <v>6321607</v>
      </c>
      <c r="K47">
        <f>_xlfn.XLOOKUP(I47,Climatogram!$AM$5:$AM$10,Climatogram!$AL$5:$AL$10)</f>
        <v>27</v>
      </c>
      <c r="L47" t="str" cm="1">
        <f t="array" ref="L47">INDEX(_nDorN,Case!H47)</f>
        <v>Day</v>
      </c>
      <c r="W47" t="str">
        <v>20-4-2025</v>
      </c>
      <c r="Y47" t="str">
        <v>21-4-2025</v>
      </c>
      <c r="Z47">
        <v>6</v>
      </c>
      <c r="AD47">
        <v>17</v>
      </c>
      <c r="AE47">
        <v>7</v>
      </c>
      <c r="AF47">
        <v>6</v>
      </c>
      <c r="AH47" s="27">
        <v>45962</v>
      </c>
      <c r="AI47">
        <f t="shared" si="0"/>
        <v>7</v>
      </c>
      <c r="AJ47" s="245">
        <f t="shared" si="1"/>
        <v>30</v>
      </c>
    </row>
    <row r="48" spans="2:3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2"/>
        <v>26</v>
      </c>
      <c r="H48" s="186">
        <f t="shared" si="3"/>
        <v>11</v>
      </c>
      <c r="I48" cm="1">
        <f t="array" ref="I48">INDEX(_tClimate,H48,G48)</f>
        <v>6321607</v>
      </c>
      <c r="K48">
        <f>_xlfn.XLOOKUP(I48,Climatogram!$AM$5:$AM$10,Climatogram!$AL$5:$AL$10)</f>
        <v>27</v>
      </c>
      <c r="L48" t="str" cm="1">
        <f t="array" ref="L48">INDEX(_nDorN,Case!H48)</f>
        <v>Day</v>
      </c>
      <c r="W48" t="str">
        <v>13-4-2025</v>
      </c>
      <c r="Y48" t="str">
        <v>22-4-2025</v>
      </c>
      <c r="Z48">
        <v>6</v>
      </c>
      <c r="AD48">
        <v>2</v>
      </c>
      <c r="AE48">
        <v>12</v>
      </c>
      <c r="AF48">
        <v>6</v>
      </c>
      <c r="AH48" s="27">
        <v>45992</v>
      </c>
      <c r="AI48">
        <f t="shared" si="0"/>
        <v>2</v>
      </c>
      <c r="AJ48" s="245">
        <f t="shared" si="1"/>
        <v>31</v>
      </c>
    </row>
    <row r="49" spans="2:36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2"/>
        <v>20</v>
      </c>
      <c r="H49" s="186">
        <f t="shared" si="3"/>
        <v>7</v>
      </c>
      <c r="I49" cm="1">
        <f t="array" ref="I49">INDEX(_tClimate,H49,G49)</f>
        <v>6321607</v>
      </c>
      <c r="K49">
        <f>_xlfn.XLOOKUP(I49,Climatogram!$AM$5:$AM$10,Climatogram!$AL$5:$AL$10)</f>
        <v>27</v>
      </c>
      <c r="L49" t="str" cm="1">
        <f t="array" ref="L49">INDEX(_nDorN,Case!H49)</f>
        <v>Day</v>
      </c>
      <c r="W49" t="str">
        <v>7-4-2025</v>
      </c>
      <c r="Y49" t="str">
        <v>30-4-2025</v>
      </c>
      <c r="Z49">
        <v>6</v>
      </c>
      <c r="AD49">
        <v>1</v>
      </c>
      <c r="AE49">
        <v>16</v>
      </c>
      <c r="AF49">
        <v>6</v>
      </c>
      <c r="AH49" s="27">
        <v>46023</v>
      </c>
      <c r="AI49">
        <f t="shared" si="0"/>
        <v>5</v>
      </c>
      <c r="AJ49" s="245">
        <f t="shared" si="1"/>
        <v>31</v>
      </c>
    </row>
    <row r="50" spans="2:36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2"/>
        <v>13</v>
      </c>
      <c r="H50" s="186">
        <f t="shared" si="3"/>
        <v>22</v>
      </c>
      <c r="I50" cm="1">
        <f t="array" ref="I50">INDEX(_tClimate,H50,G50)</f>
        <v>7454605</v>
      </c>
      <c r="K50">
        <f>_xlfn.XLOOKUP(I50,Climatogram!$AM$5:$AM$10,Climatogram!$AL$5:$AL$10)</f>
        <v>16</v>
      </c>
      <c r="L50" t="str" cm="1">
        <f t="array" ref="L50">INDEX(_nDorN,Case!H50)</f>
        <v>Night</v>
      </c>
      <c r="W50" t="str">
        <v>14-4-2025</v>
      </c>
      <c r="Y50" t="str">
        <v>1-4-2025</v>
      </c>
      <c r="Z50">
        <v>5</v>
      </c>
      <c r="AD50">
        <v>1</v>
      </c>
      <c r="AE50">
        <v>6</v>
      </c>
      <c r="AF50">
        <v>5</v>
      </c>
      <c r="AH50" s="27">
        <v>46054</v>
      </c>
      <c r="AI50">
        <f t="shared" si="0"/>
        <v>1</v>
      </c>
      <c r="AJ50" s="245">
        <f t="shared" si="1"/>
        <v>28</v>
      </c>
    </row>
    <row r="51" spans="2:36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2"/>
        <v>7</v>
      </c>
      <c r="H51" s="186">
        <f t="shared" si="3"/>
        <v>23</v>
      </c>
      <c r="I51" cm="1">
        <f t="array" ref="I51">INDEX(_tClimate,H51,G51)</f>
        <v>7454605</v>
      </c>
      <c r="K51">
        <f>_xlfn.XLOOKUP(I51,Climatogram!$AM$5:$AM$10,Climatogram!$AL$5:$AL$10)</f>
        <v>16</v>
      </c>
      <c r="L51" t="str" cm="1">
        <f t="array" ref="L51">INDEX(_nDorN,Case!H51)</f>
        <v>Night</v>
      </c>
      <c r="W51" t="str">
        <v>14-4-2025</v>
      </c>
      <c r="Y51" t="str">
        <v>2-4-2025</v>
      </c>
      <c r="Z51">
        <v>5</v>
      </c>
      <c r="AD51">
        <v>23</v>
      </c>
      <c r="AE51">
        <v>8</v>
      </c>
      <c r="AF51">
        <v>5</v>
      </c>
      <c r="AH51" s="27">
        <v>46082</v>
      </c>
      <c r="AI51">
        <f t="shared" si="0"/>
        <v>1</v>
      </c>
      <c r="AJ51" s="245">
        <f t="shared" si="1"/>
        <v>31</v>
      </c>
    </row>
    <row r="52" spans="2:36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2"/>
        <v>14</v>
      </c>
      <c r="H52" s="186">
        <f t="shared" si="3"/>
        <v>23</v>
      </c>
      <c r="I52" cm="1">
        <f t="array" ref="I52">INDEX(_tClimate,H52,G52)</f>
        <v>7454605</v>
      </c>
      <c r="K52">
        <f>_xlfn.XLOOKUP(I52,Climatogram!$AM$5:$AM$10,Climatogram!$AL$5:$AL$10)</f>
        <v>16</v>
      </c>
      <c r="L52" t="str" cm="1">
        <f t="array" ref="L52">INDEX(_nDorN,Case!H52)</f>
        <v>Night</v>
      </c>
      <c r="W52" t="str">
        <v>20-4-2025</v>
      </c>
      <c r="Y52" t="str">
        <v>3-4-2025</v>
      </c>
      <c r="Z52">
        <v>5</v>
      </c>
      <c r="AD52">
        <v>17</v>
      </c>
      <c r="AE52">
        <v>11</v>
      </c>
      <c r="AF52">
        <v>5</v>
      </c>
      <c r="AH52" s="27">
        <v>46113</v>
      </c>
      <c r="AI52">
        <f t="shared" si="0"/>
        <v>4</v>
      </c>
      <c r="AJ52" s="245">
        <f t="shared" si="1"/>
        <v>30</v>
      </c>
    </row>
    <row r="53" spans="2:36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2"/>
        <v>14</v>
      </c>
      <c r="H53" s="186">
        <f t="shared" si="3"/>
        <v>1</v>
      </c>
      <c r="I53" cm="1">
        <f t="array" ref="I53">INDEX(_tClimate,H53,G53)</f>
        <v>7454605</v>
      </c>
      <c r="K53">
        <f>_xlfn.XLOOKUP(I53,Climatogram!$AM$5:$AM$10,Climatogram!$AL$5:$AL$10)</f>
        <v>16</v>
      </c>
      <c r="L53" t="str" cm="1">
        <f t="array" ref="L53">INDEX(_nDorN,Case!H53)</f>
        <v>Night</v>
      </c>
      <c r="W53" t="str">
        <v>18-4-2025</v>
      </c>
      <c r="Y53" t="str">
        <v>6-4-2025</v>
      </c>
      <c r="Z53">
        <v>5</v>
      </c>
      <c r="AD53">
        <v>17</v>
      </c>
      <c r="AE53">
        <v>13</v>
      </c>
      <c r="AF53">
        <v>5</v>
      </c>
      <c r="AH53" s="27">
        <v>46143</v>
      </c>
      <c r="AI53">
        <f t="shared" si="0"/>
        <v>6</v>
      </c>
      <c r="AJ53" s="245">
        <f t="shared" si="1"/>
        <v>31</v>
      </c>
    </row>
    <row r="54" spans="2:36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2"/>
        <v>20</v>
      </c>
      <c r="H54" s="186">
        <f t="shared" si="3"/>
        <v>7</v>
      </c>
      <c r="I54" cm="1">
        <f t="array" ref="I54">INDEX(_tClimate,H54,G54)</f>
        <v>6321607</v>
      </c>
      <c r="K54">
        <f>_xlfn.XLOOKUP(I54,Climatogram!$AM$5:$AM$10,Climatogram!$AL$5:$AL$10)</f>
        <v>27</v>
      </c>
      <c r="L54" t="str" cm="1">
        <f t="array" ref="L54">INDEX(_nDorN,Case!H54)</f>
        <v>Day</v>
      </c>
      <c r="W54" t="str">
        <v>27-4-2025</v>
      </c>
      <c r="Y54" t="str">
        <v>10-4-2025</v>
      </c>
      <c r="Z54">
        <v>4</v>
      </c>
      <c r="AD54">
        <v>19</v>
      </c>
      <c r="AE54">
        <v>19</v>
      </c>
      <c r="AF54">
        <v>5</v>
      </c>
      <c r="AH54" s="27">
        <v>46174</v>
      </c>
      <c r="AI54">
        <f t="shared" si="0"/>
        <v>2</v>
      </c>
      <c r="AJ54" s="245">
        <f t="shared" si="1"/>
        <v>30</v>
      </c>
    </row>
    <row r="55" spans="2:36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2"/>
        <v>18</v>
      </c>
      <c r="H55" s="186">
        <f t="shared" si="3"/>
        <v>7</v>
      </c>
      <c r="I55" cm="1">
        <f t="array" ref="I55">INDEX(_tClimate,H55,G55)</f>
        <v>6321607</v>
      </c>
      <c r="K55">
        <f>_xlfn.XLOOKUP(I55,Climatogram!$AM$5:$AM$10,Climatogram!$AL$5:$AL$10)</f>
        <v>27</v>
      </c>
      <c r="L55" t="str" cm="1">
        <f t="array" ref="L55">INDEX(_nDorN,Case!H55)</f>
        <v>Day</v>
      </c>
      <c r="W55" t="str">
        <v>10-4-2025</v>
      </c>
      <c r="Y55" t="str">
        <v>15-4-2025</v>
      </c>
      <c r="Z55">
        <v>4</v>
      </c>
      <c r="AD55">
        <v>0</v>
      </c>
      <c r="AE55">
        <v>4</v>
      </c>
      <c r="AF55">
        <v>4</v>
      </c>
      <c r="AH55" s="27">
        <v>46204</v>
      </c>
      <c r="AI55">
        <f t="shared" si="0"/>
        <v>4</v>
      </c>
      <c r="AJ55" s="245">
        <f t="shared" si="1"/>
        <v>31</v>
      </c>
    </row>
    <row r="56" spans="2:36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2"/>
        <v>27</v>
      </c>
      <c r="H56" s="186">
        <f t="shared" si="3"/>
        <v>5</v>
      </c>
      <c r="I56" cm="1">
        <f t="array" ref="I56">INDEX(_tClimate,H56,G56)</f>
        <v>6321607</v>
      </c>
      <c r="K56">
        <f>_xlfn.XLOOKUP(I56,Climatogram!$AM$5:$AM$10,Climatogram!$AL$5:$AL$10)</f>
        <v>27</v>
      </c>
      <c r="L56" t="str" cm="1">
        <f t="array" ref="L56">INDEX(_nDorN,Case!H56)</f>
        <v>Day</v>
      </c>
      <c r="W56" t="str">
        <v>28-4-2025</v>
      </c>
      <c r="Y56" t="str">
        <v>17-4-2025</v>
      </c>
      <c r="Z56">
        <v>4</v>
      </c>
      <c r="AD56">
        <v>3</v>
      </c>
      <c r="AE56">
        <v>9</v>
      </c>
      <c r="AF56">
        <v>4</v>
      </c>
      <c r="AH56" s="27">
        <v>46235</v>
      </c>
      <c r="AI56">
        <f t="shared" si="0"/>
        <v>7</v>
      </c>
      <c r="AJ56" s="245">
        <f t="shared" si="1"/>
        <v>31</v>
      </c>
    </row>
    <row r="57" spans="2:36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2"/>
        <v>10</v>
      </c>
      <c r="H57" s="186">
        <f t="shared" si="3"/>
        <v>24</v>
      </c>
      <c r="I57" cm="1">
        <f t="array" ref="I57">INDEX(_tClimate,H57,G57)</f>
        <v>7454605</v>
      </c>
      <c r="K57">
        <f>_xlfn.XLOOKUP(I57,Climatogram!$AM$5:$AM$10,Climatogram!$AL$5:$AL$10)</f>
        <v>16</v>
      </c>
      <c r="L57" t="str" cm="1">
        <f t="array" ref="L57">INDEX(_nDorN,Case!H57)</f>
        <v>Night</v>
      </c>
      <c r="W57" t="str">
        <v>18-4-2025</v>
      </c>
      <c r="Y57" t="str">
        <v>19-4-2025</v>
      </c>
      <c r="Z57">
        <v>4</v>
      </c>
      <c r="AD57">
        <v>11</v>
      </c>
      <c r="AE57">
        <v>20</v>
      </c>
      <c r="AF57">
        <v>4</v>
      </c>
      <c r="AH57" s="27">
        <v>46266</v>
      </c>
      <c r="AI57">
        <f t="shared" si="0"/>
        <v>3</v>
      </c>
      <c r="AJ57" s="245">
        <f t="shared" si="1"/>
        <v>30</v>
      </c>
    </row>
    <row r="58" spans="2:36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2"/>
        <v>28</v>
      </c>
      <c r="H58" s="186">
        <f t="shared" si="3"/>
        <v>21</v>
      </c>
      <c r="I58" cm="1">
        <f t="array" ref="I58">INDEX(_tClimate,H58,G58)</f>
        <v>7454605</v>
      </c>
      <c r="K58">
        <f>_xlfn.XLOOKUP(I58,Climatogram!$AM$5:$AM$10,Climatogram!$AL$5:$AL$10)</f>
        <v>16</v>
      </c>
      <c r="L58" t="str" cm="1">
        <f t="array" ref="L58">INDEX(_nDorN,Case!H58)</f>
        <v>Night</v>
      </c>
      <c r="W58" t="str">
        <v>22-4-2025</v>
      </c>
      <c r="Y58" t="str">
        <v>24-4-2025</v>
      </c>
      <c r="Z58">
        <v>4</v>
      </c>
      <c r="AD58">
        <v>17</v>
      </c>
      <c r="AE58">
        <v>2</v>
      </c>
      <c r="AF58">
        <v>3</v>
      </c>
      <c r="AH58" s="27">
        <v>46296</v>
      </c>
      <c r="AI58">
        <f t="shared" si="0"/>
        <v>5</v>
      </c>
      <c r="AJ58" s="245">
        <f t="shared" si="1"/>
        <v>31</v>
      </c>
    </row>
    <row r="59" spans="2:36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2"/>
        <v>18</v>
      </c>
      <c r="H59" s="186">
        <f t="shared" si="3"/>
        <v>13</v>
      </c>
      <c r="I59" cm="1">
        <f t="array" ref="I59">INDEX(_tClimate,H59,G59)</f>
        <v>6321607</v>
      </c>
      <c r="K59">
        <f>_xlfn.XLOOKUP(I59,Climatogram!$AM$5:$AM$10,Climatogram!$AL$5:$AL$10)</f>
        <v>27</v>
      </c>
      <c r="L59" t="str" cm="1">
        <f t="array" ref="L59">INDEX(_nDorN,Case!H59)</f>
        <v>Day</v>
      </c>
      <c r="W59" t="str">
        <v>12-4-2025</v>
      </c>
      <c r="Y59" t="str">
        <v>25-4-2025</v>
      </c>
      <c r="Z59">
        <v>4</v>
      </c>
      <c r="AD59">
        <v>13</v>
      </c>
      <c r="AE59">
        <v>5</v>
      </c>
      <c r="AF59">
        <v>3</v>
      </c>
      <c r="AH59" s="27">
        <v>46327</v>
      </c>
      <c r="AI59">
        <f t="shared" si="0"/>
        <v>1</v>
      </c>
      <c r="AJ59" s="245">
        <f t="shared" si="1"/>
        <v>30</v>
      </c>
    </row>
    <row r="60" spans="2:36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2"/>
        <v>22</v>
      </c>
      <c r="H60" s="186">
        <f t="shared" si="3"/>
        <v>7</v>
      </c>
      <c r="I60" cm="1">
        <f t="array" ref="I60">INDEX(_tClimate,H60,G60)</f>
        <v>6321607</v>
      </c>
      <c r="K60">
        <f>_xlfn.XLOOKUP(I60,Climatogram!$AM$5:$AM$10,Climatogram!$AL$5:$AL$10)</f>
        <v>27</v>
      </c>
      <c r="L60" t="str" cm="1">
        <f t="array" ref="L60">INDEX(_nDorN,Case!H60)</f>
        <v>Day</v>
      </c>
      <c r="W60" t="str">
        <v>10-4-2025</v>
      </c>
      <c r="Y60" t="str">
        <v>26-4-2025</v>
      </c>
      <c r="Z60">
        <v>4</v>
      </c>
      <c r="AD60">
        <v>18</v>
      </c>
      <c r="AE60">
        <v>10</v>
      </c>
      <c r="AF60">
        <v>3</v>
      </c>
      <c r="AH60" s="27">
        <v>46357</v>
      </c>
      <c r="AI60">
        <f t="shared" si="0"/>
        <v>3</v>
      </c>
      <c r="AJ60" s="245">
        <f t="shared" si="1"/>
        <v>31</v>
      </c>
    </row>
    <row r="61" spans="2:36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2"/>
        <v>12</v>
      </c>
      <c r="H61" s="186">
        <f t="shared" si="3"/>
        <v>11</v>
      </c>
      <c r="I61" cm="1">
        <f t="array" ref="I61">INDEX(_tClimate,H61,G61)</f>
        <v>5921712</v>
      </c>
      <c r="K61">
        <f>_xlfn.XLOOKUP(I61,Climatogram!$AM$5:$AM$10,Climatogram!$AL$5:$AL$10)</f>
        <v>32</v>
      </c>
      <c r="L61" t="str" cm="1">
        <f t="array" ref="L61">INDEX(_nDorN,Case!H61)</f>
        <v>Day</v>
      </c>
      <c r="W61" t="str">
        <v>3-4-2025</v>
      </c>
      <c r="Y61" t="str">
        <v>28-4-2025</v>
      </c>
      <c r="Z61">
        <v>4</v>
      </c>
      <c r="AD61">
        <v>11</v>
      </c>
      <c r="AE61">
        <v>15</v>
      </c>
      <c r="AF61">
        <v>3</v>
      </c>
      <c r="AH61" s="27">
        <v>46388</v>
      </c>
      <c r="AI61">
        <f t="shared" si="0"/>
        <v>6</v>
      </c>
      <c r="AJ61" s="245">
        <f t="shared" si="1"/>
        <v>31</v>
      </c>
    </row>
    <row r="62" spans="2:36" x14ac:dyDescent="0.3">
      <c r="W62" t="str">
        <v>14-4-2025</v>
      </c>
      <c r="Y62" t="str">
        <v>29-4-2025</v>
      </c>
      <c r="Z62">
        <v>4</v>
      </c>
      <c r="AD62">
        <v>4</v>
      </c>
      <c r="AE62">
        <v>22</v>
      </c>
      <c r="AF62">
        <v>3</v>
      </c>
      <c r="AH62" s="27">
        <v>46419</v>
      </c>
      <c r="AI62">
        <f t="shared" si="0"/>
        <v>2</v>
      </c>
      <c r="AJ62" s="245">
        <f t="shared" si="1"/>
        <v>28</v>
      </c>
    </row>
    <row r="63" spans="2:36" x14ac:dyDescent="0.3">
      <c r="W63" t="str">
        <v>18-4-2025</v>
      </c>
      <c r="Y63" t="str">
        <v>7-4-2025</v>
      </c>
      <c r="Z63">
        <v>4</v>
      </c>
      <c r="AD63">
        <v>6</v>
      </c>
      <c r="AE63">
        <v>23</v>
      </c>
      <c r="AF63">
        <v>2</v>
      </c>
      <c r="AH63" s="27">
        <v>46447</v>
      </c>
      <c r="AI63">
        <f t="shared" si="0"/>
        <v>2</v>
      </c>
      <c r="AJ63" s="245">
        <f t="shared" si="1"/>
        <v>31</v>
      </c>
    </row>
    <row r="64" spans="2:36" ht="15" thickBot="1" x14ac:dyDescent="0.35">
      <c r="B64" s="4" t="s">
        <v>38</v>
      </c>
      <c r="C64" s="14" t="s">
        <v>30</v>
      </c>
      <c r="W64" t="str">
        <v>6-4-2025</v>
      </c>
      <c r="Y64" t="str">
        <v>4-4-2025</v>
      </c>
      <c r="Z64">
        <v>3</v>
      </c>
      <c r="AD64">
        <v>1</v>
      </c>
      <c r="AE64">
        <v>0</v>
      </c>
      <c r="AF64">
        <v>1</v>
      </c>
      <c r="AH64" s="27">
        <v>46478</v>
      </c>
      <c r="AI64">
        <f t="shared" si="0"/>
        <v>5</v>
      </c>
      <c r="AJ64" s="245">
        <f t="shared" si="1"/>
        <v>30</v>
      </c>
    </row>
    <row r="65" spans="2:36" ht="15" thickTop="1" x14ac:dyDescent="0.3">
      <c r="W65" t="str">
        <v>11-4-2025</v>
      </c>
      <c r="Y65" t="str">
        <v>5-4-2025</v>
      </c>
      <c r="Z65">
        <v>3</v>
      </c>
      <c r="AD65">
        <v>3</v>
      </c>
      <c r="AH65" s="27">
        <v>46508</v>
      </c>
      <c r="AI65">
        <f t="shared" si="0"/>
        <v>7</v>
      </c>
      <c r="AJ65" s="245">
        <f t="shared" si="1"/>
        <v>31</v>
      </c>
    </row>
    <row r="66" spans="2:36" x14ac:dyDescent="0.3">
      <c r="B66" s="10" t="s">
        <v>39</v>
      </c>
      <c r="W66" t="str">
        <v>30-4-2025</v>
      </c>
      <c r="Y66" t="str">
        <v>8-4-2025</v>
      </c>
      <c r="Z66">
        <v>3</v>
      </c>
      <c r="AD66">
        <v>21</v>
      </c>
      <c r="AH66" s="246">
        <v>46539</v>
      </c>
      <c r="AI66" s="201">
        <f t="shared" si="0"/>
        <v>3</v>
      </c>
      <c r="AJ66" s="247">
        <f t="shared" si="1"/>
        <v>30</v>
      </c>
    </row>
    <row r="67" spans="2:36" x14ac:dyDescent="0.3">
      <c r="B67" s="10" t="s">
        <v>40</v>
      </c>
      <c r="W67" t="str">
        <v>21-4-2025</v>
      </c>
      <c r="Y67" t="str">
        <v>9-4-2025</v>
      </c>
      <c r="Z67">
        <v>3</v>
      </c>
      <c r="AD67">
        <v>9</v>
      </c>
      <c r="AH67" s="27">
        <v>46569</v>
      </c>
      <c r="AI67">
        <f t="shared" si="0"/>
        <v>5</v>
      </c>
      <c r="AJ67" s="245">
        <f t="shared" si="1"/>
        <v>31</v>
      </c>
    </row>
    <row r="68" spans="2:36" x14ac:dyDescent="0.3">
      <c r="B68" s="23" t="s">
        <v>41</v>
      </c>
      <c r="W68" t="str">
        <v>21-4-2025</v>
      </c>
      <c r="Y68" t="str">
        <v>13-4-2025</v>
      </c>
      <c r="Z68">
        <v>2</v>
      </c>
      <c r="AD68">
        <v>12</v>
      </c>
      <c r="AH68" s="27">
        <v>46600</v>
      </c>
      <c r="AI68">
        <f t="shared" si="0"/>
        <v>1</v>
      </c>
      <c r="AJ68" s="245">
        <f t="shared" si="1"/>
        <v>31</v>
      </c>
    </row>
    <row r="69" spans="2:36" x14ac:dyDescent="0.3">
      <c r="B69" s="12" t="s">
        <v>42</v>
      </c>
      <c r="W69" t="str">
        <v>1-4-2025</v>
      </c>
      <c r="Y69" t="str">
        <v>23-4-2025</v>
      </c>
      <c r="Z69">
        <v>2</v>
      </c>
      <c r="AD69">
        <v>9</v>
      </c>
      <c r="AH69" s="27">
        <v>46631</v>
      </c>
      <c r="AI69">
        <f t="shared" si="0"/>
        <v>4</v>
      </c>
      <c r="AJ69" s="245">
        <f t="shared" si="1"/>
        <v>30</v>
      </c>
    </row>
    <row r="70" spans="2:36" x14ac:dyDescent="0.3">
      <c r="W70" t="str">
        <v>12-4-2025</v>
      </c>
      <c r="Y70" t="str">
        <v>27-4-2025</v>
      </c>
      <c r="Z70">
        <v>2</v>
      </c>
      <c r="AD70">
        <v>18</v>
      </c>
      <c r="AH70" s="27">
        <v>46661</v>
      </c>
      <c r="AI70">
        <f t="shared" si="0"/>
        <v>6</v>
      </c>
      <c r="AJ70" s="245">
        <f t="shared" si="1"/>
        <v>31</v>
      </c>
    </row>
    <row r="71" spans="2:3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  <c r="W71" t="str">
        <v>22-4-2025</v>
      </c>
      <c r="AD71">
        <v>18</v>
      </c>
      <c r="AH71" s="27">
        <v>46692</v>
      </c>
      <c r="AI71">
        <f t="shared" si="0"/>
        <v>2</v>
      </c>
      <c r="AJ71" s="245">
        <f t="shared" si="1"/>
        <v>30</v>
      </c>
    </row>
    <row r="72" spans="2:36" ht="15" thickTop="1" x14ac:dyDescent="0.3">
      <c r="W72" t="str">
        <v>25-4-2025</v>
      </c>
      <c r="AD72">
        <v>13</v>
      </c>
      <c r="AH72" s="27">
        <v>46722</v>
      </c>
      <c r="AI72">
        <f t="shared" si="0"/>
        <v>4</v>
      </c>
      <c r="AJ72" s="245">
        <f t="shared" si="1"/>
        <v>31</v>
      </c>
    </row>
    <row r="73" spans="2:36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K73">
        <f>_xlfn.XLOOKUP(I73,Climatogram!$AM$5:$AM$10,Climatogram!$AL$5:$AL$10)</f>
        <v>27</v>
      </c>
      <c r="L73" t="str" cm="1">
        <f t="array" aca="1" ref="L73" ca="1">IF(_fnDay(INDIRECT("Climatogram!"&amp;ADDRESS(H73+4,G73+2))),"D","N")</f>
        <v>N</v>
      </c>
      <c r="M73" t="str">
        <f ca="1">K73&amp;"-"&amp;L73</f>
        <v>27-N</v>
      </c>
      <c r="W73" t="str">
        <v>9-4-2025</v>
      </c>
      <c r="AD73">
        <v>8</v>
      </c>
      <c r="AH73" s="27">
        <v>46753</v>
      </c>
      <c r="AI73">
        <f t="shared" si="0"/>
        <v>7</v>
      </c>
      <c r="AJ73" s="245">
        <f t="shared" si="1"/>
        <v>31</v>
      </c>
    </row>
    <row r="74" spans="2:36" x14ac:dyDescent="0.3">
      <c r="F74" s="16"/>
      <c r="H74" s="186"/>
      <c r="W74" t="str">
        <v>16-4-2025</v>
      </c>
      <c r="AD74">
        <v>17</v>
      </c>
      <c r="AH74" s="27">
        <v>46784</v>
      </c>
      <c r="AI74">
        <f t="shared" si="0"/>
        <v>3</v>
      </c>
      <c r="AJ74" s="245">
        <f t="shared" si="1"/>
        <v>29</v>
      </c>
    </row>
    <row r="75" spans="2:36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4">DAY(F75)</f>
        <v>10</v>
      </c>
      <c r="H75" s="186">
        <f t="shared" ref="H75:H94" si="5">ROUND(24-HOUR(F75),0)</f>
        <v>6</v>
      </c>
      <c r="I75" cm="1">
        <f t="array" ref="I75">INDEX(_tClimate,H75,G75)</f>
        <v>6321607</v>
      </c>
      <c r="K75">
        <f>_xlfn.XLOOKUP(I75,Climatogram!$AM$5:$AM$10,Climatogram!$AL$5:$AL$10)</f>
        <v>27</v>
      </c>
      <c r="L75" t="str" cm="1">
        <f t="array" aca="1" ref="L75" ca="1">IF(_fnDay(INDIRECT("Climatogram!"&amp;ADDRESS(H75+4,G75+2))),"D","N")</f>
        <v>N</v>
      </c>
      <c r="M75" t="str">
        <f t="shared" ref="M75:M94" ca="1" si="6">K75&amp;"-"&amp;L75</f>
        <v>27-N</v>
      </c>
      <c r="W75" t="str">
        <v>30-4-2025</v>
      </c>
      <c r="AD75">
        <v>19</v>
      </c>
      <c r="AH75" s="27">
        <v>46813</v>
      </c>
      <c r="AI75">
        <f t="shared" si="0"/>
        <v>4</v>
      </c>
      <c r="AJ75" s="245">
        <f t="shared" si="1"/>
        <v>31</v>
      </c>
    </row>
    <row r="76" spans="2:36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4"/>
        <v>3</v>
      </c>
      <c r="H76" s="186">
        <f t="shared" si="5"/>
        <v>13</v>
      </c>
      <c r="I76" cm="1">
        <f t="array" ref="I76">INDEX(_tClimate,H76,G76)</f>
        <v>6321607</v>
      </c>
      <c r="K76">
        <f>_xlfn.XLOOKUP(I76,Climatogram!$AM$5:$AM$10,Climatogram!$AL$5:$AL$10)</f>
        <v>27</v>
      </c>
      <c r="L76" t="str" cm="1">
        <f t="array" aca="1" ref="L76" ca="1">IF(_fnDay(INDIRECT("Climatogram!"&amp;ADDRESS(H76+4,G76+2))),"D","N")</f>
        <v>D</v>
      </c>
      <c r="M76" t="str">
        <f t="shared" ca="1" si="6"/>
        <v>27-D</v>
      </c>
      <c r="W76" t="str">
        <v>24-4-2025</v>
      </c>
      <c r="AD76">
        <v>7</v>
      </c>
      <c r="AH76" s="27">
        <v>46844</v>
      </c>
      <c r="AI76">
        <f t="shared" si="0"/>
        <v>7</v>
      </c>
      <c r="AJ76" s="245">
        <f t="shared" si="1"/>
        <v>30</v>
      </c>
    </row>
    <row r="77" spans="2:36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4"/>
        <v>14</v>
      </c>
      <c r="H77" s="186">
        <f t="shared" si="5"/>
        <v>20</v>
      </c>
      <c r="I77" cm="1">
        <f t="array" ref="I77">INDEX(_tClimate,H77,G77)</f>
        <v>7841908</v>
      </c>
      <c r="K77">
        <f>_xlfn.XLOOKUP(I77,Climatogram!$AM$5:$AM$10,Climatogram!$AL$5:$AL$10)</f>
        <v>10</v>
      </c>
      <c r="L77" t="str" cm="1">
        <f t="array" aca="1" ref="L77" ca="1">IF(_fnDay(INDIRECT("Climatogram!"&amp;ADDRESS(H77+4,G77+2))),"D","N")</f>
        <v>N</v>
      </c>
      <c r="M77" t="str">
        <f t="shared" ca="1" si="6"/>
        <v>10-N</v>
      </c>
      <c r="W77" t="str">
        <v>3-4-2025</v>
      </c>
      <c r="AD77">
        <v>6</v>
      </c>
      <c r="AH77" s="27">
        <v>46874</v>
      </c>
      <c r="AI77">
        <f t="shared" si="0"/>
        <v>2</v>
      </c>
      <c r="AJ77" s="245">
        <f t="shared" si="1"/>
        <v>31</v>
      </c>
    </row>
    <row r="78" spans="2:36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4"/>
        <v>18</v>
      </c>
      <c r="H78" s="186">
        <f t="shared" si="5"/>
        <v>18</v>
      </c>
      <c r="I78" cm="1">
        <f t="array" ref="I78">INDEX(_tClimate,H78,G78)</f>
        <v>7454605</v>
      </c>
      <c r="K78">
        <f>_xlfn.XLOOKUP(I78,Climatogram!$AM$5:$AM$10,Climatogram!$AL$5:$AL$10)</f>
        <v>16</v>
      </c>
      <c r="L78" t="str" cm="1">
        <f t="array" aca="1" ref="L78" ca="1">IF(_fnDay(INDIRECT("Climatogram!"&amp;ADDRESS(H78+4,G78+2))),"D","N")</f>
        <v>D</v>
      </c>
      <c r="M78" t="str">
        <f t="shared" ca="1" si="6"/>
        <v>16-D</v>
      </c>
      <c r="W78" t="str">
        <v>30-4-2025</v>
      </c>
      <c r="AD78">
        <v>1</v>
      </c>
      <c r="AH78" s="27">
        <v>46905</v>
      </c>
      <c r="AI78">
        <f t="shared" si="0"/>
        <v>5</v>
      </c>
      <c r="AJ78" s="245">
        <f t="shared" si="1"/>
        <v>30</v>
      </c>
    </row>
    <row r="79" spans="2:36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4"/>
        <v>6</v>
      </c>
      <c r="H79" s="186">
        <f t="shared" si="5"/>
        <v>23</v>
      </c>
      <c r="I79" cm="1">
        <f t="array" ref="I79">INDEX(_tClimate,H79,G79)</f>
        <v>7454605</v>
      </c>
      <c r="K79">
        <f>_xlfn.XLOOKUP(I79,Climatogram!$AM$5:$AM$10,Climatogram!$AL$5:$AL$10)</f>
        <v>16</v>
      </c>
      <c r="L79" t="str" cm="1">
        <f t="array" aca="1" ref="L79" ca="1">IF(_fnDay(INDIRECT("Climatogram!"&amp;ADDRESS(H79+4,G79+2))),"D","N")</f>
        <v>N</v>
      </c>
      <c r="M79" t="str">
        <f t="shared" ca="1" si="6"/>
        <v>16-N</v>
      </c>
      <c r="W79" t="str">
        <v>18-4-2025</v>
      </c>
      <c r="AD79">
        <v>6</v>
      </c>
      <c r="AH79" s="27">
        <v>46935</v>
      </c>
      <c r="AI79">
        <f t="shared" si="0"/>
        <v>7</v>
      </c>
      <c r="AJ79" s="245">
        <f t="shared" si="1"/>
        <v>31</v>
      </c>
    </row>
    <row r="80" spans="2:36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4"/>
        <v>11</v>
      </c>
      <c r="H80" s="186">
        <f t="shared" si="5"/>
        <v>21</v>
      </c>
      <c r="I80" cm="1">
        <f t="array" ref="I80">INDEX(_tClimate,H80,G80)</f>
        <v>7454605</v>
      </c>
      <c r="K80">
        <f>_xlfn.XLOOKUP(I80,Climatogram!$AM$5:$AM$10,Climatogram!$AL$5:$AL$10)</f>
        <v>16</v>
      </c>
      <c r="L80" t="str" cm="1">
        <f t="array" aca="1" ref="L80" ca="1">IF(_fnDay(INDIRECT("Climatogram!"&amp;ADDRESS(H80+4,G80+2))),"D","N")</f>
        <v>N</v>
      </c>
      <c r="M80" t="str">
        <f t="shared" ca="1" si="6"/>
        <v>16-N</v>
      </c>
      <c r="W80" t="str">
        <v>5-4-2025</v>
      </c>
      <c r="AD80">
        <v>11</v>
      </c>
    </row>
    <row r="81" spans="2:30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4"/>
        <v>30</v>
      </c>
      <c r="H81" s="186">
        <f t="shared" si="5"/>
        <v>3</v>
      </c>
      <c r="I81" cm="1">
        <f t="array" ref="I81">INDEX(_tClimate,H81,G81)</f>
        <v>7851241</v>
      </c>
      <c r="K81">
        <f>_xlfn.XLOOKUP(I81,Climatogram!$AM$5:$AM$10,Climatogram!$AL$5:$AL$10)</f>
        <v>22</v>
      </c>
      <c r="L81" t="str" cm="1">
        <f t="array" aca="1" ref="L81" ca="1">IF(_fnDay(INDIRECT("Climatogram!"&amp;ADDRESS(H81+4,G81+2))),"D","N")</f>
        <v>N</v>
      </c>
      <c r="M81" t="str">
        <f t="shared" ca="1" si="6"/>
        <v>22-N</v>
      </c>
      <c r="W81" t="str">
        <v>6-4-2025</v>
      </c>
      <c r="AD81">
        <v>8</v>
      </c>
    </row>
    <row r="82" spans="2:30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4"/>
        <v>21</v>
      </c>
      <c r="H82" s="186">
        <f t="shared" si="5"/>
        <v>15</v>
      </c>
      <c r="I82" cm="1">
        <f t="array" ref="I82">INDEX(_tClimate,H82,G82)</f>
        <v>6321607</v>
      </c>
      <c r="K82">
        <f>_xlfn.XLOOKUP(I82,Climatogram!$AM$5:$AM$10,Climatogram!$AL$5:$AL$10)</f>
        <v>27</v>
      </c>
      <c r="L82" t="str" cm="1">
        <f t="array" aca="1" ref="L82" ca="1">IF(_fnDay(INDIRECT("Climatogram!"&amp;ADDRESS(H82+4,G82+2))),"D","N")</f>
        <v>D</v>
      </c>
      <c r="M82" t="str">
        <f t="shared" ca="1" si="6"/>
        <v>27-D</v>
      </c>
      <c r="W82" t="str">
        <v>7-4-2025</v>
      </c>
      <c r="AD82">
        <v>3</v>
      </c>
    </row>
    <row r="83" spans="2:30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4"/>
        <v>21</v>
      </c>
      <c r="H83" s="186">
        <f t="shared" si="5"/>
        <v>12</v>
      </c>
      <c r="I83" cm="1">
        <f t="array" ref="I83">INDEX(_tClimate,H83,G83)</f>
        <v>6321607</v>
      </c>
      <c r="K83">
        <f>_xlfn.XLOOKUP(I83,Climatogram!$AM$5:$AM$10,Climatogram!$AL$5:$AL$10)</f>
        <v>27</v>
      </c>
      <c r="L83" t="str" cm="1">
        <f t="array" aca="1" ref="L83" ca="1">IF(_fnDay(INDIRECT("Climatogram!"&amp;ADDRESS(H83+4,G83+2))),"D","N")</f>
        <v>D</v>
      </c>
      <c r="M83" t="str">
        <f t="shared" ca="1" si="6"/>
        <v>27-D</v>
      </c>
      <c r="W83" t="str">
        <v>8-4-2025</v>
      </c>
      <c r="AD83">
        <v>19</v>
      </c>
    </row>
    <row r="84" spans="2:30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4"/>
        <v>1</v>
      </c>
      <c r="H84" s="186">
        <f t="shared" si="5"/>
        <v>15</v>
      </c>
      <c r="I84" cm="1">
        <f t="array" ref="I84">INDEX(_tClimate,H84,G84)</f>
        <v>7851241</v>
      </c>
      <c r="K84">
        <f>_xlfn.XLOOKUP(I84,Climatogram!$AM$5:$AM$10,Climatogram!$AL$5:$AL$10)</f>
        <v>22</v>
      </c>
      <c r="L84" t="str" cm="1">
        <f t="array" aca="1" ref="L84" ca="1">IF(_fnDay(INDIRECT("Climatogram!"&amp;ADDRESS(H84+4,G84+2))),"D","N")</f>
        <v>D</v>
      </c>
      <c r="M84" t="str">
        <f t="shared" ca="1" si="6"/>
        <v>22-D</v>
      </c>
      <c r="W84" t="str">
        <v>9-4-2025</v>
      </c>
      <c r="AD84">
        <v>4</v>
      </c>
    </row>
    <row r="85" spans="2:30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4"/>
        <v>12</v>
      </c>
      <c r="H85" s="186">
        <f t="shared" si="5"/>
        <v>6</v>
      </c>
      <c r="I85" cm="1">
        <f t="array" ref="I85">INDEX(_tClimate,H85,G85)</f>
        <v>6321607</v>
      </c>
      <c r="K85">
        <f>_xlfn.XLOOKUP(I85,Climatogram!$AM$5:$AM$10,Climatogram!$AL$5:$AL$10)</f>
        <v>27</v>
      </c>
      <c r="L85" t="str" cm="1">
        <f t="array" aca="1" ref="L85" ca="1">IF(_fnDay(INDIRECT("Climatogram!"&amp;ADDRESS(H85+4,G85+2))),"D","N")</f>
        <v>N</v>
      </c>
      <c r="M85" t="str">
        <f t="shared" ca="1" si="6"/>
        <v>27-N</v>
      </c>
      <c r="W85" t="str">
        <v>10-4-2025</v>
      </c>
      <c r="AD85">
        <v>12</v>
      </c>
    </row>
    <row r="86" spans="2:30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4"/>
        <v>22</v>
      </c>
      <c r="H86" s="186">
        <f t="shared" si="5"/>
        <v>6</v>
      </c>
      <c r="I86" cm="1">
        <f t="array" ref="I86">INDEX(_tClimate,H86,G86)</f>
        <v>6321607</v>
      </c>
      <c r="K86">
        <f>_xlfn.XLOOKUP(I86,Climatogram!$AM$5:$AM$10,Climatogram!$AL$5:$AL$10)</f>
        <v>27</v>
      </c>
      <c r="L86" t="str" cm="1">
        <f t="array" aca="1" ref="L86" ca="1">IF(_fnDay(INDIRECT("Climatogram!"&amp;ADDRESS(H86+4,G86+2))),"D","N")</f>
        <v>D</v>
      </c>
      <c r="M86" t="str">
        <f t="shared" ca="1" si="6"/>
        <v>27-D</v>
      </c>
      <c r="W86" t="str">
        <v>11-4-2025</v>
      </c>
      <c r="AD86">
        <v>21</v>
      </c>
    </row>
    <row r="87" spans="2:30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4"/>
        <v>25</v>
      </c>
      <c r="H87" s="186">
        <f t="shared" si="5"/>
        <v>11</v>
      </c>
      <c r="I87" cm="1">
        <f t="array" ref="I87">INDEX(_tClimate,H87,G87)</f>
        <v>6321607</v>
      </c>
      <c r="K87">
        <f>_xlfn.XLOOKUP(I87,Climatogram!$AM$5:$AM$10,Climatogram!$AL$5:$AL$10)</f>
        <v>27</v>
      </c>
      <c r="L87" t="str" cm="1">
        <f t="array" aca="1" ref="L87" ca="1">IF(_fnDay(INDIRECT("Climatogram!"&amp;ADDRESS(H87+4,G87+2))),"D","N")</f>
        <v>D</v>
      </c>
      <c r="M87" t="str">
        <f t="shared" ca="1" si="6"/>
        <v>27-D</v>
      </c>
      <c r="W87" t="str">
        <v>12-4-2025</v>
      </c>
      <c r="AD87">
        <v>8</v>
      </c>
    </row>
    <row r="88" spans="2:30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4"/>
        <v>9</v>
      </c>
      <c r="H88" s="186">
        <f t="shared" si="5"/>
        <v>16</v>
      </c>
      <c r="I88" cm="1">
        <f t="array" ref="I88">INDEX(_tClimate,H88,G88)</f>
        <v>7851241</v>
      </c>
      <c r="K88">
        <f>_xlfn.XLOOKUP(I88,Climatogram!$AM$5:$AM$10,Climatogram!$AL$5:$AL$10)</f>
        <v>22</v>
      </c>
      <c r="L88" t="str" cm="1">
        <f t="array" aca="1" ref="L88" ca="1">IF(_fnDay(INDIRECT("Climatogram!"&amp;ADDRESS(H88+4,G88+2))),"D","N")</f>
        <v>D</v>
      </c>
      <c r="M88" t="str">
        <f t="shared" ca="1" si="6"/>
        <v>22-D</v>
      </c>
      <c r="W88" t="str">
        <v>13-4-2025</v>
      </c>
      <c r="AD88">
        <v>6</v>
      </c>
    </row>
    <row r="89" spans="2:30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4"/>
        <v>16</v>
      </c>
      <c r="H89" s="186">
        <f t="shared" si="5"/>
        <v>7</v>
      </c>
      <c r="I89" cm="1">
        <f t="array" ref="I89">INDEX(_tClimate,H89,G89)</f>
        <v>6321607</v>
      </c>
      <c r="K89">
        <f>_xlfn.XLOOKUP(I89,Climatogram!$AM$5:$AM$10,Climatogram!$AL$5:$AL$10)</f>
        <v>27</v>
      </c>
      <c r="L89" t="str" cm="1">
        <f t="array" aca="1" ref="L89" ca="1">IF(_fnDay(INDIRECT("Climatogram!"&amp;ADDRESS(H89+4,G89+2))),"D","N")</f>
        <v>D</v>
      </c>
      <c r="M89" t="str">
        <f t="shared" ca="1" si="6"/>
        <v>27-D</v>
      </c>
      <c r="W89" t="str">
        <v>14-4-2025</v>
      </c>
      <c r="AD89">
        <v>15</v>
      </c>
    </row>
    <row r="90" spans="2:30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4"/>
        <v>30</v>
      </c>
      <c r="H90" s="186">
        <f t="shared" si="5"/>
        <v>5</v>
      </c>
      <c r="I90" cm="1">
        <f t="array" ref="I90">INDEX(_tClimate,H90,G90)</f>
        <v>6321607</v>
      </c>
      <c r="K90">
        <f>_xlfn.XLOOKUP(I90,Climatogram!$AM$5:$AM$10,Climatogram!$AL$5:$AL$10)</f>
        <v>27</v>
      </c>
      <c r="L90" t="str" cm="1">
        <f t="array" aca="1" ref="L90" ca="1">IF(_fnDay(INDIRECT("Climatogram!"&amp;ADDRESS(H90+4,G90+2))),"D","N")</f>
        <v>D</v>
      </c>
      <c r="M90" t="str">
        <f t="shared" ca="1" si="6"/>
        <v>27-D</v>
      </c>
      <c r="W90" t="str">
        <v>15-4-2025</v>
      </c>
      <c r="AD90">
        <v>21</v>
      </c>
    </row>
    <row r="91" spans="2:30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4"/>
        <v>24</v>
      </c>
      <c r="H91" s="186">
        <f t="shared" si="5"/>
        <v>17</v>
      </c>
      <c r="I91" cm="1">
        <f t="array" ref="I91">INDEX(_tClimate,H91,G91)</f>
        <v>7454605</v>
      </c>
      <c r="K91">
        <f>_xlfn.XLOOKUP(I91,Climatogram!$AM$5:$AM$10,Climatogram!$AL$5:$AL$10)</f>
        <v>16</v>
      </c>
      <c r="L91" t="str" cm="1">
        <f t="array" aca="1" ref="L91" ca="1">IF(_fnDay(INDIRECT("Climatogram!"&amp;ADDRESS(H91+4,G91+2))),"D","N")</f>
        <v>D</v>
      </c>
      <c r="M91" t="str">
        <f t="shared" ca="1" si="6"/>
        <v>16-D</v>
      </c>
      <c r="W91" t="str">
        <v>16-4-2025</v>
      </c>
      <c r="AD91">
        <v>5</v>
      </c>
    </row>
    <row r="92" spans="2:30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4"/>
        <v>3</v>
      </c>
      <c r="H92" s="186">
        <f t="shared" si="5"/>
        <v>18</v>
      </c>
      <c r="I92" cm="1">
        <f t="array" ref="I92">INDEX(_tClimate,H92,G92)</f>
        <v>7454605</v>
      </c>
      <c r="K92">
        <f>_xlfn.XLOOKUP(I92,Climatogram!$AM$5:$AM$10,Climatogram!$AL$5:$AL$10)</f>
        <v>16</v>
      </c>
      <c r="L92" t="str" cm="1">
        <f t="array" aca="1" ref="L92" ca="1">IF(_fnDay(INDIRECT("Climatogram!"&amp;ADDRESS(H92+4,G92+2))),"D","N")</f>
        <v>N</v>
      </c>
      <c r="M92" t="str">
        <f t="shared" ca="1" si="6"/>
        <v>16-N</v>
      </c>
      <c r="W92" t="str">
        <v>17-4-2025</v>
      </c>
      <c r="AD92">
        <v>17</v>
      </c>
    </row>
    <row r="93" spans="2:30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4"/>
        <v>30</v>
      </c>
      <c r="H93" s="186">
        <f t="shared" si="5"/>
        <v>23</v>
      </c>
      <c r="I93" cm="1">
        <f t="array" ref="I93">INDEX(_tClimate,H93,G93)</f>
        <v>7851241</v>
      </c>
      <c r="K93">
        <f>_xlfn.XLOOKUP(I93,Climatogram!$AM$5:$AM$10,Climatogram!$AL$5:$AL$10)</f>
        <v>22</v>
      </c>
      <c r="L93" t="str" cm="1">
        <f t="array" aca="1" ref="L93" ca="1">IF(_fnDay(INDIRECT("Climatogram!"&amp;ADDRESS(H93+4,G93+2))),"D","N")</f>
        <v>N</v>
      </c>
      <c r="M93" t="str">
        <f t="shared" ca="1" si="6"/>
        <v>22-N</v>
      </c>
      <c r="W93" t="str">
        <v>18-4-2025</v>
      </c>
      <c r="AD93">
        <v>8</v>
      </c>
    </row>
    <row r="94" spans="2:30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4"/>
        <v>18</v>
      </c>
      <c r="H94" s="186">
        <f t="shared" si="5"/>
        <v>18</v>
      </c>
      <c r="I94" cm="1">
        <f t="array" ref="I94">INDEX(_tClimate,H94,G94)</f>
        <v>7454605</v>
      </c>
      <c r="K94">
        <f>_xlfn.XLOOKUP(I94,Climatogram!$AM$5:$AM$10,Climatogram!$AL$5:$AL$10)</f>
        <v>16</v>
      </c>
      <c r="L94" t="str" cm="1">
        <f t="array" aca="1" ref="L94" ca="1">IF(_fnDay(INDIRECT("Climatogram!"&amp;ADDRESS(H94+4,G94+2))),"D","N")</f>
        <v>D</v>
      </c>
      <c r="M94" t="str">
        <f t="shared" ca="1" si="6"/>
        <v>16-D</v>
      </c>
      <c r="W94" t="str">
        <v>19-4-2025</v>
      </c>
      <c r="AD94">
        <v>2</v>
      </c>
    </row>
    <row r="95" spans="2:30" x14ac:dyDescent="0.3">
      <c r="W95" t="str">
        <v>20-4-2025</v>
      </c>
      <c r="AD95">
        <v>3</v>
      </c>
    </row>
    <row r="96" spans="2:30" x14ac:dyDescent="0.3">
      <c r="W96" t="str">
        <v>21-4-2025</v>
      </c>
      <c r="AD96">
        <v>14</v>
      </c>
    </row>
    <row r="97" spans="2:30" ht="15" thickBot="1" x14ac:dyDescent="0.35">
      <c r="B97" s="4" t="s">
        <v>23</v>
      </c>
      <c r="C97" s="14" t="s">
        <v>45</v>
      </c>
      <c r="W97" t="str">
        <v>22-4-2025</v>
      </c>
      <c r="AD97">
        <v>14</v>
      </c>
    </row>
    <row r="98" spans="2:30" ht="15" thickTop="1" x14ac:dyDescent="0.3">
      <c r="W98" t="str">
        <v>24-4-2025</v>
      </c>
      <c r="AD98">
        <v>1</v>
      </c>
    </row>
    <row r="99" spans="2:30" x14ac:dyDescent="0.3">
      <c r="B99" s="10" t="s">
        <v>46</v>
      </c>
      <c r="W99" t="str">
        <v>25-4-2025</v>
      </c>
      <c r="AD99">
        <v>3</v>
      </c>
    </row>
    <row r="100" spans="2:30" x14ac:dyDescent="0.3">
      <c r="B100" s="10" t="s">
        <v>47</v>
      </c>
      <c r="W100" t="str">
        <v>29-4-2025</v>
      </c>
      <c r="AD100">
        <v>5</v>
      </c>
    </row>
    <row r="101" spans="2:30" x14ac:dyDescent="0.3">
      <c r="B101" s="10" t="s">
        <v>48</v>
      </c>
      <c r="W101" t="str">
        <v>26-4-2025</v>
      </c>
      <c r="AD101">
        <v>3</v>
      </c>
    </row>
    <row r="102" spans="2:30" x14ac:dyDescent="0.3">
      <c r="B102" s="10" t="s">
        <v>49</v>
      </c>
      <c r="W102" t="str">
        <v>14-4-2025</v>
      </c>
      <c r="AD102">
        <v>16</v>
      </c>
    </row>
    <row r="103" spans="2:30" x14ac:dyDescent="0.3">
      <c r="B103" s="11" t="s">
        <v>50</v>
      </c>
      <c r="L103" t="s">
        <v>141</v>
      </c>
      <c r="M103">
        <v>26</v>
      </c>
      <c r="W103" t="str">
        <v>18-4-2025</v>
      </c>
      <c r="AD103">
        <v>4</v>
      </c>
    </row>
    <row r="104" spans="2:30" x14ac:dyDescent="0.3">
      <c r="B104" s="12" t="s">
        <v>51</v>
      </c>
      <c r="L104" t="s">
        <v>142</v>
      </c>
      <c r="M104">
        <v>16</v>
      </c>
      <c r="W104" t="str">
        <v>22-4-2025</v>
      </c>
      <c r="AD104">
        <v>13</v>
      </c>
    </row>
    <row r="105" spans="2:30" x14ac:dyDescent="0.3">
      <c r="H105">
        <v>13</v>
      </c>
      <c r="W105" t="str">
        <v>2-4-2025</v>
      </c>
      <c r="AD105">
        <v>20</v>
      </c>
    </row>
    <row r="106" spans="2:30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  <c r="W106" t="str">
        <v>25-4-2025</v>
      </c>
      <c r="AD106">
        <v>7</v>
      </c>
    </row>
    <row r="107" spans="2:30" ht="15" thickTop="1" x14ac:dyDescent="0.3">
      <c r="G107" s="187" t="s">
        <v>52</v>
      </c>
      <c r="M107" t="s">
        <v>138</v>
      </c>
      <c r="N107" t="s">
        <v>139</v>
      </c>
      <c r="O107" t="s">
        <v>140</v>
      </c>
      <c r="W107" t="str">
        <v>14-4-2025</v>
      </c>
      <c r="AD107">
        <v>12</v>
      </c>
    </row>
    <row r="108" spans="2:30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K108" t="str" cm="1">
        <f t="array" aca="1" ref="K108" ca="1">IF(_fnDay(INDIRECT("Climatogram!"&amp;ADDRESS(-I108+28,$G$108+2))),"D","N")</f>
        <v>N</v>
      </c>
      <c r="L108">
        <f>_xlfn.XLOOKUP(H108,Climatogram!$AM$5:$AM$10,Climatogram!$AL$5:$AL$10)</f>
        <v>16</v>
      </c>
      <c r="M108">
        <f ca="1">ROUND(AVERAGEIFS($L$108:$L$131,$K$108:$K$131,"N"),0)</f>
        <v>18</v>
      </c>
      <c r="N108">
        <f ca="1">ROUND(AVERAGEIFS($L$108:$L$131,$K$108:$K$131,"D"),0)</f>
        <v>26</v>
      </c>
      <c r="O108">
        <f ca="1">ABS(M108-_nIN)+ABS(_nID-N108)</f>
        <v>2</v>
      </c>
      <c r="W108" t="str">
        <v>2-4-2025</v>
      </c>
      <c r="AD108">
        <v>3</v>
      </c>
    </row>
    <row r="109" spans="2:30" x14ac:dyDescent="0.3">
      <c r="F109" s="16"/>
      <c r="H109">
        <v>7454605</v>
      </c>
      <c r="I109">
        <v>22</v>
      </c>
      <c r="K109" t="str" cm="1">
        <f t="array" aca="1" ref="K109" ca="1">IF(_fnDay(INDIRECT("Climatogram!"&amp;ADDRESS(-I109+28,$G$108+2))),"D","N")</f>
        <v>N</v>
      </c>
      <c r="L109">
        <f>_xlfn.XLOOKUP(H109,Climatogram!$AM$5:$AM$10,Climatogram!$AL$5:$AL$10)</f>
        <v>16</v>
      </c>
      <c r="Q109">
        <f ca="1">O108</f>
        <v>2</v>
      </c>
      <c r="W109" t="str">
        <v>20-4-2025</v>
      </c>
      <c r="AD109">
        <v>22</v>
      </c>
    </row>
    <row r="110" spans="2:30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K110" t="str" cm="1">
        <f t="array" aca="1" ref="K110" ca="1">IF(_fnDay(INDIRECT("Climatogram!"&amp;ADDRESS(-I110+28,$G$108+2))),"D","N")</f>
        <v>N</v>
      </c>
      <c r="L110">
        <f>_xlfn.XLOOKUP(H110,Climatogram!$AM$5:$AM$10,Climatogram!$AL$5:$AL$10)</f>
        <v>22</v>
      </c>
      <c r="O110" s="186"/>
      <c r="P110" s="186">
        <f t="shared" ref="P110:P129" si="7">DAY(F110)</f>
        <v>5</v>
      </c>
      <c r="Q110">
        <f t="dataTable" ref="Q110:Q129" dt2D="0" dtr="0" r1="H105" ca="1"/>
        <v>4</v>
      </c>
      <c r="W110" t="str">
        <v>30-4-2025</v>
      </c>
      <c r="AD110">
        <v>3</v>
      </c>
    </row>
    <row r="111" spans="2:30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K111" t="str" cm="1">
        <f t="array" aca="1" ref="K111" ca="1">IF(_fnDay(INDIRECT("Climatogram!"&amp;ADDRESS(-I111+28,$G$108+2))),"D","N")</f>
        <v>N</v>
      </c>
      <c r="L111">
        <f>_xlfn.XLOOKUP(H111,Climatogram!$AM$5:$AM$10,Climatogram!$AL$5:$AL$10)</f>
        <v>22</v>
      </c>
      <c r="O111" s="186"/>
      <c r="P111" s="186">
        <f t="shared" si="7"/>
        <v>6</v>
      </c>
      <c r="Q111">
        <v>5</v>
      </c>
      <c r="W111" t="str">
        <v>11-4-2025</v>
      </c>
      <c r="AD111">
        <v>5</v>
      </c>
    </row>
    <row r="112" spans="2:30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K112" t="str" cm="1">
        <f t="array" aca="1" ref="K112" ca="1">IF(_fnDay(INDIRECT("Climatogram!"&amp;ADDRESS(-I112+28,$G$108+2))),"D","N")</f>
        <v>N</v>
      </c>
      <c r="L112">
        <f>_xlfn.XLOOKUP(H112,Climatogram!$AM$5:$AM$10,Climatogram!$AL$5:$AL$10)</f>
        <v>27</v>
      </c>
      <c r="O112" s="186"/>
      <c r="P112" s="186">
        <f t="shared" si="7"/>
        <v>7</v>
      </c>
      <c r="Q112">
        <v>4</v>
      </c>
      <c r="W112" t="str">
        <v>30-4-2025</v>
      </c>
      <c r="AD112">
        <v>14</v>
      </c>
    </row>
    <row r="113" spans="2:30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K113" t="str" cm="1">
        <f t="array" aca="1" ref="K113" ca="1">IF(_fnDay(INDIRECT("Climatogram!"&amp;ADDRESS(-I113+28,$G$108+2))),"D","N")</f>
        <v>D</v>
      </c>
      <c r="L113">
        <f>_xlfn.XLOOKUP(H113,Climatogram!$AM$5:$AM$10,Climatogram!$AL$5:$AL$10)</f>
        <v>27</v>
      </c>
      <c r="O113" s="186"/>
      <c r="P113" s="186">
        <f t="shared" si="7"/>
        <v>8</v>
      </c>
      <c r="Q113">
        <v>5</v>
      </c>
      <c r="W113" t="str">
        <v>4-4-2025</v>
      </c>
      <c r="AD113">
        <v>1</v>
      </c>
    </row>
    <row r="114" spans="2:30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K114" t="str" cm="1">
        <f t="array" aca="1" ref="K114" ca="1">IF(_fnDay(INDIRECT("Climatogram!"&amp;ADDRESS(-I114+28,$G$108+2))),"D","N")</f>
        <v>D</v>
      </c>
      <c r="L114">
        <f>_xlfn.XLOOKUP(H114,Climatogram!$AM$5:$AM$10,Climatogram!$AL$5:$AL$10)</f>
        <v>27</v>
      </c>
      <c r="O114" s="186"/>
      <c r="P114" s="186">
        <f t="shared" si="7"/>
        <v>9</v>
      </c>
      <c r="Q114">
        <v>6</v>
      </c>
      <c r="W114" t="str">
        <v>17-4-2025</v>
      </c>
      <c r="AD114">
        <v>17</v>
      </c>
    </row>
    <row r="115" spans="2:30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K115" t="str" cm="1">
        <f t="array" aca="1" ref="K115" ca="1">IF(_fnDay(INDIRECT("Climatogram!"&amp;ADDRESS(-I115+28,$G$108+2))),"D","N")</f>
        <v>D</v>
      </c>
      <c r="L115">
        <f>_xlfn.XLOOKUP(H115,Climatogram!$AM$5:$AM$10,Climatogram!$AL$5:$AL$10)</f>
        <v>27</v>
      </c>
      <c r="O115" s="186"/>
      <c r="P115" s="186">
        <f t="shared" si="7"/>
        <v>10</v>
      </c>
      <c r="Q115">
        <v>5</v>
      </c>
      <c r="W115" t="str">
        <v>14-4-2025</v>
      </c>
      <c r="AD115">
        <v>16</v>
      </c>
    </row>
    <row r="116" spans="2:30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K116" t="str" cm="1">
        <f t="array" aca="1" ref="K116" ca="1">IF(_fnDay(INDIRECT("Climatogram!"&amp;ADDRESS(-I116+28,$G$108+2))),"D","N")</f>
        <v>D</v>
      </c>
      <c r="L116">
        <f>_xlfn.XLOOKUP(H116,Climatogram!$AM$5:$AM$10,Climatogram!$AL$5:$AL$10)</f>
        <v>27</v>
      </c>
      <c r="O116" s="186"/>
      <c r="P116" s="186">
        <f t="shared" si="7"/>
        <v>11</v>
      </c>
      <c r="Q116">
        <v>7</v>
      </c>
      <c r="W116" t="str">
        <v>4-4-2025</v>
      </c>
      <c r="AD116">
        <v>4</v>
      </c>
    </row>
    <row r="117" spans="2:30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K117" t="str" cm="1">
        <f t="array" aca="1" ref="K117" ca="1">IF(_fnDay(INDIRECT("Climatogram!"&amp;ADDRESS(-I117+28,$G$108+2))),"D","N")</f>
        <v>D</v>
      </c>
      <c r="L117">
        <f>_xlfn.XLOOKUP(H117,Climatogram!$AM$5:$AM$10,Climatogram!$AL$5:$AL$10)</f>
        <v>27</v>
      </c>
      <c r="O117" s="186"/>
      <c r="P117" s="186">
        <f t="shared" si="7"/>
        <v>12</v>
      </c>
      <c r="Q117">
        <v>6</v>
      </c>
      <c r="W117" t="str">
        <v>8-4-2025</v>
      </c>
      <c r="AD117">
        <v>16</v>
      </c>
    </row>
    <row r="118" spans="2:30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K118" t="str" cm="1">
        <f t="array" aca="1" ref="K118" ca="1">IF(_fnDay(INDIRECT("Climatogram!"&amp;ADDRESS(-I118+28,$G$108+2))),"D","N")</f>
        <v>D</v>
      </c>
      <c r="L118">
        <f>_xlfn.XLOOKUP(H118,Climatogram!$AM$5:$AM$10,Climatogram!$AL$5:$AL$10)</f>
        <v>27</v>
      </c>
      <c r="O118" s="186"/>
      <c r="P118" s="186">
        <f t="shared" si="7"/>
        <v>13</v>
      </c>
      <c r="Q118">
        <v>2</v>
      </c>
      <c r="W118" t="str">
        <v>19-4-2025</v>
      </c>
      <c r="AD118">
        <v>22</v>
      </c>
    </row>
    <row r="119" spans="2:30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K119" t="str" cm="1">
        <f t="array" aca="1" ref="K119" ca="1">IF(_fnDay(INDIRECT("Climatogram!"&amp;ADDRESS(-I119+28,$G$108+2))),"D","N")</f>
        <v>D</v>
      </c>
      <c r="L119">
        <f>_xlfn.XLOOKUP(H119,Climatogram!$AM$5:$AM$10,Climatogram!$AL$5:$AL$10)</f>
        <v>27</v>
      </c>
      <c r="O119" s="186"/>
      <c r="P119" s="186">
        <f t="shared" si="7"/>
        <v>14</v>
      </c>
      <c r="Q119">
        <v>3</v>
      </c>
      <c r="W119" t="str">
        <v>30-4-2025</v>
      </c>
      <c r="AD119">
        <v>22</v>
      </c>
    </row>
    <row r="120" spans="2:30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K120" t="str" cm="1">
        <f t="array" aca="1" ref="K120" ca="1">IF(_fnDay(INDIRECT("Climatogram!"&amp;ADDRESS(-I120+28,$G$108+2))),"D","N")</f>
        <v>D</v>
      </c>
      <c r="L120">
        <f>_xlfn.XLOOKUP(H120,Climatogram!$AM$5:$AM$10,Climatogram!$AL$5:$AL$10)</f>
        <v>27</v>
      </c>
      <c r="O120" s="186"/>
      <c r="P120" s="186">
        <f t="shared" si="7"/>
        <v>15</v>
      </c>
      <c r="Q120">
        <v>2</v>
      </c>
      <c r="W120" t="str">
        <v>22-4-2025</v>
      </c>
      <c r="AD120">
        <v>19</v>
      </c>
    </row>
    <row r="121" spans="2:30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K121" t="str" cm="1">
        <f t="array" aca="1" ref="K121" ca="1">IF(_fnDay(INDIRECT("Climatogram!"&amp;ADDRESS(-I121+28,$G$108+2))),"D","N")</f>
        <v>D</v>
      </c>
      <c r="L121">
        <f>_xlfn.XLOOKUP(H121,Climatogram!$AM$5:$AM$10,Climatogram!$AL$5:$AL$10)</f>
        <v>27</v>
      </c>
      <c r="O121" s="186"/>
      <c r="P121" s="186">
        <f t="shared" si="7"/>
        <v>16</v>
      </c>
      <c r="Q121">
        <v>1</v>
      </c>
      <c r="W121" t="str">
        <v>10-4-2025</v>
      </c>
      <c r="AD121">
        <v>10</v>
      </c>
    </row>
    <row r="122" spans="2:30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K122" t="str" cm="1">
        <f t="array" aca="1" ref="K122" ca="1">IF(_fnDay(INDIRECT("Climatogram!"&amp;ADDRESS(-I122+28,$G$108+2))),"D","N")</f>
        <v>D</v>
      </c>
      <c r="L122">
        <f>_xlfn.XLOOKUP(H122,Climatogram!$AM$5:$AM$10,Climatogram!$AL$5:$AL$10)</f>
        <v>27</v>
      </c>
      <c r="O122" s="186"/>
      <c r="P122" s="186">
        <f t="shared" si="7"/>
        <v>17</v>
      </c>
      <c r="Q122">
        <v>3</v>
      </c>
      <c r="W122" t="str">
        <v>6-4-2025</v>
      </c>
      <c r="AD122">
        <v>18</v>
      </c>
    </row>
    <row r="123" spans="2:30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K123" t="str" cm="1">
        <f t="array" aca="1" ref="K123" ca="1">IF(_fnDay(INDIRECT("Climatogram!"&amp;ADDRESS(-I123+28,$G$108+2))),"D","N")</f>
        <v>D</v>
      </c>
      <c r="L123">
        <f>_xlfn.XLOOKUP(H123,Climatogram!$AM$5:$AM$10,Climatogram!$AL$5:$AL$10)</f>
        <v>22</v>
      </c>
      <c r="O123" s="186"/>
      <c r="P123" s="186">
        <f t="shared" si="7"/>
        <v>18</v>
      </c>
      <c r="Q123">
        <v>4</v>
      </c>
      <c r="W123" t="str">
        <v>26-4-2025</v>
      </c>
      <c r="AD123">
        <v>23</v>
      </c>
    </row>
    <row r="124" spans="2:30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K124" t="str" cm="1">
        <f t="array" aca="1" ref="K124" ca="1">IF(_fnDay(INDIRECT("Climatogram!"&amp;ADDRESS(-I124+28,$G$108+2))),"D","N")</f>
        <v>D</v>
      </c>
      <c r="L124">
        <f>_xlfn.XLOOKUP(H124,Climatogram!$AM$5:$AM$10,Climatogram!$AL$5:$AL$10)</f>
        <v>22</v>
      </c>
      <c r="O124" s="186"/>
      <c r="P124" s="186">
        <f t="shared" si="7"/>
        <v>19</v>
      </c>
      <c r="Q124">
        <v>3</v>
      </c>
      <c r="W124" t="str">
        <v>18-4-2025</v>
      </c>
      <c r="AD124">
        <v>21</v>
      </c>
    </row>
    <row r="125" spans="2:30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K125" t="str" cm="1">
        <f t="array" aca="1" ref="K125" ca="1">IF(_fnDay(INDIRECT("Climatogram!"&amp;ADDRESS(-I125+28,$G$108+2))),"D","N")</f>
        <v>N</v>
      </c>
      <c r="L125">
        <f>_xlfn.XLOOKUP(H125,Climatogram!$AM$5:$AM$10,Climatogram!$AL$5:$AL$10)</f>
        <v>16</v>
      </c>
      <c r="O125" s="186"/>
      <c r="P125" s="186">
        <f t="shared" si="7"/>
        <v>20</v>
      </c>
      <c r="Q125">
        <v>5</v>
      </c>
      <c r="W125" t="str">
        <v>28-4-2025</v>
      </c>
      <c r="AD125">
        <v>11</v>
      </c>
    </row>
    <row r="126" spans="2:30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K126" t="str" cm="1">
        <f t="array" aca="1" ref="K126" ca="1">IF(_fnDay(INDIRECT("Climatogram!"&amp;ADDRESS(-I126+28,$G$108+2))),"D","N")</f>
        <v>N</v>
      </c>
      <c r="L126">
        <f>_xlfn.XLOOKUP(H126,Climatogram!$AM$5:$AM$10,Climatogram!$AL$5:$AL$10)</f>
        <v>16</v>
      </c>
      <c r="O126" s="186"/>
      <c r="P126" s="186">
        <f t="shared" si="7"/>
        <v>21</v>
      </c>
      <c r="Q126">
        <v>4</v>
      </c>
      <c r="W126" t="str">
        <v>20-4-2025</v>
      </c>
      <c r="AD126">
        <v>16</v>
      </c>
    </row>
    <row r="127" spans="2:30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K127" t="str" cm="1">
        <f t="array" aca="1" ref="K127" ca="1">IF(_fnDay(INDIRECT("Climatogram!"&amp;ADDRESS(-I127+28,$G$108+2))),"D","N")</f>
        <v>N</v>
      </c>
      <c r="L127">
        <f>_xlfn.XLOOKUP(H127,Climatogram!$AM$5:$AM$10,Climatogram!$AL$5:$AL$10)</f>
        <v>16</v>
      </c>
      <c r="O127" s="186"/>
      <c r="P127" s="186">
        <f t="shared" si="7"/>
        <v>22</v>
      </c>
      <c r="Q127">
        <v>4</v>
      </c>
      <c r="W127" t="str">
        <v>7-4-2025</v>
      </c>
      <c r="AD127">
        <v>12</v>
      </c>
    </row>
    <row r="128" spans="2:30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K128" t="str" cm="1">
        <f t="array" aca="1" ref="K128" ca="1">IF(_fnDay(INDIRECT("Climatogram!"&amp;ADDRESS(-I128+28,$G$108+2))),"D","N")</f>
        <v>N</v>
      </c>
      <c r="L128">
        <f>_xlfn.XLOOKUP(H128,Climatogram!$AM$5:$AM$10,Climatogram!$AL$5:$AL$10)</f>
        <v>16</v>
      </c>
      <c r="O128" s="186"/>
      <c r="P128" s="186">
        <f t="shared" si="7"/>
        <v>24</v>
      </c>
      <c r="Q128">
        <v>2</v>
      </c>
      <c r="W128" t="str">
        <v>18-4-2025</v>
      </c>
      <c r="AD128">
        <v>21</v>
      </c>
    </row>
    <row r="129" spans="2:30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K129" t="str" cm="1">
        <f t="array" aca="1" ref="K129" ca="1">IF(_fnDay(INDIRECT("Climatogram!"&amp;ADDRESS(-I129+28,$G$108+2))),"D","N")</f>
        <v>N</v>
      </c>
      <c r="L129">
        <f>_xlfn.XLOOKUP(H129,Climatogram!$AM$5:$AM$10,Climatogram!$AL$5:$AL$10)</f>
        <v>16</v>
      </c>
      <c r="O129" s="186"/>
      <c r="P129" s="186">
        <f t="shared" si="7"/>
        <v>25</v>
      </c>
      <c r="Q129">
        <v>3</v>
      </c>
      <c r="W129" t="str">
        <v>14-4-2025</v>
      </c>
      <c r="AD129">
        <v>12</v>
      </c>
    </row>
    <row r="130" spans="2:30" x14ac:dyDescent="0.3">
      <c r="H130">
        <v>7454605</v>
      </c>
      <c r="I130">
        <v>1</v>
      </c>
      <c r="K130" t="str" cm="1">
        <f t="array" aca="1" ref="K130" ca="1">IF(_fnDay(INDIRECT("Climatogram!"&amp;ADDRESS(-I130+28,$G$108+2))),"D","N")</f>
        <v>N</v>
      </c>
      <c r="L130">
        <f>_xlfn.XLOOKUP(H130,Climatogram!$AM$5:$AM$10,Climatogram!$AL$5:$AL$10)</f>
        <v>16</v>
      </c>
      <c r="P130" s="186"/>
      <c r="W130" t="str">
        <v>12-4-2025</v>
      </c>
      <c r="AD130">
        <v>15</v>
      </c>
    </row>
    <row r="131" spans="2:30" x14ac:dyDescent="0.3">
      <c r="H131">
        <v>7851241</v>
      </c>
      <c r="I131">
        <v>0</v>
      </c>
      <c r="K131" t="str" cm="1">
        <f t="array" aca="1" ref="K131" ca="1">IF(_fnDay(INDIRECT("Climatogram!"&amp;ADDRESS(-I131+28,$G$108+2))),"D","N")</f>
        <v>N</v>
      </c>
      <c r="L131">
        <f>_xlfn.XLOOKUP(H131,Climatogram!$AM$5:$AM$10,Climatogram!$AL$5:$AL$10)</f>
        <v>22</v>
      </c>
      <c r="P131" s="186"/>
      <c r="W131" t="str">
        <v>24-4-2025</v>
      </c>
      <c r="AD131">
        <v>16</v>
      </c>
    </row>
    <row r="132" spans="2:30" ht="15" thickBot="1" x14ac:dyDescent="0.35">
      <c r="B132" s="4" t="s">
        <v>54</v>
      </c>
      <c r="C132" s="14" t="s">
        <v>55</v>
      </c>
      <c r="W132" t="str">
        <v>21-4-2025</v>
      </c>
      <c r="AD132">
        <v>7</v>
      </c>
    </row>
    <row r="133" spans="2:30" ht="15" thickTop="1" x14ac:dyDescent="0.3">
      <c r="W133" t="str">
        <v>25-4-2025</v>
      </c>
      <c r="AD133">
        <v>14</v>
      </c>
    </row>
    <row r="134" spans="2:30" x14ac:dyDescent="0.3">
      <c r="B134" s="10" t="s">
        <v>56</v>
      </c>
      <c r="W134" t="str">
        <v>4-4-2025</v>
      </c>
      <c r="AD134">
        <v>18</v>
      </c>
    </row>
    <row r="135" spans="2:30" x14ac:dyDescent="0.3">
      <c r="B135" s="10" t="s">
        <v>57</v>
      </c>
      <c r="W135" t="str">
        <v>29-4-2025</v>
      </c>
      <c r="AD135">
        <v>7</v>
      </c>
    </row>
    <row r="136" spans="2:30" x14ac:dyDescent="0.3">
      <c r="B136" s="10" t="s">
        <v>58</v>
      </c>
      <c r="W136" t="str">
        <v>15-4-2025</v>
      </c>
      <c r="AD136">
        <v>8</v>
      </c>
    </row>
    <row r="137" spans="2:30" x14ac:dyDescent="0.3">
      <c r="B137" s="10" t="s">
        <v>59</v>
      </c>
      <c r="W137" t="str">
        <v>3-4-2025</v>
      </c>
      <c r="AD137">
        <v>20</v>
      </c>
    </row>
    <row r="138" spans="2:30" x14ac:dyDescent="0.3">
      <c r="B138" s="11" t="s">
        <v>60</v>
      </c>
      <c r="W138" t="str">
        <v>3-4-2025</v>
      </c>
      <c r="AD138">
        <v>1</v>
      </c>
    </row>
    <row r="139" spans="2:30" x14ac:dyDescent="0.3">
      <c r="B139" s="12" t="s">
        <v>61</v>
      </c>
      <c r="W139" t="str">
        <v>6-4-2025</v>
      </c>
      <c r="AD139">
        <v>13</v>
      </c>
    </row>
    <row r="140" spans="2:30" x14ac:dyDescent="0.3">
      <c r="B140" s="12" t="s">
        <v>62</v>
      </c>
      <c r="W140" t="str">
        <v>6-4-2025</v>
      </c>
      <c r="AD140">
        <v>14</v>
      </c>
    </row>
    <row r="141" spans="2:30" x14ac:dyDescent="0.3">
      <c r="J141" s="209" t="s">
        <v>214</v>
      </c>
      <c r="W141" t="str">
        <v>17-4-2025</v>
      </c>
      <c r="AD141">
        <v>21</v>
      </c>
    </row>
    <row r="142" spans="2:30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  <c r="H142" s="207" t="s">
        <v>197</v>
      </c>
      <c r="W142" t="str">
        <v>21-4-2025</v>
      </c>
      <c r="AD142">
        <v>14</v>
      </c>
    </row>
    <row r="143" spans="2:30" ht="15" thickTop="1" x14ac:dyDescent="0.3">
      <c r="G143" s="16"/>
      <c r="W143" t="str">
        <v>29-4-2025</v>
      </c>
      <c r="AD143">
        <v>15</v>
      </c>
    </row>
    <row r="144" spans="2:30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  <c r="H144" cm="1">
        <f t="array" aca="1" ref="H144" ca="1">DAY(INDIRECT(H142))</f>
        <v>18</v>
      </c>
      <c r="I144" s="186" cm="1">
        <f t="array" aca="1" ref="I144" ca="1">ROUND(HOUR(INDIRECT(H142)),0)</f>
        <v>19</v>
      </c>
      <c r="J144" s="186"/>
      <c r="K144" s="186"/>
      <c r="L144" cm="1">
        <f t="array" aca="1" ref="L144" ca="1">OFFSET(INDIRECT(H142),0,1)</f>
        <v>10</v>
      </c>
      <c r="M144" cm="1">
        <f t="array" aca="1" ref="M144" ca="1">INDEX(_tClimate,I144,H144)</f>
        <v>7454605</v>
      </c>
      <c r="W144" t="str">
        <v>5-4-2025</v>
      </c>
      <c r="AD144">
        <v>2</v>
      </c>
    </row>
    <row r="145" spans="2:30" ht="15" thickBot="1" x14ac:dyDescent="0.35">
      <c r="F145" s="16"/>
      <c r="H145" s="213" t="s">
        <v>108</v>
      </c>
      <c r="I145" s="214" t="s">
        <v>215</v>
      </c>
      <c r="J145" s="214" t="s">
        <v>216</v>
      </c>
      <c r="K145" s="214" t="s">
        <v>217</v>
      </c>
      <c r="L145" s="214" t="s">
        <v>218</v>
      </c>
      <c r="M145" s="214" t="s">
        <v>219</v>
      </c>
      <c r="N145" s="214" t="s">
        <v>220</v>
      </c>
      <c r="O145" s="215" t="s">
        <v>221</v>
      </c>
      <c r="R145" t="str">
        <f ca="1">O146</f>
        <v>Pleasant</v>
      </c>
      <c r="W145" t="str">
        <v>8-4-2025</v>
      </c>
      <c r="AD145">
        <v>9</v>
      </c>
    </row>
    <row r="146" spans="2:30" ht="15" thickTop="1" x14ac:dyDescent="0.3">
      <c r="B146" s="3">
        <v>61</v>
      </c>
      <c r="C146" s="2">
        <v>4</v>
      </c>
      <c r="D146" s="6" t="s">
        <v>65</v>
      </c>
      <c r="E146" s="5">
        <f>IF(D146&lt;&gt;"",IF(D146=Answers!D146,1,-1),0)</f>
        <v>1</v>
      </c>
      <c r="F146" s="27">
        <v>45776.458333333336</v>
      </c>
      <c r="G146" s="13">
        <v>7</v>
      </c>
      <c r="H146" s="210" cm="1">
        <f t="array" aca="1" ref="H146:H166" ca="1">INT(_xlfn.SEQUENCE(ROWS(_xlfn.ANCHORARRAY(I146)),1,H144,0)+_xlfn.ANCHORARRAY(I146)/24)</f>
        <v>18</v>
      </c>
      <c r="I146" s="211" cm="1">
        <f t="array" aca="1" ref="I146:I166" ca="1">_xlfn.SEQUENCE(2*L144+1,1,I144-L144)</f>
        <v>9</v>
      </c>
      <c r="J146" s="211" cm="1">
        <f t="array" aca="1" ref="J146:J166" ca="1">MOD(_xlfn.ANCHORARRAY(I146),24)</f>
        <v>9</v>
      </c>
      <c r="K146" s="211" cm="1">
        <f t="array" aca="1" ref="K146:K166" ca="1">24-_xlfn.ANCHORARRAY(J146)</f>
        <v>15</v>
      </c>
      <c r="L146" s="211" cm="1">
        <f t="array" aca="1" ref="L146:L166" ca="1">_xlfn.BYROW(_xlfn.HSTACK(_xlfn.ANCHORARRAY(H146),_xlfn.ANCHORARRAY(K146)),_xlfn.LAMBDA(_xlpm.r,IF(INDEX(_xlpm.r,1,2)&lt;1,-1,INDEX(_tClimate,INDEX(_xlpm.r,1,2),INDEX(_xlpm.r,1,1)))))</f>
        <v>6321607</v>
      </c>
      <c r="M146" s="211" cm="1">
        <f t="array" aca="1" ref="M146:M166" ca="1">IFERROR(_xlfn.XLOOKUP(_xlfn.ANCHORARRAY(L146),Climatogram!$AM$5:$AM$10,Climatogram!$AL$5:$AL$10),-1)</f>
        <v>27</v>
      </c>
      <c r="N146" s="211">
        <f ca="1">AVERAGEIFS(_xlfn.ANCHORARRAY(M146),_xlfn.ANCHORARRAY(M146),"&gt;0")</f>
        <v>23.19047619047619</v>
      </c>
      <c r="O146" s="212" t="str">
        <f ca="1">_xlfn.XLOOKUP(N146,Climatogram!AJ5:AJ10,Climatogram!AI5:AI10,,-1)</f>
        <v>Pleasant</v>
      </c>
      <c r="Q146" t="s">
        <v>194</v>
      </c>
      <c r="R146" t="str">
        <f t="dataTable" ref="R146:R165" dt2D="0" dtr="0" r1="H142" ca="1"/>
        <v>Warm</v>
      </c>
      <c r="W146" t="str">
        <v>2-4-2025</v>
      </c>
      <c r="AD146">
        <v>18</v>
      </c>
    </row>
    <row r="147" spans="2:30" x14ac:dyDescent="0.3">
      <c r="B147" s="3">
        <v>62</v>
      </c>
      <c r="C147" s="2">
        <v>4</v>
      </c>
      <c r="D147" s="6" t="s">
        <v>97</v>
      </c>
      <c r="E147" s="5">
        <f>IF(D147&lt;&gt;"",IF(D147=Answers!D147,1,-1),0)</f>
        <v>1</v>
      </c>
      <c r="F147" s="27">
        <v>45773.333333333336</v>
      </c>
      <c r="G147" s="13">
        <v>5</v>
      </c>
      <c r="H147" s="210">
        <f ca="1"/>
        <v>18</v>
      </c>
      <c r="I147" s="211">
        <f ca="1"/>
        <v>10</v>
      </c>
      <c r="J147" s="211">
        <f ca="1"/>
        <v>10</v>
      </c>
      <c r="K147" s="211">
        <f ca="1"/>
        <v>14</v>
      </c>
      <c r="L147" s="211">
        <f ca="1"/>
        <v>6321607</v>
      </c>
      <c r="M147" s="211">
        <f ca="1"/>
        <v>27</v>
      </c>
      <c r="N147" s="211"/>
      <c r="O147" s="212"/>
      <c r="Q147" t="s">
        <v>195</v>
      </c>
      <c r="R147" t="str">
        <v>Pleasant</v>
      </c>
      <c r="W147" t="str">
        <v>1-4-2025</v>
      </c>
      <c r="AD147">
        <v>16</v>
      </c>
    </row>
    <row r="148" spans="2:30" x14ac:dyDescent="0.3">
      <c r="B148" s="3">
        <v>63</v>
      </c>
      <c r="C148" s="2">
        <v>4</v>
      </c>
      <c r="D148" s="6" t="s">
        <v>107</v>
      </c>
      <c r="E148" s="5">
        <f>IF(D148&lt;&gt;"",IF(D148=Answers!D148,1,-1),0)</f>
        <v>1</v>
      </c>
      <c r="F148" s="27">
        <v>45761.125</v>
      </c>
      <c r="G148" s="13">
        <v>8</v>
      </c>
      <c r="H148" s="210">
        <f ca="1"/>
        <v>18</v>
      </c>
      <c r="I148" s="211">
        <f ca="1"/>
        <v>11</v>
      </c>
      <c r="J148" s="211">
        <f ca="1"/>
        <v>11</v>
      </c>
      <c r="K148" s="211">
        <f ca="1"/>
        <v>13</v>
      </c>
      <c r="L148" s="211">
        <f ca="1"/>
        <v>6321607</v>
      </c>
      <c r="M148" s="211">
        <f ca="1"/>
        <v>27</v>
      </c>
      <c r="N148" s="211"/>
      <c r="O148" s="212"/>
      <c r="Q148" t="s">
        <v>196</v>
      </c>
      <c r="R148" t="str">
        <v>Mild</v>
      </c>
      <c r="W148" t="str">
        <v>28-4-2025</v>
      </c>
      <c r="AD148">
        <v>19</v>
      </c>
    </row>
    <row r="149" spans="2:30" x14ac:dyDescent="0.3">
      <c r="B149" s="3">
        <v>64</v>
      </c>
      <c r="C149" s="2">
        <v>4</v>
      </c>
      <c r="D149" s="6" t="s">
        <v>97</v>
      </c>
      <c r="E149" s="5">
        <f>IF(D149&lt;&gt;"",IF(D149=Answers!D149,1,-1),0)</f>
        <v>1</v>
      </c>
      <c r="F149" s="27">
        <v>45765.791666666664</v>
      </c>
      <c r="G149" s="13">
        <v>10</v>
      </c>
      <c r="H149" s="210">
        <f ca="1"/>
        <v>18</v>
      </c>
      <c r="I149" s="211">
        <f ca="1"/>
        <v>12</v>
      </c>
      <c r="J149" s="211">
        <f ca="1"/>
        <v>12</v>
      </c>
      <c r="K149" s="211">
        <f ca="1"/>
        <v>12</v>
      </c>
      <c r="L149" s="211">
        <f ca="1"/>
        <v>6321607</v>
      </c>
      <c r="M149" s="211">
        <f ca="1"/>
        <v>27</v>
      </c>
      <c r="N149" s="211"/>
      <c r="O149" s="212"/>
      <c r="Q149" t="s">
        <v>197</v>
      </c>
      <c r="R149" t="str">
        <v>Pleasant</v>
      </c>
      <c r="W149" t="str">
        <v>29-4-2025</v>
      </c>
      <c r="AD149">
        <v>3</v>
      </c>
    </row>
    <row r="150" spans="2:30" x14ac:dyDescent="0.3">
      <c r="B150" s="3">
        <v>65</v>
      </c>
      <c r="C150" s="2">
        <v>4</v>
      </c>
      <c r="D150" s="6" t="s">
        <v>97</v>
      </c>
      <c r="E150" s="5">
        <f>IF(D150&lt;&gt;"",IF(D150=Answers!D150,1,-1),0)</f>
        <v>1</v>
      </c>
      <c r="F150" s="27">
        <v>45769.166666666664</v>
      </c>
      <c r="G150" s="13">
        <v>10</v>
      </c>
      <c r="H150" s="210">
        <f ca="1"/>
        <v>18</v>
      </c>
      <c r="I150" s="211">
        <f ca="1"/>
        <v>13</v>
      </c>
      <c r="J150" s="211">
        <f ca="1"/>
        <v>13</v>
      </c>
      <c r="K150" s="211">
        <f ca="1"/>
        <v>11</v>
      </c>
      <c r="L150" s="211">
        <f ca="1"/>
        <v>6321607</v>
      </c>
      <c r="M150" s="211">
        <f ca="1"/>
        <v>27</v>
      </c>
      <c r="N150" s="211"/>
      <c r="O150" s="212"/>
      <c r="Q150" t="s">
        <v>198</v>
      </c>
      <c r="R150" t="str">
        <v>Pleasant</v>
      </c>
      <c r="W150" t="str">
        <v>18-4-2025</v>
      </c>
      <c r="AD150">
        <v>12</v>
      </c>
    </row>
    <row r="151" spans="2:30" x14ac:dyDescent="0.3">
      <c r="B151" s="3">
        <v>66</v>
      </c>
      <c r="C151" s="2">
        <v>4</v>
      </c>
      <c r="D151" s="6" t="s">
        <v>65</v>
      </c>
      <c r="E151" s="5">
        <f>IF(D151&lt;&gt;"",IF(D151=Answers!D151,1,-1),0)</f>
        <v>1</v>
      </c>
      <c r="F151" s="27">
        <v>45749.5</v>
      </c>
      <c r="G151" s="13">
        <v>8</v>
      </c>
      <c r="H151" s="210">
        <f ca="1"/>
        <v>18</v>
      </c>
      <c r="I151" s="211">
        <f ca="1"/>
        <v>14</v>
      </c>
      <c r="J151" s="211">
        <f ca="1"/>
        <v>14</v>
      </c>
      <c r="K151" s="211">
        <f ca="1"/>
        <v>10</v>
      </c>
      <c r="L151" s="211">
        <f ca="1"/>
        <v>6321607</v>
      </c>
      <c r="M151" s="211">
        <f ca="1"/>
        <v>27</v>
      </c>
      <c r="N151" s="211"/>
      <c r="O151" s="212"/>
      <c r="Q151" t="s">
        <v>199</v>
      </c>
      <c r="R151" t="str">
        <v>Warm</v>
      </c>
      <c r="W151" t="str">
        <v>15-4-2025</v>
      </c>
      <c r="AD151">
        <v>1</v>
      </c>
    </row>
    <row r="152" spans="2:30" x14ac:dyDescent="0.3">
      <c r="B152" s="3">
        <v>67</v>
      </c>
      <c r="C152" s="2">
        <v>4</v>
      </c>
      <c r="D152" s="6" t="s">
        <v>97</v>
      </c>
      <c r="E152" s="5">
        <f>IF(D152&lt;&gt;"",IF(D152=Answers!D152,1,-1),0)</f>
        <v>1</v>
      </c>
      <c r="F152" s="27">
        <v>45772.875</v>
      </c>
      <c r="G152" s="13">
        <v>11</v>
      </c>
      <c r="H152" s="210">
        <f ca="1"/>
        <v>18</v>
      </c>
      <c r="I152" s="211">
        <f ca="1"/>
        <v>15</v>
      </c>
      <c r="J152" s="211">
        <f ca="1"/>
        <v>15</v>
      </c>
      <c r="K152" s="211">
        <f ca="1"/>
        <v>9</v>
      </c>
      <c r="L152" s="211">
        <f ca="1"/>
        <v>6321607</v>
      </c>
      <c r="M152" s="211">
        <f ca="1"/>
        <v>27</v>
      </c>
      <c r="N152" s="211"/>
      <c r="O152" s="212"/>
      <c r="Q152" t="s">
        <v>200</v>
      </c>
      <c r="R152" t="str">
        <v>Pleasant</v>
      </c>
      <c r="W152" t="str">
        <v>1-4-2025</v>
      </c>
      <c r="AD152">
        <v>20</v>
      </c>
    </row>
    <row r="153" spans="2:30" x14ac:dyDescent="0.3">
      <c r="B153" s="3">
        <v>68</v>
      </c>
      <c r="C153" s="2">
        <v>4</v>
      </c>
      <c r="D153" s="6" t="s">
        <v>97</v>
      </c>
      <c r="E153" s="5">
        <f>IF(D153&lt;&gt;"",IF(D153=Answers!D153,1,-1),0)</f>
        <v>1</v>
      </c>
      <c r="F153" s="27">
        <v>45761.333333333336</v>
      </c>
      <c r="G153" s="13">
        <v>9</v>
      </c>
      <c r="H153" s="210">
        <f ca="1"/>
        <v>18</v>
      </c>
      <c r="I153" s="211">
        <f ca="1"/>
        <v>16</v>
      </c>
      <c r="J153" s="211">
        <f ca="1"/>
        <v>16</v>
      </c>
      <c r="K153" s="211">
        <f ca="1"/>
        <v>8</v>
      </c>
      <c r="L153" s="211">
        <f ca="1"/>
        <v>6321607</v>
      </c>
      <c r="M153" s="211">
        <f ca="1"/>
        <v>27</v>
      </c>
      <c r="N153" s="211"/>
      <c r="O153" s="212"/>
      <c r="Q153" t="s">
        <v>201</v>
      </c>
      <c r="R153" t="str">
        <v>Pleasant</v>
      </c>
      <c r="W153" t="str">
        <v>1-4-2025</v>
      </c>
      <c r="AD153">
        <v>14</v>
      </c>
    </row>
    <row r="154" spans="2:30" x14ac:dyDescent="0.3">
      <c r="B154" s="3">
        <v>69</v>
      </c>
      <c r="C154" s="2">
        <v>4</v>
      </c>
      <c r="D154" s="6" t="s">
        <v>97</v>
      </c>
      <c r="E154" s="5">
        <f>IF(D154&lt;&gt;"",IF(D154=Answers!D154,1,-1),0)</f>
        <v>1</v>
      </c>
      <c r="F154" s="27">
        <v>45749.25</v>
      </c>
      <c r="G154" s="13">
        <v>5</v>
      </c>
      <c r="H154" s="210">
        <f ca="1"/>
        <v>18</v>
      </c>
      <c r="I154" s="211">
        <f ca="1"/>
        <v>17</v>
      </c>
      <c r="J154" s="211">
        <f ca="1"/>
        <v>17</v>
      </c>
      <c r="K154" s="211">
        <f ca="1"/>
        <v>7</v>
      </c>
      <c r="L154" s="211">
        <f ca="1"/>
        <v>6321607</v>
      </c>
      <c r="M154" s="211">
        <f ca="1"/>
        <v>27</v>
      </c>
      <c r="N154" s="211"/>
      <c r="O154" s="212"/>
      <c r="Q154" t="s">
        <v>202</v>
      </c>
      <c r="R154" t="str">
        <v>Pleasant</v>
      </c>
      <c r="W154" t="str">
        <v>1-4-2025</v>
      </c>
      <c r="AD154">
        <v>17</v>
      </c>
    </row>
    <row r="155" spans="2:30" x14ac:dyDescent="0.3">
      <c r="B155" s="3">
        <v>70</v>
      </c>
      <c r="C155" s="2">
        <v>4</v>
      </c>
      <c r="D155" s="6" t="s">
        <v>65</v>
      </c>
      <c r="E155" s="5">
        <f>IF(D155&lt;&gt;"",IF(D155=Answers!D155,1,-1),0)</f>
        <v>1</v>
      </c>
      <c r="F155" s="27">
        <v>45767.625</v>
      </c>
      <c r="G155" s="13">
        <v>3</v>
      </c>
      <c r="H155" s="210">
        <f ca="1"/>
        <v>18</v>
      </c>
      <c r="I155" s="211">
        <f ca="1"/>
        <v>18</v>
      </c>
      <c r="J155" s="211">
        <f ca="1"/>
        <v>18</v>
      </c>
      <c r="K155" s="211">
        <f ca="1"/>
        <v>6</v>
      </c>
      <c r="L155" s="211">
        <f ca="1"/>
        <v>6321607</v>
      </c>
      <c r="M155" s="211">
        <f ca="1"/>
        <v>27</v>
      </c>
      <c r="N155" s="211"/>
      <c r="O155" s="212"/>
      <c r="Q155" t="s">
        <v>203</v>
      </c>
      <c r="R155" t="str">
        <v>Warm</v>
      </c>
      <c r="W155" t="str">
        <v>2-4-2025</v>
      </c>
      <c r="AD155">
        <v>7</v>
      </c>
    </row>
    <row r="156" spans="2:30" x14ac:dyDescent="0.3">
      <c r="B156" s="3">
        <v>71</v>
      </c>
      <c r="C156" s="2">
        <v>4</v>
      </c>
      <c r="D156" s="6" t="s">
        <v>109</v>
      </c>
      <c r="E156" s="5">
        <f>IF(D156&lt;&gt;"",IF(D156=Answers!D156,1,-1),0)</f>
        <v>1</v>
      </c>
      <c r="F156" s="27">
        <v>45777.875</v>
      </c>
      <c r="G156" s="13">
        <v>11</v>
      </c>
      <c r="H156" s="210">
        <f ca="1"/>
        <v>18</v>
      </c>
      <c r="I156" s="211">
        <f ca="1"/>
        <v>19</v>
      </c>
      <c r="J156" s="211">
        <f ca="1"/>
        <v>19</v>
      </c>
      <c r="K156" s="211">
        <f ca="1"/>
        <v>5</v>
      </c>
      <c r="L156" s="211">
        <f ca="1"/>
        <v>6321607</v>
      </c>
      <c r="M156" s="211">
        <f ca="1"/>
        <v>27</v>
      </c>
      <c r="N156" s="211"/>
      <c r="O156" s="212"/>
      <c r="Q156" t="s">
        <v>204</v>
      </c>
      <c r="R156" t="str">
        <v>Hot</v>
      </c>
      <c r="W156" t="str">
        <v>22-4-2025</v>
      </c>
      <c r="AD156">
        <v>21</v>
      </c>
    </row>
    <row r="157" spans="2:30" x14ac:dyDescent="0.3">
      <c r="B157" s="3">
        <v>72</v>
      </c>
      <c r="C157" s="2">
        <v>4</v>
      </c>
      <c r="D157" s="6" t="s">
        <v>107</v>
      </c>
      <c r="E157" s="5">
        <f>IF(D157&lt;&gt;"",IF(D157=Answers!D157,1,-1),0)</f>
        <v>1</v>
      </c>
      <c r="F157" s="27">
        <v>45758.208333333336</v>
      </c>
      <c r="G157" s="13">
        <v>1</v>
      </c>
      <c r="H157" s="210">
        <f ca="1"/>
        <v>18</v>
      </c>
      <c r="I157" s="211">
        <f ca="1"/>
        <v>20</v>
      </c>
      <c r="J157" s="211">
        <f ca="1"/>
        <v>20</v>
      </c>
      <c r="K157" s="211">
        <f ca="1"/>
        <v>4</v>
      </c>
      <c r="L157" s="211">
        <f ca="1"/>
        <v>7851241</v>
      </c>
      <c r="M157" s="211">
        <f ca="1"/>
        <v>22</v>
      </c>
      <c r="N157" s="211"/>
      <c r="O157" s="212"/>
      <c r="Q157" t="s">
        <v>205</v>
      </c>
      <c r="R157" t="str">
        <v>Mild</v>
      </c>
      <c r="W157" t="str">
        <v>14-4-2025</v>
      </c>
      <c r="AD157">
        <v>21</v>
      </c>
    </row>
    <row r="158" spans="2:30" x14ac:dyDescent="0.3">
      <c r="B158" s="3">
        <v>73</v>
      </c>
      <c r="C158" s="2">
        <v>4</v>
      </c>
      <c r="D158" s="6" t="s">
        <v>109</v>
      </c>
      <c r="E158" s="5">
        <f>IF(D158&lt;&gt;"",IF(D158=Answers!D158,1,-1),0)</f>
        <v>1</v>
      </c>
      <c r="F158" s="27">
        <v>45777.708333333336</v>
      </c>
      <c r="G158" s="13">
        <v>8</v>
      </c>
      <c r="H158" s="210">
        <f ca="1"/>
        <v>18</v>
      </c>
      <c r="I158" s="211">
        <f ca="1"/>
        <v>21</v>
      </c>
      <c r="J158" s="211">
        <f ca="1"/>
        <v>21</v>
      </c>
      <c r="K158" s="211">
        <f ca="1"/>
        <v>3</v>
      </c>
      <c r="L158" s="211">
        <f ca="1"/>
        <v>7851241</v>
      </c>
      <c r="M158" s="211">
        <f ca="1"/>
        <v>22</v>
      </c>
      <c r="N158" s="211" t="s">
        <v>193</v>
      </c>
      <c r="O158" s="212"/>
      <c r="Q158" t="s">
        <v>206</v>
      </c>
      <c r="R158" t="str">
        <v>Hot</v>
      </c>
      <c r="W158" t="str">
        <v>18-4-2025</v>
      </c>
      <c r="AD158">
        <v>10</v>
      </c>
    </row>
    <row r="159" spans="2:30" x14ac:dyDescent="0.3">
      <c r="B159" s="3">
        <v>74</v>
      </c>
      <c r="C159" s="2">
        <v>4</v>
      </c>
      <c r="D159" s="6" t="s">
        <v>97</v>
      </c>
      <c r="E159" s="5">
        <f>IF(D159&lt;&gt;"",IF(D159=Answers!D159,1,-1),0)</f>
        <v>1</v>
      </c>
      <c r="F159" s="27">
        <v>45751.333333333336</v>
      </c>
      <c r="G159" s="13">
        <v>10</v>
      </c>
      <c r="H159" s="210">
        <f ca="1"/>
        <v>18</v>
      </c>
      <c r="I159" s="211">
        <f ca="1"/>
        <v>22</v>
      </c>
      <c r="J159" s="211">
        <f ca="1"/>
        <v>22</v>
      </c>
      <c r="K159" s="211">
        <f ca="1"/>
        <v>2</v>
      </c>
      <c r="L159" s="211">
        <f ca="1"/>
        <v>7851241</v>
      </c>
      <c r="M159" s="211">
        <f ca="1"/>
        <v>22</v>
      </c>
      <c r="N159" s="211"/>
      <c r="O159" s="212"/>
      <c r="Q159" t="s">
        <v>207</v>
      </c>
      <c r="R159" t="str">
        <v>Pleasant</v>
      </c>
      <c r="W159" t="str">
        <v>12-4-2025</v>
      </c>
      <c r="AD159">
        <v>7</v>
      </c>
    </row>
    <row r="160" spans="2:30" x14ac:dyDescent="0.3">
      <c r="B160" s="3">
        <v>75</v>
      </c>
      <c r="C160" s="2">
        <v>4</v>
      </c>
      <c r="D160" s="6" t="s">
        <v>97</v>
      </c>
      <c r="E160" s="5">
        <f>IF(D160&lt;&gt;"",IF(D160=Answers!D160,1,-1),0)</f>
        <v>1</v>
      </c>
      <c r="F160" s="27">
        <v>45764.083333333336</v>
      </c>
      <c r="G160" s="13">
        <v>8</v>
      </c>
      <c r="H160" s="210">
        <f ca="1"/>
        <v>18</v>
      </c>
      <c r="I160" s="211">
        <f ca="1"/>
        <v>23</v>
      </c>
      <c r="J160" s="211">
        <f ca="1"/>
        <v>23</v>
      </c>
      <c r="K160" s="211">
        <f ca="1"/>
        <v>1</v>
      </c>
      <c r="L160" s="211">
        <f ca="1"/>
        <v>7851241</v>
      </c>
      <c r="M160" s="211">
        <f ca="1"/>
        <v>22</v>
      </c>
      <c r="N160" s="211"/>
      <c r="O160" s="212"/>
      <c r="Q160" t="s">
        <v>208</v>
      </c>
      <c r="R160" t="str">
        <v>Pleasant</v>
      </c>
      <c r="W160" t="str">
        <v>16-4-2025</v>
      </c>
    </row>
    <row r="161" spans="2:23" x14ac:dyDescent="0.3">
      <c r="B161" s="3">
        <v>76</v>
      </c>
      <c r="C161" s="2">
        <v>4</v>
      </c>
      <c r="D161" s="6" t="s">
        <v>107</v>
      </c>
      <c r="E161" s="5">
        <f>IF(D161&lt;&gt;"",IF(D161=Answers!D161,1,-1),0)</f>
        <v>1</v>
      </c>
      <c r="F161" s="27">
        <v>45761.125</v>
      </c>
      <c r="G161" s="13">
        <v>7</v>
      </c>
      <c r="H161" s="210">
        <f ca="1"/>
        <v>19</v>
      </c>
      <c r="I161" s="211">
        <f ca="1"/>
        <v>24</v>
      </c>
      <c r="J161" s="211">
        <f ca="1"/>
        <v>0</v>
      </c>
      <c r="K161" s="211">
        <f ca="1"/>
        <v>24</v>
      </c>
      <c r="L161" s="211">
        <f ca="1"/>
        <v>7851241</v>
      </c>
      <c r="M161" s="211">
        <f ca="1"/>
        <v>22</v>
      </c>
      <c r="N161" s="211"/>
      <c r="O161" s="212"/>
      <c r="Q161" t="s">
        <v>209</v>
      </c>
      <c r="R161" t="str">
        <v>Mild</v>
      </c>
      <c r="W161" t="str">
        <v>3-4-2025</v>
      </c>
    </row>
    <row r="162" spans="2:23" x14ac:dyDescent="0.3">
      <c r="B162" s="3">
        <v>77</v>
      </c>
      <c r="C162" s="2">
        <v>4</v>
      </c>
      <c r="D162" s="6" t="s">
        <v>65</v>
      </c>
      <c r="E162" s="5">
        <f>IF(D162&lt;&gt;"",IF(D162=Answers!D162,1,-1),0)</f>
        <v>1</v>
      </c>
      <c r="F162" s="27">
        <v>45751.583333333336</v>
      </c>
      <c r="G162" s="13">
        <v>2</v>
      </c>
      <c r="H162" s="210">
        <f ca="1"/>
        <v>19</v>
      </c>
      <c r="I162" s="211">
        <f ca="1"/>
        <v>25</v>
      </c>
      <c r="J162" s="211">
        <f ca="1"/>
        <v>1</v>
      </c>
      <c r="K162" s="211">
        <f ca="1"/>
        <v>23</v>
      </c>
      <c r="L162" s="211">
        <f ca="1"/>
        <v>7454605</v>
      </c>
      <c r="M162" s="211">
        <f ca="1"/>
        <v>16</v>
      </c>
      <c r="N162" s="211"/>
      <c r="O162" s="212"/>
      <c r="Q162" t="s">
        <v>210</v>
      </c>
      <c r="R162" t="str">
        <v>Warm</v>
      </c>
      <c r="W162" t="str">
        <v>24-4-2025</v>
      </c>
    </row>
    <row r="163" spans="2:23" x14ac:dyDescent="0.3">
      <c r="B163" s="3">
        <v>78</v>
      </c>
      <c r="C163" s="2">
        <v>4</v>
      </c>
      <c r="D163" s="6" t="s">
        <v>97</v>
      </c>
      <c r="E163" s="5">
        <f>IF(D163&lt;&gt;"",IF(D163=Answers!D163,1,-1),0)</f>
        <v>1</v>
      </c>
      <c r="F163" s="27">
        <v>45755.583333333336</v>
      </c>
      <c r="G163" s="13">
        <v>12</v>
      </c>
      <c r="H163" s="210">
        <f ca="1"/>
        <v>19</v>
      </c>
      <c r="I163" s="211">
        <f ca="1"/>
        <v>26</v>
      </c>
      <c r="J163" s="211">
        <f ca="1"/>
        <v>2</v>
      </c>
      <c r="K163" s="211">
        <f ca="1"/>
        <v>22</v>
      </c>
      <c r="L163" s="211">
        <f ca="1"/>
        <v>7454605</v>
      </c>
      <c r="M163" s="211">
        <f ca="1"/>
        <v>16</v>
      </c>
      <c r="N163" s="211"/>
      <c r="O163" s="212"/>
      <c r="Q163" t="s">
        <v>211</v>
      </c>
      <c r="R163" t="str">
        <v>Pleasant</v>
      </c>
      <c r="W163" t="str">
        <v>28-4-2025</v>
      </c>
    </row>
    <row r="164" spans="2:23" x14ac:dyDescent="0.3">
      <c r="B164" s="3">
        <v>79</v>
      </c>
      <c r="C164" s="2">
        <v>4</v>
      </c>
      <c r="D164" s="6" t="s">
        <v>97</v>
      </c>
      <c r="E164" s="5">
        <f>IF(D164&lt;&gt;"",IF(D164=Answers!D164,1,-1),0)</f>
        <v>1</v>
      </c>
      <c r="F164" s="27">
        <v>45766.041666666664</v>
      </c>
      <c r="G164" s="13">
        <v>11</v>
      </c>
      <c r="H164" s="210">
        <f ca="1"/>
        <v>19</v>
      </c>
      <c r="I164" s="211">
        <f ca="1"/>
        <v>27</v>
      </c>
      <c r="J164" s="211">
        <f ca="1"/>
        <v>3</v>
      </c>
      <c r="K164" s="211">
        <f ca="1"/>
        <v>21</v>
      </c>
      <c r="L164" s="211">
        <f ca="1"/>
        <v>7454605</v>
      </c>
      <c r="M164" s="211">
        <f ca="1"/>
        <v>16</v>
      </c>
      <c r="N164" s="211"/>
      <c r="O164" s="212"/>
      <c r="Q164" t="s">
        <v>212</v>
      </c>
      <c r="R164" t="str">
        <v>Pleasant</v>
      </c>
      <c r="W164" t="str">
        <v>23-4-2025</v>
      </c>
    </row>
    <row r="165" spans="2:23" x14ac:dyDescent="0.3">
      <c r="B165" s="3">
        <v>80</v>
      </c>
      <c r="C165" s="2">
        <v>4</v>
      </c>
      <c r="D165" s="6" t="s">
        <v>97</v>
      </c>
      <c r="E165" s="5">
        <f>IF(D165&lt;&gt;"",IF(D165=Answers!D165,1,-1),0)</f>
        <v>1</v>
      </c>
      <c r="F165" s="27">
        <v>45777.125</v>
      </c>
      <c r="G165" s="13">
        <v>6</v>
      </c>
      <c r="H165" s="210">
        <f ca="1"/>
        <v>19</v>
      </c>
      <c r="I165" s="211">
        <f ca="1"/>
        <v>28</v>
      </c>
      <c r="J165" s="211">
        <f ca="1"/>
        <v>4</v>
      </c>
      <c r="K165" s="211">
        <f ca="1"/>
        <v>20</v>
      </c>
      <c r="L165" s="211">
        <f ca="1"/>
        <v>7454605</v>
      </c>
      <c r="M165" s="211">
        <f ca="1"/>
        <v>16</v>
      </c>
      <c r="N165" s="211"/>
      <c r="O165" s="212"/>
      <c r="Q165" t="s">
        <v>213</v>
      </c>
      <c r="R165" t="str">
        <v>Pleasant</v>
      </c>
      <c r="W165" t="str">
        <v>11-4-2025</v>
      </c>
    </row>
    <row r="166" spans="2:23" x14ac:dyDescent="0.3">
      <c r="H166" s="210">
        <f ca="1"/>
        <v>19</v>
      </c>
      <c r="I166" s="211">
        <f ca="1"/>
        <v>29</v>
      </c>
      <c r="J166" s="211">
        <f ca="1"/>
        <v>5</v>
      </c>
      <c r="K166" s="211">
        <f ca="1"/>
        <v>19</v>
      </c>
      <c r="L166" s="211">
        <f ca="1"/>
        <v>7454605</v>
      </c>
      <c r="M166" s="211">
        <f ca="1"/>
        <v>16</v>
      </c>
      <c r="N166" s="211"/>
      <c r="O166" s="212"/>
      <c r="W166" t="str">
        <v>17-4-2025</v>
      </c>
    </row>
    <row r="167" spans="2:23" x14ac:dyDescent="0.3">
      <c r="W167" t="str">
        <v>11-4-2025</v>
      </c>
    </row>
    <row r="168" spans="2:23" ht="15" thickBot="1" x14ac:dyDescent="0.35">
      <c r="B168" s="4" t="s">
        <v>66</v>
      </c>
      <c r="C168" s="14" t="s">
        <v>55</v>
      </c>
      <c r="W168" t="str">
        <v>19-4-2025</v>
      </c>
    </row>
    <row r="169" spans="2:23" ht="15" thickTop="1" x14ac:dyDescent="0.3">
      <c r="W169" t="str">
        <v>16-4-2025</v>
      </c>
    </row>
    <row r="170" spans="2:23" x14ac:dyDescent="0.3">
      <c r="B170" s="10" t="s">
        <v>67</v>
      </c>
      <c r="W170" t="str">
        <v>23-4-2025</v>
      </c>
    </row>
    <row r="171" spans="2:23" x14ac:dyDescent="0.3">
      <c r="B171" s="10" t="s">
        <v>68</v>
      </c>
      <c r="W171" t="str">
        <v>19-4-2025</v>
      </c>
    </row>
    <row r="172" spans="2:23" x14ac:dyDescent="0.3">
      <c r="B172" s="10" t="s">
        <v>69</v>
      </c>
      <c r="W172" t="str">
        <v>26-4-2025</v>
      </c>
    </row>
    <row r="173" spans="2:23" x14ac:dyDescent="0.3">
      <c r="B173" s="23" t="s">
        <v>70</v>
      </c>
      <c r="W173" t="str">
        <v>11-4-2025</v>
      </c>
    </row>
    <row r="174" spans="2:23" x14ac:dyDescent="0.3">
      <c r="B174" s="12" t="s">
        <v>71</v>
      </c>
      <c r="W174" t="str">
        <v>21-4-2025</v>
      </c>
    </row>
    <row r="175" spans="2:23" x14ac:dyDescent="0.3">
      <c r="B175" s="12" t="s">
        <v>72</v>
      </c>
      <c r="W175" t="str">
        <v>12-4-2025</v>
      </c>
    </row>
    <row r="176" spans="2:23" x14ac:dyDescent="0.3">
      <c r="W176" t="str">
        <v>15-4-2025</v>
      </c>
    </row>
    <row r="177" spans="2:23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  <c r="H177" s="216" t="s">
        <v>225</v>
      </c>
      <c r="W177" t="str">
        <v>16-4-2025</v>
      </c>
    </row>
    <row r="178" spans="2:23" ht="15" thickTop="1" x14ac:dyDescent="0.3">
      <c r="G178" s="16"/>
      <c r="W178" t="str">
        <v>7-4-2025</v>
      </c>
    </row>
    <row r="179" spans="2:23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  <c r="H179" cm="1">
        <f t="array" aca="1" ref="H179" ca="1">DAY(INDIRECT(H177))</f>
        <v>6</v>
      </c>
      <c r="I179" s="186" cm="1">
        <f t="array" aca="1" ref="I179" ca="1">ROUND(HOUR(INDIRECT(H177)),0)</f>
        <v>16</v>
      </c>
      <c r="L179" cm="1">
        <f t="array" aca="1" ref="L179" ca="1">OFFSET(INDIRECT(H177),0,1)</f>
        <v>10</v>
      </c>
      <c r="M179" cm="1">
        <f t="array" aca="1" ref="M179" ca="1">INDEX(_tClimate,I179,H179)</f>
        <v>7851241</v>
      </c>
      <c r="W179" t="str">
        <v>20-4-2025</v>
      </c>
    </row>
    <row r="180" spans="2:23" ht="15" thickBot="1" x14ac:dyDescent="0.35">
      <c r="F180" s="16"/>
      <c r="H180" s="213" t="s">
        <v>108</v>
      </c>
      <c r="I180" s="214" t="s">
        <v>215</v>
      </c>
      <c r="J180" s="214" t="s">
        <v>216</v>
      </c>
      <c r="K180" s="214" t="s">
        <v>217</v>
      </c>
      <c r="L180" s="214" t="s">
        <v>218</v>
      </c>
      <c r="M180" s="214" t="s">
        <v>222</v>
      </c>
      <c r="N180" s="214" t="s">
        <v>220</v>
      </c>
      <c r="O180" s="215" t="s">
        <v>221</v>
      </c>
      <c r="R180" t="str">
        <f ca="1">O181</f>
        <v>Gentle Breeze</v>
      </c>
    </row>
    <row r="181" spans="2:23" ht="15" thickTop="1" x14ac:dyDescent="0.3">
      <c r="B181" s="3">
        <v>81</v>
      </c>
      <c r="C181" s="2">
        <v>5</v>
      </c>
      <c r="D181" s="6" t="s">
        <v>114</v>
      </c>
      <c r="E181" s="5">
        <f>IF(D181&lt;&gt;"",IF(D181=Answers!D181,1,-1),0)</f>
        <v>1</v>
      </c>
      <c r="F181" s="27">
        <v>45769.208333333336</v>
      </c>
      <c r="G181" s="13">
        <v>1</v>
      </c>
      <c r="H181" s="210" cm="1">
        <f t="array" aca="1" ref="H181:H201" ca="1">_xlfn.SEQUENCE(2*L179+1,1,H179-L179)</f>
        <v>-4</v>
      </c>
      <c r="I181" s="211" cm="1">
        <f t="array" aca="1" ref="I181:I201" ca="1">INT(_xlfn.SEQUENCE(ROWS(_xlfn.ANCHORARRAY(H181)),1,I179,0))</f>
        <v>16</v>
      </c>
      <c r="J181" s="211" cm="1">
        <f t="array" aca="1" ref="J181:J201" ca="1">MOD(_xlfn.ANCHORARRAY(I181),24)</f>
        <v>16</v>
      </c>
      <c r="K181" s="211" cm="1">
        <f t="array" aca="1" ref="K181:K201" ca="1">24-_xlfn.ANCHORARRAY(J181)</f>
        <v>8</v>
      </c>
      <c r="L181" s="211" cm="1">
        <f t="array" aca="1" ref="L181:L201" ca="1">_xlfn.BYROW(_xlfn.HSTACK(_xlfn.ANCHORARRAY(H181),_xlfn.ANCHORARRAY(K181)),_xlfn.LAMBDA(_xlpm.r,IF(INDEX(_xlpm.r,1,1)&lt;1,-1,INDEX(_tWind,INDEX(_xlpm.r,1,2),INDEX(_xlpm.r,1,1)))))</f>
        <v>-1</v>
      </c>
      <c r="M181" s="211" cm="1">
        <f t="array" aca="1" ref="M181:M201" ca="1">IFERROR(_xlfn.XLOOKUP(_xlfn.ANCHORARRAY(L181),Climatogram!AN35:AN41,Climatogram!AL35:AL41),-1)</f>
        <v>-1</v>
      </c>
      <c r="N181" s="211">
        <f ca="1">AVERAGEIFS(_xlfn.ANCHORARRAY(M181),_xlfn.ANCHORARRAY(M181),"&gt;0")</f>
        <v>12.75</v>
      </c>
      <c r="O181" s="212" t="str">
        <f ca="1">_xlfn.XLOOKUP(N181,Climatogram!AJ35:AJ41,Climatogram!AI35:AI41,,-1)</f>
        <v>Gentle Breeze</v>
      </c>
      <c r="Q181" t="s">
        <v>223</v>
      </c>
      <c r="R181" t="str">
        <f t="dataTable" ref="R181:R200" dt2D="0" dtr="0" r1="H177" ca="1"/>
        <v>Calm</v>
      </c>
    </row>
    <row r="182" spans="2:23" x14ac:dyDescent="0.3">
      <c r="B182" s="3">
        <v>82</v>
      </c>
      <c r="C182" s="2">
        <v>5</v>
      </c>
      <c r="D182" s="7" t="s">
        <v>115</v>
      </c>
      <c r="E182" s="5">
        <f>IF(D182&lt;&gt;"",IF(D182=Answers!D182,1,-1),0)</f>
        <v>1</v>
      </c>
      <c r="F182" s="27">
        <v>45757.125</v>
      </c>
      <c r="G182" s="13">
        <v>7</v>
      </c>
      <c r="H182">
        <f ca="1"/>
        <v>-3</v>
      </c>
      <c r="I182">
        <f ca="1"/>
        <v>16</v>
      </c>
      <c r="J182">
        <f ca="1"/>
        <v>16</v>
      </c>
      <c r="K182">
        <f ca="1"/>
        <v>8</v>
      </c>
      <c r="L182">
        <f ca="1"/>
        <v>-1</v>
      </c>
      <c r="M182">
        <f ca="1"/>
        <v>-1</v>
      </c>
      <c r="Q182" t="s">
        <v>224</v>
      </c>
      <c r="R182" t="str">
        <v>Light Air</v>
      </c>
    </row>
    <row r="183" spans="2:23" x14ac:dyDescent="0.3">
      <c r="B183" s="3">
        <v>83</v>
      </c>
      <c r="C183" s="2">
        <v>5</v>
      </c>
      <c r="D183" s="7" t="s">
        <v>75</v>
      </c>
      <c r="E183" s="5">
        <f>IF(D183&lt;&gt;"",IF(D183=Answers!D183,1,-1),0)</f>
        <v>1</v>
      </c>
      <c r="F183" s="27">
        <v>45753.666666666664</v>
      </c>
      <c r="G183" s="13">
        <v>10</v>
      </c>
      <c r="H183">
        <f ca="1"/>
        <v>-2</v>
      </c>
      <c r="I183">
        <f ca="1"/>
        <v>16</v>
      </c>
      <c r="J183">
        <f ca="1"/>
        <v>16</v>
      </c>
      <c r="K183">
        <f ca="1"/>
        <v>8</v>
      </c>
      <c r="L183">
        <f ca="1"/>
        <v>-1</v>
      </c>
      <c r="M183">
        <f ca="1"/>
        <v>-1</v>
      </c>
      <c r="Q183" t="s">
        <v>225</v>
      </c>
      <c r="R183" t="str">
        <v>Gentle Breeze</v>
      </c>
    </row>
    <row r="184" spans="2:23" x14ac:dyDescent="0.3">
      <c r="B184" s="3">
        <v>84</v>
      </c>
      <c r="C184" s="2">
        <v>5</v>
      </c>
      <c r="D184" s="7" t="s">
        <v>115</v>
      </c>
      <c r="E184" s="5">
        <f>IF(D184&lt;&gt;"",IF(D184=Answers!D184,1,-1),0)</f>
        <v>1</v>
      </c>
      <c r="F184" s="27">
        <v>45773.166666666664</v>
      </c>
      <c r="G184" s="13">
        <v>10</v>
      </c>
      <c r="H184">
        <f ca="1"/>
        <v>-1</v>
      </c>
      <c r="I184">
        <f ca="1"/>
        <v>16</v>
      </c>
      <c r="J184">
        <f ca="1"/>
        <v>16</v>
      </c>
      <c r="K184">
        <f ca="1"/>
        <v>8</v>
      </c>
      <c r="L184">
        <f ca="1"/>
        <v>-1</v>
      </c>
      <c r="M184">
        <f ca="1"/>
        <v>-1</v>
      </c>
      <c r="Q184" t="s">
        <v>226</v>
      </c>
      <c r="R184" t="str">
        <v>Light Air</v>
      </c>
    </row>
    <row r="185" spans="2:23" x14ac:dyDescent="0.3">
      <c r="B185" s="3">
        <v>85</v>
      </c>
      <c r="C185" s="2">
        <v>5</v>
      </c>
      <c r="D185" s="7" t="s">
        <v>75</v>
      </c>
      <c r="E185" s="5">
        <f>IF(D185&lt;&gt;"",IF(D185=Answers!D185,1,-1),0)</f>
        <v>1</v>
      </c>
      <c r="F185" s="27">
        <v>45765.541666666664</v>
      </c>
      <c r="G185" s="13">
        <v>8</v>
      </c>
      <c r="H185">
        <f ca="1"/>
        <v>0</v>
      </c>
      <c r="I185">
        <f ca="1"/>
        <v>16</v>
      </c>
      <c r="J185">
        <f ca="1"/>
        <v>16</v>
      </c>
      <c r="K185">
        <f ca="1"/>
        <v>8</v>
      </c>
      <c r="L185">
        <f ca="1"/>
        <v>-1</v>
      </c>
      <c r="M185">
        <f ca="1"/>
        <v>-1</v>
      </c>
      <c r="Q185" t="s">
        <v>227</v>
      </c>
      <c r="R185" t="str">
        <v>Gentle Breeze</v>
      </c>
    </row>
    <row r="186" spans="2:23" x14ac:dyDescent="0.3">
      <c r="B186" s="3">
        <v>86</v>
      </c>
      <c r="C186" s="2">
        <v>5</v>
      </c>
      <c r="D186" s="7" t="s">
        <v>116</v>
      </c>
      <c r="E186" s="5">
        <f>IF(D186&lt;&gt;"",IF(D186=Answers!D186,1,-1),0)</f>
        <v>1</v>
      </c>
      <c r="F186" s="27">
        <v>45775.833333333336</v>
      </c>
      <c r="G186" s="13">
        <v>10</v>
      </c>
      <c r="H186">
        <f ca="1"/>
        <v>1</v>
      </c>
      <c r="I186">
        <f ca="1"/>
        <v>16</v>
      </c>
      <c r="J186">
        <f ca="1"/>
        <v>16</v>
      </c>
      <c r="K186">
        <f ca="1"/>
        <v>8</v>
      </c>
      <c r="L186">
        <f ca="1"/>
        <v>16564099</v>
      </c>
      <c r="M186">
        <f ca="1"/>
        <v>9</v>
      </c>
      <c r="Q186" t="s">
        <v>228</v>
      </c>
      <c r="R186" t="str">
        <v>Light Breeze</v>
      </c>
    </row>
    <row r="187" spans="2:23" x14ac:dyDescent="0.3">
      <c r="B187" s="3">
        <v>87</v>
      </c>
      <c r="C187" s="2">
        <v>5</v>
      </c>
      <c r="D187" s="7" t="s">
        <v>115</v>
      </c>
      <c r="E187" s="5">
        <f>IF(D187&lt;&gt;"",IF(D187=Answers!D187,1,-1),0)</f>
        <v>1</v>
      </c>
      <c r="F187" s="27">
        <v>45767.291666666664</v>
      </c>
      <c r="G187" s="13">
        <v>7</v>
      </c>
      <c r="H187">
        <f ca="1"/>
        <v>2</v>
      </c>
      <c r="I187">
        <f ca="1"/>
        <v>16</v>
      </c>
      <c r="J187">
        <f ca="1"/>
        <v>16</v>
      </c>
      <c r="K187">
        <f ca="1"/>
        <v>8</v>
      </c>
      <c r="L187">
        <f ca="1"/>
        <v>16356656</v>
      </c>
      <c r="M187">
        <f ca="1"/>
        <v>16</v>
      </c>
      <c r="Q187" t="s">
        <v>229</v>
      </c>
      <c r="R187" t="str">
        <v>Light Air</v>
      </c>
    </row>
    <row r="188" spans="2:23" x14ac:dyDescent="0.3">
      <c r="B188" s="3">
        <v>88</v>
      </c>
      <c r="C188" s="2">
        <v>5</v>
      </c>
      <c r="D188" s="7" t="s">
        <v>75</v>
      </c>
      <c r="E188" s="5">
        <f>IF(D188&lt;&gt;"",IF(D188=Answers!D188,1,-1),0)</f>
        <v>1</v>
      </c>
      <c r="F188" s="27">
        <v>45754.5</v>
      </c>
      <c r="G188" s="13">
        <v>10</v>
      </c>
      <c r="H188">
        <f ca="1"/>
        <v>3</v>
      </c>
      <c r="I188">
        <f ca="1"/>
        <v>16</v>
      </c>
      <c r="J188">
        <f ca="1"/>
        <v>16</v>
      </c>
      <c r="K188">
        <f ca="1"/>
        <v>8</v>
      </c>
      <c r="L188">
        <f ca="1"/>
        <v>16356656</v>
      </c>
      <c r="M188">
        <f ca="1"/>
        <v>16</v>
      </c>
      <c r="Q188" t="s">
        <v>230</v>
      </c>
      <c r="R188" t="str">
        <v>Gentle Breeze</v>
      </c>
    </row>
    <row r="189" spans="2:23" x14ac:dyDescent="0.3">
      <c r="B189" s="3">
        <v>89</v>
      </c>
      <c r="C189" s="2">
        <v>5</v>
      </c>
      <c r="D189" s="7" t="s">
        <v>115</v>
      </c>
      <c r="E189" s="5">
        <f>IF(D189&lt;&gt;"",IF(D189=Answers!D189,1,-1),0)</f>
        <v>1</v>
      </c>
      <c r="F189" s="27">
        <v>45765.125</v>
      </c>
      <c r="G189" s="13">
        <v>3</v>
      </c>
      <c r="H189">
        <f ca="1"/>
        <v>4</v>
      </c>
      <c r="I189">
        <f ca="1"/>
        <v>16</v>
      </c>
      <c r="J189">
        <f ca="1"/>
        <v>16</v>
      </c>
      <c r="K189">
        <f ca="1"/>
        <v>8</v>
      </c>
      <c r="L189">
        <f ca="1"/>
        <v>16564099</v>
      </c>
      <c r="M189">
        <f ca="1"/>
        <v>9</v>
      </c>
      <c r="Q189" t="s">
        <v>231</v>
      </c>
      <c r="R189" t="str">
        <v>Light Air</v>
      </c>
    </row>
    <row r="190" spans="2:23" x14ac:dyDescent="0.3">
      <c r="B190" s="3">
        <v>90</v>
      </c>
      <c r="C190" s="2">
        <v>5</v>
      </c>
      <c r="D190" s="8" t="s">
        <v>116</v>
      </c>
      <c r="E190" s="5">
        <f>IF(D190&lt;&gt;"",IF(D190=Answers!D190,1,-1),0)</f>
        <v>1</v>
      </c>
      <c r="F190" s="27">
        <v>45761.916666666664</v>
      </c>
      <c r="G190" s="13">
        <v>3</v>
      </c>
      <c r="H190">
        <f ca="1"/>
        <v>5</v>
      </c>
      <c r="I190">
        <f ca="1"/>
        <v>16</v>
      </c>
      <c r="J190">
        <f ca="1"/>
        <v>16</v>
      </c>
      <c r="K190">
        <f ca="1"/>
        <v>8</v>
      </c>
      <c r="L190">
        <f ca="1"/>
        <v>16564099</v>
      </c>
      <c r="M190">
        <f ca="1"/>
        <v>9</v>
      </c>
      <c r="Q190" t="s">
        <v>232</v>
      </c>
      <c r="R190" t="str">
        <v>Light Breeze</v>
      </c>
    </row>
    <row r="191" spans="2:23" x14ac:dyDescent="0.3">
      <c r="B191" s="3">
        <v>91</v>
      </c>
      <c r="C191" s="2">
        <v>5</v>
      </c>
      <c r="D191" s="8" t="s">
        <v>115</v>
      </c>
      <c r="E191" s="5">
        <f>IF(D191&lt;&gt;"",IF(D191=Answers!D191,1,-1),0)</f>
        <v>1</v>
      </c>
      <c r="F191" s="27">
        <v>45759.125</v>
      </c>
      <c r="G191" s="13">
        <v>10</v>
      </c>
      <c r="H191">
        <f ca="1"/>
        <v>6</v>
      </c>
      <c r="I191">
        <f ca="1"/>
        <v>16</v>
      </c>
      <c r="J191">
        <f ca="1"/>
        <v>16</v>
      </c>
      <c r="K191">
        <f ca="1"/>
        <v>8</v>
      </c>
      <c r="L191">
        <f ca="1"/>
        <v>16706262</v>
      </c>
      <c r="M191">
        <f ca="1"/>
        <v>4</v>
      </c>
      <c r="Q191" t="s">
        <v>233</v>
      </c>
      <c r="R191" t="str">
        <v>Light Air</v>
      </c>
    </row>
    <row r="192" spans="2:23" x14ac:dyDescent="0.3">
      <c r="B192" s="3">
        <v>92</v>
      </c>
      <c r="C192" s="2">
        <v>5</v>
      </c>
      <c r="D192" s="8" t="s">
        <v>115</v>
      </c>
      <c r="E192" s="5">
        <f>IF(D192&lt;&gt;"",IF(D192=Answers!D192,1,-1),0)</f>
        <v>1</v>
      </c>
      <c r="F192" s="27">
        <v>45771.208333333336</v>
      </c>
      <c r="G192" s="13">
        <v>4</v>
      </c>
      <c r="H192">
        <f ca="1"/>
        <v>7</v>
      </c>
      <c r="I192">
        <f ca="1"/>
        <v>16</v>
      </c>
      <c r="J192">
        <f ca="1"/>
        <v>16</v>
      </c>
      <c r="K192">
        <f ca="1"/>
        <v>8</v>
      </c>
      <c r="L192">
        <f ca="1"/>
        <v>16564099</v>
      </c>
      <c r="M192">
        <f ca="1"/>
        <v>9</v>
      </c>
      <c r="Q192" t="s">
        <v>234</v>
      </c>
      <c r="R192" t="str">
        <v>Light Air</v>
      </c>
    </row>
    <row r="193" spans="2:18" x14ac:dyDescent="0.3">
      <c r="B193" s="3">
        <v>93</v>
      </c>
      <c r="C193" s="2">
        <v>5</v>
      </c>
      <c r="D193" s="8" t="s">
        <v>75</v>
      </c>
      <c r="E193" s="5">
        <f>IF(D193&lt;&gt;"",IF(D193=Answers!D193,1,-1),0)</f>
        <v>1</v>
      </c>
      <c r="F193" s="27">
        <v>45768.583333333336</v>
      </c>
      <c r="G193" s="13">
        <v>1</v>
      </c>
      <c r="H193">
        <f ca="1"/>
        <v>8</v>
      </c>
      <c r="I193">
        <f ca="1"/>
        <v>16</v>
      </c>
      <c r="J193">
        <f ca="1"/>
        <v>16</v>
      </c>
      <c r="K193">
        <f ca="1"/>
        <v>8</v>
      </c>
      <c r="L193">
        <f ca="1"/>
        <v>16564099</v>
      </c>
      <c r="M193">
        <f ca="1"/>
        <v>9</v>
      </c>
      <c r="Q193" t="s">
        <v>235</v>
      </c>
      <c r="R193" t="str">
        <v>Gentle Breeze</v>
      </c>
    </row>
    <row r="194" spans="2:18" x14ac:dyDescent="0.3">
      <c r="B194" s="3">
        <v>94</v>
      </c>
      <c r="C194" s="2">
        <v>5</v>
      </c>
      <c r="D194" s="8" t="s">
        <v>115</v>
      </c>
      <c r="E194" s="5">
        <f>IF(D194&lt;&gt;"",IF(D194=Answers!D194,1,-1),0)</f>
        <v>1</v>
      </c>
      <c r="F194" s="27">
        <v>45772.041666666664</v>
      </c>
      <c r="G194" s="13">
        <v>10</v>
      </c>
      <c r="H194">
        <f ca="1"/>
        <v>9</v>
      </c>
      <c r="I194">
        <f ca="1"/>
        <v>16</v>
      </c>
      <c r="J194">
        <f ca="1"/>
        <v>16</v>
      </c>
      <c r="K194">
        <f ca="1"/>
        <v>8</v>
      </c>
      <c r="L194">
        <f ca="1"/>
        <v>16356656</v>
      </c>
      <c r="M194">
        <f ca="1"/>
        <v>16</v>
      </c>
      <c r="Q194" t="s">
        <v>236</v>
      </c>
      <c r="R194" t="str">
        <v>Light Air</v>
      </c>
    </row>
    <row r="195" spans="2:18" x14ac:dyDescent="0.3">
      <c r="B195" s="3">
        <v>95</v>
      </c>
      <c r="C195" s="2">
        <v>5</v>
      </c>
      <c r="D195" s="8" t="s">
        <v>116</v>
      </c>
      <c r="E195" s="5">
        <f>IF(D195&lt;&gt;"",IF(D195=Answers!D195,1,-1),0)</f>
        <v>1</v>
      </c>
      <c r="F195" s="27">
        <v>45751.708333333336</v>
      </c>
      <c r="G195" s="13">
        <v>6</v>
      </c>
      <c r="H195">
        <f ca="1"/>
        <v>10</v>
      </c>
      <c r="I195">
        <f ca="1"/>
        <v>16</v>
      </c>
      <c r="J195">
        <f ca="1"/>
        <v>16</v>
      </c>
      <c r="K195">
        <f ca="1"/>
        <v>8</v>
      </c>
      <c r="L195">
        <f ca="1"/>
        <v>16564099</v>
      </c>
      <c r="M195">
        <f ca="1"/>
        <v>9</v>
      </c>
      <c r="Q195" t="s">
        <v>237</v>
      </c>
      <c r="R195" t="str">
        <v>Light Breeze</v>
      </c>
    </row>
    <row r="196" spans="2:18" x14ac:dyDescent="0.3">
      <c r="B196" s="3">
        <v>96</v>
      </c>
      <c r="C196" s="2">
        <v>5</v>
      </c>
      <c r="D196" s="8" t="s">
        <v>116</v>
      </c>
      <c r="E196" s="5">
        <f>IF(D196&lt;&gt;"",IF(D196=Answers!D196,1,-1),0)</f>
        <v>1</v>
      </c>
      <c r="F196" s="27">
        <v>45776.666666666664</v>
      </c>
      <c r="G196" s="13">
        <v>7</v>
      </c>
      <c r="H196">
        <f ca="1"/>
        <v>11</v>
      </c>
      <c r="I196">
        <f ca="1"/>
        <v>16</v>
      </c>
      <c r="J196">
        <f ca="1"/>
        <v>16</v>
      </c>
      <c r="K196">
        <f ca="1"/>
        <v>8</v>
      </c>
      <c r="L196">
        <f ca="1"/>
        <v>16564099</v>
      </c>
      <c r="M196">
        <f ca="1"/>
        <v>9</v>
      </c>
      <c r="Q196" t="s">
        <v>238</v>
      </c>
      <c r="R196" t="str">
        <v>Light Breeze</v>
      </c>
    </row>
    <row r="197" spans="2:18" x14ac:dyDescent="0.3">
      <c r="B197" s="3">
        <v>97</v>
      </c>
      <c r="C197" s="2">
        <v>5</v>
      </c>
      <c r="D197" s="8" t="s">
        <v>115</v>
      </c>
      <c r="E197" s="5">
        <f>IF(D197&lt;&gt;"",IF(D197=Answers!D197,1,-1),0)</f>
        <v>1</v>
      </c>
      <c r="F197" s="27">
        <v>45762.166666666664</v>
      </c>
      <c r="G197" s="13">
        <v>9</v>
      </c>
      <c r="H197">
        <f ca="1"/>
        <v>12</v>
      </c>
      <c r="I197">
        <f ca="1"/>
        <v>16</v>
      </c>
      <c r="J197">
        <f ca="1"/>
        <v>16</v>
      </c>
      <c r="K197">
        <f ca="1"/>
        <v>8</v>
      </c>
      <c r="L197">
        <f ca="1"/>
        <v>16356656</v>
      </c>
      <c r="M197">
        <f ca="1"/>
        <v>16</v>
      </c>
      <c r="Q197" t="s">
        <v>239</v>
      </c>
      <c r="R197" t="str">
        <v>Light Air</v>
      </c>
    </row>
    <row r="198" spans="2:18" x14ac:dyDescent="0.3">
      <c r="B198" s="3">
        <v>98</v>
      </c>
      <c r="C198" s="2">
        <v>5</v>
      </c>
      <c r="D198" s="8" t="s">
        <v>75</v>
      </c>
      <c r="E198" s="5">
        <f>IF(D198&lt;&gt;"",IF(D198=Answers!D198,1,-1),0)</f>
        <v>1</v>
      </c>
      <c r="F198" s="27">
        <v>45750.666666666664</v>
      </c>
      <c r="G198" s="13">
        <v>12</v>
      </c>
      <c r="H198">
        <f ca="1"/>
        <v>13</v>
      </c>
      <c r="I198">
        <f ca="1"/>
        <v>16</v>
      </c>
      <c r="J198">
        <f ca="1"/>
        <v>16</v>
      </c>
      <c r="K198">
        <f ca="1"/>
        <v>8</v>
      </c>
      <c r="L198">
        <f ca="1"/>
        <v>13593094</v>
      </c>
      <c r="M198">
        <f ca="1"/>
        <v>25</v>
      </c>
      <c r="Q198" t="s">
        <v>240</v>
      </c>
      <c r="R198" t="str">
        <v>Gentle Breeze</v>
      </c>
    </row>
    <row r="199" spans="2:18" x14ac:dyDescent="0.3">
      <c r="B199" s="3">
        <v>99</v>
      </c>
      <c r="C199" s="2">
        <v>5</v>
      </c>
      <c r="D199" s="8" t="s">
        <v>116</v>
      </c>
      <c r="E199" s="5">
        <f>IF(D199&lt;&gt;"",IF(D199=Answers!D199,1,-1),0)</f>
        <v>1</v>
      </c>
      <c r="F199" s="27">
        <v>45750.916666666664</v>
      </c>
      <c r="G199" s="13">
        <v>12</v>
      </c>
      <c r="H199">
        <f ca="1"/>
        <v>14</v>
      </c>
      <c r="I199">
        <f ca="1"/>
        <v>16</v>
      </c>
      <c r="J199">
        <f ca="1"/>
        <v>16</v>
      </c>
      <c r="K199">
        <f ca="1"/>
        <v>8</v>
      </c>
      <c r="L199">
        <f ca="1"/>
        <v>16356656</v>
      </c>
      <c r="M199">
        <f ca="1"/>
        <v>16</v>
      </c>
      <c r="Q199" t="s">
        <v>241</v>
      </c>
      <c r="R199" t="str">
        <v>Light Breeze</v>
      </c>
    </row>
    <row r="200" spans="2:18" x14ac:dyDescent="0.3">
      <c r="B200" s="3">
        <v>100</v>
      </c>
      <c r="C200" s="2">
        <v>5</v>
      </c>
      <c r="D200" s="8" t="s">
        <v>115</v>
      </c>
      <c r="E200" s="5">
        <f>IF(D200&lt;&gt;"",IF(D200=Answers!D200,1,-1),0)</f>
        <v>1</v>
      </c>
      <c r="F200" s="27">
        <v>45753.916666666664</v>
      </c>
      <c r="G200" s="13">
        <v>3</v>
      </c>
      <c r="H200">
        <f ca="1"/>
        <v>15</v>
      </c>
      <c r="I200">
        <f ca="1"/>
        <v>16</v>
      </c>
      <c r="J200">
        <f ca="1"/>
        <v>16</v>
      </c>
      <c r="K200">
        <f ca="1"/>
        <v>8</v>
      </c>
      <c r="L200">
        <f ca="1"/>
        <v>16356656</v>
      </c>
      <c r="M200">
        <f ca="1"/>
        <v>16</v>
      </c>
      <c r="Q200" t="s">
        <v>242</v>
      </c>
      <c r="R200" t="str">
        <v>Light Air</v>
      </c>
    </row>
    <row r="201" spans="2:18" x14ac:dyDescent="0.3">
      <c r="H201">
        <f ca="1"/>
        <v>16</v>
      </c>
      <c r="I201">
        <f ca="1"/>
        <v>16</v>
      </c>
      <c r="J201">
        <f ca="1"/>
        <v>16</v>
      </c>
      <c r="K201">
        <f ca="1"/>
        <v>8</v>
      </c>
      <c r="L201">
        <f ca="1"/>
        <v>16356656</v>
      </c>
      <c r="M201">
        <f ca="1"/>
        <v>16</v>
      </c>
    </row>
    <row r="203" spans="2:18" ht="15" thickBot="1" x14ac:dyDescent="0.35">
      <c r="B203" s="4" t="s">
        <v>26</v>
      </c>
      <c r="C203" s="14" t="s">
        <v>45</v>
      </c>
    </row>
    <row r="204" spans="2:18" ht="15" thickTop="1" x14ac:dyDescent="0.3"/>
    <row r="205" spans="2:18" x14ac:dyDescent="0.3">
      <c r="B205" s="10" t="s">
        <v>76</v>
      </c>
    </row>
    <row r="206" spans="2:18" x14ac:dyDescent="0.3">
      <c r="B206" s="19" t="s">
        <v>77</v>
      </c>
    </row>
    <row r="207" spans="2:18" x14ac:dyDescent="0.3">
      <c r="B207" s="10" t="s">
        <v>78</v>
      </c>
    </row>
    <row r="208" spans="2:18" x14ac:dyDescent="0.3">
      <c r="B208" s="11" t="s">
        <v>79</v>
      </c>
    </row>
    <row r="209" spans="2:17" x14ac:dyDescent="0.3">
      <c r="B209" s="12" t="s">
        <v>80</v>
      </c>
    </row>
    <row r="210" spans="2:17" x14ac:dyDescent="0.3">
      <c r="B210" s="12" t="s">
        <v>81</v>
      </c>
    </row>
    <row r="212" spans="2:17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190" t="s">
        <v>145</v>
      </c>
    </row>
    <row r="213" spans="2:17" ht="15" thickTop="1" x14ac:dyDescent="0.3">
      <c r="G213" s="189" cm="1">
        <f t="array" aca="1" ref="G213" ca="1">INDIRECT(G212)</f>
        <v>45753.791666666664</v>
      </c>
      <c r="I213" t="s">
        <v>146</v>
      </c>
      <c r="M213" t="s">
        <v>147</v>
      </c>
    </row>
    <row r="214" spans="2:17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K214">
        <f ca="1">_xlfn.XLOOKUP(I214,Climatogram!$AN$35:$AN$41,Climatogram!$AM$35:$AM$41)</f>
        <v>2</v>
      </c>
      <c r="L214" t="str" cm="1">
        <f t="array" aca="1" ref="L214" ca="1">IF(_fnDay(INDIRECT("Climatogram!"&amp;ADDRESS(-H214+28,G214+2))),"D","N")</f>
        <v>N</v>
      </c>
      <c r="M214" cm="1">
        <f t="array" aca="1" ref="M214" ca="1">INDEX(_tClimate,H214,G214)</f>
        <v>7851241</v>
      </c>
      <c r="N214">
        <f ca="1">_xlfn.XLOOKUP(M214,Climatogram!$AM$5:$AM$10,Climatogram!$AL$5:$AL$10)</f>
        <v>22</v>
      </c>
      <c r="O214">
        <f ca="1">N214+IF(L214="N",1.5*K214,K214)</f>
        <v>25</v>
      </c>
      <c r="P214" t="str">
        <f ca="1">_xlfn.XLOOKUP(O214,Climatogram!$AJ$5:$AJ$10,Climatogram!$AI$5:$AI$10,,-1)</f>
        <v>Warm</v>
      </c>
      <c r="Q214" t="str">
        <f ca="1">O214&amp;"-"&amp;P214</f>
        <v>25-Warm</v>
      </c>
    </row>
    <row r="215" spans="2:17" x14ac:dyDescent="0.3">
      <c r="F215" s="16"/>
      <c r="H215" t="str">
        <f ca="1">Q214</f>
        <v>25-Warm</v>
      </c>
    </row>
    <row r="216" spans="2:17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191" t="s">
        <v>145</v>
      </c>
      <c r="H216" s="192" t="str">
        <f t="dataTable" ref="H216:H235" dt2D="0" dtr="0" r1="G212" ca="1"/>
        <v>25-Warm</v>
      </c>
    </row>
    <row r="217" spans="2:17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191" t="s">
        <v>149</v>
      </c>
      <c r="H217" s="192" t="str">
        <v>29-Hot</v>
      </c>
    </row>
    <row r="218" spans="2:17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191" t="s">
        <v>150</v>
      </c>
      <c r="H218" s="192" t="str">
        <v>25-Warm</v>
      </c>
    </row>
    <row r="219" spans="2:17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191" t="s">
        <v>151</v>
      </c>
      <c r="H219" s="192" t="str">
        <v>28-Warm</v>
      </c>
    </row>
    <row r="220" spans="2:17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191" t="s">
        <v>152</v>
      </c>
      <c r="H220" s="192" t="str">
        <v>25-Warm</v>
      </c>
    </row>
    <row r="221" spans="2:17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191" t="s">
        <v>153</v>
      </c>
      <c r="H221" s="192" t="str">
        <v>29-Hot</v>
      </c>
    </row>
    <row r="222" spans="2:17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191" t="s">
        <v>154</v>
      </c>
      <c r="H222" s="192" t="str">
        <v>25-Warm</v>
      </c>
    </row>
    <row r="223" spans="2:17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191" t="s">
        <v>155</v>
      </c>
      <c r="H223" s="192" t="str">
        <v>32-Hot</v>
      </c>
    </row>
    <row r="224" spans="2:17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191" t="s">
        <v>156</v>
      </c>
      <c r="H224" s="192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191" t="s">
        <v>157</v>
      </c>
      <c r="H225" s="192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191" t="s">
        <v>158</v>
      </c>
      <c r="H226" s="192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191" t="s">
        <v>159</v>
      </c>
      <c r="H227" s="192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191" t="s">
        <v>160</v>
      </c>
      <c r="H228" s="192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191" t="s">
        <v>161</v>
      </c>
      <c r="H229" s="192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191" t="s">
        <v>162</v>
      </c>
      <c r="H230" s="192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191" t="s">
        <v>163</v>
      </c>
      <c r="H231" s="192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191" t="s">
        <v>164</v>
      </c>
      <c r="H232" s="192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191" t="s">
        <v>165</v>
      </c>
      <c r="H233" s="192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191" t="s">
        <v>166</v>
      </c>
      <c r="H234" s="192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191" t="s">
        <v>148</v>
      </c>
      <c r="H235" s="192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21" x14ac:dyDescent="0.3">
      <c r="B241" s="10" t="s">
        <v>86</v>
      </c>
    </row>
    <row r="242" spans="2:21" x14ac:dyDescent="0.3">
      <c r="B242" s="10" t="s">
        <v>87</v>
      </c>
    </row>
    <row r="243" spans="2:21" x14ac:dyDescent="0.3">
      <c r="B243" s="11" t="s">
        <v>88</v>
      </c>
    </row>
    <row r="244" spans="2:21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  <c r="K244" s="173"/>
    </row>
    <row r="245" spans="2:21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  <c r="K245" s="174"/>
    </row>
    <row r="246" spans="2:21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  <c r="K246" s="174"/>
    </row>
    <row r="247" spans="2:21" x14ac:dyDescent="0.3">
      <c r="B247" s="181" t="s">
        <v>95</v>
      </c>
    </row>
    <row r="249" spans="2:21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  <c r="G249" s="205" t="s">
        <v>172</v>
      </c>
      <c r="H249" s="206" t="s">
        <v>171</v>
      </c>
    </row>
    <row r="250" spans="2:21" ht="15" thickTop="1" x14ac:dyDescent="0.3">
      <c r="H250" s="205" t="s">
        <v>108</v>
      </c>
      <c r="I250" s="205" t="s">
        <v>167</v>
      </c>
      <c r="J250" s="205"/>
    </row>
    <row r="251" spans="2:21" x14ac:dyDescent="0.3">
      <c r="B251" s="3" t="s">
        <v>96</v>
      </c>
      <c r="C251" s="2">
        <v>7</v>
      </c>
      <c r="D251" s="9" t="s">
        <v>97</v>
      </c>
      <c r="F251" s="25">
        <v>45770.791666666664</v>
      </c>
      <c r="H251" cm="1">
        <f t="array" aca="1" ref="H251" ca="1">DAY(INDIRECT(H249))</f>
        <v>23</v>
      </c>
      <c r="I251" s="186" cm="1">
        <f t="array" aca="1" ref="I251" ca="1">ROUND(24-HOUR(INDIRECT(H249)),0)</f>
        <v>5</v>
      </c>
      <c r="J251" s="186"/>
    </row>
    <row r="252" spans="2:21" x14ac:dyDescent="0.3">
      <c r="F252" s="16"/>
      <c r="H252" s="195" t="s">
        <v>168</v>
      </c>
      <c r="I252" s="195"/>
      <c r="J252" s="195"/>
      <c r="K252" s="195"/>
      <c r="L252" s="193" t="s">
        <v>169</v>
      </c>
      <c r="M252" s="193"/>
      <c r="N252" s="193"/>
      <c r="O252" s="196" t="s">
        <v>170</v>
      </c>
      <c r="P252" s="196"/>
      <c r="Q252" s="196"/>
      <c r="U252" t="str">
        <f ca="1">Q262</f>
        <v>Pleasant</v>
      </c>
    </row>
    <row r="253" spans="2:21" x14ac:dyDescent="0.3">
      <c r="B253" s="3">
        <v>121</v>
      </c>
      <c r="C253" s="2">
        <v>7</v>
      </c>
      <c r="D253" s="6" t="s">
        <v>65</v>
      </c>
      <c r="E253" s="5">
        <f>IF(D253&lt;&gt;"",IF(D253=Answers!D253,1,-1),0)</f>
        <v>1</v>
      </c>
      <c r="F253" s="25">
        <v>45763.583333333336</v>
      </c>
      <c r="H253" s="198">
        <f ca="1">$H$251-1</f>
        <v>22</v>
      </c>
      <c r="I253" s="199">
        <f ca="1">$H$251</f>
        <v>23</v>
      </c>
      <c r="J253" s="199"/>
      <c r="K253" s="200">
        <f ca="1">$H$251+1</f>
        <v>24</v>
      </c>
      <c r="L253" s="198">
        <f ca="1">$H$251-1</f>
        <v>22</v>
      </c>
      <c r="M253" s="199">
        <f ca="1">$H$251</f>
        <v>23</v>
      </c>
      <c r="N253" s="200">
        <f ca="1">$H$251+1</f>
        <v>24</v>
      </c>
      <c r="O253" s="198">
        <f ca="1">$H$251-1</f>
        <v>22</v>
      </c>
      <c r="P253" s="199">
        <f ca="1">$H$251</f>
        <v>23</v>
      </c>
      <c r="Q253" s="200">
        <f ca="1">$H$251+1</f>
        <v>24</v>
      </c>
      <c r="T253" t="s">
        <v>173</v>
      </c>
      <c r="U253" t="str">
        <f t="dataTable" ref="U253:U272" dt2D="0" dtr="0" r1="H249" ca="1"/>
        <v>Warm</v>
      </c>
    </row>
    <row r="254" spans="2:21" x14ac:dyDescent="0.3">
      <c r="B254" s="3">
        <v>122</v>
      </c>
      <c r="C254" s="2">
        <v>7</v>
      </c>
      <c r="D254" s="7" t="s">
        <v>97</v>
      </c>
      <c r="E254" s="5">
        <f>IF(D254&lt;&gt;"",IF(D254=Answers!D254,1,-1),0)</f>
        <v>1</v>
      </c>
      <c r="F254" s="25">
        <v>45750.875</v>
      </c>
      <c r="G254" s="186">
        <f ca="1">$I$251-1</f>
        <v>4</v>
      </c>
      <c r="H254" s="191" t="str" cm="1">
        <f t="array" aca="1" ref="H254" ca="1">_xlfn.XLOOKUP(INDEX(_tClimate,$G254,H$253),Climatogram!$AM$5:$AM$10,Climatogram!$AI$5:$AI$10)</f>
        <v>Warm</v>
      </c>
      <c r="I254" s="191" t="str" cm="1">
        <f t="array" aca="1" ref="I254" ca="1">_xlfn.XLOOKUP(INDEX(_tClimate,$G254,I$253),Climatogram!$AM$5:$AM$10,Climatogram!$AI$5:$AI$10)</f>
        <v>Pleasant</v>
      </c>
      <c r="J254" s="191"/>
      <c r="K254" s="191" t="str" cm="1">
        <f t="array" aca="1" ref="K254" ca="1">_xlfn.XLOOKUP(INDEX(_tClimate,$G254,K$253),Climatogram!$AM$5:$AM$10,Climatogram!$AI$5:$AI$10)</f>
        <v>Pleasant</v>
      </c>
      <c r="L254" s="194" t="str" cm="1">
        <f t="array" aca="1" ref="L254" ca="1">_xlfn.XLOOKUP(INDEX(_tWind,$G254,L$253),Climatogram!$AN$35:$AN$41,Climatogram!$AI$35:$AI$41)</f>
        <v>Gentle Breeze</v>
      </c>
      <c r="M254" s="194" t="str" cm="1">
        <f t="array" aca="1" ref="M254" ca="1">_xlfn.XLOOKUP(INDEX(_tWind,$G254,M$253),Climatogram!$AN$35:$AN$41,Climatogram!$AI$35:$AI$41)</f>
        <v>Gentle Breeze</v>
      </c>
      <c r="N254" s="194" t="str" cm="1">
        <f t="array" aca="1" ref="N254" ca="1">_xlfn.XLOOKUP(INDEX(_tWind,$G254,N$253),Climatogram!$AN$35:$AN$41,Climatogram!$AI$35:$AI$41)</f>
        <v>Light Breeze</v>
      </c>
      <c r="O254" s="197" t="str" cm="1">
        <f t="array" aca="1" ref="O254" ca="1">IF(_fnDay(INDIRECT("Climatogram!"&amp;ADDRESS(-$G254+28,O$253+2))),"D","N")</f>
        <v>N</v>
      </c>
      <c r="P254" s="197" t="str" cm="1">
        <f t="array" aca="1" ref="P254" ca="1">IF(_fnDay(INDIRECT("Climatogram!"&amp;ADDRESS(-$G254+28,P$253+2))),"D","N")</f>
        <v>N</v>
      </c>
      <c r="Q254" s="197" t="str" cm="1">
        <f t="array" aca="1" ref="Q254" ca="1">IF(_fnDay(INDIRECT("Climatogram!"&amp;ADDRESS(-$G254+28,Q$253+2))),"D","N")</f>
        <v>N</v>
      </c>
      <c r="T254" t="s">
        <v>174</v>
      </c>
      <c r="U254" t="str">
        <v>Pleasant</v>
      </c>
    </row>
    <row r="255" spans="2:21" x14ac:dyDescent="0.3">
      <c r="B255" s="3">
        <v>123</v>
      </c>
      <c r="C255" s="2">
        <v>7</v>
      </c>
      <c r="D255" s="7" t="s">
        <v>65</v>
      </c>
      <c r="E255" s="5">
        <f>IF(D255&lt;&gt;"",IF(D255=Answers!D255,1,-1),0)</f>
        <v>1</v>
      </c>
      <c r="F255" s="25">
        <v>45771.583333333336</v>
      </c>
      <c r="G255" s="186">
        <f ca="1">$I$251</f>
        <v>5</v>
      </c>
      <c r="H255" s="191" t="str" cm="1">
        <f t="array" aca="1" ref="H255" ca="1">_xlfn.XLOOKUP(INDEX(_tClimate,$G255,H$253),Climatogram!$AM$5:$AM$10,Climatogram!$AI$5:$AI$10)</f>
        <v>Pleasant</v>
      </c>
      <c r="I255" s="191" t="str" cm="1">
        <f t="array" aca="1" ref="I255" ca="1">_xlfn.XLOOKUP(INDEX(_tClimate,$G255,I$253),Climatogram!$AM$5:$AM$10,Climatogram!$AI$5:$AI$10)</f>
        <v>Warm</v>
      </c>
      <c r="J255" s="191"/>
      <c r="K255" s="191" t="str" cm="1">
        <f t="array" aca="1" ref="K255" ca="1">_xlfn.XLOOKUP(INDEX(_tClimate,$G255,K$253),Climatogram!$AM$5:$AM$10,Climatogram!$AI$5:$AI$10)</f>
        <v>Pleasant</v>
      </c>
      <c r="L255" s="194" t="str" cm="1">
        <f t="array" aca="1" ref="L255" ca="1">_xlfn.XLOOKUP(INDEX(_tWind,$G255,L$253),Climatogram!$AN$35:$AN$41,Climatogram!$AI$35:$AI$41)</f>
        <v>Light Breeze</v>
      </c>
      <c r="M255" s="194" t="str" cm="1">
        <f t="array" aca="1" ref="M255" ca="1">_xlfn.XLOOKUP(INDEX(_tWind,$G255,M$253),Climatogram!$AN$35:$AN$41,Climatogram!$AI$35:$AI$41)</f>
        <v>Moderate Breeze</v>
      </c>
      <c r="N255" s="194" t="str" cm="1">
        <f t="array" aca="1" ref="N255" ca="1">_xlfn.XLOOKUP(INDEX(_tWind,$G255,N$253),Climatogram!$AN$35:$AN$41,Climatogram!$AI$35:$AI$41)</f>
        <v>Light Breeze</v>
      </c>
      <c r="O255" s="197" t="str" cm="1">
        <f t="array" aca="1" ref="O255" ca="1">IF(_fnDay(INDIRECT("Climatogram!"&amp;ADDRESS(-$G255+28,O$253+2))),"D","N")</f>
        <v>N</v>
      </c>
      <c r="P255" s="197" t="str" cm="1">
        <f t="array" aca="1" ref="P255" ca="1">IF(_fnDay(INDIRECT("Climatogram!"&amp;ADDRESS(-$G255+28,P$253+2))),"D","N")</f>
        <v>N</v>
      </c>
      <c r="Q255" s="197" t="str" cm="1">
        <f t="array" aca="1" ref="Q255" ca="1">IF(_fnDay(INDIRECT("Climatogram!"&amp;ADDRESS(-$G255+28,Q$253+2))),"D","N")</f>
        <v>N</v>
      </c>
      <c r="T255" t="s">
        <v>175</v>
      </c>
      <c r="U255" t="str">
        <v>Warm</v>
      </c>
    </row>
    <row r="256" spans="2:21" x14ac:dyDescent="0.3">
      <c r="B256" s="3">
        <v>124</v>
      </c>
      <c r="C256" s="2">
        <v>7</v>
      </c>
      <c r="D256" s="7" t="s">
        <v>109</v>
      </c>
      <c r="E256" s="5">
        <f>IF(D256&lt;&gt;"",IF(D256=Answers!D256,1,-1),0)</f>
        <v>1</v>
      </c>
      <c r="F256" s="25">
        <v>45775.625</v>
      </c>
      <c r="G256" s="186">
        <f ca="1">$I$251+1</f>
        <v>6</v>
      </c>
      <c r="H256" s="191" t="str" cm="1">
        <f t="array" aca="1" ref="H256" ca="1">_xlfn.XLOOKUP(INDEX(_tClimate,$G256,H$253),Climatogram!$AM$5:$AM$10,Climatogram!$AI$5:$AI$10)</f>
        <v>Warm</v>
      </c>
      <c r="I256" s="191" t="str" cm="1">
        <f t="array" aca="1" ref="I256" ca="1">_xlfn.XLOOKUP(INDEX(_tClimate,$G256,I$253),Climatogram!$AM$5:$AM$10,Climatogram!$AI$5:$AI$10)</f>
        <v>Warm</v>
      </c>
      <c r="J256" s="191"/>
      <c r="K256" s="191" t="str" cm="1">
        <f t="array" aca="1" ref="K256" ca="1">_xlfn.XLOOKUP(INDEX(_tClimate,$G256,K$253),Climatogram!$AM$5:$AM$10,Climatogram!$AI$5:$AI$10)</f>
        <v>Warm</v>
      </c>
      <c r="L256" s="194" t="str" cm="1">
        <f t="array" aca="1" ref="L256" ca="1">_xlfn.XLOOKUP(INDEX(_tWind,$G256,L$253),Climatogram!$AN$35:$AN$41,Climatogram!$AI$35:$AI$41)</f>
        <v>Gentle Breeze</v>
      </c>
      <c r="M256" s="194" t="str" cm="1">
        <f t="array" aca="1" ref="M256" ca="1">_xlfn.XLOOKUP(INDEX(_tWind,$G256,M$253),Climatogram!$AN$35:$AN$41,Climatogram!$AI$35:$AI$41)</f>
        <v>Gentle Breeze</v>
      </c>
      <c r="N256" s="194" t="str" cm="1">
        <f t="array" aca="1" ref="N256" ca="1">_xlfn.XLOOKUP(INDEX(_tWind,$G256,N$253),Climatogram!$AN$35:$AN$41,Climatogram!$AI$35:$AI$41)</f>
        <v>Gentle Breeze</v>
      </c>
      <c r="O256" s="197" t="str" cm="1">
        <f t="array" aca="1" ref="O256" ca="1">IF(_fnDay(INDIRECT("Climatogram!"&amp;ADDRESS(-$G256+28,O$253+2))),"D","N")</f>
        <v>D</v>
      </c>
      <c r="P256" s="197" t="str" cm="1">
        <f t="array" aca="1" ref="P256" ca="1">IF(_fnDay(INDIRECT("Climatogram!"&amp;ADDRESS(-$G256+28,P$253+2))),"D","N")</f>
        <v>D</v>
      </c>
      <c r="Q256" s="197" t="str" cm="1">
        <f t="array" aca="1" ref="Q256" ca="1">IF(_fnDay(INDIRECT("Climatogram!"&amp;ADDRESS(-$G256+28,Q$253+2))),"D","N")</f>
        <v>D</v>
      </c>
      <c r="T256" t="s">
        <v>176</v>
      </c>
      <c r="U256" t="str">
        <v>Hot</v>
      </c>
    </row>
    <row r="257" spans="2:21" x14ac:dyDescent="0.3">
      <c r="B257" s="3">
        <v>125</v>
      </c>
      <c r="C257" s="2">
        <v>7</v>
      </c>
      <c r="D257" s="7" t="s">
        <v>97</v>
      </c>
      <c r="E257" s="5">
        <f>IF(D257&lt;&gt;"",IF(D257=Answers!D257,1,-1),0)</f>
        <v>1</v>
      </c>
      <c r="F257" s="25">
        <v>45770.083333333336</v>
      </c>
      <c r="T257" t="s">
        <v>177</v>
      </c>
      <c r="U257" t="str">
        <v>Pleasant</v>
      </c>
    </row>
    <row r="258" spans="2:21" x14ac:dyDescent="0.3">
      <c r="B258" s="3">
        <v>126</v>
      </c>
      <c r="C258" s="2">
        <v>7</v>
      </c>
      <c r="D258" s="7" t="s">
        <v>65</v>
      </c>
      <c r="E258" s="5">
        <f>IF(D258&lt;&gt;"",IF(D258=Answers!D258,1,-1),0)</f>
        <v>1</v>
      </c>
      <c r="F258" s="25">
        <v>45758.375</v>
      </c>
      <c r="H258" s="201" cm="1">
        <f t="array" aca="1" ref="H258:K260" ca="1">_xlfn.XLOOKUP(H254:K256,Climatogram!AI5:AI10,Climatogram!AL5:AL10)</f>
        <v>27</v>
      </c>
      <c r="I258" s="201">
        <f ca="1"/>
        <v>22</v>
      </c>
      <c r="J258" s="201" t="e">
        <f ca="1"/>
        <v>#N/A</v>
      </c>
      <c r="K258" s="201">
        <f ca="1"/>
        <v>22</v>
      </c>
      <c r="L258" s="202" cm="1">
        <f t="array" aca="1" ref="L258:N260" ca="1">_xlfn.XLOOKUP(L254:N256,Climatogram!AI35:AI41,Climatogram!AM35:AM41)</f>
        <v>-2</v>
      </c>
      <c r="M258" s="202">
        <f ca="1"/>
        <v>-2</v>
      </c>
      <c r="N258" s="202">
        <f ca="1"/>
        <v>0</v>
      </c>
      <c r="O258" s="203">
        <f t="shared" ref="O258:P260" ca="1" si="8">H258+IF(O254="N",1.5*L258,L258)</f>
        <v>24</v>
      </c>
      <c r="P258" s="203">
        <f t="shared" ca="1" si="8"/>
        <v>19</v>
      </c>
      <c r="Q258" s="203">
        <f t="shared" ref="Q258:Q260" ca="1" si="9">K258+IF(Q254="N",1.5*N258,N258)</f>
        <v>22</v>
      </c>
      <c r="T258" t="s">
        <v>178</v>
      </c>
      <c r="U258" t="str">
        <v>Warm</v>
      </c>
    </row>
    <row r="259" spans="2:21" x14ac:dyDescent="0.3">
      <c r="B259" s="3">
        <v>127</v>
      </c>
      <c r="C259" s="2">
        <v>7</v>
      </c>
      <c r="D259" s="7" t="s">
        <v>97</v>
      </c>
      <c r="E259" s="5">
        <f>IF(D259&lt;&gt;"",IF(D259=Answers!D259,1,-1),0)</f>
        <v>1</v>
      </c>
      <c r="F259" s="25">
        <v>45764.75</v>
      </c>
      <c r="H259" s="201">
        <f ca="1"/>
        <v>22</v>
      </c>
      <c r="I259" s="201">
        <f ca="1"/>
        <v>27</v>
      </c>
      <c r="J259" s="201" t="e">
        <f ca="1"/>
        <v>#N/A</v>
      </c>
      <c r="K259" s="201">
        <f ca="1"/>
        <v>22</v>
      </c>
      <c r="L259" s="202">
        <f ca="1"/>
        <v>0</v>
      </c>
      <c r="M259" s="202">
        <f ca="1"/>
        <v>-4</v>
      </c>
      <c r="N259" s="202">
        <f ca="1"/>
        <v>0</v>
      </c>
      <c r="O259" s="203">
        <f t="shared" ca="1" si="8"/>
        <v>22</v>
      </c>
      <c r="P259" s="203">
        <f t="shared" ca="1" si="8"/>
        <v>21</v>
      </c>
      <c r="Q259" s="203">
        <f t="shared" ca="1" si="9"/>
        <v>22</v>
      </c>
      <c r="T259" t="s">
        <v>179</v>
      </c>
      <c r="U259" t="str">
        <v>Pleasant</v>
      </c>
    </row>
    <row r="260" spans="2:21" x14ac:dyDescent="0.3">
      <c r="B260" s="3">
        <v>128</v>
      </c>
      <c r="C260" s="2">
        <v>7</v>
      </c>
      <c r="D260" s="7" t="s">
        <v>109</v>
      </c>
      <c r="E260" s="5">
        <f>IF(D260&lt;&gt;"",IF(D260=Answers!D260,1,-1),0)</f>
        <v>1</v>
      </c>
      <c r="F260" s="25">
        <v>45758.666666666664</v>
      </c>
      <c r="H260" s="201">
        <f ca="1"/>
        <v>27</v>
      </c>
      <c r="I260" s="201">
        <f ca="1"/>
        <v>27</v>
      </c>
      <c r="J260" s="201" t="e">
        <f ca="1"/>
        <v>#N/A</v>
      </c>
      <c r="K260" s="201">
        <f ca="1"/>
        <v>27</v>
      </c>
      <c r="L260" s="202">
        <f ca="1"/>
        <v>-2</v>
      </c>
      <c r="M260" s="202">
        <f ca="1"/>
        <v>-2</v>
      </c>
      <c r="N260" s="202">
        <f ca="1"/>
        <v>-2</v>
      </c>
      <c r="O260" s="203">
        <f t="shared" ca="1" si="8"/>
        <v>25</v>
      </c>
      <c r="P260" s="203">
        <f t="shared" ca="1" si="8"/>
        <v>25</v>
      </c>
      <c r="Q260" s="203">
        <f t="shared" ca="1" si="9"/>
        <v>25</v>
      </c>
      <c r="T260" t="s">
        <v>180</v>
      </c>
      <c r="U260" t="str">
        <v>Hot</v>
      </c>
    </row>
    <row r="261" spans="2:21" x14ac:dyDescent="0.3">
      <c r="B261" s="3">
        <v>129</v>
      </c>
      <c r="C261" s="2">
        <v>7</v>
      </c>
      <c r="D261" s="7" t="s">
        <v>97</v>
      </c>
      <c r="E261" s="5">
        <f>IF(D261&lt;&gt;"",IF(D261=Answers!D261,1,-1),0)</f>
        <v>1</v>
      </c>
      <c r="F261" s="25">
        <v>45766.791666666664</v>
      </c>
      <c r="Q261" s="204">
        <f ca="1">AVERAGE(O258:Q260)</f>
        <v>22.777777777777779</v>
      </c>
      <c r="T261" t="s">
        <v>181</v>
      </c>
      <c r="U261" t="str">
        <v>Pleasant</v>
      </c>
    </row>
    <row r="262" spans="2:21" x14ac:dyDescent="0.3">
      <c r="B262" s="3">
        <v>130</v>
      </c>
      <c r="C262" s="2">
        <v>7</v>
      </c>
      <c r="D262" s="8" t="s">
        <v>107</v>
      </c>
      <c r="E262" s="5">
        <f>IF(D262&lt;&gt;"",IF(D262=Answers!D262,1,-1),0)</f>
        <v>1</v>
      </c>
      <c r="F262" s="25">
        <v>45763.125</v>
      </c>
      <c r="Q262" t="str">
        <f ca="1">_xlfn.XLOOKUP(Q261,Climatogram!AJ5:AJ10,Climatogram!AI5:AI10,,-1)</f>
        <v>Pleasant</v>
      </c>
      <c r="T262" t="s">
        <v>182</v>
      </c>
      <c r="U262" t="str">
        <v>Mild</v>
      </c>
    </row>
    <row r="263" spans="2:21" x14ac:dyDescent="0.3">
      <c r="B263" s="3">
        <v>131</v>
      </c>
      <c r="C263" s="2">
        <v>7</v>
      </c>
      <c r="D263" s="8" t="s">
        <v>97</v>
      </c>
      <c r="E263" s="5">
        <f>IF(D263&lt;&gt;"",IF(D263=Answers!D263,1,-1),0)</f>
        <v>1</v>
      </c>
      <c r="F263" s="25">
        <v>45770.5</v>
      </c>
      <c r="T263" t="s">
        <v>183</v>
      </c>
      <c r="U263" t="str">
        <v>Pleasant</v>
      </c>
    </row>
    <row r="264" spans="2:21" x14ac:dyDescent="0.3">
      <c r="B264" s="3">
        <v>132</v>
      </c>
      <c r="C264" s="2">
        <v>7</v>
      </c>
      <c r="D264" s="8" t="s">
        <v>97</v>
      </c>
      <c r="E264" s="5">
        <f>IF(D264&lt;&gt;"",IF(D264=Answers!D264,1,-1),0)</f>
        <v>1</v>
      </c>
      <c r="F264" s="25">
        <v>45766.041666666664</v>
      </c>
      <c r="T264" t="s">
        <v>184</v>
      </c>
      <c r="U264" t="str">
        <v>Pleasant</v>
      </c>
    </row>
    <row r="265" spans="2:21" x14ac:dyDescent="0.3">
      <c r="B265" s="3">
        <v>133</v>
      </c>
      <c r="C265" s="2">
        <v>7</v>
      </c>
      <c r="D265" s="8" t="s">
        <v>97</v>
      </c>
      <c r="E265" s="5">
        <f>IF(D265&lt;&gt;"",IF(D265=Answers!D265,1,-1),0)</f>
        <v>1</v>
      </c>
      <c r="F265" s="25">
        <v>45773.833333333336</v>
      </c>
      <c r="T265" t="s">
        <v>185</v>
      </c>
      <c r="U265" t="str">
        <v>Pleasant</v>
      </c>
    </row>
    <row r="266" spans="2:21" x14ac:dyDescent="0.3">
      <c r="B266" s="3">
        <v>134</v>
      </c>
      <c r="C266" s="2">
        <v>7</v>
      </c>
      <c r="D266" s="8" t="s">
        <v>109</v>
      </c>
      <c r="E266" s="5">
        <f>IF(D266&lt;&gt;"",IF(D266=Answers!D266,1,-1),0)</f>
        <v>1</v>
      </c>
      <c r="F266" s="25">
        <v>45758.583333333336</v>
      </c>
      <c r="T266" t="s">
        <v>186</v>
      </c>
      <c r="U266" t="str">
        <v>Hot</v>
      </c>
    </row>
    <row r="267" spans="2:21" x14ac:dyDescent="0.3">
      <c r="B267" s="3">
        <v>135</v>
      </c>
      <c r="C267" s="2">
        <v>7</v>
      </c>
      <c r="D267" s="8" t="s">
        <v>65</v>
      </c>
      <c r="E267" s="5">
        <f>IF(D267&lt;&gt;"",IF(D267=Answers!D267,1,-1),0)</f>
        <v>1</v>
      </c>
      <c r="F267" s="25">
        <v>45768.708333333336</v>
      </c>
      <c r="T267" t="s">
        <v>187</v>
      </c>
      <c r="U267" t="str">
        <v>Warm</v>
      </c>
    </row>
    <row r="268" spans="2:21" x14ac:dyDescent="0.3">
      <c r="B268" s="3">
        <v>136</v>
      </c>
      <c r="C268" s="2">
        <v>7</v>
      </c>
      <c r="D268" s="8" t="s">
        <v>97</v>
      </c>
      <c r="E268" s="5">
        <f>IF(D268&lt;&gt;"",IF(D268=Answers!D268,1,-1),0)</f>
        <v>1</v>
      </c>
      <c r="F268" s="25">
        <v>45759.291666666664</v>
      </c>
      <c r="T268" t="s">
        <v>188</v>
      </c>
      <c r="U268" t="str">
        <v>Pleasant</v>
      </c>
    </row>
    <row r="269" spans="2:21" x14ac:dyDescent="0.3">
      <c r="B269" s="3">
        <v>137</v>
      </c>
      <c r="C269" s="2">
        <v>7</v>
      </c>
      <c r="D269" s="8" t="s">
        <v>97</v>
      </c>
      <c r="E269" s="5">
        <f>IF(D269&lt;&gt;"",IF(D269=Answers!D269,1,-1),0)</f>
        <v>1</v>
      </c>
      <c r="F269" s="25">
        <v>45762.875</v>
      </c>
      <c r="T269" t="s">
        <v>189</v>
      </c>
      <c r="U269" t="str">
        <v>Pleasant</v>
      </c>
    </row>
    <row r="270" spans="2:21" x14ac:dyDescent="0.3">
      <c r="B270" s="3">
        <v>138</v>
      </c>
      <c r="C270" s="2">
        <v>7</v>
      </c>
      <c r="D270" s="8" t="s">
        <v>97</v>
      </c>
      <c r="E270" s="5">
        <f>IF(D270&lt;&gt;"",IF(D270=Answers!D270,1,-1),0)</f>
        <v>1</v>
      </c>
      <c r="F270" s="25">
        <v>45763.875</v>
      </c>
      <c r="T270" t="s">
        <v>190</v>
      </c>
      <c r="U270" t="str">
        <v>Pleasant</v>
      </c>
    </row>
    <row r="271" spans="2:21" x14ac:dyDescent="0.3">
      <c r="B271" s="3">
        <v>139</v>
      </c>
      <c r="C271" s="2">
        <v>7</v>
      </c>
      <c r="D271" s="8" t="s">
        <v>65</v>
      </c>
      <c r="E271" s="5">
        <f>IF(D271&lt;&gt;"",IF(D271=Answers!D271,1,-1),0)</f>
        <v>1</v>
      </c>
      <c r="F271" s="25">
        <v>45754.416666666664</v>
      </c>
      <c r="T271" t="s">
        <v>191</v>
      </c>
      <c r="U271" t="str">
        <v>Warm</v>
      </c>
    </row>
    <row r="272" spans="2:21" x14ac:dyDescent="0.3">
      <c r="B272" s="3">
        <v>140</v>
      </c>
      <c r="C272" s="2">
        <v>7</v>
      </c>
      <c r="D272" s="8" t="s">
        <v>97</v>
      </c>
      <c r="E272" s="5">
        <f>IF(D272&lt;&gt;"",IF(D272=Answers!D272,1,-1),0)</f>
        <v>1</v>
      </c>
      <c r="F272" s="25">
        <v>45767.291666666664</v>
      </c>
      <c r="T272" t="s">
        <v>192</v>
      </c>
      <c r="U272" t="str">
        <v>Pleasant</v>
      </c>
    </row>
  </sheetData>
  <mergeCells count="9">
    <mergeCell ref="F26:Q26"/>
    <mergeCell ref="F27:Q27"/>
    <mergeCell ref="F28:Q28"/>
    <mergeCell ref="N33:Q36"/>
    <mergeCell ref="O4:Q4"/>
    <mergeCell ref="B5:M19"/>
    <mergeCell ref="O16:P16"/>
    <mergeCell ref="F24:Q24"/>
    <mergeCell ref="F25:Q25"/>
  </mergeCells>
  <phoneticPr fontId="34" type="noConversion"/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N37" sqref="AN37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40">
        <v>45748</v>
      </c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2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M13" s="32">
        <v>6321607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M14" s="32">
        <v>6321607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>
        <v>7851241</v>
      </c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M16" s="32">
        <v>7454605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M17" s="32">
        <v>7454605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M18" s="32">
        <v>7454605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M19" s="32">
        <v>7454605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M20" s="32">
        <v>7841908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M21" s="188">
        <v>7454605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M22" s="208">
        <v>7454605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M23" s="208">
        <v>7454605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M24" s="208">
        <v>7454605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M25" s="32">
        <v>7454605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M26" s="32">
        <v>7454605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M27" s="32">
        <v>7851241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M28" s="32">
        <v>7851241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  <c r="AM29" s="32">
        <v>6321607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41">
        <v>45748</v>
      </c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41"/>
      <c r="S34" s="241"/>
      <c r="T34" s="241"/>
      <c r="U34" s="241"/>
      <c r="V34" s="241"/>
      <c r="W34" s="241"/>
      <c r="X34" s="241"/>
      <c r="Y34" s="241"/>
      <c r="Z34" s="241"/>
      <c r="AA34" s="241"/>
      <c r="AB34" s="241"/>
      <c r="AC34" s="241"/>
      <c r="AD34" s="241"/>
      <c r="AE34" s="241"/>
      <c r="AF34" s="241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43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38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38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44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35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35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35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35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35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35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35"/>
      <c r="AJ45" s="32">
        <v>16564099</v>
      </c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35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35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35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35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35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35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36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37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38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38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38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38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39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132" zoomScaleNormal="100" workbookViewId="0">
      <selection activeCell="D152" sqref="D152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29" t="s">
        <v>2</v>
      </c>
      <c r="O4" s="229"/>
      <c r="P4" s="229"/>
    </row>
    <row r="5" spans="2:16" ht="15" customHeight="1" thickTop="1" x14ac:dyDescent="0.3">
      <c r="B5" s="230" t="s">
        <v>3</v>
      </c>
      <c r="C5" s="230"/>
      <c r="D5" s="230"/>
      <c r="E5" s="230"/>
      <c r="F5" s="230"/>
      <c r="G5" s="230"/>
      <c r="H5" s="230"/>
      <c r="I5" s="230"/>
      <c r="J5" s="230"/>
      <c r="K5" s="230"/>
      <c r="L5" s="230"/>
    </row>
    <row r="6" spans="2:16" x14ac:dyDescent="0.3">
      <c r="B6" s="231"/>
      <c r="C6" s="231"/>
      <c r="D6" s="231"/>
      <c r="E6" s="231"/>
      <c r="F6" s="231"/>
      <c r="G6" s="231"/>
      <c r="H6" s="231"/>
      <c r="I6" s="231"/>
      <c r="J6" s="231"/>
      <c r="K6" s="231"/>
      <c r="L6" s="231"/>
    </row>
    <row r="7" spans="2:16" x14ac:dyDescent="0.3">
      <c r="B7" s="231"/>
      <c r="C7" s="231"/>
      <c r="D7" s="231"/>
      <c r="E7" s="231"/>
      <c r="F7" s="231"/>
      <c r="G7" s="231"/>
      <c r="H7" s="231"/>
      <c r="I7" s="231"/>
      <c r="J7" s="231"/>
      <c r="K7" s="231"/>
      <c r="L7" s="231"/>
    </row>
    <row r="8" spans="2:16" x14ac:dyDescent="0.3">
      <c r="B8" s="231"/>
      <c r="C8" s="231"/>
      <c r="D8" s="231"/>
      <c r="E8" s="231"/>
      <c r="F8" s="231"/>
      <c r="G8" s="231"/>
      <c r="H8" s="231"/>
      <c r="I8" s="231"/>
      <c r="J8" s="231"/>
      <c r="K8" s="231"/>
      <c r="L8" s="231"/>
    </row>
    <row r="9" spans="2:16" x14ac:dyDescent="0.3"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</row>
    <row r="10" spans="2:16" x14ac:dyDescent="0.3"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</row>
    <row r="11" spans="2:16" x14ac:dyDescent="0.3">
      <c r="B11" s="231"/>
      <c r="C11" s="231"/>
      <c r="D11" s="231"/>
      <c r="E11" s="231"/>
      <c r="F11" s="231"/>
      <c r="G11" s="231"/>
      <c r="H11" s="231"/>
      <c r="I11" s="231"/>
      <c r="J11" s="231"/>
      <c r="K11" s="231"/>
      <c r="L11" s="231"/>
    </row>
    <row r="12" spans="2:16" x14ac:dyDescent="0.3">
      <c r="B12" s="231"/>
      <c r="C12" s="231"/>
      <c r="D12" s="231"/>
      <c r="E12" s="231"/>
      <c r="F12" s="231"/>
      <c r="G12" s="231"/>
      <c r="H12" s="231"/>
      <c r="I12" s="231"/>
      <c r="J12" s="231"/>
      <c r="K12" s="231"/>
      <c r="L12" s="231"/>
    </row>
    <row r="13" spans="2:16" x14ac:dyDescent="0.3">
      <c r="B13" s="231"/>
      <c r="C13" s="231"/>
      <c r="D13" s="231"/>
      <c r="E13" s="231"/>
      <c r="F13" s="231"/>
      <c r="G13" s="231"/>
      <c r="H13" s="231"/>
      <c r="I13" s="231"/>
      <c r="J13" s="231"/>
      <c r="K13" s="231"/>
      <c r="L13" s="231"/>
    </row>
    <row r="14" spans="2:16" x14ac:dyDescent="0.3">
      <c r="B14" s="231"/>
      <c r="C14" s="231"/>
      <c r="D14" s="231"/>
      <c r="E14" s="231"/>
      <c r="F14" s="231"/>
      <c r="G14" s="231"/>
      <c r="H14" s="231"/>
      <c r="I14" s="231"/>
      <c r="J14" s="231"/>
      <c r="K14" s="231"/>
      <c r="L14" s="231"/>
    </row>
    <row r="15" spans="2:16" x14ac:dyDescent="0.3">
      <c r="B15" s="231"/>
      <c r="C15" s="231"/>
      <c r="D15" s="231"/>
      <c r="E15" s="231"/>
      <c r="F15" s="231"/>
      <c r="G15" s="231"/>
      <c r="H15" s="231"/>
      <c r="I15" s="231"/>
      <c r="J15" s="231"/>
      <c r="K15" s="231"/>
      <c r="L15" s="231"/>
    </row>
    <row r="16" spans="2:16" ht="15" thickBot="1" x14ac:dyDescent="0.35">
      <c r="B16" s="231"/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N16" s="233" t="s">
        <v>4</v>
      </c>
      <c r="O16" s="233"/>
      <c r="P16" s="24" t="str">
        <f>HYPERLINK("https://www.linkedin.com/in/thomas-marcelo/","🔗")</f>
        <v>🔗</v>
      </c>
    </row>
    <row r="17" spans="2:16" ht="15" thickTop="1" x14ac:dyDescent="0.3">
      <c r="B17" s="231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N17" s="179" t="s">
        <v>5</v>
      </c>
      <c r="O17" s="180"/>
      <c r="P17" s="180"/>
    </row>
    <row r="18" spans="2:16" x14ac:dyDescent="0.3">
      <c r="B18" s="231"/>
      <c r="C18" s="231"/>
      <c r="D18" s="231"/>
      <c r="E18" s="231"/>
      <c r="F18" s="231"/>
      <c r="G18" s="231"/>
      <c r="H18" s="231"/>
      <c r="I18" s="231"/>
      <c r="J18" s="231"/>
      <c r="K18" s="231"/>
      <c r="L18" s="231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32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34" t="s">
        <v>15</v>
      </c>
      <c r="G24" s="234"/>
      <c r="H24" s="234"/>
      <c r="I24" s="234"/>
      <c r="J24" s="234"/>
      <c r="K24" s="234"/>
      <c r="L24" s="234"/>
      <c r="M24" s="234"/>
      <c r="N24" s="234"/>
      <c r="O24" s="234"/>
      <c r="P24" s="234"/>
    </row>
    <row r="25" spans="2:16" x14ac:dyDescent="0.3">
      <c r="B25" s="21" t="s">
        <v>16</v>
      </c>
      <c r="C25" s="22" t="s">
        <v>17</v>
      </c>
      <c r="D25" s="175">
        <v>3</v>
      </c>
      <c r="F25" s="219" t="s">
        <v>18</v>
      </c>
      <c r="G25" s="219"/>
      <c r="H25" s="219"/>
      <c r="I25" s="219"/>
      <c r="J25" s="219"/>
      <c r="K25" s="219"/>
      <c r="L25" s="219"/>
      <c r="M25" s="219"/>
      <c r="N25" s="219"/>
      <c r="O25" s="219"/>
      <c r="P25" s="219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219" t="s">
        <v>21</v>
      </c>
      <c r="G26" s="219"/>
      <c r="H26" s="219"/>
      <c r="I26" s="219"/>
      <c r="J26" s="219"/>
      <c r="K26" s="219"/>
      <c r="L26" s="219"/>
      <c r="M26" s="219"/>
      <c r="N26" s="219"/>
      <c r="O26" s="219"/>
      <c r="P26" s="219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219" t="s">
        <v>24</v>
      </c>
      <c r="G27" s="219"/>
      <c r="H27" s="219"/>
      <c r="I27" s="219"/>
      <c r="J27" s="219"/>
      <c r="K27" s="219"/>
      <c r="L27" s="219"/>
      <c r="M27" s="219"/>
      <c r="N27" s="219"/>
      <c r="O27" s="219"/>
      <c r="P27" s="219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219" t="s">
        <v>27</v>
      </c>
      <c r="G28" s="219"/>
      <c r="H28" s="219"/>
      <c r="I28" s="219"/>
      <c r="J28" s="219"/>
      <c r="K28" s="219"/>
      <c r="L28" s="219"/>
      <c r="M28" s="219"/>
      <c r="N28" s="219"/>
      <c r="O28" s="219"/>
      <c r="P28" s="219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2025-07-12T02:20:33Z</dcterms:modified>
  <cp:category/>
  <cp:contentStatus/>
</cp:coreProperties>
</file>