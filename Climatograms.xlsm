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4AF4DE2-9D8D-423D-A774-2ADF7C660120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Case!$L$103</definedName>
    <definedName name="_nIN">Case!$L$104</definedName>
    <definedName name="_tClimate">Climatogram!$C$5:$AF$28</definedName>
    <definedName name="_tWind">Climatogram!$C$35:$AF$58</definedName>
    <definedName name="_xleta.INT" hidden="1" xlm="1">#NAME?</definedName>
    <definedName name="_xleta.MAP" hidden="1" xlm="1">#NAME?</definedName>
    <definedName name="_xleta.N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3" i="16" l="1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J109" i="16" a="1"/>
  <c r="J109" i="16" s="1"/>
  <c r="J110" i="16" a="1"/>
  <c r="J110" i="16" s="1"/>
  <c r="J111" i="16" a="1"/>
  <c r="J111" i="16" s="1"/>
  <c r="J112" i="16" a="1"/>
  <c r="J112" i="16" s="1"/>
  <c r="J113" i="16" a="1"/>
  <c r="J113" i="16" s="1"/>
  <c r="J114" i="16" a="1"/>
  <c r="J114" i="16" s="1"/>
  <c r="J115" i="16" a="1"/>
  <c r="J115" i="16" s="1"/>
  <c r="J116" i="16" a="1"/>
  <c r="J116" i="16" s="1"/>
  <c r="J117" i="16" a="1"/>
  <c r="J117" i="16" s="1"/>
  <c r="J118" i="16" a="1"/>
  <c r="J118" i="16" s="1"/>
  <c r="J119" i="16" a="1"/>
  <c r="J119" i="16" s="1"/>
  <c r="J120" i="16" a="1"/>
  <c r="J120" i="16" s="1"/>
  <c r="J121" i="16" a="1"/>
  <c r="J121" i="16" s="1"/>
  <c r="J122" i="16" a="1"/>
  <c r="J122" i="16" s="1"/>
  <c r="J123" i="16" a="1"/>
  <c r="J123" i="16" s="1"/>
  <c r="J124" i="16" a="1"/>
  <c r="J124" i="16" s="1"/>
  <c r="J125" i="16" a="1"/>
  <c r="J125" i="16" s="1"/>
  <c r="J126" i="16" a="1"/>
  <c r="J126" i="16" s="1"/>
  <c r="J127" i="16" a="1"/>
  <c r="J127" i="16" s="1"/>
  <c r="J128" i="16" a="1"/>
  <c r="J128" i="16" s="1"/>
  <c r="J129" i="16" a="1"/>
  <c r="J129" i="16" s="1"/>
  <c r="J130" i="16" a="1"/>
  <c r="J130" i="16" s="1"/>
  <c r="J131" i="16" a="1"/>
  <c r="J131" i="16" s="1"/>
  <c r="J108" i="16" a="1"/>
  <c r="J108" i="16" s="1"/>
  <c r="AQ5" i="18" a="1"/>
  <c r="AQ5" i="18" s="1"/>
  <c r="G108" i="16"/>
  <c r="H108" i="16" s="1" a="1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10" i="16"/>
  <c r="K73" i="16" a="1"/>
  <c r="K73" i="16" s="1"/>
  <c r="L73" i="16" s="1"/>
  <c r="K75" i="16" a="1"/>
  <c r="K75" i="16" s="1"/>
  <c r="L75" i="16" s="1"/>
  <c r="K76" i="16" a="1"/>
  <c r="K76" i="16" s="1"/>
  <c r="L76" i="16" s="1"/>
  <c r="K77" i="16" a="1"/>
  <c r="K77" i="16" s="1"/>
  <c r="L77" i="16" s="1"/>
  <c r="K78" i="16" a="1"/>
  <c r="K78" i="16" s="1"/>
  <c r="L78" i="16" s="1"/>
  <c r="K79" i="16" a="1"/>
  <c r="K79" i="16" s="1"/>
  <c r="L79" i="16" s="1"/>
  <c r="K80" i="16" a="1"/>
  <c r="K80" i="16" s="1"/>
  <c r="L80" i="16" s="1"/>
  <c r="K81" i="16" a="1"/>
  <c r="K81" i="16" s="1"/>
  <c r="L81" i="16" s="1"/>
  <c r="K82" i="16" a="1"/>
  <c r="K82" i="16" s="1"/>
  <c r="L82" i="16" s="1"/>
  <c r="K83" i="16" a="1"/>
  <c r="K83" i="16" s="1"/>
  <c r="L83" i="16" s="1"/>
  <c r="K84" i="16" a="1"/>
  <c r="K84" i="16" s="1"/>
  <c r="L84" i="16" s="1"/>
  <c r="K85" i="16" a="1"/>
  <c r="K85" i="16" s="1"/>
  <c r="L85" i="16" s="1"/>
  <c r="K86" i="16" a="1"/>
  <c r="K86" i="16" s="1"/>
  <c r="L86" i="16" s="1"/>
  <c r="K87" i="16" a="1"/>
  <c r="K87" i="16" s="1"/>
  <c r="L87" i="16" s="1"/>
  <c r="K88" i="16" a="1"/>
  <c r="K88" i="16" s="1"/>
  <c r="L88" i="16" s="1"/>
  <c r="K89" i="16" a="1"/>
  <c r="K89" i="16" s="1"/>
  <c r="L89" i="16" s="1"/>
  <c r="K90" i="16" a="1"/>
  <c r="K90" i="16" s="1"/>
  <c r="L90" i="16" s="1"/>
  <c r="K91" i="16" a="1"/>
  <c r="K91" i="16" s="1"/>
  <c r="L91" i="16" s="1"/>
  <c r="K92" i="16" a="1"/>
  <c r="K92" i="16" s="1"/>
  <c r="L92" i="16" s="1"/>
  <c r="K93" i="16" a="1"/>
  <c r="K93" i="16" s="1"/>
  <c r="L93" i="16" s="1"/>
  <c r="K94" i="16" a="1"/>
  <c r="K94" i="16" s="1"/>
  <c r="L94" i="16" s="1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73" i="16"/>
  <c r="K42" i="16" a="1"/>
  <c r="K42" i="16" s="1"/>
  <c r="K43" i="16" a="1"/>
  <c r="K43" i="16" s="1"/>
  <c r="K44" i="16" a="1"/>
  <c r="K44" i="16" s="1"/>
  <c r="K45" i="16" a="1"/>
  <c r="K45" i="16" s="1"/>
  <c r="K46" i="16" a="1"/>
  <c r="K46" i="16" s="1"/>
  <c r="K47" i="16" a="1"/>
  <c r="K47" i="16" s="1"/>
  <c r="K48" i="16" a="1"/>
  <c r="K48" i="16" s="1"/>
  <c r="K49" i="16" a="1"/>
  <c r="K49" i="16" s="1"/>
  <c r="K50" i="16" a="1"/>
  <c r="K50" i="16" s="1"/>
  <c r="K51" i="16" a="1"/>
  <c r="K51" i="16" s="1"/>
  <c r="K52" i="16" a="1"/>
  <c r="K52" i="16" s="1"/>
  <c r="K53" i="16" a="1"/>
  <c r="K53" i="16" s="1"/>
  <c r="K54" i="16" a="1"/>
  <c r="K54" i="16" s="1"/>
  <c r="K55" i="16" a="1"/>
  <c r="K55" i="16" s="1"/>
  <c r="K56" i="16" a="1"/>
  <c r="K56" i="16" s="1"/>
  <c r="K57" i="16" a="1"/>
  <c r="K57" i="16" s="1"/>
  <c r="K58" i="16" a="1"/>
  <c r="K58" i="16" s="1"/>
  <c r="K59" i="16" a="1"/>
  <c r="K59" i="16" s="1"/>
  <c r="K60" i="16" a="1"/>
  <c r="K60" i="16" s="1"/>
  <c r="K61" i="16" a="1"/>
  <c r="K61" i="16" s="1"/>
  <c r="K40" i="16" a="1"/>
  <c r="K40" i="16" s="1"/>
  <c r="G75" i="16"/>
  <c r="H75" i="16"/>
  <c r="I75" i="16" a="1"/>
  <c r="I75" i="16" s="1"/>
  <c r="G76" i="16"/>
  <c r="H76" i="16"/>
  <c r="I76" i="16" s="1" a="1"/>
  <c r="I76" i="16" s="1"/>
  <c r="G77" i="16"/>
  <c r="H77" i="16"/>
  <c r="I77" i="16" s="1" a="1"/>
  <c r="I77" i="16" s="1"/>
  <c r="G78" i="16"/>
  <c r="I78" i="16" s="1" a="1"/>
  <c r="I78" i="16" s="1"/>
  <c r="H78" i="16"/>
  <c r="G79" i="16"/>
  <c r="H79" i="16"/>
  <c r="I79" i="16" s="1" a="1"/>
  <c r="I79" i="16" s="1"/>
  <c r="G80" i="16"/>
  <c r="H80" i="16"/>
  <c r="I80" i="16" s="1" a="1"/>
  <c r="I80" i="16" s="1"/>
  <c r="G81" i="16"/>
  <c r="H81" i="16"/>
  <c r="I81" i="16" s="1" a="1"/>
  <c r="I81" i="16" s="1"/>
  <c r="G82" i="16"/>
  <c r="H82" i="16"/>
  <c r="I82" i="16" s="1" a="1"/>
  <c r="I82" i="16" s="1"/>
  <c r="G83" i="16"/>
  <c r="H83" i="16"/>
  <c r="I83" i="16" a="1"/>
  <c r="I83" i="16" s="1"/>
  <c r="G84" i="16"/>
  <c r="H84" i="16"/>
  <c r="I84" i="16" a="1"/>
  <c r="I84" i="16" s="1"/>
  <c r="G85" i="16"/>
  <c r="H85" i="16"/>
  <c r="I85" i="16" a="1"/>
  <c r="I85" i="16" s="1"/>
  <c r="G86" i="16"/>
  <c r="H86" i="16"/>
  <c r="I86" i="16" a="1"/>
  <c r="I86" i="16" s="1"/>
  <c r="G87" i="16"/>
  <c r="H87" i="16"/>
  <c r="I87" i="16" a="1"/>
  <c r="I87" i="16" s="1"/>
  <c r="G88" i="16"/>
  <c r="H88" i="16"/>
  <c r="I88" i="16" s="1" a="1"/>
  <c r="I88" i="16" s="1"/>
  <c r="G89" i="16"/>
  <c r="H89" i="16"/>
  <c r="I89" i="16" s="1" a="1"/>
  <c r="I89" i="16" s="1"/>
  <c r="G90" i="16"/>
  <c r="H90" i="16"/>
  <c r="I90" i="16" s="1" a="1"/>
  <c r="I90" i="16" s="1"/>
  <c r="G91" i="16"/>
  <c r="H91" i="16"/>
  <c r="I91" i="16" s="1" a="1"/>
  <c r="I91" i="16" s="1"/>
  <c r="G92" i="16"/>
  <c r="H92" i="16"/>
  <c r="I92" i="16" a="1"/>
  <c r="I92" i="16" s="1"/>
  <c r="G93" i="16"/>
  <c r="H93" i="16"/>
  <c r="I93" i="16" s="1" a="1"/>
  <c r="I93" i="16" s="1"/>
  <c r="G94" i="16"/>
  <c r="H94" i="16"/>
  <c r="I94" i="16" s="1" a="1"/>
  <c r="I94" i="16" s="1"/>
  <c r="H73" i="16"/>
  <c r="I73" i="16" s="1" a="1"/>
  <c r="I73" i="16" s="1"/>
  <c r="G73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40" i="16"/>
  <c r="G40" i="16"/>
  <c r="I42" i="16" a="1"/>
  <c r="I42" i="16" s="1"/>
  <c r="J42" i="16" s="1"/>
  <c r="I43" i="16" a="1"/>
  <c r="I43" i="16" s="1"/>
  <c r="J43" i="16" s="1"/>
  <c r="I44" i="16" a="1"/>
  <c r="I44" i="16" s="1"/>
  <c r="J44" i="16" s="1"/>
  <c r="I45" i="16" a="1"/>
  <c r="I45" i="16" s="1"/>
  <c r="J45" i="16" s="1"/>
  <c r="I46" i="16" a="1"/>
  <c r="I46" i="16" s="1"/>
  <c r="J46" i="16" s="1"/>
  <c r="I47" i="16" a="1"/>
  <c r="I47" i="16" s="1"/>
  <c r="J47" i="16" s="1"/>
  <c r="I48" i="16" a="1"/>
  <c r="I48" i="16" s="1"/>
  <c r="J48" i="16" s="1"/>
  <c r="I49" i="16" a="1"/>
  <c r="I49" i="16" s="1"/>
  <c r="J49" i="16" s="1"/>
  <c r="I50" i="16" a="1"/>
  <c r="I50" i="16" s="1"/>
  <c r="J50" i="16" s="1"/>
  <c r="I51" i="16" a="1"/>
  <c r="I51" i="16" s="1"/>
  <c r="J51" i="16" s="1"/>
  <c r="I52" i="16" a="1"/>
  <c r="I52" i="16" s="1"/>
  <c r="J52" i="16" s="1"/>
  <c r="I53" i="16" a="1"/>
  <c r="I53" i="16" s="1"/>
  <c r="J53" i="16" s="1"/>
  <c r="I54" i="16" a="1"/>
  <c r="I54" i="16" s="1"/>
  <c r="J54" i="16" s="1"/>
  <c r="I55" i="16" a="1"/>
  <c r="I55" i="16" s="1"/>
  <c r="J55" i="16" s="1"/>
  <c r="I56" i="16" a="1"/>
  <c r="I56" i="16" s="1"/>
  <c r="J56" i="16" s="1"/>
  <c r="I57" i="16" a="1"/>
  <c r="I58" i="16" a="1"/>
  <c r="I58" i="16" s="1"/>
  <c r="J58" i="16" s="1"/>
  <c r="I59" i="16" a="1"/>
  <c r="I59" i="16" s="1"/>
  <c r="J59" i="16" s="1"/>
  <c r="I60" i="16" a="1"/>
  <c r="I60" i="16" s="1"/>
  <c r="J60" i="16" s="1"/>
  <c r="I61" i="16" a="1"/>
  <c r="I61" i="16" s="1"/>
  <c r="J61" i="16" s="1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M33" i="16" a="1"/>
  <c r="M33" i="16" s="1"/>
  <c r="E28" i="16"/>
  <c r="E27" i="16"/>
  <c r="E26" i="16"/>
  <c r="E25" i="16"/>
  <c r="E24" i="16"/>
  <c r="P19" i="16"/>
  <c r="P18" i="16"/>
  <c r="P16" i="16"/>
  <c r="G214" i="16" l="1"/>
  <c r="H108" i="16"/>
  <c r="K108" i="16" s="1"/>
  <c r="K109" i="16"/>
  <c r="K113" i="16"/>
  <c r="K117" i="16"/>
  <c r="K121" i="16"/>
  <c r="K124" i="16"/>
  <c r="K128" i="16"/>
  <c r="K131" i="16"/>
  <c r="K110" i="16"/>
  <c r="K114" i="16"/>
  <c r="K118" i="16"/>
  <c r="K122" i="16"/>
  <c r="K126" i="16"/>
  <c r="K130" i="16"/>
  <c r="K112" i="16"/>
  <c r="K120" i="16"/>
  <c r="K127" i="16"/>
  <c r="K111" i="16"/>
  <c r="K115" i="16"/>
  <c r="K116" i="16"/>
  <c r="K119" i="16"/>
  <c r="K123" i="16"/>
  <c r="K125" i="16"/>
  <c r="K129" i="16"/>
  <c r="I40" i="16" a="1"/>
  <c r="I40" i="16" s="1"/>
  <c r="J40" i="16" s="1"/>
  <c r="I57" i="16"/>
  <c r="J57" i="16" s="1"/>
  <c r="L214" i="16" l="1" a="1"/>
  <c r="L214" i="16" s="1"/>
  <c r="M214" i="16" s="1"/>
  <c r="K214" i="16" a="1"/>
  <c r="K214" i="16" s="1"/>
  <c r="I214" i="16" a="1"/>
  <c r="I214" i="16" s="1"/>
  <c r="J214" i="16" s="1"/>
  <c r="M108" i="16"/>
  <c r="L108" i="16"/>
  <c r="N214" i="16" l="1"/>
  <c r="O214" i="16" s="1"/>
  <c r="P214" i="16" s="1"/>
  <c r="H215" i="16" s="1"/>
  <c r="N108" i="16"/>
  <c r="P109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<sst xmlns="http://schemas.openxmlformats.org/spreadsheetml/2006/main" count="507" uniqueCount="167">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</sst>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19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22" fontId="0" fillId="0" borderId="0" xfId="0" applyNumberFormat="1"/>
    <xf numFmtId="49" fontId="2" fillId="0" borderId="0" xfId="0" applyNumberFormat="1" applyFont="1" applyFill="1" applyBorder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15</xdr:col>
      <xdr:colOff>365651</xdr:colOff>
      <xdr:row>14</xdr:row>
      <xdr:rowOff>97248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59179</xdr:colOff>
      <xdr:row>37</xdr:row>
      <xdr:rowOff>54164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12</xdr:col>
      <xdr:colOff>991125</xdr:colOff>
      <xdr:row>65</xdr:row>
      <xdr:rowOff>37837</xdr:rowOff>
    </xdr:from>
    <xdr:to>
      <xdr:col>14</xdr:col>
      <xdr:colOff>764091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539509</xdr:colOff>
      <xdr:row>84</xdr:row>
      <xdr:rowOff>153889</xdr:rowOff>
    </xdr:from>
    <xdr:to>
      <xdr:col>18</xdr:col>
      <xdr:colOff>594044</xdr:colOff>
      <xdr:row>107</xdr:row>
      <xdr:rowOff>21787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245955</xdr:colOff>
      <xdr:row>149</xdr:row>
      <xdr:rowOff>37221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36172" y="27002828"/>
          <a:ext cx="1316850" cy="1780186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437046</xdr:colOff>
      <xdr:row>182</xdr:row>
      <xdr:rowOff>57639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92379" y="34066654"/>
          <a:ext cx="2164268" cy="1213209"/>
        </a:xfrm>
        <a:prstGeom prst="rect">
          <a:avLst/>
        </a:prstGeom>
      </xdr:spPr>
    </xdr:pic>
    <xdr:clientData/>
  </xdr:twoCellAnchor>
  <xdr:twoCellAnchor editAs="oneCell">
    <xdr:from>
      <xdr:col>18</xdr:col>
      <xdr:colOff>94725</xdr:colOff>
      <xdr:row>204</xdr:row>
      <xdr:rowOff>76200</xdr:rowOff>
    </xdr:from>
    <xdr:to>
      <xdr:col>20</xdr:col>
      <xdr:colOff>361063</xdr:colOff>
      <xdr:row>219</xdr:row>
      <xdr:rowOff>98405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17</xdr:col>
      <xdr:colOff>26473</xdr:colOff>
      <xdr:row>237</xdr:row>
      <xdr:rowOff>85463</xdr:rowOff>
    </xdr:from>
    <xdr:to>
      <xdr:col>19</xdr:col>
      <xdr:colOff>284428</xdr:colOff>
      <xdr:row>251</xdr:row>
      <xdr:rowOff>173191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713773" y="43319438"/>
          <a:ext cx="1490490" cy="264995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136000</xdr:colOff>
      <xdr:row>15</xdr:row>
      <xdr:rowOff>92547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478521</xdr:colOff>
      <xdr:row>15</xdr:row>
      <xdr:rowOff>91496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P272"/>
  <sheetViews>
    <sheetView showGridLines="0" tabSelected="1" topLeftCell="A215" zoomScaleNormal="100" workbookViewId="0">
      <selection activeCell="K231" sqref="K231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10.109375" customWidth="1"/>
    <col min="9" max="11" width="8.6640625" customWidth="1"/>
    <col min="12" max="12" width="11.5546875" customWidth="1"/>
    <col min="13" max="13" width="20" customWidth="1"/>
    <col min="14" max="14" width="8.6640625" customWidth="1"/>
    <col min="15" max="15" width="11.77734375" customWidth="1"/>
    <col min="16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9" t="s">
        <v>2</v>
      </c>
      <c r="O4" s="199"/>
      <c r="P4" s="199"/>
    </row>
    <row r="5" spans="2:16" ht="15" customHeight="1" thickTop="1" x14ac:dyDescent="0.3">
      <c r="B5" s="200" t="s">
        <v>3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</row>
    <row r="6" spans="2:16" x14ac:dyDescent="0.3"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</row>
    <row r="7" spans="2:16" x14ac:dyDescent="0.3"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</row>
    <row r="8" spans="2:16" x14ac:dyDescent="0.3"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</row>
    <row r="9" spans="2:16" x14ac:dyDescent="0.3"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2:16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</row>
    <row r="11" spans="2:16" x14ac:dyDescent="0.3"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</row>
    <row r="12" spans="2:16" x14ac:dyDescent="0.3"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</row>
    <row r="13" spans="2:16" x14ac:dyDescent="0.3"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</row>
    <row r="14" spans="2:16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</row>
    <row r="15" spans="2:16" x14ac:dyDescent="0.3">
      <c r="B15" s="201"/>
      <c r="C15" s="201"/>
      <c r="D15" s="201"/>
      <c r="E15" s="201"/>
      <c r="F15" s="201"/>
      <c r="G15" s="201"/>
      <c r="H15" s="201"/>
      <c r="I15" s="201"/>
      <c r="J15" s="201"/>
      <c r="K15" s="201"/>
      <c r="L15" s="201"/>
    </row>
    <row r="16" spans="2:16" ht="15" thickBot="1" x14ac:dyDescent="0.35">
      <c r="B16" s="201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N16" s="203" t="s">
        <v>4</v>
      </c>
      <c r="O16" s="203"/>
      <c r="P16" s="24" t="str">
        <f>HYPERLINK("https://www.linkedin.com/in/thomas-marcelo/","🔗")</f>
        <v>🔗</v>
      </c>
    </row>
    <row r="17" spans="2:16" ht="15" thickTop="1" x14ac:dyDescent="0.3">
      <c r="B17" s="201"/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N17" s="179" t="s">
        <v>5</v>
      </c>
      <c r="O17" s="180"/>
      <c r="P17" s="180"/>
    </row>
    <row r="18" spans="2:16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04" t="s">
        <v>15</v>
      </c>
      <c r="G24" s="204"/>
      <c r="H24" s="204"/>
      <c r="I24" s="204"/>
      <c r="J24" s="204"/>
      <c r="K24" s="204"/>
      <c r="L24" s="204"/>
      <c r="M24" s="204"/>
      <c r="N24" s="204"/>
      <c r="O24" s="204"/>
      <c r="P24" s="204"/>
    </row>
    <row r="25" spans="2:16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189" t="s">
        <v>18</v>
      </c>
      <c r="G25" s="189"/>
      <c r="H25" s="189"/>
      <c r="I25" s="189"/>
      <c r="J25" s="189"/>
      <c r="K25" s="189"/>
      <c r="L25" s="189"/>
      <c r="M25" s="189"/>
      <c r="N25" s="189"/>
      <c r="O25" s="189"/>
      <c r="P25" s="189"/>
    </row>
    <row r="26" spans="2:16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189" t="s">
        <v>21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</row>
    <row r="27" spans="2:16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189" t="s">
        <v>24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</row>
    <row r="28" spans="2:16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189" t="s">
        <v>27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  <c r="M32" s="18" t="s">
        <v>31</v>
      </c>
      <c r="N32" s="18"/>
      <c r="O32" s="18"/>
      <c r="P32" s="18"/>
    </row>
    <row r="33" spans="2:16" ht="15" customHeight="1" thickTop="1" x14ac:dyDescent="0.3">
      <c r="M33" s="190" t="str" cm="1">
        <f t="array" ref="M33">_xlfn.LET(_xlpm.q,_xlfn.VSTACK(E24:E28,E42:E61,E75:E94,E110:E129,E146:E165,E181:E200,E216:E235,E253:E272),_xlpm.a,SUM(IF(_xlpm.q&gt;=1,_xlpm.q,0)),_xlpm.a&amp;"/"&amp;ROWS(_xlpm.q)&amp;" ("&amp;TEXT(_xlpm.a/ROWS(_xlpm.q),"0%")&amp;")")</f>
        <v>80/145 (55%)</v>
      </c>
      <c r="N33" s="191"/>
      <c r="O33" s="191"/>
      <c r="P33" s="192"/>
    </row>
    <row r="34" spans="2:16" ht="14.4" customHeight="1" x14ac:dyDescent="0.3">
      <c r="B34" s="10" t="s">
        <v>32</v>
      </c>
      <c r="M34" s="193"/>
      <c r="N34" s="194"/>
      <c r="O34" s="194"/>
      <c r="P34" s="195"/>
    </row>
    <row r="35" spans="2:16" ht="14.4" customHeight="1" x14ac:dyDescent="0.3">
      <c r="B35" s="11" t="s">
        <v>33</v>
      </c>
      <c r="M35" s="193"/>
      <c r="N35" s="194"/>
      <c r="O35" s="194"/>
      <c r="P35" s="195"/>
    </row>
    <row r="36" spans="2:16" ht="14.4" customHeight="1" x14ac:dyDescent="0.3">
      <c r="B36" s="12" t="s">
        <v>34</v>
      </c>
      <c r="M36" s="196"/>
      <c r="N36" s="197"/>
      <c r="O36" s="197"/>
      <c r="P36" s="198"/>
    </row>
    <row r="37" spans="2:16" ht="14.4" customHeight="1" x14ac:dyDescent="0.3"/>
    <row r="38" spans="2:1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6" ht="15" thickTop="1" x14ac:dyDescent="0.3">
      <c r="G39" t="s">
        <v>137</v>
      </c>
      <c r="H39" t="s">
        <v>136</v>
      </c>
    </row>
    <row r="40" spans="2:1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J40">
        <f>_xlfn.XLOOKUP(I40,Climatogram!$AM$5:$AM$10,Climatogram!$AL$5:$AL$10)</f>
        <v>27</v>
      </c>
      <c r="K40" t="str" cm="1">
        <f t="array" ref="K40">INDEX(_nDorN,Case!H40)</f>
        <v>Day</v>
      </c>
    </row>
    <row r="41" spans="2:16" x14ac:dyDescent="0.3">
      <c r="F41" s="16"/>
      <c r="H41" s="186"/>
    </row>
    <row r="42" spans="2:1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J42">
        <f>_xlfn.XLOOKUP(I42,Climatogram!$AM$5:$AM$10,Climatogram!$AL$5:$AL$10)</f>
        <v>32</v>
      </c>
      <c r="K42" t="str" cm="1">
        <f t="array" ref="K42">INDEX(_nDorN,Case!H42)</f>
        <v>Day</v>
      </c>
    </row>
    <row r="43" spans="2:1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J43">
        <f>_xlfn.XLOOKUP(I43,Climatogram!$AM$5:$AM$10,Climatogram!$AL$5:$AL$10)</f>
        <v>27</v>
      </c>
      <c r="K43" t="str" cm="1">
        <f t="array" ref="K43">INDEX(_nDorN,Case!H43)</f>
        <v>Day</v>
      </c>
    </row>
    <row r="44" spans="2:1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J44">
        <f>_xlfn.XLOOKUP(I44,Climatogram!$AM$5:$AM$10,Climatogram!$AL$5:$AL$10)</f>
        <v>22</v>
      </c>
      <c r="K44" t="str" cm="1">
        <f t="array" ref="K44">INDEX(_nDorN,Case!H44)</f>
        <v>Night</v>
      </c>
    </row>
    <row r="45" spans="2:1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J45">
        <f>_xlfn.XLOOKUP(I45,Climatogram!$AM$5:$AM$10,Climatogram!$AL$5:$AL$10)</f>
        <v>27</v>
      </c>
      <c r="K45" t="str" cm="1">
        <f t="array" ref="K45">INDEX(_nDorN,Case!H45)</f>
        <v>Day</v>
      </c>
    </row>
    <row r="46" spans="2:1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J46">
        <f>_xlfn.XLOOKUP(I46,Climatogram!$AM$5:$AM$10,Climatogram!$AL$5:$AL$10)</f>
        <v>16</v>
      </c>
      <c r="K46" t="str" cm="1">
        <f t="array" ref="K46">INDEX(_nDorN,Case!H46)</f>
        <v>Day</v>
      </c>
    </row>
    <row r="47" spans="2:1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J47">
        <f>_xlfn.XLOOKUP(I47,Climatogram!$AM$5:$AM$10,Climatogram!$AL$5:$AL$10)</f>
        <v>27</v>
      </c>
      <c r="K47" t="str" cm="1">
        <f t="array" ref="K47">INDEX(_nDorN,Case!H47)</f>
        <v>Day</v>
      </c>
    </row>
    <row r="48" spans="2:1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J48">
        <f>_xlfn.XLOOKUP(I48,Climatogram!$AM$5:$AM$10,Climatogram!$AL$5:$AL$10)</f>
        <v>27</v>
      </c>
      <c r="K48" t="str" cm="1">
        <f t="array" ref="K48">INDEX(_nDorN,Case!H48)</f>
        <v>Day</v>
      </c>
    </row>
    <row r="49" spans="2:11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J49">
        <f>_xlfn.XLOOKUP(I49,Climatogram!$AM$5:$AM$10,Climatogram!$AL$5:$AL$10)</f>
        <v>27</v>
      </c>
      <c r="K49" t="str" cm="1">
        <f t="array" ref="K49">INDEX(_nDorN,Case!H49)</f>
        <v>Day</v>
      </c>
    </row>
    <row r="50" spans="2:11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J50">
        <f>_xlfn.XLOOKUP(I50,Climatogram!$AM$5:$AM$10,Climatogram!$AL$5:$AL$10)</f>
        <v>16</v>
      </c>
      <c r="K50" t="str" cm="1">
        <f t="array" ref="K50">INDEX(_nDorN,Case!H50)</f>
        <v>Night</v>
      </c>
    </row>
    <row r="51" spans="2:11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J51">
        <f>_xlfn.XLOOKUP(I51,Climatogram!$AM$5:$AM$10,Climatogram!$AL$5:$AL$10)</f>
        <v>16</v>
      </c>
      <c r="K51" t="str" cm="1">
        <f t="array" ref="K51">INDEX(_nDorN,Case!H51)</f>
        <v>Night</v>
      </c>
    </row>
    <row r="52" spans="2:11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J52">
        <f>_xlfn.XLOOKUP(I52,Climatogram!$AM$5:$AM$10,Climatogram!$AL$5:$AL$10)</f>
        <v>16</v>
      </c>
      <c r="K52" t="str" cm="1">
        <f t="array" ref="K52">INDEX(_nDorN,Case!H52)</f>
        <v>Night</v>
      </c>
    </row>
    <row r="53" spans="2:11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J53">
        <f>_xlfn.XLOOKUP(I53,Climatogram!$AM$5:$AM$10,Climatogram!$AL$5:$AL$10)</f>
        <v>16</v>
      </c>
      <c r="K53" t="str" cm="1">
        <f t="array" ref="K53">INDEX(_nDorN,Case!H53)</f>
        <v>Night</v>
      </c>
    </row>
    <row r="54" spans="2:11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J54">
        <f>_xlfn.XLOOKUP(I54,Climatogram!$AM$5:$AM$10,Climatogram!$AL$5:$AL$10)</f>
        <v>27</v>
      </c>
      <c r="K54" t="str" cm="1">
        <f t="array" ref="K54">INDEX(_nDorN,Case!H54)</f>
        <v>Day</v>
      </c>
    </row>
    <row r="55" spans="2:11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J55">
        <f>_xlfn.XLOOKUP(I55,Climatogram!$AM$5:$AM$10,Climatogram!$AL$5:$AL$10)</f>
        <v>27</v>
      </c>
      <c r="K55" t="str" cm="1">
        <f t="array" ref="K55">INDEX(_nDorN,Case!H55)</f>
        <v>Day</v>
      </c>
    </row>
    <row r="56" spans="2:11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J56">
        <f>_xlfn.XLOOKUP(I56,Climatogram!$AM$5:$AM$10,Climatogram!$AL$5:$AL$10)</f>
        <v>27</v>
      </c>
      <c r="K56" t="str" cm="1">
        <f t="array" ref="K56">INDEX(_nDorN,Case!H56)</f>
        <v>Day</v>
      </c>
    </row>
    <row r="57" spans="2:11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J57">
        <f>_xlfn.XLOOKUP(I57,Climatogram!$AM$5:$AM$10,Climatogram!$AL$5:$AL$10)</f>
        <v>16</v>
      </c>
      <c r="K57" t="str" cm="1">
        <f t="array" ref="K57">INDEX(_nDorN,Case!H57)</f>
        <v>Night</v>
      </c>
    </row>
    <row r="58" spans="2:11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J58">
        <f>_xlfn.XLOOKUP(I58,Climatogram!$AM$5:$AM$10,Climatogram!$AL$5:$AL$10)</f>
        <v>16</v>
      </c>
      <c r="K58" t="str" cm="1">
        <f t="array" ref="K58">INDEX(_nDorN,Case!H58)</f>
        <v>Night</v>
      </c>
    </row>
    <row r="59" spans="2:11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J59">
        <f>_xlfn.XLOOKUP(I59,Climatogram!$AM$5:$AM$10,Climatogram!$AL$5:$AL$10)</f>
        <v>27</v>
      </c>
      <c r="K59" t="str" cm="1">
        <f t="array" ref="K59">INDEX(_nDorN,Case!H59)</f>
        <v>Day</v>
      </c>
    </row>
    <row r="60" spans="2:11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J60">
        <f>_xlfn.XLOOKUP(I60,Climatogram!$AM$5:$AM$10,Climatogram!$AL$5:$AL$10)</f>
        <v>27</v>
      </c>
      <c r="K60" t="str" cm="1">
        <f t="array" ref="K60">INDEX(_nDorN,Case!H60)</f>
        <v>Day</v>
      </c>
    </row>
    <row r="61" spans="2:11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J61">
        <f>_xlfn.XLOOKUP(I61,Climatogram!$AM$5:$AM$10,Climatogram!$AL$5:$AL$10)</f>
        <v>32</v>
      </c>
      <c r="K61" t="str" cm="1">
        <f t="array" ref="K61">INDEX(_nDorN,Case!H61)</f>
        <v>Day</v>
      </c>
    </row>
    <row r="64" spans="2:11" ht="15" thickBot="1" x14ac:dyDescent="0.35">
      <c r="B64" s="4" t="s">
        <v>38</v>
      </c>
      <c r="C64" s="14" t="s">
        <v>30</v>
      </c>
    </row>
    <row r="65" spans="2:12" ht="15" thickTop="1" x14ac:dyDescent="0.3"/>
    <row r="66" spans="2:12" x14ac:dyDescent="0.3">
      <c r="B66" s="10" t="s">
        <v>39</v>
      </c>
    </row>
    <row r="67" spans="2:12" x14ac:dyDescent="0.3">
      <c r="B67" s="10" t="s">
        <v>40</v>
      </c>
    </row>
    <row r="68" spans="2:12" x14ac:dyDescent="0.3">
      <c r="B68" s="23" t="s">
        <v>41</v>
      </c>
    </row>
    <row r="69" spans="2:12" x14ac:dyDescent="0.3">
      <c r="B69" s="12" t="s">
        <v>42</v>
      </c>
    </row>
    <row r="71" spans="2:12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2" ht="15" thickTop="1" x14ac:dyDescent="0.3"/>
    <row r="73" spans="2:12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J73">
        <f>_xlfn.XLOOKUP(I73,Climatogram!$AM$5:$AM$10,Climatogram!$AL$5:$AL$10)</f>
        <v>27</v>
      </c>
      <c r="K73" t="str" cm="1">
        <f t="array" aca="1" ref="K73" ca="1">IF(_fnDay(INDIRECT("Climatogram!"&amp;ADDRESS(H73+4,G73+2))),"D","N")</f>
        <v>N</v>
      </c>
      <c r="L73" t="str">
        <f ca="1">J73&amp;"-"&amp;K73</f>
        <v>27-N</v>
      </c>
    </row>
    <row r="74" spans="2:12" x14ac:dyDescent="0.3">
      <c r="F74" s="16"/>
      <c r="H74" s="186"/>
    </row>
    <row r="75" spans="2:12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J75">
        <f>_xlfn.XLOOKUP(I75,Climatogram!$AM$5:$AM$10,Climatogram!$AL$5:$AL$10)</f>
        <v>27</v>
      </c>
      <c r="K75" t="str" cm="1">
        <f t="array" aca="1" ref="K75" ca="1">IF(_fnDay(INDIRECT("Climatogram!"&amp;ADDRESS(H75+4,G75+2))),"D","N")</f>
        <v>N</v>
      </c>
      <c r="L75" t="str">
        <f t="shared" ref="L75:L94" ca="1" si="4">J75&amp;"-"&amp;K75</f>
        <v>27-N</v>
      </c>
    </row>
    <row r="76" spans="2:12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J76">
        <f>_xlfn.XLOOKUP(I76,Climatogram!$AM$5:$AM$10,Climatogram!$AL$5:$AL$10)</f>
        <v>27</v>
      </c>
      <c r="K76" t="str" cm="1">
        <f t="array" aca="1" ref="K76" ca="1">IF(_fnDay(INDIRECT("Climatogram!"&amp;ADDRESS(H76+4,G76+2))),"D","N")</f>
        <v>D</v>
      </c>
      <c r="L76" t="str">
        <f t="shared" ca="1" si="4"/>
        <v>27-D</v>
      </c>
    </row>
    <row r="77" spans="2:12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J77">
        <f>_xlfn.XLOOKUP(I77,Climatogram!$AM$5:$AM$10,Climatogram!$AL$5:$AL$10)</f>
        <v>10</v>
      </c>
      <c r="K77" t="str" cm="1">
        <f t="array" aca="1" ref="K77" ca="1">IF(_fnDay(INDIRECT("Climatogram!"&amp;ADDRESS(H77+4,G77+2))),"D","N")</f>
        <v>N</v>
      </c>
      <c r="L77" t="str">
        <f t="shared" ca="1" si="4"/>
        <v>10-N</v>
      </c>
    </row>
    <row r="78" spans="2:12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J78">
        <f>_xlfn.XLOOKUP(I78,Climatogram!$AM$5:$AM$10,Climatogram!$AL$5:$AL$10)</f>
        <v>16</v>
      </c>
      <c r="K78" t="str" cm="1">
        <f t="array" aca="1" ref="K78" ca="1">IF(_fnDay(INDIRECT("Climatogram!"&amp;ADDRESS(H78+4,G78+2))),"D","N")</f>
        <v>D</v>
      </c>
      <c r="L78" t="str">
        <f t="shared" ca="1" si="4"/>
        <v>16-D</v>
      </c>
    </row>
    <row r="79" spans="2:12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J79">
        <f>_xlfn.XLOOKUP(I79,Climatogram!$AM$5:$AM$10,Climatogram!$AL$5:$AL$10)</f>
        <v>16</v>
      </c>
      <c r="K79" t="str" cm="1">
        <f t="array" aca="1" ref="K79" ca="1">IF(_fnDay(INDIRECT("Climatogram!"&amp;ADDRESS(H79+4,G79+2))),"D","N")</f>
        <v>N</v>
      </c>
      <c r="L79" t="str">
        <f t="shared" ca="1" si="4"/>
        <v>16-N</v>
      </c>
    </row>
    <row r="80" spans="2:12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J80">
        <f>_xlfn.XLOOKUP(I80,Climatogram!$AM$5:$AM$10,Climatogram!$AL$5:$AL$10)</f>
        <v>16</v>
      </c>
      <c r="K80" t="str" cm="1">
        <f t="array" aca="1" ref="K80" ca="1">IF(_fnDay(INDIRECT("Climatogram!"&amp;ADDRESS(H80+4,G80+2))),"D","N")</f>
        <v>N</v>
      </c>
      <c r="L80" t="str">
        <f t="shared" ca="1" si="4"/>
        <v>16-N</v>
      </c>
    </row>
    <row r="81" spans="2:12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J81">
        <f>_xlfn.XLOOKUP(I81,Climatogram!$AM$5:$AM$10,Climatogram!$AL$5:$AL$10)</f>
        <v>22</v>
      </c>
      <c r="K81" t="str" cm="1">
        <f t="array" aca="1" ref="K81" ca="1">IF(_fnDay(INDIRECT("Climatogram!"&amp;ADDRESS(H81+4,G81+2))),"D","N")</f>
        <v>N</v>
      </c>
      <c r="L81" t="str">
        <f t="shared" ca="1" si="4"/>
        <v>22-N</v>
      </c>
    </row>
    <row r="82" spans="2:12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J82">
        <f>_xlfn.XLOOKUP(I82,Climatogram!$AM$5:$AM$10,Climatogram!$AL$5:$AL$10)</f>
        <v>27</v>
      </c>
      <c r="K82" t="str" cm="1">
        <f t="array" aca="1" ref="K82" ca="1">IF(_fnDay(INDIRECT("Climatogram!"&amp;ADDRESS(H82+4,G82+2))),"D","N")</f>
        <v>D</v>
      </c>
      <c r="L82" t="str">
        <f t="shared" ca="1" si="4"/>
        <v>27-D</v>
      </c>
    </row>
    <row r="83" spans="2:12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J83">
        <f>_xlfn.XLOOKUP(I83,Climatogram!$AM$5:$AM$10,Climatogram!$AL$5:$AL$10)</f>
        <v>27</v>
      </c>
      <c r="K83" t="str" cm="1">
        <f t="array" aca="1" ref="K83" ca="1">IF(_fnDay(INDIRECT("Climatogram!"&amp;ADDRESS(H83+4,G83+2))),"D","N")</f>
        <v>D</v>
      </c>
      <c r="L83" t="str">
        <f t="shared" ca="1" si="4"/>
        <v>27-D</v>
      </c>
    </row>
    <row r="84" spans="2:12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J84">
        <f>_xlfn.XLOOKUP(I84,Climatogram!$AM$5:$AM$10,Climatogram!$AL$5:$AL$10)</f>
        <v>22</v>
      </c>
      <c r="K84" t="str" cm="1">
        <f t="array" aca="1" ref="K84" ca="1">IF(_fnDay(INDIRECT("Climatogram!"&amp;ADDRESS(H84+4,G84+2))),"D","N")</f>
        <v>D</v>
      </c>
      <c r="L84" t="str">
        <f t="shared" ca="1" si="4"/>
        <v>22-D</v>
      </c>
    </row>
    <row r="85" spans="2:12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J85">
        <f>_xlfn.XLOOKUP(I85,Climatogram!$AM$5:$AM$10,Climatogram!$AL$5:$AL$10)</f>
        <v>27</v>
      </c>
      <c r="K85" t="str" cm="1">
        <f t="array" aca="1" ref="K85" ca="1">IF(_fnDay(INDIRECT("Climatogram!"&amp;ADDRESS(H85+4,G85+2))),"D","N")</f>
        <v>N</v>
      </c>
      <c r="L85" t="str">
        <f t="shared" ca="1" si="4"/>
        <v>27-N</v>
      </c>
    </row>
    <row r="86" spans="2:12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J86">
        <f>_xlfn.XLOOKUP(I86,Climatogram!$AM$5:$AM$10,Climatogram!$AL$5:$AL$10)</f>
        <v>27</v>
      </c>
      <c r="K86" t="str" cm="1">
        <f t="array" aca="1" ref="K86" ca="1">IF(_fnDay(INDIRECT("Climatogram!"&amp;ADDRESS(H86+4,G86+2))),"D","N")</f>
        <v>D</v>
      </c>
      <c r="L86" t="str">
        <f t="shared" ca="1" si="4"/>
        <v>27-D</v>
      </c>
    </row>
    <row r="87" spans="2:12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J87">
        <f>_xlfn.XLOOKUP(I87,Climatogram!$AM$5:$AM$10,Climatogram!$AL$5:$AL$10)</f>
        <v>27</v>
      </c>
      <c r="K87" t="str" cm="1">
        <f t="array" aca="1" ref="K87" ca="1">IF(_fnDay(INDIRECT("Climatogram!"&amp;ADDRESS(H87+4,G87+2))),"D","N")</f>
        <v>D</v>
      </c>
      <c r="L87" t="str">
        <f t="shared" ca="1" si="4"/>
        <v>27-D</v>
      </c>
    </row>
    <row r="88" spans="2:12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J88">
        <f>_xlfn.XLOOKUP(I88,Climatogram!$AM$5:$AM$10,Climatogram!$AL$5:$AL$10)</f>
        <v>22</v>
      </c>
      <c r="K88" t="str" cm="1">
        <f t="array" aca="1" ref="K88" ca="1">IF(_fnDay(INDIRECT("Climatogram!"&amp;ADDRESS(H88+4,G88+2))),"D","N")</f>
        <v>D</v>
      </c>
      <c r="L88" t="str">
        <f t="shared" ca="1" si="4"/>
        <v>22-D</v>
      </c>
    </row>
    <row r="89" spans="2:12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J89">
        <f>_xlfn.XLOOKUP(I89,Climatogram!$AM$5:$AM$10,Climatogram!$AL$5:$AL$10)</f>
        <v>27</v>
      </c>
      <c r="K89" t="str" cm="1">
        <f t="array" aca="1" ref="K89" ca="1">IF(_fnDay(INDIRECT("Climatogram!"&amp;ADDRESS(H89+4,G89+2))),"D","N")</f>
        <v>D</v>
      </c>
      <c r="L89" t="str">
        <f t="shared" ca="1" si="4"/>
        <v>27-D</v>
      </c>
    </row>
    <row r="90" spans="2:12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J90">
        <f>_xlfn.XLOOKUP(I90,Climatogram!$AM$5:$AM$10,Climatogram!$AL$5:$AL$10)</f>
        <v>27</v>
      </c>
      <c r="K90" t="str" cm="1">
        <f t="array" aca="1" ref="K90" ca="1">IF(_fnDay(INDIRECT("Climatogram!"&amp;ADDRESS(H90+4,G90+2))),"D","N")</f>
        <v>D</v>
      </c>
      <c r="L90" t="str">
        <f t="shared" ca="1" si="4"/>
        <v>27-D</v>
      </c>
    </row>
    <row r="91" spans="2:12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J91">
        <f>_xlfn.XLOOKUP(I91,Climatogram!$AM$5:$AM$10,Climatogram!$AL$5:$AL$10)</f>
        <v>16</v>
      </c>
      <c r="K91" t="str" cm="1">
        <f t="array" aca="1" ref="K91" ca="1">IF(_fnDay(INDIRECT("Climatogram!"&amp;ADDRESS(H91+4,G91+2))),"D","N")</f>
        <v>D</v>
      </c>
      <c r="L91" t="str">
        <f t="shared" ca="1" si="4"/>
        <v>16-D</v>
      </c>
    </row>
    <row r="92" spans="2:12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J92">
        <f>_xlfn.XLOOKUP(I92,Climatogram!$AM$5:$AM$10,Climatogram!$AL$5:$AL$10)</f>
        <v>16</v>
      </c>
      <c r="K92" t="str" cm="1">
        <f t="array" aca="1" ref="K92" ca="1">IF(_fnDay(INDIRECT("Climatogram!"&amp;ADDRESS(H92+4,G92+2))),"D","N")</f>
        <v>N</v>
      </c>
      <c r="L92" t="str">
        <f t="shared" ca="1" si="4"/>
        <v>16-N</v>
      </c>
    </row>
    <row r="93" spans="2:12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J93">
        <f>_xlfn.XLOOKUP(I93,Climatogram!$AM$5:$AM$10,Climatogram!$AL$5:$AL$10)</f>
        <v>22</v>
      </c>
      <c r="K93" t="str" cm="1">
        <f t="array" aca="1" ref="K93" ca="1">IF(_fnDay(INDIRECT("Climatogram!"&amp;ADDRESS(H93+4,G93+2))),"D","N")</f>
        <v>N</v>
      </c>
      <c r="L93" t="str">
        <f t="shared" ca="1" si="4"/>
        <v>22-N</v>
      </c>
    </row>
    <row r="94" spans="2:12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J94">
        <f>_xlfn.XLOOKUP(I94,Climatogram!$AM$5:$AM$10,Climatogram!$AL$5:$AL$10)</f>
        <v>16</v>
      </c>
      <c r="K94" t="str" cm="1">
        <f t="array" aca="1" ref="K94" ca="1">IF(_fnDay(INDIRECT("Climatogram!"&amp;ADDRESS(H94+4,G94+2))),"D","N")</f>
        <v>D</v>
      </c>
      <c r="L94" t="str">
        <f t="shared" ca="1" si="4"/>
        <v>16-D</v>
      </c>
    </row>
    <row r="97" spans="2:16" ht="15" thickBot="1" x14ac:dyDescent="0.35">
      <c r="B97" s="4" t="s">
        <v>23</v>
      </c>
      <c r="C97" s="14" t="s">
        <v>45</v>
      </c>
    </row>
    <row r="98" spans="2:16" ht="15" thickTop="1" x14ac:dyDescent="0.3"/>
    <row r="99" spans="2:16" x14ac:dyDescent="0.3">
      <c r="B99" s="10" t="s">
        <v>46</v>
      </c>
    </row>
    <row r="100" spans="2:16" x14ac:dyDescent="0.3">
      <c r="B100" s="10" t="s">
        <v>47</v>
      </c>
    </row>
    <row r="101" spans="2:16" x14ac:dyDescent="0.3">
      <c r="B101" s="10" t="s">
        <v>48</v>
      </c>
    </row>
    <row r="102" spans="2:16" x14ac:dyDescent="0.3">
      <c r="B102" s="10" t="s">
        <v>49</v>
      </c>
    </row>
    <row r="103" spans="2:16" x14ac:dyDescent="0.3">
      <c r="B103" s="11" t="s">
        <v>50</v>
      </c>
      <c r="K103" t="s">
        <v>141</v>
      </c>
      <c r="L103">
        <v>26</v>
      </c>
    </row>
    <row r="104" spans="2:16" x14ac:dyDescent="0.3">
      <c r="B104" s="12" t="s">
        <v>51</v>
      </c>
      <c r="K104" t="s">
        <v>142</v>
      </c>
      <c r="L104">
        <v>16</v>
      </c>
    </row>
    <row r="105" spans="2:16" x14ac:dyDescent="0.3">
      <c r="H105">
        <v>13</v>
      </c>
    </row>
    <row r="106" spans="2:1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16" ht="15" thickTop="1" x14ac:dyDescent="0.3">
      <c r="G107" s="187" t="s">
        <v>52</v>
      </c>
      <c r="L107" t="s">
        <v>138</v>
      </c>
      <c r="M107" t="s">
        <v>139</v>
      </c>
      <c r="N107" t="s">
        <v>140</v>
      </c>
    </row>
    <row r="108" spans="2:16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J108" t="str" cm="1">
        <f t="array" aca="1" ref="J108" ca="1">IF(_fnDay(INDIRECT("Climatogram!"&amp;ADDRESS(-I108+28,$G$108+2))),"D","N")</f>
        <v>N</v>
      </c>
      <c r="K108">
        <f>_xlfn.XLOOKUP(H108,Climatogram!$AM$5:$AM$10,Climatogram!$AL$5:$AL$10)</f>
        <v>16</v>
      </c>
      <c r="L108">
        <f ca="1">ROUND(AVERAGEIFS($K$108:$K$131,$J$108:$J$131,"N"),0)</f>
        <v>18</v>
      </c>
      <c r="M108">
        <f ca="1">ROUND(AVERAGEIFS($K$108:$K$131,$J$108:$J$131,"D"),0)</f>
        <v>26</v>
      </c>
      <c r="N108">
        <f ca="1">ABS(L108-_nIN)+ABS(_nID-M108)</f>
        <v>2</v>
      </c>
    </row>
    <row r="109" spans="2:16" x14ac:dyDescent="0.3">
      <c r="F109" s="16"/>
      <c r="H109">
        <v>7454605</v>
      </c>
      <c r="I109">
        <v>22</v>
      </c>
      <c r="J109" t="str" cm="1">
        <f t="array" aca="1" ref="J109" ca="1">IF(_fnDay(INDIRECT("Climatogram!"&amp;ADDRESS(-I109+28,$G$108+2))),"D","N")</f>
        <v>N</v>
      </c>
      <c r="K109">
        <f>_xlfn.XLOOKUP(H109,Climatogram!$AM$5:$AM$10,Climatogram!$AL$5:$AL$10)</f>
        <v>16</v>
      </c>
      <c r="P109">
        <f ca="1">N108</f>
        <v>2</v>
      </c>
    </row>
    <row r="110" spans="2:16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J110" t="str" cm="1">
        <f t="array" aca="1" ref="J110" ca="1">IF(_fnDay(INDIRECT("Climatogram!"&amp;ADDRESS(-I110+28,$G$108+2))),"D","N")</f>
        <v>N</v>
      </c>
      <c r="K110">
        <f>_xlfn.XLOOKUP(H110,Climatogram!$AM$5:$AM$10,Climatogram!$AL$5:$AL$10)</f>
        <v>22</v>
      </c>
      <c r="N110" s="186"/>
      <c r="O110" s="186">
        <f>DAY(F110)</f>
        <v>5</v>
      </c>
      <c r="P110">
        <f t="dataTable" ref="P110:P129" dt2D="0" dtr="0" r1="H105" ca="1"/>
        <v>4</v>
      </c>
    </row>
    <row r="111" spans="2:16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J111" t="str" cm="1">
        <f t="array" aca="1" ref="J111" ca="1">IF(_fnDay(INDIRECT("Climatogram!"&amp;ADDRESS(-I111+28,$G$108+2))),"D","N")</f>
        <v>N</v>
      </c>
      <c r="K111">
        <f>_xlfn.XLOOKUP(H111,Climatogram!$AM$5:$AM$10,Climatogram!$AL$5:$AL$10)</f>
        <v>22</v>
      </c>
      <c r="N111" s="186"/>
      <c r="O111" s="186">
        <f t="shared" ref="O111:O129" si="5">DAY(F111)</f>
        <v>6</v>
      </c>
      <c r="P111">
        <v>5</v>
      </c>
    </row>
    <row r="112" spans="2:16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J112" t="str" cm="1">
        <f t="array" aca="1" ref="J112" ca="1">IF(_fnDay(INDIRECT("Climatogram!"&amp;ADDRESS(-I112+28,$G$108+2))),"D","N")</f>
        <v>N</v>
      </c>
      <c r="K112">
        <f>_xlfn.XLOOKUP(H112,Climatogram!$AM$5:$AM$10,Climatogram!$AL$5:$AL$10)</f>
        <v>27</v>
      </c>
      <c r="N112" s="186"/>
      <c r="O112" s="186">
        <f t="shared" si="5"/>
        <v>7</v>
      </c>
      <c r="P112">
        <v>4</v>
      </c>
    </row>
    <row r="113" spans="2:16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J113" t="str" cm="1">
        <f t="array" aca="1" ref="J113" ca="1">IF(_fnDay(INDIRECT("Climatogram!"&amp;ADDRESS(-I113+28,$G$108+2))),"D","N")</f>
        <v>D</v>
      </c>
      <c r="K113">
        <f>_xlfn.XLOOKUP(H113,Climatogram!$AM$5:$AM$10,Climatogram!$AL$5:$AL$10)</f>
        <v>27</v>
      </c>
      <c r="N113" s="186"/>
      <c r="O113" s="186">
        <f t="shared" si="5"/>
        <v>8</v>
      </c>
      <c r="P113">
        <v>5</v>
      </c>
    </row>
    <row r="114" spans="2:16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J114" t="str" cm="1">
        <f t="array" aca="1" ref="J114" ca="1">IF(_fnDay(INDIRECT("Climatogram!"&amp;ADDRESS(-I114+28,$G$108+2))),"D","N")</f>
        <v>D</v>
      </c>
      <c r="K114">
        <f>_xlfn.XLOOKUP(H114,Climatogram!$AM$5:$AM$10,Climatogram!$AL$5:$AL$10)</f>
        <v>27</v>
      </c>
      <c r="N114" s="186"/>
      <c r="O114" s="186">
        <f t="shared" si="5"/>
        <v>9</v>
      </c>
      <c r="P114">
        <v>6</v>
      </c>
    </row>
    <row r="115" spans="2:16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J115" t="str" cm="1">
        <f t="array" aca="1" ref="J115" ca="1">IF(_fnDay(INDIRECT("Climatogram!"&amp;ADDRESS(-I115+28,$G$108+2))),"D","N")</f>
        <v>D</v>
      </c>
      <c r="K115">
        <f>_xlfn.XLOOKUP(H115,Climatogram!$AM$5:$AM$10,Climatogram!$AL$5:$AL$10)</f>
        <v>27</v>
      </c>
      <c r="N115" s="186"/>
      <c r="O115" s="186">
        <f t="shared" si="5"/>
        <v>10</v>
      </c>
      <c r="P115">
        <v>5</v>
      </c>
    </row>
    <row r="116" spans="2:16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J116" t="str" cm="1">
        <f t="array" aca="1" ref="J116" ca="1">IF(_fnDay(INDIRECT("Climatogram!"&amp;ADDRESS(-I116+28,$G$108+2))),"D","N")</f>
        <v>D</v>
      </c>
      <c r="K116">
        <f>_xlfn.XLOOKUP(H116,Climatogram!$AM$5:$AM$10,Climatogram!$AL$5:$AL$10)</f>
        <v>27</v>
      </c>
      <c r="N116" s="186"/>
      <c r="O116" s="186">
        <f t="shared" si="5"/>
        <v>11</v>
      </c>
      <c r="P116">
        <v>7</v>
      </c>
    </row>
    <row r="117" spans="2:16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J117" t="str" cm="1">
        <f t="array" aca="1" ref="J117" ca="1">IF(_fnDay(INDIRECT("Climatogram!"&amp;ADDRESS(-I117+28,$G$108+2))),"D","N")</f>
        <v>D</v>
      </c>
      <c r="K117">
        <f>_xlfn.XLOOKUP(H117,Climatogram!$AM$5:$AM$10,Climatogram!$AL$5:$AL$10)</f>
        <v>27</v>
      </c>
      <c r="N117" s="186"/>
      <c r="O117" s="186">
        <f t="shared" si="5"/>
        <v>12</v>
      </c>
      <c r="P117">
        <v>6</v>
      </c>
    </row>
    <row r="118" spans="2:16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J118" t="str" cm="1">
        <f t="array" aca="1" ref="J118" ca="1">IF(_fnDay(INDIRECT("Climatogram!"&amp;ADDRESS(-I118+28,$G$108+2))),"D","N")</f>
        <v>D</v>
      </c>
      <c r="K118">
        <f>_xlfn.XLOOKUP(H118,Climatogram!$AM$5:$AM$10,Climatogram!$AL$5:$AL$10)</f>
        <v>27</v>
      </c>
      <c r="N118" s="186"/>
      <c r="O118" s="186">
        <f t="shared" si="5"/>
        <v>13</v>
      </c>
      <c r="P118">
        <v>2</v>
      </c>
    </row>
    <row r="119" spans="2:16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J119" t="str" cm="1">
        <f t="array" aca="1" ref="J119" ca="1">IF(_fnDay(INDIRECT("Climatogram!"&amp;ADDRESS(-I119+28,$G$108+2))),"D","N")</f>
        <v>D</v>
      </c>
      <c r="K119">
        <f>_xlfn.XLOOKUP(H119,Climatogram!$AM$5:$AM$10,Climatogram!$AL$5:$AL$10)</f>
        <v>27</v>
      </c>
      <c r="N119" s="186"/>
      <c r="O119" s="186">
        <f t="shared" si="5"/>
        <v>14</v>
      </c>
      <c r="P119">
        <v>3</v>
      </c>
    </row>
    <row r="120" spans="2:16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J120" t="str" cm="1">
        <f t="array" aca="1" ref="J120" ca="1">IF(_fnDay(INDIRECT("Climatogram!"&amp;ADDRESS(-I120+28,$G$108+2))),"D","N")</f>
        <v>D</v>
      </c>
      <c r="K120">
        <f>_xlfn.XLOOKUP(H120,Climatogram!$AM$5:$AM$10,Climatogram!$AL$5:$AL$10)</f>
        <v>27</v>
      </c>
      <c r="N120" s="186"/>
      <c r="O120" s="186">
        <f t="shared" si="5"/>
        <v>15</v>
      </c>
      <c r="P120">
        <v>2</v>
      </c>
    </row>
    <row r="121" spans="2:16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J121" t="str" cm="1">
        <f t="array" aca="1" ref="J121" ca="1">IF(_fnDay(INDIRECT("Climatogram!"&amp;ADDRESS(-I121+28,$G$108+2))),"D","N")</f>
        <v>D</v>
      </c>
      <c r="K121">
        <f>_xlfn.XLOOKUP(H121,Climatogram!$AM$5:$AM$10,Climatogram!$AL$5:$AL$10)</f>
        <v>27</v>
      </c>
      <c r="N121" s="186"/>
      <c r="O121" s="186">
        <f t="shared" si="5"/>
        <v>16</v>
      </c>
      <c r="P121">
        <v>1</v>
      </c>
    </row>
    <row r="122" spans="2:16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J122" t="str" cm="1">
        <f t="array" aca="1" ref="J122" ca="1">IF(_fnDay(INDIRECT("Climatogram!"&amp;ADDRESS(-I122+28,$G$108+2))),"D","N")</f>
        <v>D</v>
      </c>
      <c r="K122">
        <f>_xlfn.XLOOKUP(H122,Climatogram!$AM$5:$AM$10,Climatogram!$AL$5:$AL$10)</f>
        <v>27</v>
      </c>
      <c r="N122" s="186"/>
      <c r="O122" s="186">
        <f t="shared" si="5"/>
        <v>17</v>
      </c>
      <c r="P122">
        <v>3</v>
      </c>
    </row>
    <row r="123" spans="2:16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J123" t="str" cm="1">
        <f t="array" aca="1" ref="J123" ca="1">IF(_fnDay(INDIRECT("Climatogram!"&amp;ADDRESS(-I123+28,$G$108+2))),"D","N")</f>
        <v>D</v>
      </c>
      <c r="K123">
        <f>_xlfn.XLOOKUP(H123,Climatogram!$AM$5:$AM$10,Climatogram!$AL$5:$AL$10)</f>
        <v>22</v>
      </c>
      <c r="N123" s="186"/>
      <c r="O123" s="186">
        <f t="shared" si="5"/>
        <v>18</v>
      </c>
      <c r="P123">
        <v>4</v>
      </c>
    </row>
    <row r="124" spans="2:16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J124" t="str" cm="1">
        <f t="array" aca="1" ref="J124" ca="1">IF(_fnDay(INDIRECT("Climatogram!"&amp;ADDRESS(-I124+28,$G$108+2))),"D","N")</f>
        <v>D</v>
      </c>
      <c r="K124">
        <f>_xlfn.XLOOKUP(H124,Climatogram!$AM$5:$AM$10,Climatogram!$AL$5:$AL$10)</f>
        <v>22</v>
      </c>
      <c r="N124" s="186"/>
      <c r="O124" s="186">
        <f t="shared" si="5"/>
        <v>19</v>
      </c>
      <c r="P124">
        <v>3</v>
      </c>
    </row>
    <row r="125" spans="2:16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J125" t="str" cm="1">
        <f t="array" aca="1" ref="J125" ca="1">IF(_fnDay(INDIRECT("Climatogram!"&amp;ADDRESS(-I125+28,$G$108+2))),"D","N")</f>
        <v>N</v>
      </c>
      <c r="K125">
        <f>_xlfn.XLOOKUP(H125,Climatogram!$AM$5:$AM$10,Climatogram!$AL$5:$AL$10)</f>
        <v>16</v>
      </c>
      <c r="N125" s="186"/>
      <c r="O125" s="186">
        <f t="shared" si="5"/>
        <v>20</v>
      </c>
      <c r="P125">
        <v>5</v>
      </c>
    </row>
    <row r="126" spans="2:16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J126" t="str" cm="1">
        <f t="array" aca="1" ref="J126" ca="1">IF(_fnDay(INDIRECT("Climatogram!"&amp;ADDRESS(-I126+28,$G$108+2))),"D","N")</f>
        <v>N</v>
      </c>
      <c r="K126">
        <f>_xlfn.XLOOKUP(H126,Climatogram!$AM$5:$AM$10,Climatogram!$AL$5:$AL$10)</f>
        <v>16</v>
      </c>
      <c r="N126" s="186"/>
      <c r="O126" s="186">
        <f t="shared" si="5"/>
        <v>21</v>
      </c>
      <c r="P126">
        <v>4</v>
      </c>
    </row>
    <row r="127" spans="2:16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J127" t="str" cm="1">
        <f t="array" aca="1" ref="J127" ca="1">IF(_fnDay(INDIRECT("Climatogram!"&amp;ADDRESS(-I127+28,$G$108+2))),"D","N")</f>
        <v>N</v>
      </c>
      <c r="K127">
        <f>_xlfn.XLOOKUP(H127,Climatogram!$AM$5:$AM$10,Climatogram!$AL$5:$AL$10)</f>
        <v>16</v>
      </c>
      <c r="N127" s="186"/>
      <c r="O127" s="186">
        <f t="shared" si="5"/>
        <v>22</v>
      </c>
      <c r="P127">
        <v>4</v>
      </c>
    </row>
    <row r="128" spans="2:16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J128" t="str" cm="1">
        <f t="array" aca="1" ref="J128" ca="1">IF(_fnDay(INDIRECT("Climatogram!"&amp;ADDRESS(-I128+28,$G$108+2))),"D","N")</f>
        <v>N</v>
      </c>
      <c r="K128">
        <f>_xlfn.XLOOKUP(H128,Climatogram!$AM$5:$AM$10,Climatogram!$AL$5:$AL$10)</f>
        <v>16</v>
      </c>
      <c r="N128" s="186"/>
      <c r="O128" s="186">
        <f t="shared" si="5"/>
        <v>24</v>
      </c>
      <c r="P128">
        <v>2</v>
      </c>
    </row>
    <row r="129" spans="2:16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J129" t="str" cm="1">
        <f t="array" aca="1" ref="J129" ca="1">IF(_fnDay(INDIRECT("Climatogram!"&amp;ADDRESS(-I129+28,$G$108+2))),"D","N")</f>
        <v>N</v>
      </c>
      <c r="K129">
        <f>_xlfn.XLOOKUP(H129,Climatogram!$AM$5:$AM$10,Climatogram!$AL$5:$AL$10)</f>
        <v>16</v>
      </c>
      <c r="N129" s="186"/>
      <c r="O129" s="186">
        <f t="shared" si="5"/>
        <v>25</v>
      </c>
      <c r="P129">
        <v>3</v>
      </c>
    </row>
    <row r="130" spans="2:16" x14ac:dyDescent="0.3">
      <c r="H130">
        <v>7454605</v>
      </c>
      <c r="I130">
        <v>1</v>
      </c>
      <c r="J130" t="str" cm="1">
        <f t="array" aca="1" ref="J130" ca="1">IF(_fnDay(INDIRECT("Climatogram!"&amp;ADDRESS(-I130+28,$G$108+2))),"D","N")</f>
        <v>N</v>
      </c>
      <c r="K130">
        <f>_xlfn.XLOOKUP(H130,Climatogram!$AM$5:$AM$10,Climatogram!$AL$5:$AL$10)</f>
        <v>16</v>
      </c>
      <c r="O130" s="186"/>
    </row>
    <row r="131" spans="2:16" x14ac:dyDescent="0.3">
      <c r="H131">
        <v>7851241</v>
      </c>
      <c r="I131">
        <v>0</v>
      </c>
      <c r="J131" t="str" cm="1">
        <f t="array" aca="1" ref="J131" ca="1">IF(_fnDay(INDIRECT("Climatogram!"&amp;ADDRESS(-I131+28,$G$108+2))),"D","N")</f>
        <v>N</v>
      </c>
      <c r="K131">
        <f>_xlfn.XLOOKUP(H131,Climatogram!$AM$5:$AM$10,Climatogram!$AL$5:$AL$10)</f>
        <v>22</v>
      </c>
      <c r="O131" s="186"/>
    </row>
    <row r="132" spans="2:16" ht="15" thickBot="1" x14ac:dyDescent="0.35">
      <c r="B132" s="4" t="s">
        <v>54</v>
      </c>
      <c r="C132" s="14" t="s">
        <v>55</v>
      </c>
    </row>
    <row r="133" spans="2:16" ht="15" thickTop="1" x14ac:dyDescent="0.3"/>
    <row r="134" spans="2:16" x14ac:dyDescent="0.3">
      <c r="B134" s="10" t="s">
        <v>56</v>
      </c>
    </row>
    <row r="135" spans="2:16" x14ac:dyDescent="0.3">
      <c r="B135" s="10" t="s">
        <v>57</v>
      </c>
    </row>
    <row r="136" spans="2:16" x14ac:dyDescent="0.3">
      <c r="B136" s="10" t="s">
        <v>58</v>
      </c>
    </row>
    <row r="137" spans="2:16" x14ac:dyDescent="0.3">
      <c r="B137" s="10" t="s">
        <v>59</v>
      </c>
    </row>
    <row r="138" spans="2:16" x14ac:dyDescent="0.3">
      <c r="B138" s="11" t="s">
        <v>60</v>
      </c>
    </row>
    <row r="139" spans="2:16" x14ac:dyDescent="0.3">
      <c r="B139" s="12" t="s">
        <v>61</v>
      </c>
    </row>
    <row r="140" spans="2:16" x14ac:dyDescent="0.3">
      <c r="B140" s="12" t="s">
        <v>62</v>
      </c>
    </row>
    <row r="142" spans="2:16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16" ht="15" thickTop="1" x14ac:dyDescent="0.3">
      <c r="G143" s="16"/>
    </row>
    <row r="144" spans="2:16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/>
      <c r="E146" s="5">
        <f>IF(D146&lt;&gt;"",IF(D146=Answers!D146,1,-1),0)</f>
        <v>0</v>
      </c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/>
      <c r="E147" s="5">
        <f>IF(D147&lt;&gt;"",IF(D147=Answers!D147,1,-1),0)</f>
        <v>0</v>
      </c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/>
      <c r="E148" s="5">
        <f>IF(D148&lt;&gt;"",IF(D148=Answers!D148,1,-1),0)</f>
        <v>0</v>
      </c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/>
      <c r="E149" s="5">
        <f>IF(D149&lt;&gt;"",IF(D149=Answers!D149,1,-1),0)</f>
        <v>0</v>
      </c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/>
      <c r="E150" s="5">
        <f>IF(D150&lt;&gt;"",IF(D150=Answers!D150,1,-1),0)</f>
        <v>0</v>
      </c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/>
      <c r="E151" s="5">
        <f>IF(D151&lt;&gt;"",IF(D151=Answers!D151,1,-1),0)</f>
        <v>0</v>
      </c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/>
      <c r="E152" s="5">
        <f>IF(D152&lt;&gt;"",IF(D152=Answers!D152,1,-1),0)</f>
        <v>0</v>
      </c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/>
      <c r="E153" s="5">
        <f>IF(D153&lt;&gt;"",IF(D153=Answers!D153,1,-1),0)</f>
        <v>0</v>
      </c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/>
      <c r="E154" s="5">
        <f>IF(D154&lt;&gt;"",IF(D154=Answers!D154,1,-1),0)</f>
        <v>0</v>
      </c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/>
      <c r="E155" s="5">
        <f>IF(D155&lt;&gt;"",IF(D155=Answers!D155,1,-1),0)</f>
        <v>0</v>
      </c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/>
      <c r="E156" s="5">
        <f>IF(D156&lt;&gt;"",IF(D156=Answers!D156,1,-1),0)</f>
        <v>0</v>
      </c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/>
      <c r="E157" s="5">
        <f>IF(D157&lt;&gt;"",IF(D157=Answers!D157,1,-1),0)</f>
        <v>0</v>
      </c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/>
      <c r="E158" s="5">
        <f>IF(D158&lt;&gt;"",IF(D158=Answers!D158,1,-1),0)</f>
        <v>0</v>
      </c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/>
      <c r="E159" s="5">
        <f>IF(D159&lt;&gt;"",IF(D159=Answers!D159,1,-1),0)</f>
        <v>0</v>
      </c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/>
      <c r="E160" s="5">
        <f>IF(D160&lt;&gt;"",IF(D160=Answers!D160,1,-1),0)</f>
        <v>0</v>
      </c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/>
      <c r="E161" s="5">
        <f>IF(D161&lt;&gt;"",IF(D161=Answers!D161,1,-1),0)</f>
        <v>0</v>
      </c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/>
      <c r="E162" s="5">
        <f>IF(D162&lt;&gt;"",IF(D162=Answers!D162,1,-1),0)</f>
        <v>0</v>
      </c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/>
      <c r="E163" s="5">
        <f>IF(D163&lt;&gt;"",IF(D163=Answers!D163,1,-1),0)</f>
        <v>0</v>
      </c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/>
      <c r="E164" s="5">
        <f>IF(D164&lt;&gt;"",IF(D164=Answers!D164,1,-1),0)</f>
        <v>0</v>
      </c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/>
      <c r="E165" s="5">
        <f>IF(D165&lt;&gt;"",IF(D165=Answers!D165,1,-1),0)</f>
        <v>0</v>
      </c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16" x14ac:dyDescent="0.3">
      <c r="B209" s="12" t="s">
        <v>80</v>
      </c>
    </row>
    <row r="210" spans="2:16" x14ac:dyDescent="0.3">
      <c r="B210" s="12" t="s">
        <v>81</v>
      </c>
    </row>
    <row r="212" spans="2:1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216" t="s">
        <v>145</v>
      </c>
    </row>
    <row r="213" spans="2:16" ht="15" thickTop="1" x14ac:dyDescent="0.3">
      <c r="G213" s="215" cm="1">
        <f t="array" aca="1" ref="G213" ca="1">INDIRECT(G212)</f>
        <v>45753.791666666664</v>
      </c>
      <c r="I213" t="s">
        <v>146</v>
      </c>
      <c r="L213" t="s">
        <v>147</v>
      </c>
    </row>
    <row r="214" spans="2:16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J214">
        <f ca="1">_xlfn.XLOOKUP(I214,Climatogram!$AN$35:$AN$41,Climatogram!$AM$35:$AM$41)</f>
        <v>2</v>
      </c>
      <c r="K214" t="str" cm="1">
        <f t="array" aca="1" ref="K214" ca="1">IF(_fnDay(INDIRECT("Climatogram!"&amp;ADDRESS(-H214+28,G214+2))),"D","N")</f>
        <v>N</v>
      </c>
      <c r="L214" cm="1">
        <f t="array" aca="1" ref="L214" ca="1">INDEX(_tClimate,H214,G214)</f>
        <v>7851241</v>
      </c>
      <c r="M214">
        <f ca="1">_xlfn.XLOOKUP(L214,Climatogram!$AM$5:$AM$10,Climatogram!$AL$5:$AL$10)</f>
        <v>22</v>
      </c>
      <c r="N214">
        <f ca="1">M214+IF(K214="N",1.5*J214,J214)</f>
        <v>25</v>
      </c>
      <c r="O214" t="str">
        <f ca="1">_xlfn.XLOOKUP(N214,Climatogram!$AJ$5:$AJ$10,Climatogram!$AI$5:$AI$10,,-1)</f>
        <v>Warm</v>
      </c>
      <c r="P214" t="str">
        <f ca="1">N214&amp;"-"&amp;O214</f>
        <v>25-Warm</v>
      </c>
    </row>
    <row r="215" spans="2:16" x14ac:dyDescent="0.3">
      <c r="F215" s="16"/>
      <c r="H215" t="str">
        <f ca="1">P214</f>
        <v>25-Warm</v>
      </c>
    </row>
    <row r="216" spans="2:16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217" t="s">
        <v>145</v>
      </c>
      <c r="H216" s="218" t="str">
        <f t="dataTable" ref="H216:H235" dt2D="0" dtr="0" r1="G212" ca="1"/>
        <v>25-Warm</v>
      </c>
    </row>
    <row r="217" spans="2:16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217" t="s">
        <v>149</v>
      </c>
      <c r="H217" s="218" t="str">
        <v>29-Hot</v>
      </c>
    </row>
    <row r="218" spans="2:16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217" t="s">
        <v>150</v>
      </c>
      <c r="H218" s="218" t="str">
        <v>25-Warm</v>
      </c>
    </row>
    <row r="219" spans="2:16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217" t="s">
        <v>151</v>
      </c>
      <c r="H219" s="218" t="str">
        <v>28-Warm</v>
      </c>
    </row>
    <row r="220" spans="2:16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217" t="s">
        <v>152</v>
      </c>
      <c r="H220" s="218" t="str">
        <v>25-Warm</v>
      </c>
    </row>
    <row r="221" spans="2:16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217" t="s">
        <v>153</v>
      </c>
      <c r="H221" s="218" t="str">
        <v>29-Hot</v>
      </c>
    </row>
    <row r="222" spans="2:16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217" t="s">
        <v>154</v>
      </c>
      <c r="H222" s="218" t="str">
        <v>25-Warm</v>
      </c>
    </row>
    <row r="223" spans="2:16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217" t="s">
        <v>155</v>
      </c>
      <c r="H223" s="218" t="str">
        <v>32-Hot</v>
      </c>
    </row>
    <row r="224" spans="2:16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217" t="s">
        <v>156</v>
      </c>
      <c r="H224" s="218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217" t="s">
        <v>157</v>
      </c>
      <c r="H225" s="218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217" t="s">
        <v>158</v>
      </c>
      <c r="H226" s="218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217" t="s">
        <v>159</v>
      </c>
      <c r="H227" s="218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217" t="s">
        <v>160</v>
      </c>
      <c r="H228" s="218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217" t="s">
        <v>161</v>
      </c>
      <c r="H229" s="218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217" t="s">
        <v>162</v>
      </c>
      <c r="H230" s="218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217" t="s">
        <v>163</v>
      </c>
      <c r="H231" s="218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217" t="s">
        <v>164</v>
      </c>
      <c r="H232" s="218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217" t="s">
        <v>165</v>
      </c>
      <c r="H233" s="218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217" t="s">
        <v>166</v>
      </c>
      <c r="H234" s="218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217" t="s">
        <v>148</v>
      </c>
      <c r="H235" s="218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/>
      <c r="E253" s="5">
        <f>IF(D253&lt;&gt;"",IF(D253=Answers!D253,1,-1),0)</f>
        <v>0</v>
      </c>
      <c r="F253" s="25">
        <v>45763.583333333336</v>
      </c>
    </row>
    <row r="254" spans="2:10" x14ac:dyDescent="0.3">
      <c r="B254" s="3">
        <v>122</v>
      </c>
      <c r="C254" s="2">
        <v>7</v>
      </c>
      <c r="D254" s="7"/>
      <c r="E254" s="5">
        <f>IF(D254&lt;&gt;"",IF(D254=Answers!D254,1,-1),0)</f>
        <v>0</v>
      </c>
      <c r="F254" s="25">
        <v>45750.875</v>
      </c>
    </row>
    <row r="255" spans="2:10" x14ac:dyDescent="0.3">
      <c r="B255" s="3">
        <v>123</v>
      </c>
      <c r="C255" s="2">
        <v>7</v>
      </c>
      <c r="D255" s="7"/>
      <c r="E255" s="5">
        <f>IF(D255&lt;&gt;"",IF(D255=Answers!D255,1,-1),0)</f>
        <v>0</v>
      </c>
      <c r="F255" s="25">
        <v>45771.583333333336</v>
      </c>
    </row>
    <row r="256" spans="2:10" x14ac:dyDescent="0.3">
      <c r="B256" s="3">
        <v>124</v>
      </c>
      <c r="C256" s="2">
        <v>7</v>
      </c>
      <c r="D256" s="7"/>
      <c r="E256" s="5">
        <f>IF(D256&lt;&gt;"",IF(D256=Answers!D256,1,-1),0)</f>
        <v>0</v>
      </c>
      <c r="F256" s="25">
        <v>45775.625</v>
      </c>
    </row>
    <row r="257" spans="2:6" x14ac:dyDescent="0.3">
      <c r="B257" s="3">
        <v>125</v>
      </c>
      <c r="C257" s="2">
        <v>7</v>
      </c>
      <c r="D257" s="7"/>
      <c r="E257" s="5">
        <f>IF(D257&lt;&gt;"",IF(D257=Answers!D257,1,-1),0)</f>
        <v>0</v>
      </c>
      <c r="F257" s="25">
        <v>45770.083333333336</v>
      </c>
    </row>
    <row r="258" spans="2:6" x14ac:dyDescent="0.3">
      <c r="B258" s="3">
        <v>126</v>
      </c>
      <c r="C258" s="2">
        <v>7</v>
      </c>
      <c r="D258" s="7"/>
      <c r="E258" s="5">
        <f>IF(D258&lt;&gt;"",IF(D258=Answers!D258,1,-1),0)</f>
        <v>0</v>
      </c>
      <c r="F258" s="25">
        <v>45758.375</v>
      </c>
    </row>
    <row r="259" spans="2:6" x14ac:dyDescent="0.3">
      <c r="B259" s="3">
        <v>127</v>
      </c>
      <c r="C259" s="2">
        <v>7</v>
      </c>
      <c r="D259" s="7"/>
      <c r="E259" s="5">
        <f>IF(D259&lt;&gt;"",IF(D259=Answers!D259,1,-1),0)</f>
        <v>0</v>
      </c>
      <c r="F259" s="25">
        <v>45764.75</v>
      </c>
    </row>
    <row r="260" spans="2:6" x14ac:dyDescent="0.3">
      <c r="B260" s="3">
        <v>128</v>
      </c>
      <c r="C260" s="2">
        <v>7</v>
      </c>
      <c r="D260" s="7"/>
      <c r="E260" s="5">
        <f>IF(D260&lt;&gt;"",IF(D260=Answers!D260,1,-1),0)</f>
        <v>0</v>
      </c>
      <c r="F260" s="25">
        <v>45758.666666666664</v>
      </c>
    </row>
    <row r="261" spans="2:6" x14ac:dyDescent="0.3">
      <c r="B261" s="3">
        <v>129</v>
      </c>
      <c r="C261" s="2">
        <v>7</v>
      </c>
      <c r="D261" s="7"/>
      <c r="E261" s="5">
        <f>IF(D261&lt;&gt;"",IF(D261=Answers!D261,1,-1),0)</f>
        <v>0</v>
      </c>
      <c r="F261" s="25">
        <v>45766.791666666664</v>
      </c>
    </row>
    <row r="262" spans="2:6" x14ac:dyDescent="0.3">
      <c r="B262" s="3">
        <v>130</v>
      </c>
      <c r="C262" s="2">
        <v>7</v>
      </c>
      <c r="D262" s="8"/>
      <c r="E262" s="5">
        <f>IF(D262&lt;&gt;"",IF(D262=Answers!D262,1,-1),0)</f>
        <v>0</v>
      </c>
      <c r="F262" s="25">
        <v>45763.125</v>
      </c>
    </row>
    <row r="263" spans="2:6" x14ac:dyDescent="0.3">
      <c r="B263" s="3">
        <v>131</v>
      </c>
      <c r="C263" s="2">
        <v>7</v>
      </c>
      <c r="D263" s="8"/>
      <c r="E263" s="5">
        <f>IF(D263&lt;&gt;"",IF(D263=Answers!D263,1,-1),0)</f>
        <v>0</v>
      </c>
      <c r="F263" s="25">
        <v>45770.5</v>
      </c>
    </row>
    <row r="264" spans="2:6" x14ac:dyDescent="0.3">
      <c r="B264" s="3">
        <v>132</v>
      </c>
      <c r="C264" s="2">
        <v>7</v>
      </c>
      <c r="D264" s="8"/>
      <c r="E264" s="5">
        <f>IF(D264&lt;&gt;"",IF(D264=Answers!D264,1,-1),0)</f>
        <v>0</v>
      </c>
      <c r="F264" s="25">
        <v>45766.041666666664</v>
      </c>
    </row>
    <row r="265" spans="2:6" x14ac:dyDescent="0.3">
      <c r="B265" s="3">
        <v>133</v>
      </c>
      <c r="C265" s="2">
        <v>7</v>
      </c>
      <c r="D265" s="8"/>
      <c r="E265" s="5">
        <f>IF(D265&lt;&gt;"",IF(D265=Answers!D265,1,-1),0)</f>
        <v>0</v>
      </c>
      <c r="F265" s="25">
        <v>45773.833333333336</v>
      </c>
    </row>
    <row r="266" spans="2:6" x14ac:dyDescent="0.3">
      <c r="B266" s="3">
        <v>134</v>
      </c>
      <c r="C266" s="2">
        <v>7</v>
      </c>
      <c r="D266" s="8"/>
      <c r="E266" s="5">
        <f>IF(D266&lt;&gt;"",IF(D266=Answers!D266,1,-1),0)</f>
        <v>0</v>
      </c>
      <c r="F266" s="25">
        <v>45758.583333333336</v>
      </c>
    </row>
    <row r="267" spans="2:6" x14ac:dyDescent="0.3">
      <c r="B267" s="3">
        <v>135</v>
      </c>
      <c r="C267" s="2">
        <v>7</v>
      </c>
      <c r="D267" s="8"/>
      <c r="E267" s="5">
        <f>IF(D267&lt;&gt;"",IF(D267=Answers!D267,1,-1),0)</f>
        <v>0</v>
      </c>
      <c r="F267" s="25">
        <v>45768.708333333336</v>
      </c>
    </row>
    <row r="268" spans="2:6" x14ac:dyDescent="0.3">
      <c r="B268" s="3">
        <v>136</v>
      </c>
      <c r="C268" s="2">
        <v>7</v>
      </c>
      <c r="D268" s="8"/>
      <c r="E268" s="5">
        <f>IF(D268&lt;&gt;"",IF(D268=Answers!D268,1,-1),0)</f>
        <v>0</v>
      </c>
      <c r="F268" s="25">
        <v>45759.291666666664</v>
      </c>
    </row>
    <row r="269" spans="2:6" x14ac:dyDescent="0.3">
      <c r="B269" s="3">
        <v>137</v>
      </c>
      <c r="C269" s="2">
        <v>7</v>
      </c>
      <c r="D269" s="8"/>
      <c r="E269" s="5">
        <f>IF(D269&lt;&gt;"",IF(D269=Answers!D269,1,-1),0)</f>
        <v>0</v>
      </c>
      <c r="F269" s="25">
        <v>45762.875</v>
      </c>
    </row>
    <row r="270" spans="2:6" x14ac:dyDescent="0.3">
      <c r="B270" s="3">
        <v>138</v>
      </c>
      <c r="C270" s="2">
        <v>7</v>
      </c>
      <c r="D270" s="8"/>
      <c r="E270" s="5">
        <f>IF(D270&lt;&gt;"",IF(D270=Answers!D270,1,-1),0)</f>
        <v>0</v>
      </c>
      <c r="F270" s="25">
        <v>45763.875</v>
      </c>
    </row>
    <row r="271" spans="2:6" x14ac:dyDescent="0.3">
      <c r="B271" s="3">
        <v>139</v>
      </c>
      <c r="C271" s="2">
        <v>7</v>
      </c>
      <c r="D271" s="8"/>
      <c r="E271" s="5">
        <f>IF(D271&lt;&gt;"",IF(D271=Answers!D271,1,-1),0)</f>
        <v>0</v>
      </c>
      <c r="F271" s="25">
        <v>45754.416666666664</v>
      </c>
    </row>
    <row r="272" spans="2:6" x14ac:dyDescent="0.3">
      <c r="B272" s="3">
        <v>140</v>
      </c>
      <c r="C272" s="2">
        <v>7</v>
      </c>
      <c r="D272" s="8"/>
      <c r="E272" s="5">
        <f>IF(D272&lt;&gt;"",IF(D272=Answers!D272,1,-1),0)</f>
        <v>0</v>
      </c>
      <c r="F272" s="25">
        <v>45767.291666666664</v>
      </c>
    </row>
  </sheetData>
  <mergeCells count="9">
    <mergeCell ref="F26:P26"/>
    <mergeCell ref="F27:P27"/>
    <mergeCell ref="F28:P28"/>
    <mergeCell ref="M33:P36"/>
    <mergeCell ref="N4:P4"/>
    <mergeCell ref="B5:L19"/>
    <mergeCell ref="N16:O16"/>
    <mergeCell ref="F24:P24"/>
    <mergeCell ref="F25:P25"/>
  </mergeCells>
  <phoneticPr fontId="34" type="noConversion"/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M44" sqref="M44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10">
        <v>45748</v>
      </c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2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/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11">
        <v>45748</v>
      </c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13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08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08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14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05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05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05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05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05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05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05"/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05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05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05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05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05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05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06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07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08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08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08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08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09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211" zoomScaleNormal="100" workbookViewId="0">
      <selection activeCell="D235" sqref="D235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9" t="s">
        <v>2</v>
      </c>
      <c r="O4" s="199"/>
      <c r="P4" s="199"/>
    </row>
    <row r="5" spans="2:16" ht="15" customHeight="1" thickTop="1" x14ac:dyDescent="0.3">
      <c r="B5" s="200" t="s">
        <v>3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</row>
    <row r="6" spans="2:16" x14ac:dyDescent="0.3"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</row>
    <row r="7" spans="2:16" x14ac:dyDescent="0.3"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</row>
    <row r="8" spans="2:16" x14ac:dyDescent="0.3"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</row>
    <row r="9" spans="2:16" x14ac:dyDescent="0.3"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2:16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</row>
    <row r="11" spans="2:16" x14ac:dyDescent="0.3"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</row>
    <row r="12" spans="2:16" x14ac:dyDescent="0.3"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</row>
    <row r="13" spans="2:16" x14ac:dyDescent="0.3"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</row>
    <row r="14" spans="2:16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</row>
    <row r="15" spans="2:16" x14ac:dyDescent="0.3">
      <c r="B15" s="201"/>
      <c r="C15" s="201"/>
      <c r="D15" s="201"/>
      <c r="E15" s="201"/>
      <c r="F15" s="201"/>
      <c r="G15" s="201"/>
      <c r="H15" s="201"/>
      <c r="I15" s="201"/>
      <c r="J15" s="201"/>
      <c r="K15" s="201"/>
      <c r="L15" s="201"/>
    </row>
    <row r="16" spans="2:16" ht="15" thickBot="1" x14ac:dyDescent="0.35">
      <c r="B16" s="201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N16" s="203" t="s">
        <v>4</v>
      </c>
      <c r="O16" s="203"/>
      <c r="P16" s="24" t="str">
        <f>HYPERLINK("https://www.linkedin.com/in/thomas-marcelo/","🔗")</f>
        <v>🔗</v>
      </c>
    </row>
    <row r="17" spans="2:16" ht="15" thickTop="1" x14ac:dyDescent="0.3">
      <c r="B17" s="201"/>
      <c r="C17" s="201"/>
      <c r="D17" s="201"/>
      <c r="E17" s="201"/>
      <c r="F17" s="201"/>
      <c r="G17" s="201"/>
      <c r="H17" s="201"/>
      <c r="I17" s="201"/>
      <c r="J17" s="201"/>
      <c r="K17" s="201"/>
      <c r="L17" s="201"/>
      <c r="N17" s="179" t="s">
        <v>5</v>
      </c>
      <c r="O17" s="180"/>
      <c r="P17" s="180"/>
    </row>
    <row r="18" spans="2:16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04" t="s">
        <v>15</v>
      </c>
      <c r="G24" s="204"/>
      <c r="H24" s="204"/>
      <c r="I24" s="204"/>
      <c r="J24" s="204"/>
      <c r="K24" s="204"/>
      <c r="L24" s="204"/>
      <c r="M24" s="204"/>
      <c r="N24" s="204"/>
      <c r="O24" s="204"/>
      <c r="P24" s="204"/>
    </row>
    <row r="25" spans="2:16" x14ac:dyDescent="0.3">
      <c r="B25" s="21" t="s">
        <v>16</v>
      </c>
      <c r="C25" s="22" t="s">
        <v>17</v>
      </c>
      <c r="D25" s="175">
        <v>3</v>
      </c>
      <c r="F25" s="189" t="s">
        <v>18</v>
      </c>
      <c r="G25" s="189"/>
      <c r="H25" s="189"/>
      <c r="I25" s="189"/>
      <c r="J25" s="189"/>
      <c r="K25" s="189"/>
      <c r="L25" s="189"/>
      <c r="M25" s="189"/>
      <c r="N25" s="189"/>
      <c r="O25" s="189"/>
      <c r="P25" s="189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189" t="s">
        <v>21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189" t="s">
        <v>24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189" t="s">
        <v>27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2025-07-09T01:54:15Z</dcterms:modified>
  <cp:category/>
  <cp:contentStatus/>
</cp:coreProperties>
</file>