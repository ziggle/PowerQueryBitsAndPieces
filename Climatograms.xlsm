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EDCE53D-6F10-4EAD-9E76-FF760355F615}" xr6:coauthVersionLast="47" xr6:coauthVersionMax="47" xr10:uidLastSave="{00000000-0000-0000-0000-000000000000}"/>
  <bookViews>
    <workbookView xWindow="-28920" yWindow="-120" windowWidth="29040" windowHeight="15720" xr2:uid="{70558919-D3A7-4E3B-855B-0543A1B21D34}"/>
  </bookViews>
  <sheets>
    <sheet name="Case" sheetId="16" r:id="rId1"/>
    <sheet name="Climatogram" sheetId="18" r:id="rId2"/>
    <sheet name="Answers" sheetId="19" r:id="rId3"/>
  </sheets>
  <functionGroups builtInGroupCount="19"/>
  <definedNames>
    <definedName name="_fnDay">_xlfn.LAMBDA(_xlpm.z, _xlfn.LET(_xlpm.a, _xlfn.REDUCE(FALSE,_nA1,_xlfn.LAMBDA(_xlpm.a,_xlpm.v,OR(_xlpm.a,CELL("address",_xlpm.z)=CELL("address",_xlpm.v)))),                _xlpm.b, _xlfn.REDUCE(FALSE,_nA2,_xlfn.LAMBDA(_xlpm.a,_xlpm.v,OR(_xlpm.a,CELL("address",_xlpm.z)=CELL("address",_xlpm.v)))),                _xlpm.c, _xlfn.REDUCE(FALSE,_nA3,_xlfn.LAMBDA(_xlpm.a,_xlpm.v,OR(_xlpm.a,CELL("address",_xlpm.z)=CELL("address",_xlpm.v)))),                _xlpm.d, _xlfn.REDUCE(FALSE,_nA4,_xlfn.LAMBDA(_xlpm.a,_xlpm.v,OR(_xlpm.a,CELL("address",_xlpm.z)=CELL("address",_xlpm.v)))),                OR(_xlpm.a,_xlpm.b,_xlpm.c,_xlpm.d)) )</definedName>
    <definedName name="_nA1">Climatogram!$C$11:$AF$21</definedName>
    <definedName name="_nA2">Climatogram!$O$10:$AF$10</definedName>
    <definedName name="_nA3">Climatogram!$AF$9</definedName>
    <definedName name="_nA4">Climatogram!$T$22:$AF$22</definedName>
    <definedName name="_nD">Climatogram!$C$11:$AF$21,Climatogram!$O$10:$AF$10,Climatogram!$AF$9,Climatogram!$T$22:$AF$22</definedName>
    <definedName name="_nDay">Climatogram!$C$11:$AF$21,Climatogram!$O$10:$AF$10,Climatogram!$AF$9,Climatogram!$T$22:$AF$22</definedName>
    <definedName name="_nDorN">Climatogram!$AG$5:$AG$28</definedName>
    <definedName name="_tClimate">Climatogram!$C$5:$AF$28</definedName>
    <definedName name="_xleta.INT" hidden="1" xlm="1">#NAME?</definedName>
    <definedName name="_xleta.MAP" hidden="1" xlm="1">#NAME?</definedName>
    <definedName name="_xlpm.a" hidden="1" xlm="1">#NAME?</definedName>
    <definedName name="_xlpm.aa_aa" hidden="1" xlm="1">#NAME?</definedName>
    <definedName name="_xlpm.aaa_aaa" hidden="1" xlm="1">#NAME?</definedName>
    <definedName name="_xlpm.b" hidden="1" xlm="1">#NAME?</definedName>
    <definedName name="_xlpm.bb_bb" hidden="1" xlm="1">#NAME?</definedName>
    <definedName name="_xlpm.bbb_bbb" hidden="1" xlm="1">#NAME?</definedName>
    <definedName name="_xlpm.c" hidden="1" xlm="1">#NAME?</definedName>
    <definedName name="_xlpm.cc_cc" hidden="1" xlm="1">#NAME?</definedName>
    <definedName name="_xlpm.ccc_ccc" hidden="1" xlm="1">#NAME?</definedName>
    <definedName name="_xlpm.d" hidden="1" xlm="1">#NAME?</definedName>
    <definedName name="_xlpm.dd_dd" hidden="1" xlm="1">#NAME?</definedName>
    <definedName name="_xlpm.ddd_ddd" hidden="1" xlm="1">#NAME?</definedName>
    <definedName name="_xlpm.ee_ee" hidden="1" xlm="1">#NAME?</definedName>
    <definedName name="_xlpm.eee_eee" hidden="1" xlm="1">#NAME?</definedName>
    <definedName name="_xlpm.ff_ff" hidden="1" xlm="1">#NAME?</definedName>
    <definedName name="_xlpm.fff_fff" hidden="1" xlm="1">#NAME?</definedName>
    <definedName name="_xlpm.gg_gg" hidden="1" xlm="1">#NAME?</definedName>
    <definedName name="_xlpm.ggg_ggg" hidden="1" xlm="1">#NAME?</definedName>
    <definedName name="_xlpm.hh_hh" hidden="1" xlm="1">#NAME?</definedName>
    <definedName name="_xlpm.hhh_hhh" hidden="1" xlm="1">#NAME?</definedName>
    <definedName name="_xlpm.ii_ii" hidden="1" xlm="1">#NAME?</definedName>
    <definedName name="_xlpm.iii_iii" hidden="1" xlm="1">#NAME?</definedName>
    <definedName name="_xlpm.jj_jj" hidden="1" xlm="1">#NAME?</definedName>
    <definedName name="_xlpm.jjj_jjj" hidden="1" xlm="1">#NAME?</definedName>
    <definedName name="_xlpm.kk_kk" hidden="1" xlm="1">#NAME?</definedName>
    <definedName name="_xlpm.kkk_kkk" hidden="1" xlm="1">#NAME?</definedName>
    <definedName name="_xlpm.ll_ll" hidden="1" xlm="1">#NAME?</definedName>
    <definedName name="_xlpm.lll_lll" hidden="1" xlm="1">#NAME?</definedName>
    <definedName name="_xlpm.mm_mm" hidden="1" xlm="1">#NAME?</definedName>
    <definedName name="_xlpm.mmm_mmm" hidden="1" xlm="1">#NAME?</definedName>
    <definedName name="_xlpm.nn_nn" hidden="1" xlm="1">#NAME?</definedName>
    <definedName name="_xlpm.oo_oo" hidden="1" xlm="1">#NAME?</definedName>
    <definedName name="_xlpm.pp_pp" hidden="1" xlm="1">#NAME?</definedName>
    <definedName name="_xlpm.q" hidden="1" xlm="1">#NAME?</definedName>
    <definedName name="_xlpm.qq_qq" hidden="1" xlm="1">#NAME?</definedName>
    <definedName name="_xlpm.rr_rr" hidden="1" xlm="1">#NAME?</definedName>
    <definedName name="_xlpm.ss_ss" hidden="1" xlm="1">#NAME?</definedName>
    <definedName name="_xlpm.tt_tt" hidden="1" xlm="1">#NAME?</definedName>
    <definedName name="_xlpm.uu_uu" hidden="1" xlm="1">#NAME?</definedName>
    <definedName name="_xlpm.v" hidden="1" xlm="1">#NAME?</definedName>
    <definedName name="_xlpm.vv_vv" hidden="1" xlm="1">#NAME?</definedName>
    <definedName name="_xlpm.ww_ww" hidden="1" xlm="1">#NAME?</definedName>
    <definedName name="_xlpm.x" hidden="1" xlm="1">#NAME?</definedName>
    <definedName name="_xlpm.xx_xx" hidden="1" xlm="1">#NAME?</definedName>
    <definedName name="_xlpm.yy_yy" hidden="1" xlm="1">#NAME?</definedName>
    <definedName name="_xlpm.z" hidden="1" xlm="1">#NAME?</definedName>
    <definedName name="_xlpm.zz_zz" hidden="1" xlm="1">#NAME?</definedName>
    <definedName name="a_a">_xlfn.LAMBDA(_xlpm.aa_aa,_xlfn.LET(_xlpm.bb_bb, x_x(_xlpm.aa_aa), _xlpm.ff_ff, 1779033703, _xlpm.gg_gg, 3144134277, _xlpm.hh_hh, 1013904242, _xlpm.ii_ii, 2773480762, _xlpm.jj_jj, 1359893119, _xlpm.kk_kk, 2600822924, _xlpm.ll_ll, 528734635, _xlpm.mm_mm, 1541459225, _xlpm.cc_cc, t_t(_xlpm.bb_bb), _xlpm.dd_dd, w_w(_xlpm.cc_cc), _xlpm.ee_ee, u_u(_xlpm.dd_dd, _xlpm.ff_ff, _xlpm.gg_gg, _xlpm.hh_hh, _xlpm.ii_ii, _xlpm.jj_jj, _xlpm.kk_kk, _xlpm.ll_ll, _xlpm.mm_mm), o_o(_xlfn.SINGLE(INDEX(_xlpm.ee_ee, 1)), _xlfn.SINGLE(INDEX(_xlpm.ee_ee, 2)), _xlfn.SINGLE(INDEX(_xlpm.ee_ee, 3)), _xlfn.SINGLE(INDEX(_xlpm.ee_ee, 4)), _xlfn.SINGLE(INDEX(_xlpm.ee_ee, 5)), _xlfn.SINGLE(INDEX(_xlpm.ee_ee, 6)), _xlfn.SINGLE(INDEX(_xlpm.ee_ee, 7)), _xlfn.SINGLE(INDEX(_xlpm.ee_ee, 8)))))</definedName>
    <definedName name="b_b">_xlfn.LAMBDA(_xlpm.aa_aa,_xlfn.LET(_xlpm.bb_bb, MID(_xlpm.aa_aa, _xlfn.SEQUENCE(LEN(_xlpm.aa_aa)), 1), _xlpm.cc_cc, VALUE(_xlpm.bb_bb) * POWER(2, LEN(_xlpm.aa_aa) - _xlfn.SEQUENCE(LEN(_xlpm.aa_aa))), SUM(_xlpm.cc_cc)))</definedName>
    <definedName name="c_c">_xlfn.LAMBDA(_xlpm.aa_aa,_xlpm.bb_bb,_xlfn.LET(_xlpm.cc_cc, IF(ISNUMBER(_xlpm.aa_aa), _xlpm.aa_aa, 0), _xlpm.dd_dd, IF(ISNUMBER(_xlpm.bb_bb), _xlpm.bb_bb, 0), d_d(_xlpm.cc_cc, _xlpm.dd_dd, 31)))</definedName>
    <definedName name="d_d">_xlfn.LAMBDA(_xlpm.aa_aa,_xlpm.bb_bb,_xlpm.cc_cc,IF(_xlpm.cc_cc &lt; 0, 0, _xlfn.LET(_xlpm.dd_dd, IF(MOD(INT(_xlpm.aa_aa / POWER(2, _xlpm.cc_cc)), 2) * MOD(INT(_xlpm.bb_bb / POWER(2, _xlpm.cc_cc)), 2) = 1, POWER(2, _xlpm.cc_cc), 0), _xlpm.dd_dd + d_d(_xlpm.aa_aa, _xlpm.bb_bb, _xlpm.cc_cc - 1))))</definedName>
    <definedName name="e_e">_xlfn.LAMBDA(_xlpm.aa_aa,_xlpm.bb_bb,_xlfn.LET(_xlpm.cc_cc, IF(ISNUMBER(_xlpm.aa_aa), _xlpm.aa_aa, 0), _xlpm.dd_dd, IF(ISNUMBER(_xlpm.bb_bb), _xlpm.bb_bb, 0), MOD(_xlpm.cc_cc * POWER(2, _xlpm.dd_dd), POWER(2, 32))))</definedName>
    <definedName name="f_f">_xlfn.LAMBDA(_xlpm.aa_aa,_xlfn.LET(_xlpm.bb_bb, IF(ISNUMBER(_xlpm.aa_aa), _xlpm.aa_aa, 0), g_g(_xlpm.bb_bb, 31)))</definedName>
    <definedName name="g_g">_xlfn.LAMBDA(_xlpm.aa_aa,_xlpm.bb_bb,IF(_xlpm.bb_bb &lt; 0, 0, _xlfn.LET(_xlpm.cc_cc, IF(MOD(INT(_xlpm.aa_aa / POWER(2, _xlpm.bb_bb)), 2) = 0, POWER(2, _xlpm.bb_bb), 0), _xlpm.cc_cc + g_g(_xlpm.aa_aa, _xlpm.bb_bb - 1))))</definedName>
    <definedName name="h_h">_xlfn.LAMBDA(_xlpm.aa_aa,_xlpm.bb_bb,_xlfn.LET(_xlpm.cc_cc, IF(ISNUMBER(_xlpm.aa_aa), _xlpm.aa_aa, 0), _xlpm.dd_dd, IF(ISNUMBER(_xlpm.bb_bb), _xlpm.bb_bb, 0), i_i(_xlpm.cc_cc, _xlpm.dd_dd, 31)))</definedName>
    <definedName name="i_i">_xlfn.LAMBDA(_xlpm.aa_aa,_xlpm.bb_bb,_xlpm.cc_cc,IF(_xlpm.cc_cc &lt; 0, 0, _xlfn.LET(_xlpm.dd_dd, IF(MOD(INT(_xlpm.aa_aa / POWER(2, _xlpm.cc_cc)), 2) + MOD(INT(_xlpm.bb_bb / POWER(2, _xlpm.cc_cc)), 2) &gt; 0, POWER(2, _xlpm.cc_cc), 0), _xlpm.dd_dd + i_i(_xlpm.aa_aa, _xlpm.bb_bb, _xlpm.cc_cc - 1))))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j_j">_xlfn.LAMBDA(_xlpm.aa_aa,_xlpm.bb_bb,_xlfn.LET(_xlpm.cc_cc, IF(ISNUMBER(_xlpm.aa_aa), _xlpm.aa_aa, 0), _xlpm.dd_dd, IF(ISNUMBER(_xlpm.bb_bb), _xlpm.bb_bb, 0), h_h(k_k(_xlpm.cc_cc, _xlpm.dd_dd), e_e(_xlpm.cc_cc, 32 - _xlpm.dd_dd))))</definedName>
    <definedName name="k_k">_xlfn.LAMBDA(_xlpm.aa_aa,_xlpm.bb_bb,_xlfn.LET(_xlpm.cc_cc, IF(ISNUMBER(_xlpm.aa_aa), _xlpm.aa_aa, 0), _xlpm.dd_dd, IF(ISNUMBER(_xlpm.bb_bb), _xlpm.bb_bb, 0), INT(_xlpm.cc_cc / POWER(2, _xlpm.dd_dd))))</definedName>
    <definedName name="l_l">_xlfn.LAMBDA(_xlpm.aa_aa,_xlpm.bb_bb,_xlfn.LET(_xlpm.cc_cc, IF(ISNUMBER(_xlpm.aa_aa), _xlpm.aa_aa, 0), _xlpm.dd_dd, IF(ISNUMBER(_xlpm.bb_bb), _xlpm.bb_bb, 0), m_m(_xlpm.cc_cc, _xlpm.dd_dd, 31)))</definedName>
    <definedName name="m_m">_xlfn.LAMBDA(_xlpm.aa_aa,_xlpm.bb_bb,_xlpm.cc_cc,IF(_xlpm.cc_cc &lt; 0, 0, _xlfn.LET(_xlpm.dd_dd, IF(MOD(MOD(INT(_xlpm.aa_aa / POWER(2, _xlpm.cc_cc)), 2) + MOD(INT(_xlpm.bb_bb / POWER(2, _xlpm.cc_cc)), 2), 2) = 1, POWER(2, _xlpm.cc_cc), 0), _xlpm.dd_dd + m_m(_xlpm.aa_aa, _xlpm.bb_bb, _xlpm.cc_cc - 1))))</definedName>
    <definedName name="n_n">_xlfn.LAMBDA(_xlpm.aa_aa,_xlpm.bb_bb,_xlpm.cc_cc,l_l(_xlpm.aa_aa, l_l(_xlpm.bb_bb, _xlpm.cc_cc)))</definedName>
    <definedName name="o_o">_xlfn.LAMBDA(_xlpm.aa_aa,_xlpm.bb_bb,_xlpm.cc_cc,_xlpm.dd_dd,_xlpm.ee_ee,_xlpm.ff_ff,_xlpm.gg_gg,_xlpm.hh_hh,_xlfn.LET(_xlpm.ii_ii, r_r(_xlpm.aa_aa), _xlpm.jj_jj, r_r(_xlpm.bb_bb), _xlpm.kk_kk, r_r(_xlpm.cc_cc), _xlpm.ll_ll, r_r(_xlpm.dd_dd), _xlpm.mm_mm, r_r(_xlpm.ee_ee), _xlpm.nn_nn, r_r(_xlpm.ff_ff), _xlpm.oo_oo, r_r(_xlpm.gg_gg), _xlpm.pp_pp, r_r(_xlpm.hh_hh), _xlfn.CONCAT(_xlpm.ii_ii, _xlpm.jj_jj, _xlpm.kk_kk, _xlpm.ll_ll, _xlpm.mm_mm, _xlpm.nn_nn, _xlpm.oo_oo, _xlpm.pp_pp)))</definedName>
    <definedName name="p_p">_xlfn.LAMBDA(_xlpm.aa_aa,_xlpm.bb_bb,_xlpm.cc_cc,_xlpm.dd_dd,_xlpm.ee_ee,_xlpm.ff_ff,_xlpm.gg_gg,_xlpm.hh_hh,_xlpm.ii_ii,_xlpm.jj_jj,_xlfn.LET(_xlpm.kk_kk, _xlfn.SEQUENCE(64), _xlpm.ll_ll, _xlfn.VSTACK(_xlpm.aa_aa, _xlpm.bb_bb, _xlpm.cc_cc, _xlpm.dd_dd, _xlpm.ee_ee, _xlpm.ff_ff, _xlpm.gg_gg, _xlpm.hh_hh), _xlpm.mm_mm, _xlfn.REDUCE(_xlpm.ll_ll, _xlpm.kk_kk, _xlfn.LAMBDA(_xlpm.nn_nn,_xlpm.oo_oo, _xlfn.LET(_xlpm.pp_pp, _xlfn.SINGLE(INDEX(_xlpm.nn_nn, 1)), _xlpm.qq_qq, _xlfn.SINGLE(INDEX(_xlpm.nn_nn, 2)), _xlpm.rr_rr, _xlfn.SINGLE(INDEX(_xlpm.nn_nn, 3)), _xlpm.ss_ss, _xlfn.SINGLE(INDEX(_xlpm.nn_nn, 4)), _xlpm.tt_tt, _xlfn.SINGLE(INDEX(_xlpm.nn_nn, 5)), _xlpm.uu_uu, _xlfn.SINGLE(INDEX(_xlpm.nn_nn, 6)), _xlpm.vv_vv, _xlfn.SINGLE(INDEX(_xlpm.nn_nn, 7)), _xlpm.xx_xx, _xlfn.SINGLE(INDEX(_xlpm.nn_nn, 8)), _xlpm.ww_ww, b_b(_xlfn.SINGLE(INDEX(_xlpm.ii_ii, _xlpm.oo_oo))), _xlpm.yy_yy, _xlfn.SINGLE(INDEX(_xlpm.jj_jj, _xlpm.oo_oo)), _xlpm.zz_zz, n_n(j_j(_xlpm.tt_tt, 6), j_j(_xlpm.tt_tt, 11), j_j(_xlpm.tt_tt, 25)), _xlpm.aaa_aaa, l_l(c_c(_xlpm.tt_tt, _xlpm.uu_uu), c_c(f_f(_xlpm.tt_tt), _xlpm.vv_vv)), _xlpm.bbb_bbb, MOD(_xlpm.xx_xx + _xlpm.zz_zz + _xlpm.aaa_aaa + _xlpm.yy_yy + _xlpm.ww_ww, POWER(2, 32)), _xlpm.ccc_ccc, n_n(j_j(_xlpm.pp_pp, 2), j_j(_xlpm.pp_pp, 13), j_j(_xlpm.pp_pp, 22)), _xlpm.ddd_ddd, n_n(c_c(_xlpm.pp_pp, _xlpm.qq_qq), c_c(_xlpm.pp_pp, _xlpm.rr_rr), c_c(_xlpm.qq_qq, _xlpm.rr_rr)), _xlpm.eee_eee, MOD(_xlpm.ccc_ccc + _xlpm.ddd_ddd, POWER(2, 32)), _xlpm.fff_fff, _xlpm.vv_vv, _xlpm.ggg_ggg, _xlpm.uu_uu, _xlpm.hhh_hhh, _xlpm.tt_tt, _xlpm.iii_iii, MOD(_xlpm.ss_ss + _xlpm.bbb_bbb, POWER(2, 32)), _xlpm.jjj_jjj, _xlpm.rr_rr, _xlpm.kkk_kkk, _xlpm.qq_qq, _xlpm.lll_lll, _xlpm.pp_pp, _xlpm.mmm_mmm, MOD(_xlpm.bbb_bbb + _xlpm.eee_eee, POWER(2, 32)), _xlfn.VSTACK(_xlpm.mmm_mmm, _xlpm.lll_lll, _xlpm.kkk_kkk, _xlpm.jjj_jjj, _xlpm.iii_iii, _xlpm.hhh_hhh, _xlpm.ggg_ggg, _xlpm.fff_fff)))), _xlpm.mm_mm))</definedName>
    <definedName name="q_q">_xlfn.LAMBDA(_xlpm.aa_aa,_xlpm.bb_bb,_xlfn.LET(_xlpm.cc_cc, _xlfn.SEQUENCE(_xlpm.bb_bb), _xlpm.dd_dd, MOD(INT(_xlpm.aa_aa / POWER(2, _xlpm.bb_bb - _xlpm.cc_cc)), 2), _xlfn.CONCAT(_xlpm.dd_dd)))</definedName>
    <definedName name="r_r">_xlfn.LAMBDA(_xlpm.aa_aa,_xlfn.LET(_xlpm.bb_bb, _xlfn.VSTACK("0", "1", "2", "3", "4", "5", "6", "7", "8", "9", "a", "b", "c", "d", "e", "f"), _xlpm.cc_cc, _xlfn.SEQUENCE(8), _xlpm.dd_dd, INDEX(_xlpm.bb_bb, MOD(INT(_xlpm.aa_aa / POWER(16, 8 - _xlpm.cc_cc)), 16) + 1), _xlfn.CONCAT(_xlpm.dd_dd)))</definedName>
    <definedName name="s_s">_xlfn.LAMBDA(_xlpm.aa_aa,_xlfn.REDUCE(_xlpm.aa_aa, _xlfn.SEQUENCE(48), _xlfn.LAMBDA(_xlpm.bb_bb,_xlpm.cc_cc, _xlfn.LET(_xlpm.dd_dd, _xlpm.cc_cc + 16, _xlpm.ee_ee, b_b(_xlfn.SINGLE(INDEX(_xlpm.bb_bb, _xlpm.dd_dd - 2))), _xlpm.ff_ff, b_b(_xlfn.SINGLE(INDEX(_xlpm.bb_bb, _xlpm.dd_dd - 7))), _xlpm.gg_gg, b_b(_xlfn.SINGLE(INDEX(_xlpm.bb_bb, _xlpm.dd_dd - 15))), _xlpm.hh_hh, b_b(_xlfn.SINGLE(INDEX(_xlpm.bb_bb, _xlpm.dd_dd - 16))), _xlpm.ii_ii, n_n(j_j(_xlpm.gg_gg, 7), j_j(_xlpm.gg_gg, 18), k_k(_xlpm.gg_gg, 3)), _xlpm.jj_jj, n_n(j_j(_xlpm.ee_ee, 17), j_j(_xlpm.ee_ee, 19), k_k(_xlpm.ee_ee, 10)), _xlpm.kk_kk, MOD(_xlpm.hh_hh + _xlpm.ii_ii + _xlpm.ff_ff + _xlpm.jj_jj, POWER(2, 32)), _xlpm.ll_ll, q_q(_xlpm.kk_kk, 32), _xlfn.VSTACK(_xlpm.bb_bb, _xlpm.ll_ll)))))</definedName>
    <definedName name="t_t">_xlfn.LAMBDA(_xlpm.aa_aa,_xlfn.LET(_xlpm.bb_bb, LEN(_xlpm.aa_aa), _xlpm.cc_cc, MOD(448 - _xlpm.bb_bb - 1, 512), _xlpm.dd_dd, q_q(_xlpm.bb_bb, 64), _xlpm.aa_aa &amp; "1" &amp; REPT("0", _xlpm.cc_cc) &amp; _xlpm.dd_dd))</definedName>
    <definedName name="u_u">_xlfn.LAMBDA(_xlpm.aa_aa,_xlpm.bb_bb,_xlpm.cc_cc,_xlpm.dd_dd,_xlpm.ee_ee,_xlpm.ff_ff,_xlpm.gg_gg,_xlpm.hh_hh,_xlpm.ii_ii,_xlfn.LET(_xlpm.jj_jj, ROWS(_xlpm.aa_aa), _xlpm.kk_kk, _xlfn.VSTACK(_xlpm.bb_bb, _xlpm.cc_cc, _xlpm.dd_dd, _xlpm.ee_ee, _xlpm.ff_ff, _xlpm.gg_gg, _xlpm.hh_hh, _xlpm.ii_ii), _xlfn.REDUCE(_xlpm.kk_kk, _xlfn.SEQUENCE(_xlpm.jj_jj), _xlfn.LAMBDA(_xlpm.ll_ll,_xlpm.mm_mm, _xlfn.LET(_xlpm.nn_nn, _xlfn.SINGLE(INDEX(_xlpm.ll_ll, 1)), _xlpm.oo_oo, _xlfn.SINGLE(INDEX(_xlpm.ll_ll, 2)), _xlpm.pp_pp, _xlfn.SINGLE(INDEX(_xlpm.ll_ll, 3)), _xlpm.qq_qq, _xlfn.SINGLE(INDEX(_xlpm.ll_ll, 4)), _xlpm.rr_rr, _xlfn.SINGLE(INDEX(_xlpm.ll_ll, 5)), _xlpm.ss_ss, _xlfn.SINGLE(INDEX(_xlpm.ll_ll, 6)), _xlpm.tt_tt, _xlfn.SINGLE(INDEX(_xlpm.ll_ll, 7)), _xlpm.uu_uu, _xlfn.SINGLE(INDEX(_xlpm.ll_ll, 8)), _xlpm.vv_vv, _xlfn.SINGLE(INDEX(_xlpm.aa_aa, _xlpm.mm_mm)), _xlpm.xx_xx, v_v(_xlpm.vv_vv, _xlpm.nn_nn, _xlpm.oo_oo, _xlpm.pp_pp, _xlpm.qq_qq, _xlpm.rr_rr, _xlpm.ss_ss, _xlpm.tt_tt, _xlpm.uu_uu), _xlpm.ww_ww, _xlpm.nn_nn + _xlfn.SINGLE(INDEX(_xlpm.xx_xx, 1)), _xlpm.yy_yy, _xlpm.oo_oo + _xlfn.SINGLE(INDEX(_xlpm.xx_xx, 2)), _xlpm.zz_zz, _xlpm.pp_pp + _xlfn.SINGLE(INDEX(_xlpm.xx_xx, 3)), _xlpm.aaa_aaa, _xlpm.qq_qq + _xlfn.SINGLE(INDEX(_xlpm.xx_xx, 4)), _xlpm.bbb_bbb, _xlpm.rr_rr + _xlfn.SINGLE(INDEX(_xlpm.xx_xx, 5)), _xlpm.ccc_ccc, _xlpm.ss_ss + _xlfn.SINGLE(INDEX(_xlpm.xx_xx, 6)), _xlpm.ddd_ddd, _xlpm.tt_tt + _xlfn.SINGLE(INDEX(_xlpm.xx_xx, 7)), _xlpm.eee_eee, _xlpm.uu_uu + _xlfn.SINGLE(INDEX(_xlpm.xx_xx, 8)), _xlfn.VSTACK(_xlpm.ww_ww, _xlpm.yy_yy, _xlpm.zz_zz, _xlpm.aaa_aaa, _xlpm.bbb_bbb, _xlpm.ccc_ccc, _xlpm.ddd_ddd, _xlpm.eee_eee))))))</definedName>
    <definedName name="v_v">_xlfn.LAMBDA(_xlpm.aa_aa,_xlpm.bb_bb,_xlpm.cc_cc,_xlpm.dd_dd,_xlpm.ee_ee,_xlpm.ff_ff,_xlpm.gg_gg,_xlpm.hh_hh,_xlpm.ii_ii,_xlfn.LET(_xlpm.jj_jj, _xlfn.VSTACK(1116352408, 1899447441, 3049323471, 3921009573, 961987163, 1508970993, 2453635748, 2870763221, 3624381080, 310598401, 607225278, 1426881987, 1925078388, 2162078206, 2614888103, 3248222580, 3835390401, 4022224774, 264347078, 604807628, 770255983, 1249150122, 1555081692, 1996064986, 2554220882, 2821834349, 2952996808, 3210313671, 3336571891, 3584528711, 113926993, 338241895, 666307205, 773529912, 1294757372, 1396182291, 1695183700, 1986661051, 2177026350, 2456956037, 2730485921, 2820302411, 3259730800, 3345764771, 3516065817, 3600352804, 4094571909, 275423344, 430227734, 506948616, 659060556, 883997877, 958139571, 1322822218, 1537002063, 1747873779, 1955562222, 2024104815, 2227730452, 2361852424, 2428436474, 2756734187, 3204031479, 3329325298), _xlpm.kk_kk, _xlfn.SEQUENCE(16), _xlpm.ll_ll, MID(_xlpm.aa_aa, (_xlpm.kk_kk - 1) * 32 + 1, 32), _xlpm.mm_mm, s_s(_xlpm.ll_ll), p_p(_xlpm.bb_bb, _xlpm.cc_cc, _xlpm.dd_dd, _xlpm.ee_ee, _xlpm.ff_ff, _xlpm.gg_gg, _xlpm.hh_hh, _xlpm.ii_ii, _xlpm.mm_mm, _xlpm.jj_jj)))</definedName>
    <definedName name="w_w">_xlfn.LAMBDA(_xlpm.aa_aa,_xlfn.LET(_xlpm.bb_bb, LEN(_xlpm.aa_aa) / 512, _xlpm.cc_cc, _xlfn.SEQUENCE(_xlpm.bb_bb), MID(_xlpm.aa_aa, (_xlpm.cc_cc - 1) * 512 + 1, 512)))</definedName>
    <definedName name="x_x">_xlfn.LAMBDA(_xlpm.aa_aa,_xlfn.LET(_xlpm.bb_bb, MID(_xlpm.aa_aa, _xlfn.SEQUENCE(LEN(_xlpm.aa_aa)), 1), _xlpm.cc_cc, _xlfn.UNICODE(_xlpm.bb_bb), _xlpm.dd_dd, _xlfn.MAP(_xlpm.cc_cc, _xlfn.LAMBDA(_xlpm.ee_ee, q_q(_xlpm.ee_ee, 8))), _xlfn.CONCAT(_xlpm.dd_dd)))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5" i="16" l="1" a="1"/>
  <c r="K75" i="16" s="1"/>
  <c r="L75" i="16" s="1"/>
  <c r="K76" i="16" a="1"/>
  <c r="K76" i="16" s="1"/>
  <c r="L76" i="16" s="1"/>
  <c r="K77" i="16" a="1"/>
  <c r="K77" i="16" s="1"/>
  <c r="L77" i="16" s="1"/>
  <c r="K78" i="16" a="1"/>
  <c r="K78" i="16" s="1"/>
  <c r="L78" i="16" s="1"/>
  <c r="K79" i="16" a="1"/>
  <c r="K79" i="16" s="1"/>
  <c r="L79" i="16" s="1"/>
  <c r="K80" i="16" a="1"/>
  <c r="K80" i="16" s="1"/>
  <c r="L80" i="16" s="1"/>
  <c r="K81" i="16" a="1"/>
  <c r="K81" i="16" s="1"/>
  <c r="L81" i="16" s="1"/>
  <c r="K82" i="16" a="1"/>
  <c r="K82" i="16" s="1"/>
  <c r="L82" i="16" s="1"/>
  <c r="K83" i="16" a="1"/>
  <c r="K83" i="16" s="1"/>
  <c r="L83" i="16" s="1"/>
  <c r="K84" i="16" a="1"/>
  <c r="K84" i="16" s="1"/>
  <c r="L84" i="16" s="1"/>
  <c r="K85" i="16" a="1"/>
  <c r="K85" i="16" s="1"/>
  <c r="L85" i="16" s="1"/>
  <c r="K86" i="16" a="1"/>
  <c r="K86" i="16" s="1"/>
  <c r="L86" i="16" s="1"/>
  <c r="K87" i="16" a="1"/>
  <c r="K87" i="16" s="1"/>
  <c r="L87" i="16" s="1"/>
  <c r="K88" i="16" a="1"/>
  <c r="K88" i="16" s="1"/>
  <c r="L88" i="16" s="1"/>
  <c r="K89" i="16" a="1"/>
  <c r="K89" i="16" s="1"/>
  <c r="L89" i="16" s="1"/>
  <c r="K90" i="16" a="1"/>
  <c r="K90" i="16" s="1"/>
  <c r="L90" i="16" s="1"/>
  <c r="K91" i="16" a="1"/>
  <c r="K91" i="16" s="1"/>
  <c r="L91" i="16" s="1"/>
  <c r="K92" i="16" a="1"/>
  <c r="K92" i="16" s="1"/>
  <c r="L92" i="16" s="1"/>
  <c r="K93" i="16" a="1"/>
  <c r="K93" i="16" s="1"/>
  <c r="L93" i="16" s="1"/>
  <c r="K94" i="16" a="1"/>
  <c r="K94" i="16" s="1"/>
  <c r="L94" i="16" s="1"/>
  <c r="K73" i="16" a="1"/>
  <c r="K73" i="16" s="1"/>
  <c r="L73" i="16" s="1"/>
  <c r="AJ18" i="18" a="1"/>
  <c r="AJ18" i="18" s="1"/>
  <c r="AJ17" i="18" a="1"/>
  <c r="AJ17" i="18" s="1"/>
  <c r="AJ16" i="18" a="1"/>
  <c r="AJ16" i="18" s="1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73" i="16"/>
  <c r="K42" i="16" a="1"/>
  <c r="K42" i="16" s="1"/>
  <c r="K43" i="16" a="1"/>
  <c r="K43" i="16" s="1"/>
  <c r="K44" i="16" a="1"/>
  <c r="K44" i="16" s="1"/>
  <c r="K45" i="16" a="1"/>
  <c r="K45" i="16" s="1"/>
  <c r="K46" i="16" a="1"/>
  <c r="K46" i="16" s="1"/>
  <c r="K47" i="16" a="1"/>
  <c r="K47" i="16" s="1"/>
  <c r="K48" i="16" a="1"/>
  <c r="K48" i="16" s="1"/>
  <c r="K49" i="16" a="1"/>
  <c r="K49" i="16" s="1"/>
  <c r="K50" i="16" a="1"/>
  <c r="K50" i="16" s="1"/>
  <c r="K51" i="16" a="1"/>
  <c r="K51" i="16" s="1"/>
  <c r="K52" i="16" a="1"/>
  <c r="K52" i="16" s="1"/>
  <c r="K53" i="16" a="1"/>
  <c r="K53" i="16" s="1"/>
  <c r="K54" i="16" a="1"/>
  <c r="K54" i="16" s="1"/>
  <c r="K55" i="16" a="1"/>
  <c r="K55" i="16" s="1"/>
  <c r="K56" i="16" a="1"/>
  <c r="K56" i="16" s="1"/>
  <c r="K57" i="16" a="1"/>
  <c r="K57" i="16" s="1"/>
  <c r="K58" i="16" a="1"/>
  <c r="K58" i="16" s="1"/>
  <c r="K59" i="16" a="1"/>
  <c r="K59" i="16" s="1"/>
  <c r="K60" i="16" a="1"/>
  <c r="K60" i="16" s="1"/>
  <c r="K61" i="16" a="1"/>
  <c r="K61" i="16" s="1"/>
  <c r="K40" i="16" a="1"/>
  <c r="K40" i="16" s="1"/>
  <c r="G75" i="16"/>
  <c r="H75" i="16"/>
  <c r="I75" i="16" a="1"/>
  <c r="I75" i="16" s="1"/>
  <c r="G76" i="16"/>
  <c r="H76" i="16"/>
  <c r="I76" i="16" s="1" a="1"/>
  <c r="I76" i="16" s="1"/>
  <c r="G77" i="16"/>
  <c r="H77" i="16"/>
  <c r="I77" i="16" s="1" a="1"/>
  <c r="I77" i="16" s="1"/>
  <c r="G78" i="16"/>
  <c r="I78" i="16" s="1" a="1"/>
  <c r="I78" i="16" s="1"/>
  <c r="H78" i="16"/>
  <c r="G79" i="16"/>
  <c r="H79" i="16"/>
  <c r="I79" i="16" s="1" a="1"/>
  <c r="I79" i="16" s="1"/>
  <c r="G80" i="16"/>
  <c r="H80" i="16"/>
  <c r="I80" i="16" s="1" a="1"/>
  <c r="I80" i="16" s="1"/>
  <c r="G81" i="16"/>
  <c r="H81" i="16"/>
  <c r="I81" i="16" s="1" a="1"/>
  <c r="I81" i="16" s="1"/>
  <c r="G82" i="16"/>
  <c r="H82" i="16"/>
  <c r="I82" i="16" s="1" a="1"/>
  <c r="I82" i="16" s="1"/>
  <c r="G83" i="16"/>
  <c r="H83" i="16"/>
  <c r="I83" i="16" a="1"/>
  <c r="I83" i="16" s="1"/>
  <c r="G84" i="16"/>
  <c r="H84" i="16"/>
  <c r="I84" i="16" a="1"/>
  <c r="I84" i="16" s="1"/>
  <c r="G85" i="16"/>
  <c r="H85" i="16"/>
  <c r="I85" i="16" a="1"/>
  <c r="I85" i="16" s="1"/>
  <c r="G86" i="16"/>
  <c r="H86" i="16"/>
  <c r="I86" i="16" a="1"/>
  <c r="I86" i="16" s="1"/>
  <c r="G87" i="16"/>
  <c r="H87" i="16"/>
  <c r="I87" i="16" a="1"/>
  <c r="I87" i="16" s="1"/>
  <c r="G88" i="16"/>
  <c r="H88" i="16"/>
  <c r="I88" i="16" s="1" a="1"/>
  <c r="I88" i="16" s="1"/>
  <c r="G89" i="16"/>
  <c r="H89" i="16"/>
  <c r="I89" i="16" s="1" a="1"/>
  <c r="I89" i="16" s="1"/>
  <c r="G90" i="16"/>
  <c r="H90" i="16"/>
  <c r="I90" i="16" s="1" a="1"/>
  <c r="I90" i="16" s="1"/>
  <c r="G91" i="16"/>
  <c r="H91" i="16"/>
  <c r="I91" i="16" s="1" a="1"/>
  <c r="I91" i="16" s="1"/>
  <c r="G92" i="16"/>
  <c r="H92" i="16"/>
  <c r="I92" i="16" a="1"/>
  <c r="I92" i="16" s="1"/>
  <c r="G93" i="16"/>
  <c r="H93" i="16"/>
  <c r="I93" i="16" s="1" a="1"/>
  <c r="I93" i="16" s="1"/>
  <c r="G94" i="16"/>
  <c r="H94" i="16"/>
  <c r="I94" i="16" s="1" a="1"/>
  <c r="I94" i="16" s="1"/>
  <c r="H73" i="16"/>
  <c r="I73" i="16" s="1" a="1"/>
  <c r="I73" i="16" s="1"/>
  <c r="G73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40" i="16"/>
  <c r="G40" i="16"/>
  <c r="I42" i="16" a="1"/>
  <c r="I42" i="16" s="1"/>
  <c r="J42" i="16" s="1"/>
  <c r="I43" i="16" a="1"/>
  <c r="I43" i="16" s="1"/>
  <c r="J43" i="16" s="1"/>
  <c r="I44" i="16" a="1"/>
  <c r="I44" i="16" s="1"/>
  <c r="J44" i="16" s="1"/>
  <c r="I45" i="16" a="1"/>
  <c r="I45" i="16" s="1"/>
  <c r="J45" i="16" s="1"/>
  <c r="I46" i="16" a="1"/>
  <c r="I46" i="16" s="1"/>
  <c r="J46" i="16" s="1"/>
  <c r="I47" i="16" a="1"/>
  <c r="I47" i="16" s="1"/>
  <c r="J47" i="16" s="1"/>
  <c r="I48" i="16" a="1"/>
  <c r="I48" i="16" s="1"/>
  <c r="J48" i="16" s="1"/>
  <c r="I49" i="16" a="1"/>
  <c r="I49" i="16" s="1"/>
  <c r="J49" i="16" s="1"/>
  <c r="I50" i="16" a="1"/>
  <c r="I50" i="16" s="1"/>
  <c r="J50" i="16" s="1"/>
  <c r="I51" i="16" a="1"/>
  <c r="I51" i="16" s="1"/>
  <c r="J51" i="16" s="1"/>
  <c r="I52" i="16" a="1"/>
  <c r="I52" i="16" s="1"/>
  <c r="J52" i="16" s="1"/>
  <c r="I53" i="16" a="1"/>
  <c r="I53" i="16" s="1"/>
  <c r="J53" i="16" s="1"/>
  <c r="I54" i="16" a="1"/>
  <c r="I54" i="16" s="1"/>
  <c r="J54" i="16" s="1"/>
  <c r="I55" i="16" a="1"/>
  <c r="I55" i="16" s="1"/>
  <c r="J55" i="16" s="1"/>
  <c r="I56" i="16" a="1"/>
  <c r="I56" i="16" s="1"/>
  <c r="J56" i="16" s="1"/>
  <c r="I57" i="16" a="1"/>
  <c r="I58" i="16" a="1"/>
  <c r="I58" i="16" s="1"/>
  <c r="J58" i="16" s="1"/>
  <c r="I59" i="16" a="1"/>
  <c r="I59" i="16" s="1"/>
  <c r="J59" i="16" s="1"/>
  <c r="I60" i="16" a="1"/>
  <c r="I60" i="16" s="1"/>
  <c r="J60" i="16" s="1"/>
  <c r="I61" i="16" a="1"/>
  <c r="I61" i="16" s="1"/>
  <c r="J61" i="16" s="1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AF28" i="18"/>
  <c r="AF28" i="18" a="1"/>
  <c r="AE28" i="18" a="1"/>
  <c r="AE28" i="18" s="1"/>
  <c r="AD28" i="18"/>
  <c r="AD28" i="18" a="1"/>
  <c r="AC28" i="18"/>
  <c r="AC28" i="18" a="1"/>
  <c r="AB28" i="18" a="1"/>
  <c r="AB28" i="18" s="1"/>
  <c r="AA28" i="18"/>
  <c r="AA28" i="18" a="1"/>
  <c r="Z28" i="18" a="1"/>
  <c r="Z28" i="18" s="1"/>
  <c r="Y28" i="18"/>
  <c r="Y28" i="18" a="1"/>
  <c r="X28" i="18" a="1"/>
  <c r="X28" i="18" s="1"/>
  <c r="W28" i="18"/>
  <c r="W28" i="18" a="1"/>
  <c r="V28" i="18" a="1"/>
  <c r="V28" i="18" s="1"/>
  <c r="U28" i="18" a="1"/>
  <c r="U28" i="18" s="1"/>
  <c r="T28" i="18"/>
  <c r="T28" i="18" a="1"/>
  <c r="S28" i="18" a="1"/>
  <c r="S28" i="18" s="1"/>
  <c r="R28" i="18"/>
  <c r="R28" i="18" a="1"/>
  <c r="Q28" i="18"/>
  <c r="Q28" i="18" a="1"/>
  <c r="P28" i="18" a="1"/>
  <c r="P28" i="18" s="1"/>
  <c r="O28" i="18" a="1"/>
  <c r="O28" i="18" s="1"/>
  <c r="N28" i="18"/>
  <c r="N28" i="18" a="1"/>
  <c r="M28" i="18" a="1"/>
  <c r="M28" i="18" s="1"/>
  <c r="L28" i="18" a="1"/>
  <c r="L28" i="18" s="1"/>
  <c r="K28" i="18"/>
  <c r="K28" i="18" a="1"/>
  <c r="J28" i="18" a="1"/>
  <c r="J28" i="18" s="1"/>
  <c r="I28" i="18" a="1"/>
  <c r="I28" i="18" s="1"/>
  <c r="H28" i="18" a="1"/>
  <c r="H28" i="18" s="1"/>
  <c r="G28" i="18"/>
  <c r="G28" i="18" a="1"/>
  <c r="F28" i="18" a="1"/>
  <c r="F28" i="18" s="1"/>
  <c r="E28" i="18"/>
  <c r="E28" i="18" a="1"/>
  <c r="D28" i="18" a="1"/>
  <c r="D28" i="18" s="1"/>
  <c r="C28" i="18" a="1"/>
  <c r="C28" i="18" s="1"/>
  <c r="AF27" i="18"/>
  <c r="AF27" i="18" a="1"/>
  <c r="AE27" i="18"/>
  <c r="AE27" i="18" a="1"/>
  <c r="AD27" i="18" a="1"/>
  <c r="AD27" i="18" s="1"/>
  <c r="AC27" i="18"/>
  <c r="AC27" i="18" a="1"/>
  <c r="AB27" i="18" a="1"/>
  <c r="AB27" i="18" s="1"/>
  <c r="AA27" i="18" a="1"/>
  <c r="AA27" i="18" s="1"/>
  <c r="Z27" i="18"/>
  <c r="Z27" i="18" a="1"/>
  <c r="Y27" i="18" a="1"/>
  <c r="Y27" i="18" s="1"/>
  <c r="X27" i="18"/>
  <c r="X27" i="18" a="1"/>
  <c r="W27" i="18" a="1"/>
  <c r="W27" i="18" s="1"/>
  <c r="V27" i="18" a="1"/>
  <c r="V27" i="18" s="1"/>
  <c r="U27" i="18"/>
  <c r="U27" i="18" a="1"/>
  <c r="T27" i="18" a="1"/>
  <c r="T27" i="18" s="1"/>
  <c r="S27" i="18" a="1"/>
  <c r="S27" i="18" s="1"/>
  <c r="R27" i="18" a="1"/>
  <c r="R27" i="18" s="1"/>
  <c r="Q27" i="18" a="1"/>
  <c r="Q27" i="18" s="1"/>
  <c r="P27" i="18"/>
  <c r="P27" i="18" a="1"/>
  <c r="O27" i="18" a="1"/>
  <c r="O27" i="18" s="1"/>
  <c r="N27" i="18"/>
  <c r="N27" i="18" a="1"/>
  <c r="M27" i="18" a="1"/>
  <c r="M27" i="18" s="1"/>
  <c r="L27" i="18" a="1"/>
  <c r="L27" i="18" s="1"/>
  <c r="K27" i="18" a="1"/>
  <c r="K27" i="18" s="1"/>
  <c r="J27" i="18"/>
  <c r="J27" i="18" a="1"/>
  <c r="I27" i="18" a="1"/>
  <c r="I27" i="18" s="1"/>
  <c r="H27" i="18" a="1"/>
  <c r="H27" i="18" s="1"/>
  <c r="G27" i="18"/>
  <c r="G27" i="18" a="1"/>
  <c r="F27" i="18" a="1"/>
  <c r="F27" i="18" s="1"/>
  <c r="E27" i="18" a="1"/>
  <c r="E27" i="18" s="1"/>
  <c r="D27" i="18"/>
  <c r="D27" i="18" a="1"/>
  <c r="C27" i="18" a="1"/>
  <c r="C27" i="18" s="1"/>
  <c r="AF26" i="18"/>
  <c r="AF26" i="18" a="1"/>
  <c r="AE26" i="18" a="1"/>
  <c r="AE26" i="18" s="1"/>
  <c r="AD26" i="18" a="1"/>
  <c r="AD26" i="18" s="1"/>
  <c r="AC26" i="18"/>
  <c r="AC26" i="18" a="1"/>
  <c r="AB26" i="18" a="1"/>
  <c r="AB26" i="18" s="1"/>
  <c r="AA26" i="18" a="1"/>
  <c r="AA26" i="18" s="1"/>
  <c r="Z26" i="18"/>
  <c r="Z26" i="18" a="1"/>
  <c r="Y26" i="18" a="1"/>
  <c r="Y26" i="18" s="1"/>
  <c r="X26" i="18" a="1"/>
  <c r="X26" i="18" s="1"/>
  <c r="W26" i="18" a="1"/>
  <c r="W26" i="18" s="1"/>
  <c r="V26" i="18" a="1"/>
  <c r="V26" i="18" s="1"/>
  <c r="U26" i="18"/>
  <c r="U26" i="18" a="1"/>
  <c r="T26" i="18" a="1"/>
  <c r="T26" i="18" s="1"/>
  <c r="S26" i="18" a="1"/>
  <c r="S26" i="18" s="1"/>
  <c r="R26" i="18"/>
  <c r="R26" i="18" a="1"/>
  <c r="Q26" i="18" a="1"/>
  <c r="Q26" i="18" s="1"/>
  <c r="P26" i="18" a="1"/>
  <c r="P26" i="18" s="1"/>
  <c r="O26" i="18"/>
  <c r="O26" i="18" a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AF25" i="18" a="1"/>
  <c r="AF25" i="18" s="1"/>
  <c r="AE25" i="18" a="1"/>
  <c r="AE25" i="18" s="1"/>
  <c r="AD25" i="18" a="1"/>
  <c r="AD25" i="18" s="1"/>
  <c r="AC25" i="18" a="1"/>
  <c r="AC25" i="18" s="1"/>
  <c r="AB25" i="18" a="1"/>
  <c r="AB25" i="18" s="1"/>
  <c r="AA25" i="18" a="1"/>
  <c r="AA25" i="18" s="1"/>
  <c r="Z25" i="18" a="1"/>
  <c r="Z25" i="18" s="1"/>
  <c r="Y25" i="18" a="1"/>
  <c r="Y25" i="18" s="1"/>
  <c r="X25" i="18" a="1"/>
  <c r="X25" i="18" s="1"/>
  <c r="W25" i="18" a="1"/>
  <c r="W25" i="18" s="1"/>
  <c r="V25" i="18" a="1"/>
  <c r="V25" i="18" s="1"/>
  <c r="U25" i="18" a="1"/>
  <c r="U25" i="18" s="1"/>
  <c r="T25" i="18" a="1"/>
  <c r="T25" i="18" s="1"/>
  <c r="S25" i="18" a="1"/>
  <c r="S25" i="18" s="1"/>
  <c r="R25" i="18" a="1"/>
  <c r="R25" i="18" s="1"/>
  <c r="Q25" i="18" a="1"/>
  <c r="Q25" i="18" s="1"/>
  <c r="P25" i="18" a="1"/>
  <c r="P25" i="18" s="1"/>
  <c r="O25" i="18" a="1"/>
  <c r="O25" i="18" s="1"/>
  <c r="N25" i="18" a="1"/>
  <c r="N25" i="18" s="1"/>
  <c r="M25" i="18" a="1"/>
  <c r="M25" i="18" s="1"/>
  <c r="L25" i="18"/>
  <c r="L25" i="18" a="1"/>
  <c r="K25" i="18" a="1"/>
  <c r="K25" i="18" s="1"/>
  <c r="J25" i="18"/>
  <c r="J25" i="18" a="1"/>
  <c r="I25" i="18" a="1"/>
  <c r="I25" i="18" s="1"/>
  <c r="H25" i="18" a="1"/>
  <c r="H25" i="18" s="1"/>
  <c r="G25" i="18" a="1"/>
  <c r="G25" i="18" s="1"/>
  <c r="F25" i="18"/>
  <c r="F25" i="18" a="1"/>
  <c r="E25" i="18" a="1"/>
  <c r="E25" i="18" s="1"/>
  <c r="D25" i="18" a="1"/>
  <c r="D25" i="18" s="1"/>
  <c r="C25" i="18" a="1"/>
  <c r="C25" i="18" s="1"/>
  <c r="AF24" i="18" a="1"/>
  <c r="AF24" i="18" s="1"/>
  <c r="AE24" i="18" a="1"/>
  <c r="AE24" i="18" s="1"/>
  <c r="AD24" i="18" a="1"/>
  <c r="AD24" i="18" s="1"/>
  <c r="AC24" i="18"/>
  <c r="AC24" i="18" a="1"/>
  <c r="AB24" i="18" a="1"/>
  <c r="AB24" i="18" s="1"/>
  <c r="AA24" i="18" a="1"/>
  <c r="AA24" i="18" s="1"/>
  <c r="Z24" i="18"/>
  <c r="Z24" i="18" a="1"/>
  <c r="Y24" i="18" a="1"/>
  <c r="Y24" i="18" s="1"/>
  <c r="X24" i="18" a="1"/>
  <c r="X24" i="18" s="1"/>
  <c r="W24" i="18" a="1"/>
  <c r="W24" i="18" s="1"/>
  <c r="V24" i="18" a="1"/>
  <c r="V24" i="18" s="1"/>
  <c r="U24" i="18" a="1"/>
  <c r="U24" i="18" s="1"/>
  <c r="T24" i="18" a="1"/>
  <c r="T24" i="18" s="1"/>
  <c r="S24" i="18" a="1"/>
  <c r="S24" i="18" s="1"/>
  <c r="R24" i="18" a="1"/>
  <c r="R24" i="18" s="1"/>
  <c r="Q24" i="18" a="1"/>
  <c r="Q24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AF23" i="18" a="1"/>
  <c r="AF23" i="18" s="1"/>
  <c r="AE23" i="18" a="1"/>
  <c r="AE23" i="18" s="1"/>
  <c r="AD23" i="18" a="1"/>
  <c r="AD23" i="18" s="1"/>
  <c r="AC23" i="18" a="1"/>
  <c r="AC23" i="18" s="1"/>
  <c r="AB23" i="18" a="1"/>
  <c r="AB23" i="18" s="1"/>
  <c r="AA23" i="18" a="1"/>
  <c r="AA23" i="18" s="1"/>
  <c r="Z23" i="18" a="1"/>
  <c r="Z23" i="18" s="1"/>
  <c r="Y23" i="18" a="1"/>
  <c r="Y23" i="18" s="1"/>
  <c r="X23" i="18" a="1"/>
  <c r="X23" i="18" s="1"/>
  <c r="W23" i="18" a="1"/>
  <c r="W23" i="18" s="1"/>
  <c r="V23" i="18" a="1"/>
  <c r="V23" i="18" s="1"/>
  <c r="U23" i="18" a="1"/>
  <c r="U23" i="18" s="1"/>
  <c r="T23" i="18" a="1"/>
  <c r="T23" i="18" s="1"/>
  <c r="S23" i="18" a="1"/>
  <c r="S23" i="18" s="1"/>
  <c r="R23" i="18" a="1"/>
  <c r="R23" i="18" s="1"/>
  <c r="Q23" i="18" a="1"/>
  <c r="Q23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AF22" i="18" a="1"/>
  <c r="AF22" i="18" s="1"/>
  <c r="AE22" i="18" a="1"/>
  <c r="AE22" i="18" s="1"/>
  <c r="AD22" i="18" a="1"/>
  <c r="AD22" i="18" s="1"/>
  <c r="AC22" i="18" a="1"/>
  <c r="AC22" i="18" s="1"/>
  <c r="AB22" i="18" a="1"/>
  <c r="AB22" i="18" s="1"/>
  <c r="AA22" i="18" a="1"/>
  <c r="AA22" i="18" s="1"/>
  <c r="Z22" i="18" a="1"/>
  <c r="Z22" i="18" s="1"/>
  <c r="Y22" i="18" a="1"/>
  <c r="Y22" i="18" s="1"/>
  <c r="X22" i="18" a="1"/>
  <c r="X22" i="18" s="1"/>
  <c r="W22" i="18" a="1"/>
  <c r="W22" i="18" s="1"/>
  <c r="V22" i="18" a="1"/>
  <c r="V22" i="18" s="1"/>
  <c r="U22" i="18" a="1"/>
  <c r="U22" i="18" s="1"/>
  <c r="T22" i="18" a="1"/>
  <c r="T22" i="18" s="1"/>
  <c r="S22" i="18" a="1"/>
  <c r="S22" i="18" s="1"/>
  <c r="R22" i="18" a="1"/>
  <c r="R22" i="18" s="1"/>
  <c r="Q22" i="18" a="1"/>
  <c r="Q22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AF21" i="18" a="1"/>
  <c r="AF21" i="18" s="1"/>
  <c r="AE21" i="18" a="1"/>
  <c r="AE21" i="18" s="1"/>
  <c r="AD21" i="18" a="1"/>
  <c r="AD21" i="18" s="1"/>
  <c r="AC21" i="18" a="1"/>
  <c r="AC21" i="18" s="1"/>
  <c r="AB21" i="18" a="1"/>
  <c r="AB21" i="18" s="1"/>
  <c r="AA21" i="18" a="1"/>
  <c r="AA21" i="18" s="1"/>
  <c r="Z21" i="18" a="1"/>
  <c r="Z21" i="18" s="1"/>
  <c r="Y21" i="18" a="1"/>
  <c r="Y21" i="18" s="1"/>
  <c r="X21" i="18" a="1"/>
  <c r="X21" i="18" s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AF20" i="18" a="1"/>
  <c r="AF20" i="18" s="1"/>
  <c r="AE20" i="18" a="1"/>
  <c r="AE20" i="18" s="1"/>
  <c r="AD20" i="18" a="1"/>
  <c r="AD20" i="18" s="1"/>
  <c r="AC20" i="18" a="1"/>
  <c r="AC20" i="18" s="1"/>
  <c r="AB20" i="18" a="1"/>
  <c r="AB20" i="18" s="1"/>
  <c r="AA20" i="18" a="1"/>
  <c r="AA20" i="18" s="1"/>
  <c r="Z20" i="18" a="1"/>
  <c r="Z20" i="18" s="1"/>
  <c r="Y20" i="18" a="1"/>
  <c r="Y20" i="18" s="1"/>
  <c r="X20" i="18" a="1"/>
  <c r="X20" i="18" s="1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AF19" i="18" a="1"/>
  <c r="AF19" i="18" s="1"/>
  <c r="AE19" i="18" a="1"/>
  <c r="AE19" i="18" s="1"/>
  <c r="AD19" i="18" a="1"/>
  <c r="AD19" i="18" s="1"/>
  <c r="AC19" i="18" a="1"/>
  <c r="AC19" i="18" s="1"/>
  <c r="AB19" i="18" a="1"/>
  <c r="AB19" i="18" s="1"/>
  <c r="AA19" i="18" a="1"/>
  <c r="AA19" i="18" s="1"/>
  <c r="Z19" i="18" a="1"/>
  <c r="Z19" i="18" s="1"/>
  <c r="Y19" i="18" a="1"/>
  <c r="Y19" i="18" s="1"/>
  <c r="X19" i="18" a="1"/>
  <c r="X19" i="18" s="1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AF18" i="18" a="1"/>
  <c r="AF18" i="18" s="1"/>
  <c r="AE18" i="18" a="1"/>
  <c r="AE18" i="18" s="1"/>
  <c r="AD18" i="18" a="1"/>
  <c r="AD18" i="18" s="1"/>
  <c r="AC18" i="18" a="1"/>
  <c r="AC18" i="18" s="1"/>
  <c r="AB18" i="18" a="1"/>
  <c r="AB18" i="18" s="1"/>
  <c r="AA18" i="18" a="1"/>
  <c r="AA18" i="18" s="1"/>
  <c r="Z18" i="18" a="1"/>
  <c r="Z18" i="18" s="1"/>
  <c r="Y18" i="18" a="1"/>
  <c r="Y18" i="18" s="1"/>
  <c r="X18" i="18" a="1"/>
  <c r="X18" i="18" s="1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AF17" i="18" a="1"/>
  <c r="AF17" i="18" s="1"/>
  <c r="AE17" i="18" a="1"/>
  <c r="AE17" i="18" s="1"/>
  <c r="AD17" i="18" a="1"/>
  <c r="AD17" i="18" s="1"/>
  <c r="AC17" i="18" a="1"/>
  <c r="AC17" i="18" s="1"/>
  <c r="AB17" i="18" a="1"/>
  <c r="AB17" i="18" s="1"/>
  <c r="AA17" i="18" a="1"/>
  <c r="AA17" i="18" s="1"/>
  <c r="Z17" i="18" a="1"/>
  <c r="Z17" i="18" s="1"/>
  <c r="Y17" i="18" a="1"/>
  <c r="Y17" i="18" s="1"/>
  <c r="X17" i="18" a="1"/>
  <c r="X17" i="18" s="1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 a="1"/>
  <c r="C17" i="18" s="1"/>
  <c r="AF16" i="18" a="1"/>
  <c r="AF16" i="18" s="1"/>
  <c r="AE16" i="18" a="1"/>
  <c r="AE16" i="18" s="1"/>
  <c r="AD16" i="18" a="1"/>
  <c r="AD16" i="18" s="1"/>
  <c r="AC16" i="18" a="1"/>
  <c r="AC16" i="18" s="1"/>
  <c r="AB16" i="18" a="1"/>
  <c r="AB16" i="18" s="1"/>
  <c r="AA16" i="18" a="1"/>
  <c r="AA16" i="18" s="1"/>
  <c r="Z16" i="18" a="1"/>
  <c r="Z16" i="18" s="1"/>
  <c r="Y16" i="18" a="1"/>
  <c r="Y16" i="18" s="1"/>
  <c r="X16" i="18" a="1"/>
  <c r="X16" i="18" s="1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 a="1"/>
  <c r="C16" i="18" s="1"/>
  <c r="AF15" i="18" a="1"/>
  <c r="AF15" i="18" s="1"/>
  <c r="AE15" i="18" a="1"/>
  <c r="AE15" i="18" s="1"/>
  <c r="AD15" i="18" a="1"/>
  <c r="AD15" i="18" s="1"/>
  <c r="AC15" i="18" a="1"/>
  <c r="AC15" i="18" s="1"/>
  <c r="AB15" i="18" a="1"/>
  <c r="AB15" i="18" s="1"/>
  <c r="AA15" i="18" a="1"/>
  <c r="AA15" i="18" s="1"/>
  <c r="Z15" i="18" a="1"/>
  <c r="Z15" i="18" s="1"/>
  <c r="Y15" i="18" a="1"/>
  <c r="Y15" i="18" s="1"/>
  <c r="X15" i="18" a="1"/>
  <c r="X15" i="18" s="1"/>
  <c r="W15" i="18" a="1"/>
  <c r="W15" i="18" s="1"/>
  <c r="V15" i="18" a="1"/>
  <c r="V15" i="18" s="1"/>
  <c r="U15" i="18" a="1"/>
  <c r="U15" i="18" s="1"/>
  <c r="T15" i="18" a="1"/>
  <c r="T15" i="18" s="1"/>
  <c r="S15" i="18" a="1"/>
  <c r="S15" i="18" s="1"/>
  <c r="R15" i="18" a="1"/>
  <c r="R15" i="18" s="1"/>
  <c r="Q15" i="18" a="1"/>
  <c r="Q15" i="18" s="1"/>
  <c r="P15" i="18" a="1"/>
  <c r="P15" i="18" s="1"/>
  <c r="O15" i="18" a="1"/>
  <c r="O15" i="18" s="1"/>
  <c r="N15" i="18" a="1"/>
  <c r="N15" i="18" s="1"/>
  <c r="M15" i="18" a="1"/>
  <c r="M15" i="18" s="1"/>
  <c r="L15" i="18" a="1"/>
  <c r="L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 a="1"/>
  <c r="C15" i="18" s="1"/>
  <c r="AF14" i="18" a="1"/>
  <c r="AF14" i="18" s="1"/>
  <c r="AE14" i="18" a="1"/>
  <c r="AE14" i="18" s="1"/>
  <c r="AD14" i="18" a="1"/>
  <c r="AD14" i="18" s="1"/>
  <c r="AC14" i="18" a="1"/>
  <c r="AC14" i="18" s="1"/>
  <c r="AB14" i="18" a="1"/>
  <c r="AB14" i="18" s="1"/>
  <c r="AA14" i="18" a="1"/>
  <c r="AA14" i="18" s="1"/>
  <c r="Z14" i="18" a="1"/>
  <c r="Z14" i="18" s="1"/>
  <c r="Y14" i="18" a="1"/>
  <c r="Y14" i="18" s="1"/>
  <c r="X14" i="18" a="1"/>
  <c r="X14" i="18" s="1"/>
  <c r="W14" i="18" a="1"/>
  <c r="W14" i="18" s="1"/>
  <c r="V14" i="18" a="1"/>
  <c r="V14" i="18" s="1"/>
  <c r="U14" i="18" a="1"/>
  <c r="U14" i="18" s="1"/>
  <c r="T14" i="18" a="1"/>
  <c r="T14" i="18" s="1"/>
  <c r="S14" i="18" a="1"/>
  <c r="S14" i="18" s="1"/>
  <c r="R14" i="18" a="1"/>
  <c r="R14" i="18" s="1"/>
  <c r="Q14" i="18" a="1"/>
  <c r="Q14" i="18" s="1"/>
  <c r="P14" i="18" a="1"/>
  <c r="P14" i="18" s="1"/>
  <c r="O14" i="18" a="1"/>
  <c r="O14" i="18" s="1"/>
  <c r="N14" i="18" a="1"/>
  <c r="N14" i="18" s="1"/>
  <c r="M14" i="18" a="1"/>
  <c r="M14" i="18" s="1"/>
  <c r="L14" i="18" a="1"/>
  <c r="L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 a="1"/>
  <c r="C14" i="18" s="1"/>
  <c r="AF13" i="18" a="1"/>
  <c r="AF13" i="18" s="1"/>
  <c r="AE13" i="18" a="1"/>
  <c r="AE13" i="18" s="1"/>
  <c r="AD13" i="18" a="1"/>
  <c r="AD13" i="18" s="1"/>
  <c r="AC13" i="18" a="1"/>
  <c r="AC13" i="18" s="1"/>
  <c r="AB13" i="18" a="1"/>
  <c r="AB13" i="18" s="1"/>
  <c r="AA13" i="18" a="1"/>
  <c r="AA13" i="18" s="1"/>
  <c r="Z13" i="18" a="1"/>
  <c r="Z13" i="18" s="1"/>
  <c r="Y13" i="18" a="1"/>
  <c r="Y13" i="18" s="1"/>
  <c r="X13" i="18" a="1"/>
  <c r="X13" i="18" s="1"/>
  <c r="W13" i="18" a="1"/>
  <c r="W13" i="18" s="1"/>
  <c r="V13" i="18" a="1"/>
  <c r="V13" i="18" s="1"/>
  <c r="U13" i="18" a="1"/>
  <c r="U13" i="18" s="1"/>
  <c r="T13" i="18" a="1"/>
  <c r="T13" i="18" s="1"/>
  <c r="S13" i="18" a="1"/>
  <c r="S13" i="18" s="1"/>
  <c r="R13" i="18" a="1"/>
  <c r="R13" i="18" s="1"/>
  <c r="Q13" i="18" a="1"/>
  <c r="Q13" i="18" s="1"/>
  <c r="P13" i="18" a="1"/>
  <c r="P13" i="18" s="1"/>
  <c r="O13" i="18" a="1"/>
  <c r="O13" i="18" s="1"/>
  <c r="N13" i="18" a="1"/>
  <c r="N13" i="18" s="1"/>
  <c r="M13" i="18" a="1"/>
  <c r="M13" i="18" s="1"/>
  <c r="L13" i="18" a="1"/>
  <c r="L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 a="1"/>
  <c r="C13" i="18" s="1"/>
  <c r="AF12" i="18" a="1"/>
  <c r="AF12" i="18" s="1"/>
  <c r="AE12" i="18" a="1"/>
  <c r="AE12" i="18" s="1"/>
  <c r="AD12" i="18" a="1"/>
  <c r="AD12" i="18" s="1"/>
  <c r="AC12" i="18" a="1"/>
  <c r="AC12" i="18" s="1"/>
  <c r="AB12" i="18" a="1"/>
  <c r="AB12" i="18" s="1"/>
  <c r="AA12" i="18" a="1"/>
  <c r="AA12" i="18" s="1"/>
  <c r="Z12" i="18" a="1"/>
  <c r="Z12" i="18" s="1"/>
  <c r="Y12" i="18" a="1"/>
  <c r="Y12" i="18" s="1"/>
  <c r="X12" i="18" a="1"/>
  <c r="X12" i="18" s="1"/>
  <c r="W12" i="18" a="1"/>
  <c r="W12" i="18" s="1"/>
  <c r="V12" i="18" a="1"/>
  <c r="V12" i="18" s="1"/>
  <c r="U12" i="18" a="1"/>
  <c r="U12" i="18" s="1"/>
  <c r="T12" i="18" a="1"/>
  <c r="T12" i="18" s="1"/>
  <c r="S12" i="18" a="1"/>
  <c r="S12" i="18" s="1"/>
  <c r="R12" i="18" a="1"/>
  <c r="R12" i="18" s="1"/>
  <c r="Q12" i="18" a="1"/>
  <c r="Q12" i="18" s="1"/>
  <c r="P12" i="18" a="1"/>
  <c r="P12" i="18" s="1"/>
  <c r="O12" i="18" a="1"/>
  <c r="O12" i="18" s="1"/>
  <c r="N12" i="18" a="1"/>
  <c r="N12" i="18" s="1"/>
  <c r="M12" i="18" a="1"/>
  <c r="M12" i="18" s="1"/>
  <c r="L12" i="18" a="1"/>
  <c r="L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 a="1"/>
  <c r="C12" i="18" s="1"/>
  <c r="AF11" i="18" a="1"/>
  <c r="AF11" i="18" s="1"/>
  <c r="AE11" i="18" a="1"/>
  <c r="AE11" i="18" s="1"/>
  <c r="AD11" i="18" a="1"/>
  <c r="AD11" i="18" s="1"/>
  <c r="AC11" i="18" a="1"/>
  <c r="AC11" i="18" s="1"/>
  <c r="AB11" i="18" a="1"/>
  <c r="AB11" i="18" s="1"/>
  <c r="AA11" i="18" a="1"/>
  <c r="AA11" i="18" s="1"/>
  <c r="Z11" i="18" a="1"/>
  <c r="Z11" i="18" s="1"/>
  <c r="Y11" i="18" a="1"/>
  <c r="Y11" i="18" s="1"/>
  <c r="X11" i="18" a="1"/>
  <c r="X11" i="18" s="1"/>
  <c r="W11" i="18" a="1"/>
  <c r="W11" i="18" s="1"/>
  <c r="V11" i="18" a="1"/>
  <c r="V11" i="18" s="1"/>
  <c r="U11" i="18" a="1"/>
  <c r="U11" i="18" s="1"/>
  <c r="T11" i="18" a="1"/>
  <c r="T11" i="18" s="1"/>
  <c r="S11" i="18" a="1"/>
  <c r="S11" i="18" s="1"/>
  <c r="R11" i="18" a="1"/>
  <c r="R11" i="18" s="1"/>
  <c r="Q11" i="18" a="1"/>
  <c r="Q11" i="18" s="1"/>
  <c r="P11" i="18" a="1"/>
  <c r="P11" i="18" s="1"/>
  <c r="O11" i="18" a="1"/>
  <c r="O11" i="18" s="1"/>
  <c r="N11" i="18" a="1"/>
  <c r="N11" i="18" s="1"/>
  <c r="M11" i="18" a="1"/>
  <c r="M11" i="18" s="1"/>
  <c r="L11" i="18" a="1"/>
  <c r="L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 a="1"/>
  <c r="C11" i="18" s="1"/>
  <c r="AF10" i="18" a="1"/>
  <c r="AF10" i="18" s="1"/>
  <c r="AE10" i="18" a="1"/>
  <c r="AE10" i="18" s="1"/>
  <c r="AD10" i="18" a="1"/>
  <c r="AD10" i="18" s="1"/>
  <c r="AC10" i="18" a="1"/>
  <c r="AC10" i="18" s="1"/>
  <c r="AB10" i="18" a="1"/>
  <c r="AB10" i="18" s="1"/>
  <c r="AA10" i="18" a="1"/>
  <c r="AA10" i="18" s="1"/>
  <c r="Z10" i="18" a="1"/>
  <c r="Z10" i="18" s="1"/>
  <c r="Y10" i="18" a="1"/>
  <c r="Y10" i="18" s="1"/>
  <c r="X10" i="18" a="1"/>
  <c r="X10" i="18" s="1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 a="1"/>
  <c r="C10" i="18" s="1"/>
  <c r="AF9" i="18" a="1"/>
  <c r="AF9" i="18" s="1"/>
  <c r="AE9" i="18" a="1"/>
  <c r="AE9" i="18" s="1"/>
  <c r="AD9" i="18" a="1"/>
  <c r="AD9" i="18" s="1"/>
  <c r="AC9" i="18" a="1"/>
  <c r="AC9" i="18" s="1"/>
  <c r="AB9" i="18" a="1"/>
  <c r="AB9" i="18" s="1"/>
  <c r="AA9" i="18" a="1"/>
  <c r="AA9" i="18" s="1"/>
  <c r="Z9" i="18" a="1"/>
  <c r="Z9" i="18" s="1"/>
  <c r="Y9" i="18" a="1"/>
  <c r="Y9" i="18" s="1"/>
  <c r="X9" i="18" a="1"/>
  <c r="X9" i="18" s="1"/>
  <c r="W9" i="18" a="1"/>
  <c r="W9" i="18" s="1"/>
  <c r="V9" i="18" a="1"/>
  <c r="V9" i="18" s="1"/>
  <c r="U9" i="18" a="1"/>
  <c r="U9" i="18" s="1"/>
  <c r="T9" i="18" a="1"/>
  <c r="T9" i="18" s="1"/>
  <c r="S9" i="18" a="1"/>
  <c r="S9" i="18" s="1"/>
  <c r="R9" i="18" a="1"/>
  <c r="R9" i="18" s="1"/>
  <c r="Q9" i="18" a="1"/>
  <c r="Q9" i="18" s="1"/>
  <c r="P9" i="18" a="1"/>
  <c r="P9" i="18" s="1"/>
  <c r="O9" i="18" a="1"/>
  <c r="O9" i="18" s="1"/>
  <c r="N9" i="18" a="1"/>
  <c r="N9" i="18" s="1"/>
  <c r="M9" i="18" a="1"/>
  <c r="M9" i="18" s="1"/>
  <c r="L9" i="18" a="1"/>
  <c r="L9" i="18" s="1"/>
  <c r="K9" i="18" a="1"/>
  <c r="K9" i="18" s="1"/>
  <c r="J9" i="18" a="1"/>
  <c r="J9" i="18" s="1"/>
  <c r="I9" i="18" a="1"/>
  <c r="I9" i="18" s="1"/>
  <c r="H9" i="18" a="1"/>
  <c r="H9" i="18" s="1"/>
  <c r="G9" i="18" a="1"/>
  <c r="G9" i="18" s="1"/>
  <c r="F9" i="18" a="1"/>
  <c r="F9" i="18" s="1"/>
  <c r="E9" i="18" a="1"/>
  <c r="E9" i="18" s="1"/>
  <c r="D9" i="18" a="1"/>
  <c r="D9" i="18" s="1"/>
  <c r="C9" i="18" a="1"/>
  <c r="C9" i="18" s="1"/>
  <c r="AF8" i="18" a="1"/>
  <c r="AF8" i="18" s="1"/>
  <c r="AE8" i="18" a="1"/>
  <c r="AE8" i="18" s="1"/>
  <c r="AD8" i="18" a="1"/>
  <c r="AD8" i="18" s="1"/>
  <c r="AC8" i="18" a="1"/>
  <c r="AC8" i="18" s="1"/>
  <c r="AB8" i="18" a="1"/>
  <c r="AB8" i="18" s="1"/>
  <c r="AA8" i="18" a="1"/>
  <c r="AA8" i="18" s="1"/>
  <c r="Z8" i="18" a="1"/>
  <c r="Z8" i="18" s="1"/>
  <c r="Y8" i="18" a="1"/>
  <c r="Y8" i="18" s="1"/>
  <c r="X8" i="18" a="1"/>
  <c r="X8" i="18" s="1"/>
  <c r="W8" i="18" a="1"/>
  <c r="W8" i="18" s="1"/>
  <c r="V8" i="18" a="1"/>
  <c r="V8" i="18" s="1"/>
  <c r="U8" i="18" a="1"/>
  <c r="U8" i="18" s="1"/>
  <c r="T8" i="18" a="1"/>
  <c r="T8" i="18" s="1"/>
  <c r="S8" i="18" a="1"/>
  <c r="S8" i="18" s="1"/>
  <c r="R8" i="18" a="1"/>
  <c r="R8" i="18" s="1"/>
  <c r="Q8" i="18" a="1"/>
  <c r="Q8" i="18" s="1"/>
  <c r="P8" i="18" a="1"/>
  <c r="P8" i="18" s="1"/>
  <c r="O8" i="18" a="1"/>
  <c r="O8" i="18" s="1"/>
  <c r="N8" i="18" a="1"/>
  <c r="N8" i="18" s="1"/>
  <c r="M8" i="18" a="1"/>
  <c r="M8" i="18" s="1"/>
  <c r="L8" i="18" a="1"/>
  <c r="L8" i="18" s="1"/>
  <c r="K8" i="18" a="1"/>
  <c r="K8" i="18" s="1"/>
  <c r="J8" i="18" a="1"/>
  <c r="J8" i="18" s="1"/>
  <c r="I8" i="18" a="1"/>
  <c r="I8" i="18" s="1"/>
  <c r="H8" i="18" a="1"/>
  <c r="H8" i="18" s="1"/>
  <c r="G8" i="18" a="1"/>
  <c r="G8" i="18" s="1"/>
  <c r="F8" i="18" a="1"/>
  <c r="F8" i="18" s="1"/>
  <c r="E8" i="18" a="1"/>
  <c r="E8" i="18" s="1"/>
  <c r="D8" i="18" a="1"/>
  <c r="D8" i="18" s="1"/>
  <c r="C8" i="18" a="1"/>
  <c r="C8" i="18" s="1"/>
  <c r="AF7" i="18" a="1"/>
  <c r="AF7" i="18" s="1"/>
  <c r="AE7" i="18" a="1"/>
  <c r="AE7" i="18" s="1"/>
  <c r="AD7" i="18" a="1"/>
  <c r="AD7" i="18" s="1"/>
  <c r="AC7" i="18" a="1"/>
  <c r="AC7" i="18" s="1"/>
  <c r="AB7" i="18" a="1"/>
  <c r="AB7" i="18" s="1"/>
  <c r="AA7" i="18" a="1"/>
  <c r="AA7" i="18" s="1"/>
  <c r="Z7" i="18" a="1"/>
  <c r="Z7" i="18" s="1"/>
  <c r="Y7" i="18" a="1"/>
  <c r="Y7" i="18" s="1"/>
  <c r="X7" i="18" a="1"/>
  <c r="X7" i="18" s="1"/>
  <c r="W7" i="18" a="1"/>
  <c r="W7" i="18" s="1"/>
  <c r="V7" i="18" a="1"/>
  <c r="V7" i="18" s="1"/>
  <c r="U7" i="18" a="1"/>
  <c r="U7" i="18" s="1"/>
  <c r="T7" i="18" a="1"/>
  <c r="T7" i="18" s="1"/>
  <c r="S7" i="18" a="1"/>
  <c r="S7" i="18" s="1"/>
  <c r="R7" i="18" a="1"/>
  <c r="R7" i="18" s="1"/>
  <c r="Q7" i="18" a="1"/>
  <c r="Q7" i="18" s="1"/>
  <c r="P7" i="18" a="1"/>
  <c r="P7" i="18" s="1"/>
  <c r="O7" i="18" a="1"/>
  <c r="O7" i="18" s="1"/>
  <c r="N7" i="18" a="1"/>
  <c r="N7" i="18" s="1"/>
  <c r="M7" i="18" a="1"/>
  <c r="M7" i="18" s="1"/>
  <c r="L7" i="18" a="1"/>
  <c r="L7" i="18" s="1"/>
  <c r="K7" i="18" a="1"/>
  <c r="K7" i="18" s="1"/>
  <c r="J7" i="18" a="1"/>
  <c r="J7" i="18" s="1"/>
  <c r="I7" i="18" a="1"/>
  <c r="I7" i="18" s="1"/>
  <c r="H7" i="18" a="1"/>
  <c r="H7" i="18" s="1"/>
  <c r="G7" i="18" a="1"/>
  <c r="G7" i="18" s="1"/>
  <c r="F7" i="18" a="1"/>
  <c r="F7" i="18" s="1"/>
  <c r="E7" i="18" a="1"/>
  <c r="E7" i="18" s="1"/>
  <c r="D7" i="18" a="1"/>
  <c r="D7" i="18" s="1"/>
  <c r="C7" i="18" a="1"/>
  <c r="C7" i="18" s="1"/>
  <c r="AF6" i="18" a="1"/>
  <c r="AF6" i="18" s="1"/>
  <c r="AE6" i="18" a="1"/>
  <c r="AE6" i="18" s="1"/>
  <c r="AD6" i="18" a="1"/>
  <c r="AD6" i="18" s="1"/>
  <c r="AC6" i="18" a="1"/>
  <c r="AC6" i="18" s="1"/>
  <c r="AB6" i="18" a="1"/>
  <c r="AB6" i="18" s="1"/>
  <c r="AA6" i="18" a="1"/>
  <c r="AA6" i="18" s="1"/>
  <c r="Z6" i="18" a="1"/>
  <c r="Z6" i="18" s="1"/>
  <c r="Y6" i="18" a="1"/>
  <c r="Y6" i="18" s="1"/>
  <c r="X6" i="18" a="1"/>
  <c r="X6" i="18" s="1"/>
  <c r="W6" i="18" a="1"/>
  <c r="W6" i="18" s="1"/>
  <c r="V6" i="18" a="1"/>
  <c r="V6" i="18" s="1"/>
  <c r="U6" i="18" a="1"/>
  <c r="U6" i="18" s="1"/>
  <c r="T6" i="18" a="1"/>
  <c r="T6" i="18" s="1"/>
  <c r="S6" i="18" a="1"/>
  <c r="S6" i="18" s="1"/>
  <c r="R6" i="18" a="1"/>
  <c r="R6" i="18" s="1"/>
  <c r="Q6" i="18" a="1"/>
  <c r="Q6" i="18" s="1"/>
  <c r="P6" i="18" a="1"/>
  <c r="P6" i="18" s="1"/>
  <c r="O6" i="18" a="1"/>
  <c r="O6" i="18" s="1"/>
  <c r="N6" i="18" a="1"/>
  <c r="N6" i="18" s="1"/>
  <c r="M6" i="18" a="1"/>
  <c r="M6" i="18" s="1"/>
  <c r="L6" i="18" a="1"/>
  <c r="L6" i="18" s="1"/>
  <c r="K6" i="18" a="1"/>
  <c r="K6" i="18" s="1"/>
  <c r="J6" i="18" a="1"/>
  <c r="J6" i="18" s="1"/>
  <c r="I6" i="18" a="1"/>
  <c r="I6" i="18" s="1"/>
  <c r="H6" i="18" a="1"/>
  <c r="H6" i="18" s="1"/>
  <c r="G6" i="18" a="1"/>
  <c r="G6" i="18" s="1"/>
  <c r="F6" i="18" a="1"/>
  <c r="F6" i="18" s="1"/>
  <c r="E6" i="18" a="1"/>
  <c r="E6" i="18" s="1"/>
  <c r="D6" i="18" a="1"/>
  <c r="D6" i="18" s="1"/>
  <c r="C6" i="18" a="1"/>
  <c r="C6" i="18" s="1"/>
  <c r="AF5" i="18" a="1"/>
  <c r="AF5" i="18" s="1"/>
  <c r="AE5" i="18" a="1"/>
  <c r="AE5" i="18" s="1"/>
  <c r="AD5" i="18" a="1"/>
  <c r="AD5" i="18" s="1"/>
  <c r="AC5" i="18" a="1"/>
  <c r="AC5" i="18" s="1"/>
  <c r="AB5" i="18" a="1"/>
  <c r="AB5" i="18" s="1"/>
  <c r="AA5" i="18" a="1"/>
  <c r="AA5" i="18" s="1"/>
  <c r="Z5" i="18" a="1"/>
  <c r="Z5" i="18" s="1"/>
  <c r="Y5" i="18" a="1"/>
  <c r="Y5" i="18" s="1"/>
  <c r="X5" i="18" a="1"/>
  <c r="X5" i="18" s="1"/>
  <c r="W5" i="18" a="1"/>
  <c r="W5" i="18" s="1"/>
  <c r="V5" i="18" a="1"/>
  <c r="V5" i="18" s="1"/>
  <c r="U5" i="18" a="1"/>
  <c r="U5" i="18" s="1"/>
  <c r="T5" i="18" a="1"/>
  <c r="T5" i="18" s="1"/>
  <c r="S5" i="18" a="1"/>
  <c r="S5" i="18" s="1"/>
  <c r="R5" i="18" a="1"/>
  <c r="R5" i="18" s="1"/>
  <c r="Q5" i="18" a="1"/>
  <c r="Q5" i="18" s="1"/>
  <c r="P5" i="18" a="1"/>
  <c r="P5" i="18" s="1"/>
  <c r="O5" i="18" a="1"/>
  <c r="O5" i="18" s="1"/>
  <c r="N5" i="18" a="1"/>
  <c r="N5" i="18" s="1"/>
  <c r="M5" i="18" a="1"/>
  <c r="M5" i="18" s="1"/>
  <c r="L5" i="18" a="1"/>
  <c r="L5" i="18" s="1"/>
  <c r="K5" i="18" a="1"/>
  <c r="K5" i="18" s="1"/>
  <c r="J5" i="18" a="1"/>
  <c r="J5" i="18" s="1"/>
  <c r="I5" i="18" a="1"/>
  <c r="I5" i="18" s="1"/>
  <c r="H5" i="18" a="1"/>
  <c r="H5" i="18" s="1"/>
  <c r="G5" i="18" a="1"/>
  <c r="G5" i="18" s="1"/>
  <c r="F5" i="18" a="1"/>
  <c r="F5" i="18" s="1"/>
  <c r="E5" i="18" a="1"/>
  <c r="E5" i="18" s="1"/>
  <c r="D5" i="18" a="1"/>
  <c r="D5" i="18" s="1"/>
  <c r="C5" i="18" a="1"/>
  <c r="C5" i="18" s="1"/>
  <c r="AM6" i="18" a="1"/>
  <c r="AM6" i="18" s="1"/>
  <c r="AM7" i="18" a="1"/>
  <c r="AM7" i="18" s="1"/>
  <c r="AM8" i="18" a="1"/>
  <c r="AM8" i="18" s="1"/>
  <c r="AM9" i="18" a="1"/>
  <c r="AM9" i="18" s="1"/>
  <c r="AM10" i="18" a="1"/>
  <c r="AM10" i="18" s="1"/>
  <c r="AM5" i="18" a="1"/>
  <c r="AM5" i="18" s="1"/>
  <c r="P19" i="19"/>
  <c r="P18" i="19"/>
  <c r="P16" i="19"/>
  <c r="AL41" i="18"/>
  <c r="AL40" i="18"/>
  <c r="AL39" i="18"/>
  <c r="AL38" i="18"/>
  <c r="AL37" i="18"/>
  <c r="AL36" i="18"/>
  <c r="AL35" i="18"/>
  <c r="AL10" i="18"/>
  <c r="AL9" i="18"/>
  <c r="AL8" i="18"/>
  <c r="AL7" i="18"/>
  <c r="AL6" i="18"/>
  <c r="AL5" i="18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M33" i="16" a="1"/>
  <c r="M33" i="16" s="1"/>
  <c r="E28" i="16"/>
  <c r="E27" i="16"/>
  <c r="E26" i="16"/>
  <c r="E25" i="16"/>
  <c r="E24" i="16"/>
  <c r="P19" i="16"/>
  <c r="P18" i="16"/>
  <c r="P16" i="16"/>
  <c r="I40" i="16" l="1" a="1"/>
  <c r="I40" i="16" s="1"/>
  <c r="J40" i="16" s="1"/>
  <c r="I57" i="16"/>
  <c r="J57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<sst xmlns="http://schemas.openxmlformats.org/spreadsheetml/2006/main" count="434" uniqueCount="138">
  <si>
    <t>Monthly Challenge</t>
  </si>
  <si>
    <t>Climatograms</t>
  </si>
  <si>
    <t>Case Author</t>
  </si>
  <si>
    <r>
      <t xml:space="preserve">
One day, I came across a visual way to 
represent temperatures and wind 
speeds for each hour of the day.
These charts are called </t>
    </r>
    <r>
      <rPr>
        <b/>
        <sz val="11"/>
        <color rgb="FF806000"/>
        <rFont val="Aptos Narrow"/>
        <family val="2"/>
        <scheme val="minor"/>
      </rPr>
      <t>Climatograms</t>
    </r>
    <r>
      <rPr>
        <sz val="11"/>
        <color rgb="FF806000"/>
        <rFont val="Aptos Narrow"/>
        <family val="2"/>
        <scheme val="minor"/>
      </rPr>
      <t xml:space="preserve">.
This challenge is based on fictional 
climatograms for the month of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,
 available in the </t>
    </r>
    <r>
      <rPr>
        <b/>
        <u/>
        <sz val="11"/>
        <color rgb="FF806000"/>
        <rFont val="Aptos Narrow"/>
        <family val="2"/>
        <scheme val="minor"/>
      </rPr>
      <t>Climatogram</t>
    </r>
    <r>
      <rPr>
        <sz val="11"/>
        <color rgb="FF806000"/>
        <rFont val="Aptos Narrow"/>
        <family val="2"/>
        <scheme val="minor"/>
      </rPr>
      <t xml:space="preserve"> tab.
There is one for </t>
    </r>
    <r>
      <rPr>
        <b/>
        <sz val="11"/>
        <color rgb="FF806000"/>
        <rFont val="Aptos Narrow"/>
        <family val="2"/>
        <scheme val="minor"/>
      </rPr>
      <t>Temperatures</t>
    </r>
    <r>
      <rPr>
        <sz val="11"/>
        <color rgb="FF806000"/>
        <rFont val="Aptos Narrow"/>
        <family val="2"/>
        <scheme val="minor"/>
      </rPr>
      <t xml:space="preserve">, one for </t>
    </r>
    <r>
      <rPr>
        <b/>
        <sz val="11"/>
        <color rgb="FF806000"/>
        <rFont val="Aptos Narrow"/>
        <family val="2"/>
        <scheme val="minor"/>
      </rPr>
      <t>Wind Speed</t>
    </r>
    <r>
      <rPr>
        <sz val="11"/>
        <color rgb="FF806000"/>
        <rFont val="Aptos Narrow"/>
        <family val="2"/>
        <scheme val="minor"/>
      </rPr>
      <t xml:space="preserve">, and both indicate the </t>
    </r>
    <r>
      <rPr>
        <b/>
        <sz val="11"/>
        <color rgb="FF806000"/>
        <rFont val="Aptos Narrow"/>
        <family val="2"/>
        <scheme val="minor"/>
      </rPr>
      <t>Night</t>
    </r>
    <r>
      <rPr>
        <sz val="11"/>
        <color rgb="FF806000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sz val="11"/>
        <color rgb="FF806000"/>
        <rFont val="Aptos Narrow"/>
        <family val="2"/>
        <scheme val="minor"/>
      </rPr>
      <t xml:space="preserve"> </t>
    </r>
    <r>
      <rPr>
        <b/>
        <sz val="11"/>
        <color rgb="FF806000"/>
        <rFont val="Aptos Narrow"/>
        <family val="2"/>
        <scheme val="minor"/>
      </rPr>
      <t>Periods</t>
    </r>
    <r>
      <rPr>
        <sz val="11"/>
        <color rgb="FF806000"/>
        <rFont val="Aptos Narrow"/>
        <family val="2"/>
        <scheme val="minor"/>
      </rPr>
      <t xml:space="preserve"> of each day (dotted line).</t>
    </r>
  </si>
  <si>
    <t>Thomas Marcelo</t>
  </si>
  <si>
    <t>With special help from:</t>
  </si>
  <si>
    <t>Laennder Alves</t>
  </si>
  <si>
    <t>Bruno Mérola</t>
  </si>
  <si>
    <t>Bonus Questions</t>
  </si>
  <si>
    <t>Game #</t>
  </si>
  <si>
    <t>Relates to</t>
  </si>
  <si>
    <t>Answer</t>
  </si>
  <si>
    <t>Bonus Question</t>
  </si>
  <si>
    <t>Bonus 1</t>
  </si>
  <si>
    <t>Levels 1-7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</si>
  <si>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date that occurs most frequently</t>
    </r>
    <r>
      <rPr>
        <sz val="11"/>
        <color rgb="FF806000"/>
        <rFont val="Aptos Narrow"/>
        <family val="2"/>
        <scheme val="minor"/>
      </rPr>
      <t xml:space="preserve"> in </t>
    </r>
    <r>
      <rPr>
        <b/>
        <sz val="11"/>
        <color rgb="FF006837"/>
        <rFont val="Aptos Narrow"/>
        <family val="2"/>
        <scheme val="minor"/>
      </rPr>
      <t>questions 1 to 7</t>
    </r>
    <r>
      <rPr>
        <sz val="11"/>
        <color rgb="FF806000"/>
        <rFont val="Aptos Narrow"/>
        <family val="2"/>
        <scheme val="minor"/>
      </rPr>
      <t xml:space="preserve">? (disregard examples, </t>
    </r>
    <r>
      <rPr>
        <b/>
        <u/>
        <sz val="11"/>
        <color rgb="FF806000"/>
        <rFont val="Aptos Narrow"/>
        <family val="2"/>
        <scheme val="minor"/>
      </rPr>
      <t>Excel date value</t>
    </r>
    <r>
      <rPr>
        <sz val="11"/>
        <color rgb="FF806000"/>
        <rFont val="Aptos Narrow"/>
        <family val="2"/>
        <scheme val="minor"/>
      </rPr>
      <t>)</t>
    </r>
  </si>
  <si>
    <t>Bonus 2</t>
  </si>
  <si>
    <t>Levels 1, 2, 4-7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</si>
  <si>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time that occurs most frequently</t>
    </r>
    <r>
      <rPr>
        <sz val="11"/>
        <color rgb="FF806000"/>
        <rFont val="Aptos Narrow"/>
        <family val="2"/>
        <scheme val="minor"/>
      </rPr>
      <t xml:space="preserve"> in</t>
    </r>
    <r>
      <rPr>
        <b/>
        <sz val="11"/>
        <color rgb="FF006837"/>
        <rFont val="Aptos Narrow"/>
        <family val="2"/>
        <scheme val="minor"/>
      </rPr>
      <t xml:space="preserve"> questions 1, 2, 4, 5,6 and 7</t>
    </r>
    <r>
      <rPr>
        <sz val="11"/>
        <color rgb="FF806000"/>
        <rFont val="Aptos Narrow"/>
        <family val="2"/>
        <scheme val="minor"/>
      </rPr>
      <t>? (disregard examples,</t>
    </r>
    <r>
      <rPr>
        <b/>
        <u/>
        <sz val="11"/>
        <color rgb="FF806000"/>
        <rFont val="Aptos Narrow"/>
        <family val="2"/>
        <scheme val="minor"/>
      </rPr>
      <t xml:space="preserve"> answer with the hour only, e.g.: 14</t>
    </r>
    <r>
      <rPr>
        <sz val="11"/>
        <color rgb="FF806000"/>
        <rFont val="Aptos Narrow"/>
        <family val="2"/>
        <scheme val="minor"/>
      </rPr>
      <t>)</t>
    </r>
  </si>
  <si>
    <t>Bonus 3</t>
  </si>
  <si>
    <t>-</t>
  </si>
  <si>
    <r>
      <t xml:space="preserve">What is the next month/year that has the same number of days as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 and starts on the same day of the week? (</t>
    </r>
    <r>
      <rPr>
        <b/>
        <u/>
        <sz val="11"/>
        <color rgb="FF806000"/>
        <rFont val="Aptos Narrow"/>
        <family val="2"/>
        <scheme val="minor"/>
      </rPr>
      <t>Excel date, with 01 as day</t>
    </r>
    <r>
      <rPr>
        <sz val="11"/>
        <color rgb="FF806000"/>
        <rFont val="Aptos Narrow"/>
        <family val="2"/>
        <scheme val="minor"/>
      </rPr>
      <t>)</t>
    </r>
  </si>
  <si>
    <t>Bonus 4</t>
  </si>
  <si>
    <t>Level 3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</si>
  <si>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3</t>
    </r>
    <r>
      <rPr>
        <sz val="11"/>
        <color rgb="FF806000"/>
        <rFont val="Aptos Narrow"/>
        <family val="2"/>
        <scheme val="minor"/>
      </rPr>
      <t xml:space="preserve">, what is the date with the </t>
    </r>
    <r>
      <rPr>
        <b/>
        <sz val="11"/>
        <color rgb="FF806000"/>
        <rFont val="Aptos Narrow"/>
        <family val="2"/>
        <scheme val="minor"/>
      </rPr>
      <t>WORST</t>
    </r>
    <r>
      <rPr>
        <sz val="11"/>
        <color rgb="FF806000"/>
        <rFont val="Aptos Narrow"/>
        <family val="2"/>
        <scheme val="minor"/>
      </rPr>
      <t xml:space="preserve"> "thermal comfort"? (with the largest sum of absolute differences, </t>
    </r>
    <r>
      <rPr>
        <b/>
        <u/>
        <sz val="11"/>
        <color rgb="FF806000"/>
        <rFont val="Aptos Narrow"/>
        <family val="2"/>
        <scheme val="minor"/>
      </rPr>
      <t>Excel date</t>
    </r>
    <r>
      <rPr>
        <sz val="11"/>
        <color rgb="FF806000"/>
        <rFont val="Aptos Narrow"/>
        <family val="2"/>
        <scheme val="minor"/>
      </rPr>
      <t>)</t>
    </r>
  </si>
  <si>
    <t>Bonus 5</t>
  </si>
  <si>
    <t>Level 6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</si>
  <si>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6</t>
    </r>
    <r>
      <rPr>
        <sz val="11"/>
        <color rgb="FF806000"/>
        <rFont val="Aptos Narrow"/>
        <family val="2"/>
        <scheme val="minor"/>
      </rPr>
      <t>, what is the highest temperature ("thermal sensation") recorded?</t>
    </r>
  </si>
  <si>
    <t>Questions</t>
  </si>
  <si>
    <t>Level 1</t>
  </si>
  <si>
    <t>Easy</t>
  </si>
  <si>
    <t>Completion</t>
  </si>
  <si>
    <r>
      <t xml:space="preserve">What is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provided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?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</si>
  <si>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>.</t>
    </r>
  </si>
  <si>
    <r>
      <t xml:space="preserve">For this temperature range, the average is </t>
    </r>
    <r>
      <rPr>
        <b/>
        <i/>
        <u/>
        <sz val="11"/>
        <color theme="1"/>
        <rFont val="Aptos Narrow"/>
        <family val="2"/>
        <scheme val="minor"/>
      </rPr>
      <t xml:space="preserve">27 </t>
    </r>
    <r>
      <rPr>
        <sz val="11"/>
        <color theme="1"/>
        <rFont val="Aptos Narrow"/>
        <family val="2"/>
        <scheme val="minor"/>
      </rPr>
      <t>°C.</t>
    </r>
  </si>
  <si>
    <t>Level</t>
  </si>
  <si>
    <t>Date &amp; Time</t>
  </si>
  <si>
    <t>Example1</t>
  </si>
  <si>
    <t>Level 2</t>
  </si>
  <si>
    <r>
      <t xml:space="preserve">Again, we would like to know the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, but this time we also need to know if we are in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or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period.</t>
    </r>
  </si>
  <si>
    <r>
      <t xml:space="preserve">Return the average temperature, a hyphen, and </t>
    </r>
    <r>
      <rPr>
        <b/>
        <sz val="11"/>
        <color rgb="FF006837"/>
        <rFont val="Aptos Narrow"/>
        <family val="2"/>
        <scheme val="minor"/>
      </rPr>
      <t>"N"</t>
    </r>
    <r>
      <rPr>
        <b/>
        <sz val="11"/>
        <color theme="1"/>
        <rFont val="Aptos Narrow"/>
        <family val="2"/>
        <scheme val="minor"/>
      </rPr>
      <t xml:space="preserve"> for night or </t>
    </r>
    <r>
      <rPr>
        <b/>
        <sz val="11"/>
        <color rgb="FF006837"/>
        <rFont val="Aptos Narrow"/>
        <family val="2"/>
        <scheme val="minor"/>
      </rPr>
      <t>"D"</t>
    </r>
    <r>
      <rPr>
        <b/>
        <sz val="11"/>
        <color theme="1"/>
        <rFont val="Aptos Narrow"/>
        <family val="2"/>
        <scheme val="minor"/>
      </rPr>
      <t xml:space="preserve"> for day.</t>
    </r>
  </si>
  <si>
    <r>
      <t xml:space="preserve">Example: On day </t>
    </r>
    <r>
      <rPr>
        <i/>
        <sz val="11"/>
        <rFont val="Aptos Narrow"/>
        <family val="2"/>
        <scheme val="minor"/>
      </rPr>
      <t>23/04/2025</t>
    </r>
    <r>
      <rPr>
        <sz val="11"/>
        <rFont val="Aptos Narrow"/>
        <family val="2"/>
        <scheme val="minor"/>
      </rPr>
      <t xml:space="preserve"> the temperature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 xml:space="preserve"> was </t>
    </r>
    <r>
      <rPr>
        <i/>
        <sz val="11"/>
        <rFont val="Aptos Narrow"/>
        <family val="2"/>
        <scheme val="minor"/>
      </rPr>
      <t>Warm</t>
    </r>
    <r>
      <rPr>
        <sz val="11"/>
        <rFont val="Aptos Narrow"/>
        <family val="2"/>
        <scheme val="minor"/>
      </rPr>
      <t xml:space="preserve">, and the period was </t>
    </r>
    <r>
      <rPr>
        <i/>
        <sz val="11"/>
        <rFont val="Aptos Narrow"/>
        <family val="2"/>
        <scheme val="minor"/>
      </rPr>
      <t>Night</t>
    </r>
    <r>
      <rPr>
        <sz val="11"/>
        <rFont val="Aptos Narrow"/>
        <family val="2"/>
        <scheme val="minor"/>
      </rPr>
      <t>.</t>
    </r>
  </si>
  <si>
    <r>
      <t xml:space="preserve">For this temperature range, the average is </t>
    </r>
    <r>
      <rPr>
        <i/>
        <sz val="11"/>
        <color theme="1"/>
        <rFont val="Aptos Narrow"/>
        <family val="2"/>
        <scheme val="minor"/>
      </rPr>
      <t>27 °C</t>
    </r>
    <r>
      <rPr>
        <sz val="11"/>
        <color theme="1"/>
        <rFont val="Aptos Narrow"/>
        <family val="2"/>
        <scheme val="minor"/>
      </rPr>
      <t xml:space="preserve">. Therefore, we return </t>
    </r>
    <r>
      <rPr>
        <b/>
        <i/>
        <u/>
        <sz val="11"/>
        <color theme="1"/>
        <rFont val="Aptos Narrow"/>
        <family val="2"/>
        <scheme val="minor"/>
      </rPr>
      <t>27-N</t>
    </r>
    <r>
      <rPr>
        <sz val="11"/>
        <color theme="1"/>
        <rFont val="Aptos Narrow"/>
        <family val="2"/>
        <scheme val="minor"/>
      </rPr>
      <t>.</t>
    </r>
  </si>
  <si>
    <t>Example2</t>
  </si>
  <si>
    <t>27-N</t>
  </si>
  <si>
    <t>Medium</t>
  </si>
  <si>
    <r>
      <t xml:space="preserve">Let's consider that the ideal temperature for a good night's sleep is </t>
    </r>
    <r>
      <rPr>
        <b/>
        <sz val="11"/>
        <color rgb="FFC00000"/>
        <rFont val="Aptos Narrow"/>
        <family val="2"/>
        <scheme val="minor"/>
      </rPr>
      <t>16°C</t>
    </r>
    <r>
      <rPr>
        <b/>
        <sz val="11"/>
        <color theme="1"/>
        <rFont val="Aptos Narrow"/>
        <family val="2"/>
        <scheme val="minor"/>
      </rPr>
      <t xml:space="preserve">, and that a pleasant temperature for spending the day is </t>
    </r>
    <r>
      <rPr>
        <b/>
        <sz val="11"/>
        <color rgb="FFC00000"/>
        <rFont val="Aptos Narrow"/>
        <family val="2"/>
        <scheme val="minor"/>
      </rPr>
      <t>26°C</t>
    </r>
    <r>
      <rPr>
        <b/>
        <sz val="11"/>
        <color theme="1"/>
        <rFont val="Aptos Narrow"/>
        <family val="2"/>
        <scheme val="minor"/>
      </rPr>
      <t>.</t>
    </r>
  </si>
  <si>
    <t>We'll call this "thermal comfort." Consider that you sleep during the night and are awake during the day.</t>
  </si>
  <si>
    <r>
      <t xml:space="preserve">For the given </t>
    </r>
    <r>
      <rPr>
        <b/>
        <sz val="11"/>
        <color rgb="FF005761"/>
        <rFont val="Aptos Narrow"/>
        <family val="2"/>
        <scheme val="minor"/>
      </rPr>
      <t>Date</t>
    </r>
    <r>
      <rPr>
        <b/>
        <sz val="11"/>
        <color theme="1"/>
        <rFont val="Aptos Narrow"/>
        <family val="2"/>
        <scheme val="minor"/>
      </rPr>
      <t xml:space="preserve">, return the sum of the absolute differences between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and the ideal temperatures for these periods, respectively.</t>
    </r>
  </si>
  <si>
    <r>
      <t xml:space="preserve">Use the average temperature </t>
    </r>
    <r>
      <rPr>
        <b/>
        <u/>
        <sz val="11"/>
        <color theme="1"/>
        <rFont val="Aptos Narrow"/>
        <family val="2"/>
        <scheme val="minor"/>
      </rPr>
      <t>rounded to the nearest integer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</si>
  <si>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average temperature during the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 xml:space="preserve"> period is </t>
    </r>
    <r>
      <rPr>
        <i/>
        <sz val="11"/>
        <color theme="1"/>
        <rFont val="Aptos Narrow"/>
        <family val="2"/>
        <scheme val="minor"/>
      </rPr>
      <t>19°C</t>
    </r>
    <r>
      <rPr>
        <sz val="11"/>
        <color theme="1"/>
        <rFont val="Aptos Narrow"/>
        <family val="2"/>
        <scheme val="minor"/>
      </rPr>
      <t xml:space="preserve">. During the </t>
    </r>
    <r>
      <rPr>
        <i/>
        <sz val="11"/>
        <color theme="1"/>
        <rFont val="Aptos Narrow"/>
        <family val="2"/>
        <scheme val="minor"/>
      </rPr>
      <t>Day</t>
    </r>
    <r>
      <rPr>
        <sz val="11"/>
        <color theme="1"/>
        <rFont val="Aptos Narrow"/>
        <family val="2"/>
        <scheme val="minor"/>
      </rPr>
      <t xml:space="preserve">, it's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</si>
  <si>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the answer is </t>
    </r>
    <r>
      <rPr>
        <i/>
        <sz val="11"/>
        <color theme="1"/>
        <rFont val="Aptos Narrow"/>
        <family val="2"/>
        <scheme val="minor"/>
      </rPr>
      <t xml:space="preserve">(19°C - 16°C) + (25°C - 26°C) = </t>
    </r>
    <r>
      <rPr>
        <b/>
        <i/>
        <u/>
        <sz val="11"/>
        <color theme="1"/>
        <rFont val="Aptos Narrow"/>
        <family val="2"/>
        <scheme val="minor"/>
      </rPr>
      <t>4</t>
    </r>
    <r>
      <rPr>
        <i/>
        <sz val="11"/>
        <color theme="1"/>
        <rFont val="Aptos Narrow"/>
        <family val="2"/>
        <scheme val="minor"/>
      </rPr>
      <t xml:space="preserve"> °C</t>
    </r>
    <r>
      <rPr>
        <sz val="11"/>
        <color theme="1"/>
        <rFont val="Aptos Narrow"/>
        <family val="2"/>
        <scheme val="minor"/>
      </rPr>
      <t>.</t>
    </r>
  </si>
  <si>
    <t>Date</t>
  </si>
  <si>
    <t>Example3</t>
  </si>
  <si>
    <t>Level 4</t>
  </si>
  <si>
    <t>Hard</t>
  </si>
  <si>
    <r>
      <t>Determine the average</t>
    </r>
    <r>
      <rPr>
        <b/>
        <sz val="11"/>
        <color rgb="FF806000"/>
        <rFont val="Aptos Narrow"/>
        <family val="2"/>
        <scheme val="minor"/>
      </rPr>
      <t xml:space="preserve"> Temperature Range</t>
    </r>
    <r>
      <rPr>
        <b/>
        <sz val="11"/>
        <color theme="1"/>
        <rFont val="Aptos Narrow"/>
        <family val="2"/>
        <scheme val="minor"/>
      </rPr>
      <t xml:space="preserve"> of a specific time window.</t>
    </r>
  </si>
  <si>
    <r>
      <t xml:space="preserve">The size of the window is determined by the </t>
    </r>
    <r>
      <rPr>
        <b/>
        <sz val="11"/>
        <color rgb="FF005761"/>
        <rFont val="Aptos Narrow"/>
        <family val="2"/>
        <scheme val="minor"/>
      </rPr>
      <t>Delta</t>
    </r>
    <r>
      <rPr>
        <b/>
        <sz val="11"/>
        <color theme="1"/>
        <rFont val="Aptos Narrow"/>
        <family val="2"/>
        <scheme val="minor"/>
      </rPr>
      <t xml:space="preserve"> in hours before or after the specified time.</t>
    </r>
  </si>
  <si>
    <t>Remember to include the given time in the calculation of the average, and that it's possible that the window covers different days.</t>
  </si>
  <si>
    <r>
      <t>Periods outside the month of April/2025</t>
    </r>
    <r>
      <rPr>
        <b/>
        <u/>
        <sz val="11"/>
        <color theme="1"/>
        <rFont val="Aptos Narrow"/>
        <family val="2"/>
        <scheme val="minor"/>
      </rPr>
      <t xml:space="preserve"> should be disregarded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</si>
  <si>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, at </t>
    </r>
    <r>
      <rPr>
        <i/>
        <sz val="11"/>
        <color theme="1"/>
        <rFont val="Aptos Narrow"/>
        <family val="2"/>
        <scheme val="minor"/>
      </rPr>
      <t>17:00, 18:00, 19:00, 20:00 and 21:00</t>
    </r>
    <r>
      <rPr>
        <sz val="11"/>
        <color theme="1"/>
        <rFont val="Aptos Narrow"/>
        <family val="2"/>
        <scheme val="minor"/>
      </rPr>
      <t>, the temperatures are, respectively:</t>
    </r>
  </si>
  <si>
    <r>
      <rPr>
        <i/>
        <sz val="11"/>
        <color theme="1"/>
        <rFont val="Aptos Narrow"/>
        <family val="2"/>
        <scheme val="minor"/>
      </rPr>
      <t>Warm, Warm, Warm, Pleasant and Pleasant</t>
    </r>
    <r>
      <rPr>
        <sz val="11"/>
        <color theme="1"/>
        <rFont val="Aptos Narrow"/>
        <family val="2"/>
        <scheme val="minor"/>
      </rPr>
      <t xml:space="preserve">, which represents an average temperature of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</si>
  <si>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return </t>
    </r>
    <r>
      <rPr>
        <b/>
        <i/>
        <u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 as the final answer.</t>
    </r>
  </si>
  <si>
    <r>
      <t xml:space="preserve">Delta h </t>
    </r>
    <r>
      <rPr>
        <sz val="11"/>
        <color theme="0"/>
        <rFont val="Aptos Narrow"/>
        <family val="2"/>
        <scheme val="minor"/>
      </rPr>
      <t>(+/-)</t>
    </r>
  </si>
  <si>
    <t>Example4</t>
  </si>
  <si>
    <t>Warm</t>
  </si>
  <si>
    <t>Level 5</t>
  </si>
  <si>
    <r>
      <t xml:space="preserve">Determine the average </t>
    </r>
    <r>
      <rPr>
        <b/>
        <sz val="11"/>
        <color rgb="FF806000"/>
        <rFont val="Aptos Narrow"/>
        <family val="2"/>
        <scheme val="minor"/>
      </rPr>
      <t>Wind Speed Range</t>
    </r>
    <r>
      <rPr>
        <b/>
        <sz val="11"/>
        <color theme="1"/>
        <rFont val="Aptos Narrow"/>
        <family val="2"/>
        <scheme val="minor"/>
      </rPr>
      <t xml:space="preserve"> of a specific window of days at the same time.</t>
    </r>
  </si>
  <si>
    <r>
      <t>The size of the window is determined by the</t>
    </r>
    <r>
      <rPr>
        <b/>
        <sz val="11"/>
        <color rgb="FF005761"/>
        <rFont val="Aptos Narrow"/>
        <family val="2"/>
        <scheme val="minor"/>
      </rPr>
      <t xml:space="preserve"> Delta</t>
    </r>
    <r>
      <rPr>
        <b/>
        <sz val="11"/>
        <color theme="1"/>
        <rFont val="Aptos Narrow"/>
        <family val="2"/>
        <scheme val="minor"/>
      </rPr>
      <t xml:space="preserve"> in days before and after the specified day and time.</t>
    </r>
  </si>
  <si>
    <r>
      <t xml:space="preserve">Remember to include the given time in the calculation of the average. </t>
    </r>
    <r>
      <rPr>
        <b/>
        <u/>
        <sz val="11"/>
        <color theme="1"/>
        <rFont val="Aptos Narrow"/>
        <family val="2"/>
        <scheme val="minor"/>
      </rPr>
      <t>Ignore cases where the window extends beyond the month of April/2025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</si>
  <si>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days </t>
    </r>
    <r>
      <rPr>
        <i/>
        <sz val="11"/>
        <rFont val="Aptos Narrow"/>
        <family val="2"/>
        <scheme val="minor"/>
      </rPr>
      <t>21, 22, 23, 24 and 25/04/2025</t>
    </r>
    <r>
      <rPr>
        <sz val="11"/>
        <rFont val="Aptos Narrow"/>
        <family val="2"/>
        <scheme val="minor"/>
      </rPr>
      <t xml:space="preserve">,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>, the wind speeds are, respectively:</t>
    </r>
  </si>
  <si>
    <r>
      <rPr>
        <i/>
        <sz val="11"/>
        <color theme="1"/>
        <rFont val="Aptos Narrow"/>
        <family val="2"/>
        <scheme val="minor"/>
      </rPr>
      <t>Gentle Breeze, Light Air, Moderate Breeze, Light Air and Gentle Breeze</t>
    </r>
    <r>
      <rPr>
        <sz val="11"/>
        <color theme="1"/>
        <rFont val="Aptos Narrow"/>
        <family val="2"/>
        <scheme val="minor"/>
      </rPr>
      <t xml:space="preserve">, which represents an average wind speed of </t>
    </r>
    <r>
      <rPr>
        <i/>
        <sz val="11"/>
        <color theme="1"/>
        <rFont val="Aptos Narrow"/>
        <family val="2"/>
        <scheme val="minor"/>
      </rPr>
      <t>15 km/h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</si>
  <si>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answer </t>
    </r>
    <r>
      <rPr>
        <b/>
        <i/>
        <u/>
        <sz val="11"/>
        <color theme="1"/>
        <rFont val="Aptos Narrow"/>
        <family val="2"/>
        <scheme val="minor"/>
      </rPr>
      <t>Gentle Breeze</t>
    </r>
    <r>
      <rPr>
        <sz val="11"/>
        <color theme="1"/>
        <rFont val="Aptos Narrow"/>
        <family val="2"/>
        <scheme val="minor"/>
      </rPr>
      <t>.</t>
    </r>
  </si>
  <si>
    <r>
      <t xml:space="preserve">Delta Days </t>
    </r>
    <r>
      <rPr>
        <sz val="11"/>
        <color theme="0"/>
        <rFont val="Aptos Narrow"/>
        <family val="2"/>
        <scheme val="minor"/>
      </rPr>
      <t>(+/-)</t>
    </r>
  </si>
  <si>
    <t>Example5</t>
  </si>
  <si>
    <t>Gentle Breeze</t>
  </si>
  <si>
    <r>
      <rPr>
        <b/>
        <sz val="11"/>
        <color rgb="FF806000"/>
        <rFont val="Aptos Narrow"/>
        <family val="2"/>
        <scheme val="minor"/>
      </rPr>
      <t>Wind Speed</t>
    </r>
    <r>
      <rPr>
        <b/>
        <sz val="11"/>
        <color theme="1"/>
        <rFont val="Aptos Narrow"/>
        <family val="2"/>
        <scheme val="minor"/>
      </rPr>
      <t xml:space="preserve"> can affect the sensation of temperature either up or down. We'll call this "thermal sensation" (</t>
    </r>
    <r>
      <rPr>
        <b/>
        <sz val="11"/>
        <color rgb="FF806000"/>
        <rFont val="Aptos Narrow"/>
        <family val="2"/>
        <scheme val="minor"/>
      </rPr>
      <t>Thermal Sensation Δ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</si>
  <si>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But beware: the influence of wind is different in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 xml:space="preserve"> periods.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, the effect of wind should be considered </t>
    </r>
    <r>
      <rPr>
        <b/>
        <sz val="11"/>
        <color rgb="FFC00000"/>
        <rFont val="Aptos Narrow"/>
        <family val="2"/>
        <scheme val="minor"/>
      </rPr>
      <t>1.5x</t>
    </r>
    <r>
      <rPr>
        <b/>
        <sz val="11"/>
        <rFont val="Aptos Narrow"/>
        <family val="2"/>
        <scheme val="minor"/>
      </rPr>
      <t xml:space="preserve"> greater. During the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>, the standard value (</t>
    </r>
    <r>
      <rPr>
        <b/>
        <sz val="11"/>
        <color rgb="FFC00000"/>
        <rFont val="Aptos Narrow"/>
        <family val="2"/>
        <scheme val="minor"/>
      </rPr>
      <t>1.0x</t>
    </r>
    <r>
      <rPr>
        <b/>
        <sz val="11"/>
        <rFont val="Aptos Narrow"/>
        <family val="2"/>
        <scheme val="minor"/>
      </rPr>
      <t>) applies.</t>
    </r>
  </si>
  <si>
    <r>
      <t xml:space="preserve">Return the average temperature, a hyphen, and the equivalent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at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 taking into account the 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 xml:space="preserve"> caused by the wind at the same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</si>
  <si>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, and the period was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>.</t>
    </r>
  </si>
  <si>
    <r>
      <t xml:space="preserve">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wind speed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Moderate Breeze</t>
    </r>
    <r>
      <rPr>
        <sz val="11"/>
        <color theme="1"/>
        <rFont val="Aptos Narrow"/>
        <family val="2"/>
        <scheme val="minor"/>
      </rPr>
      <t xml:space="preserve">, which has a </t>
    </r>
    <r>
      <rPr>
        <sz val="11"/>
        <color rgb="FF806000"/>
        <rFont val="Aptos Narrow"/>
        <family val="2"/>
        <scheme val="minor"/>
      </rPr>
      <t>Δ Thermal Sensation</t>
    </r>
    <r>
      <rPr>
        <sz val="11"/>
        <color theme="1"/>
        <rFont val="Aptos Narrow"/>
        <family val="2"/>
        <scheme val="minor"/>
      </rPr>
      <t xml:space="preserve"> of </t>
    </r>
    <r>
      <rPr>
        <i/>
        <sz val="11"/>
        <color theme="1"/>
        <rFont val="Aptos Narrow"/>
        <family val="2"/>
        <scheme val="minor"/>
      </rPr>
      <t>-4°C</t>
    </r>
    <r>
      <rPr>
        <sz val="11"/>
        <color theme="1"/>
        <rFont val="Aptos Narrow"/>
        <family val="2"/>
        <scheme val="minor"/>
      </rPr>
      <t>.</t>
    </r>
  </si>
  <si>
    <r>
      <t xml:space="preserve">The final temperature, therefore, is </t>
    </r>
    <r>
      <rPr>
        <i/>
        <sz val="11"/>
        <color theme="1"/>
        <rFont val="Aptos Narrow"/>
        <family val="2"/>
        <scheme val="minor"/>
      </rPr>
      <t>27-4*1.5=21</t>
    </r>
    <r>
      <rPr>
        <sz val="11"/>
        <color theme="1"/>
        <rFont val="Aptos Narrow"/>
        <family val="2"/>
        <scheme val="minor"/>
      </rPr>
      <t xml:space="preserve">. This way, we return </t>
    </r>
    <r>
      <rPr>
        <b/>
        <i/>
        <u/>
        <sz val="11"/>
        <color theme="1"/>
        <rFont val="Aptos Narrow"/>
        <family val="2"/>
        <scheme val="minor"/>
      </rPr>
      <t>21-Pleasant</t>
    </r>
    <r>
      <rPr>
        <sz val="11"/>
        <color theme="1"/>
        <rFont val="Aptos Narrow"/>
        <family val="2"/>
        <scheme val="minor"/>
      </rPr>
      <t>.</t>
    </r>
  </si>
  <si>
    <t>Example6</t>
  </si>
  <si>
    <t>21-Pleasant</t>
  </si>
  <si>
    <t>Level 7</t>
  </si>
  <si>
    <t>We need to calculate the average thermal sensation of a window with a delta of 1 hour before and after, 1 day before and after the specified date and time.</t>
  </si>
  <si>
    <r>
      <t xml:space="preserve">The answer should be the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equivalent to the average found.</t>
    </r>
  </si>
  <si>
    <r>
      <t xml:space="preserve">Similar to </t>
    </r>
    <r>
      <rPr>
        <b/>
        <sz val="11"/>
        <color rgb="FF006837"/>
        <rFont val="Aptos Narrow"/>
        <family val="2"/>
        <scheme val="minor"/>
      </rPr>
      <t>Level 6</t>
    </r>
    <r>
      <rPr>
        <b/>
        <sz val="11"/>
        <color theme="1"/>
        <rFont val="Aptos Narrow"/>
        <family val="2"/>
        <scheme val="minor"/>
      </rPr>
      <t>, remember to consider the effects of the period (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>) on the influence of wind speed (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</si>
  <si>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Example: On days </t>
    </r>
    <r>
      <rPr>
        <i/>
        <sz val="11"/>
        <color theme="1"/>
        <rFont val="Aptos Narrow"/>
        <family val="2"/>
        <scheme val="minor"/>
      </rPr>
      <t>22, 23 and 24/04/2025</t>
    </r>
    <r>
      <rPr>
        <sz val="11"/>
        <color theme="1"/>
        <rFont val="Aptos Narrow"/>
        <family val="2"/>
        <scheme val="minor"/>
      </rPr>
      <t>, at the times below, the temperature ranges and wind speed are:</t>
    </r>
  </si>
  <si>
    <t xml:space="preserve">Warm          Pleasant     Pleasant </t>
  </si>
  <si>
    <t>Gentle Breeze     Gentle Breeze          Light Breeze</t>
  </si>
  <si>
    <t>Pleasant    Warm           Pleasant</t>
  </si>
  <si>
    <t>Light Breeze         Moderate Breeze   Light Breeze</t>
  </si>
  <si>
    <t xml:space="preserve">Warm          Warm          Warm </t>
  </si>
  <si>
    <t>Gentle Breeze     Gentle Breeze         Gentle Breeze</t>
  </si>
  <si>
    <r>
      <t>After applying the effect of wind speed at each date and time, the</t>
    </r>
    <r>
      <rPr>
        <b/>
        <sz val="11"/>
        <rFont val="Aptos Narrow"/>
        <family val="2"/>
        <scheme val="minor"/>
      </rPr>
      <t xml:space="preserve"> </t>
    </r>
    <r>
      <rPr>
        <sz val="11"/>
        <rFont val="Aptos Narrow"/>
        <family val="2"/>
        <scheme val="minor"/>
      </rPr>
      <t xml:space="preserve">average is </t>
    </r>
    <r>
      <rPr>
        <i/>
        <sz val="11"/>
        <rFont val="Aptos Narrow"/>
        <family val="2"/>
        <scheme val="minor"/>
      </rPr>
      <t>22,77... °C</t>
    </r>
    <r>
      <rPr>
        <sz val="11"/>
        <rFont val="Aptos Narrow"/>
        <family val="2"/>
        <scheme val="minor"/>
      </rPr>
      <t xml:space="preserve">. Therefore, we return </t>
    </r>
    <r>
      <rPr>
        <b/>
        <i/>
        <u/>
        <sz val="11"/>
        <rFont val="Aptos Narrow"/>
        <family val="2"/>
        <scheme val="minor"/>
      </rPr>
      <t>Pleasant</t>
    </r>
    <r>
      <rPr>
        <sz val="11"/>
        <rFont val="Aptos Narrow"/>
        <family val="2"/>
        <scheme val="minor"/>
      </rPr>
      <t>.</t>
    </r>
  </si>
  <si>
    <t>Example7</t>
  </si>
  <si>
    <t>Pleasant</t>
  </si>
  <si>
    <r>
      <t xml:space="preserve">Temperature </t>
    </r>
    <r>
      <rPr>
        <sz val="11"/>
        <color theme="1"/>
        <rFont val="Aptos Narrow"/>
        <family val="2"/>
      </rPr>
      <t>(hourly)</t>
    </r>
  </si>
  <si>
    <t>Temperature Ranges</t>
  </si>
  <si>
    <t>Period</t>
  </si>
  <si>
    <t>Name</t>
  </si>
  <si>
    <t>&gt;=</t>
  </si>
  <si>
    <t>&lt;</t>
  </si>
  <si>
    <t>Average</t>
  </si>
  <si>
    <t>Night</t>
  </si>
  <si>
    <t>Cool</t>
  </si>
  <si>
    <t>Mild</t>
  </si>
  <si>
    <t>Day</t>
  </si>
  <si>
    <t>Hot</t>
  </si>
  <si>
    <t>Scorching</t>
  </si>
  <si>
    <r>
      <t xml:space="preserve">Wind Speed </t>
    </r>
    <r>
      <rPr>
        <sz val="11"/>
        <color theme="1"/>
        <rFont val="Aptos Narrow"/>
        <family val="2"/>
      </rPr>
      <t>(hourly)</t>
    </r>
  </si>
  <si>
    <t>Wind Speed Ranges</t>
  </si>
  <si>
    <t>Δ Thermal Sensation</t>
  </si>
  <si>
    <t>Calm</t>
  </si>
  <si>
    <t>Light Air</t>
  </si>
  <si>
    <t>Light Breeze</t>
  </si>
  <si>
    <t>Moderate Breeze</t>
  </si>
  <si>
    <t>Fresh Breeze</t>
  </si>
  <si>
    <t>Strong Breeze</t>
  </si>
  <si>
    <t>27-D</t>
  </si>
  <si>
    <t>10-N</t>
  </si>
  <si>
    <t>16-D</t>
  </si>
  <si>
    <t>16-N</t>
  </si>
  <si>
    <t>22-N</t>
  </si>
  <si>
    <t>22-D</t>
  </si>
  <si>
    <t>25-Warm</t>
  </si>
  <si>
    <t>29-Hot</t>
  </si>
  <si>
    <t>28-Warm</t>
  </si>
  <si>
    <t>32-Hot</t>
  </si>
  <si>
    <t>18-Mild</t>
  </si>
  <si>
    <t>30-Hot</t>
  </si>
  <si>
    <t>27-Warm</t>
  </si>
  <si>
    <t>14-Mild</t>
  </si>
  <si>
    <t>24-Pleasant</t>
  </si>
  <si>
    <t>22-Pleasant</t>
  </si>
  <si>
    <t>Row</t>
  </si>
  <si>
    <t>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</si>
</sst>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R$&quot;\ * #,##0.00_-;\-&quot;R$&quot;\ * #,##0.00_-;_-&quot;R$&quot;\ * &quot;-&quot;??_-;_-@_-"/>
    <numFmt numFmtId="165" formatCode="mmmm\,\ yyyy;@"/>
    <numFmt numFmtId="166" formatCode="#,##0&quot; °C&quot;"/>
    <numFmt numFmtId="167" formatCode="#,##0.0&quot; °C&quot;"/>
    <numFmt numFmtId="168" formatCode="#,##0&quot; km/h&quot;"/>
    <numFmt numFmtId="169" formatCode="\+#,##0\ &quot;°C&quot;;\-#,##0\ &quot;°C&quot;;#,##0;_-@_-"/>
  </numFmts>
  <fonts count="3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806000"/>
      <name val="Aptos Narrow"/>
      <family val="2"/>
      <scheme val="minor"/>
    </font>
    <font>
      <b/>
      <sz val="11"/>
      <color rgb="FF806000"/>
      <name val="Aptos Narrow"/>
      <family val="2"/>
      <scheme val="minor"/>
    </font>
    <font>
      <b/>
      <i/>
      <sz val="11"/>
      <color rgb="FF806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00576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6837"/>
      <name val="Aptos Narrow"/>
      <family val="2"/>
      <scheme val="minor"/>
    </font>
    <font>
      <b/>
      <u/>
      <sz val="11"/>
      <color rgb="FF806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theme="0"/>
      <name val="Aptos Narrow"/>
      <family val="2"/>
    </font>
    <font>
      <sz val="11"/>
      <color theme="1" tint="0.34998626667073579"/>
      <name val="Aptos Narrow"/>
      <family val="2"/>
    </font>
    <font>
      <b/>
      <sz val="11"/>
      <color theme="9" tint="-0.499984740745262"/>
      <name val="Aptos Narrow"/>
      <family val="2"/>
    </font>
    <font>
      <b/>
      <sz val="11"/>
      <color theme="1" tint="0.34998626667073579"/>
      <name val="Aptos Narrow"/>
      <family val="2"/>
    </font>
    <font>
      <b/>
      <sz val="11"/>
      <color theme="7" tint="-0.499984740745262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1"/>
      <color theme="1" tint="0.249977111117893"/>
      <name val="Aptos Narrow"/>
      <family val="2"/>
    </font>
    <font>
      <b/>
      <sz val="11"/>
      <color theme="5" tint="-0.499984740745262"/>
      <name val="Aptos Narrow"/>
      <family val="2"/>
    </font>
    <font>
      <b/>
      <sz val="11"/>
      <color rgb="FFC0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i/>
      <u/>
      <sz val="11"/>
      <name val="Aptos Narrow"/>
      <family val="2"/>
      <scheme val="minor"/>
    </font>
    <font>
      <sz val="11"/>
      <color theme="3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020024"/>
        <bgColor indexed="64"/>
      </patternFill>
    </fill>
    <fill>
      <patternFill patternType="solid">
        <fgColor rgb="FF005761"/>
        <bgColor indexed="64"/>
      </patternFill>
    </fill>
    <fill>
      <patternFill patternType="solid">
        <fgColor rgb="FFFFEECA"/>
        <bgColor indexed="64"/>
      </patternFill>
    </fill>
    <fill>
      <patternFill patternType="solid">
        <fgColor rgb="FFFFF9E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C77"/>
        <bgColor indexed="64"/>
      </patternFill>
    </fill>
    <fill>
      <patternFill patternType="solid">
        <fgColor rgb="FF8DBF7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4A877"/>
        <bgColor indexed="64"/>
      </patternFill>
    </fill>
    <fill>
      <patternFill patternType="solid">
        <fgColor rgb="FFC77560"/>
        <bgColor indexed="64"/>
      </patternFill>
    </fill>
    <fill>
      <patternFill patternType="solid">
        <fgColor rgb="FFB05B5A"/>
        <bgColor indexed="64"/>
      </patternFill>
    </fill>
    <fill>
      <patternFill patternType="solid">
        <fgColor rgb="FF984B44"/>
        <bgColor indexed="64"/>
      </patternFill>
    </fill>
    <fill>
      <patternFill patternType="solid">
        <fgColor rgb="FF3095F9"/>
        <bgColor indexed="64"/>
      </patternFill>
    </fill>
    <fill>
      <patternFill patternType="solid">
        <fgColor rgb="FF066ACF"/>
        <bgColor indexed="64"/>
      </patternFill>
    </fill>
    <fill>
      <patternFill patternType="solid">
        <fgColor rgb="FF83BFFC"/>
        <bgColor indexed="64"/>
      </patternFill>
    </fill>
    <fill>
      <patternFill patternType="solid">
        <fgColor rgb="FFD6EAFE"/>
        <bgColor indexed="64"/>
      </patternFill>
    </fill>
    <fill>
      <patternFill patternType="solid">
        <fgColor rgb="FFEED23B"/>
        <bgColor indexed="64"/>
      </patternFill>
    </fill>
    <fill>
      <patternFill patternType="solid">
        <fgColor theme="5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n">
        <color rgb="FF020024"/>
      </bottom>
      <diagonal/>
    </border>
    <border>
      <left/>
      <right/>
      <top/>
      <bottom style="thick">
        <color rgb="FF020024"/>
      </bottom>
      <diagonal/>
    </border>
    <border>
      <left/>
      <right/>
      <top style="thick">
        <color rgb="FF020024"/>
      </top>
      <bottom/>
      <diagonal/>
    </border>
    <border>
      <left style="thin">
        <color rgb="FF020024"/>
      </left>
      <right/>
      <top style="thick">
        <color rgb="FF020024"/>
      </top>
      <bottom/>
      <diagonal/>
    </border>
    <border>
      <left/>
      <right style="thin">
        <color rgb="FF020024"/>
      </right>
      <top style="thick">
        <color rgb="FF020024"/>
      </top>
      <bottom/>
      <diagonal/>
    </border>
    <border>
      <left style="thin">
        <color rgb="FF020024"/>
      </left>
      <right/>
      <top/>
      <bottom/>
      <diagonal/>
    </border>
    <border>
      <left/>
      <right style="thin">
        <color rgb="FF020024"/>
      </right>
      <top/>
      <bottom/>
      <diagonal/>
    </border>
    <border>
      <left style="thin">
        <color rgb="FF020024"/>
      </left>
      <right/>
      <top/>
      <bottom style="thin">
        <color rgb="FF020024"/>
      </bottom>
      <diagonal/>
    </border>
    <border>
      <left/>
      <right style="thin">
        <color rgb="FF020024"/>
      </right>
      <top/>
      <bottom style="thin">
        <color rgb="FF02002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ck">
        <color rgb="FF020024"/>
      </top>
      <bottom style="thin">
        <color rgb="FF806000"/>
      </bottom>
      <diagonal/>
    </border>
    <border>
      <left/>
      <right/>
      <top style="thin">
        <color rgb="FF806000"/>
      </top>
      <bottom style="thin">
        <color rgb="FF806000"/>
      </bottom>
      <diagonal/>
    </border>
    <border>
      <left/>
      <right/>
      <top/>
      <bottom style="thick">
        <color rgb="FF806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 style="medium">
        <color auto="1"/>
      </right>
      <top style="mediumDashed">
        <color auto="1"/>
      </top>
      <bottom/>
      <diagonal/>
    </border>
    <border>
      <left/>
      <right style="medium">
        <color auto="1"/>
      </right>
      <top style="thin">
        <color indexed="64"/>
      </top>
      <bottom style="mediumDashed">
        <color indexed="64"/>
      </bottom>
      <diagonal/>
    </border>
    <border>
      <left style="medium">
        <color auto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/>
      <right style="mediumDashed">
        <color theme="1"/>
      </right>
      <top/>
      <bottom style="mediumDashed">
        <color theme="1"/>
      </bottom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/>
      <top style="mediumDashed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mediumDashed">
        <color indexed="64"/>
      </top>
      <bottom style="thin">
        <color indexed="64"/>
      </bottom>
      <diagonal/>
    </border>
    <border>
      <left style="medium">
        <color auto="1"/>
      </left>
      <right/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/>
      <diagonal/>
    </border>
    <border>
      <left style="medium">
        <color auto="1"/>
      </left>
      <right style="medium">
        <color auto="1"/>
      </right>
      <top style="mediumDashed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auto="1"/>
      </left>
      <right/>
      <top style="thin">
        <color theme="1" tint="0.24994659260841701"/>
      </top>
      <bottom/>
      <diagonal/>
    </border>
    <border>
      <left/>
      <right style="medium">
        <color auto="1"/>
      </right>
      <top style="thin">
        <color theme="1" tint="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/>
      <top/>
      <bottom style="thick">
        <color rgb="FF006837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17" fillId="0" borderId="0" applyFont="0" applyFill="0" applyBorder="0" applyAlignment="0" applyProtection="0"/>
  </cellStyleXfs>
  <cellXfs count="213">
    <xf numFmtId="0" fontId="0" fillId="0" borderId="0" xfId="0"/>
    <xf numFmtId="0" fontId="1" fillId="5" borderId="2" xfId="0" applyFont="1" applyFill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indent="1"/>
    </xf>
    <xf numFmtId="0" fontId="7" fillId="2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 indent="9"/>
    </xf>
    <xf numFmtId="0" fontId="4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1" fillId="5" borderId="2" xfId="0" applyFont="1" applyFill="1" applyBorder="1"/>
    <xf numFmtId="0" fontId="0" fillId="0" borderId="0" xfId="0" applyAlignment="1">
      <alignment horizontal="center"/>
    </xf>
    <xf numFmtId="0" fontId="1" fillId="5" borderId="2" xfId="0" applyFont="1" applyFill="1" applyBorder="1" applyAlignment="1">
      <alignment horizontal="left" indent="1"/>
    </xf>
    <xf numFmtId="0" fontId="1" fillId="3" borderId="2" xfId="0" applyFont="1" applyFill="1" applyBorder="1" applyAlignment="1">
      <alignment horizontal="centerContinuous"/>
    </xf>
    <xf numFmtId="0" fontId="9" fillId="0" borderId="0" xfId="0" applyFont="1"/>
    <xf numFmtId="0" fontId="5" fillId="6" borderId="3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left" indent="2"/>
    </xf>
    <xf numFmtId="0" fontId="3" fillId="7" borderId="16" xfId="1" applyFill="1" applyBorder="1" applyAlignment="1">
      <alignment horizontal="center"/>
    </xf>
    <xf numFmtId="22" fontId="4" fillId="7" borderId="12" xfId="0" applyNumberFormat="1" applyFont="1" applyFill="1" applyBorder="1" applyAlignment="1">
      <alignment horizontal="center"/>
    </xf>
    <xf numFmtId="14" fontId="4" fillId="7" borderId="12" xfId="0" applyNumberFormat="1" applyFont="1" applyFill="1" applyBorder="1" applyAlignment="1">
      <alignment horizontal="center"/>
    </xf>
    <xf numFmtId="22" fontId="4" fillId="6" borderId="12" xfId="0" applyNumberFormat="1" applyFont="1" applyFill="1" applyBorder="1" applyAlignment="1">
      <alignment horizontal="center"/>
    </xf>
    <xf numFmtId="0" fontId="1" fillId="4" borderId="71" xfId="0" applyFont="1" applyFill="1" applyBorder="1" applyAlignment="1">
      <alignment horizontal="centerContinuous" vertical="center" wrapText="1"/>
    </xf>
    <xf numFmtId="14" fontId="1" fillId="3" borderId="3" xfId="0" applyNumberFormat="1" applyFont="1" applyFill="1" applyBorder="1" applyAlignment="1">
      <alignment horizontal="center" vertical="center"/>
    </xf>
    <xf numFmtId="14" fontId="1" fillId="3" borderId="15" xfId="0" applyNumberFormat="1" applyFont="1" applyFill="1" applyBorder="1" applyAlignment="1">
      <alignment horizontal="center" vertical="center"/>
    </xf>
    <xf numFmtId="166" fontId="1" fillId="3" borderId="15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17" xfId="0" applyFont="1" applyBorder="1" applyAlignment="1">
      <alignment horizontal="left" indent="1"/>
    </xf>
    <xf numFmtId="0" fontId="19" fillId="0" borderId="18" xfId="0" applyFont="1" applyBorder="1"/>
    <xf numFmtId="0" fontId="21" fillId="8" borderId="22" xfId="0" applyFont="1" applyFill="1" applyBorder="1" applyAlignment="1">
      <alignment horizontal="center"/>
    </xf>
    <xf numFmtId="0" fontId="21" fillId="8" borderId="19" xfId="0" applyFont="1" applyFill="1" applyBorder="1"/>
    <xf numFmtId="0" fontId="21" fillId="8" borderId="23" xfId="0" applyFont="1" applyFill="1" applyBorder="1" applyAlignment="1">
      <alignment horizontal="center"/>
    </xf>
    <xf numFmtId="0" fontId="21" fillId="8" borderId="20" xfId="0" applyFont="1" applyFill="1" applyBorder="1" applyAlignment="1">
      <alignment horizontal="center"/>
    </xf>
    <xf numFmtId="20" fontId="22" fillId="9" borderId="24" xfId="0" applyNumberFormat="1" applyFont="1" applyFill="1" applyBorder="1" applyAlignment="1">
      <alignment horizontal="center"/>
    </xf>
    <xf numFmtId="0" fontId="19" fillId="10" borderId="25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0" borderId="27" xfId="0" applyFont="1" applyFill="1" applyBorder="1" applyAlignment="1">
      <alignment horizontal="center"/>
    </xf>
    <xf numFmtId="0" fontId="23" fillId="13" borderId="25" xfId="0" applyFont="1" applyFill="1" applyBorder="1" applyAlignment="1">
      <alignment horizontal="left"/>
    </xf>
    <xf numFmtId="166" fontId="24" fillId="2" borderId="29" xfId="0" applyNumberFormat="1" applyFont="1" applyFill="1" applyBorder="1" applyAlignment="1">
      <alignment horizontal="center"/>
    </xf>
    <xf numFmtId="166" fontId="24" fillId="2" borderId="30" xfId="0" applyNumberFormat="1" applyFont="1" applyFill="1" applyBorder="1" applyAlignment="1">
      <alignment horizontal="center"/>
    </xf>
    <xf numFmtId="166" fontId="24" fillId="9" borderId="30" xfId="0" applyNumberFormat="1" applyFont="1" applyFill="1" applyBorder="1" applyAlignment="1">
      <alignment horizontal="center"/>
    </xf>
    <xf numFmtId="20" fontId="22" fillId="9" borderId="31" xfId="0" applyNumberFormat="1" applyFont="1" applyFill="1" applyBorder="1" applyAlignment="1">
      <alignment horizontal="center"/>
    </xf>
    <xf numFmtId="0" fontId="19" fillId="10" borderId="32" xfId="0" applyFont="1" applyFill="1" applyBorder="1" applyAlignment="1">
      <alignment horizontal="center"/>
    </xf>
    <xf numFmtId="0" fontId="19" fillId="10" borderId="0" xfId="0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0" fontId="19" fillId="10" borderId="18" xfId="0" applyFont="1" applyFill="1" applyBorder="1" applyAlignment="1">
      <alignment horizontal="center"/>
    </xf>
    <xf numFmtId="0" fontId="23" fillId="11" borderId="32" xfId="0" applyFont="1" applyFill="1" applyBorder="1" applyAlignment="1">
      <alignment horizontal="left"/>
    </xf>
    <xf numFmtId="166" fontId="24" fillId="2" borderId="34" xfId="0" applyNumberFormat="1" applyFont="1" applyFill="1" applyBorder="1" applyAlignment="1">
      <alignment horizontal="center"/>
    </xf>
    <xf numFmtId="166" fontId="24" fillId="2" borderId="35" xfId="0" applyNumberFormat="1" applyFont="1" applyFill="1" applyBorder="1" applyAlignment="1">
      <alignment horizontal="center"/>
    </xf>
    <xf numFmtId="166" fontId="24" fillId="9" borderId="35" xfId="0" applyNumberFormat="1" applyFont="1" applyFill="1" applyBorder="1" applyAlignment="1">
      <alignment horizontal="center"/>
    </xf>
    <xf numFmtId="0" fontId="19" fillId="11" borderId="32" xfId="0" applyFont="1" applyFill="1" applyBorder="1" applyAlignment="1">
      <alignment horizontal="center"/>
    </xf>
    <xf numFmtId="0" fontId="19" fillId="14" borderId="0" xfId="0" applyFont="1" applyFill="1" applyAlignment="1">
      <alignment horizontal="center"/>
    </xf>
    <xf numFmtId="0" fontId="25" fillId="10" borderId="32" xfId="0" applyFont="1" applyFill="1" applyBorder="1" applyAlignment="1">
      <alignment horizontal="left"/>
    </xf>
    <xf numFmtId="0" fontId="19" fillId="14" borderId="18" xfId="0" applyFont="1" applyFill="1" applyBorder="1" applyAlignment="1">
      <alignment horizontal="center"/>
    </xf>
    <xf numFmtId="0" fontId="21" fillId="14" borderId="32" xfId="0" applyFont="1" applyFill="1" applyBorder="1" applyAlignment="1">
      <alignment horizontal="left"/>
    </xf>
    <xf numFmtId="0" fontId="19" fillId="10" borderId="37" xfId="0" applyFont="1" applyFill="1" applyBorder="1" applyAlignment="1">
      <alignment horizontal="center"/>
    </xf>
    <xf numFmtId="0" fontId="19" fillId="14" borderId="37" xfId="0" applyFont="1" applyFill="1" applyBorder="1" applyAlignment="1">
      <alignment horizontal="center"/>
    </xf>
    <xf numFmtId="0" fontId="19" fillId="14" borderId="38" xfId="0" applyFont="1" applyFill="1" applyBorder="1" applyAlignment="1">
      <alignment horizontal="center"/>
    </xf>
    <xf numFmtId="0" fontId="21" fillId="15" borderId="32" xfId="0" applyFont="1" applyFill="1" applyBorder="1" applyAlignment="1">
      <alignment horizontal="left"/>
    </xf>
    <xf numFmtId="20" fontId="22" fillId="9" borderId="39" xfId="0" applyNumberFormat="1" applyFont="1" applyFill="1" applyBorder="1" applyAlignment="1">
      <alignment horizontal="center"/>
    </xf>
    <xf numFmtId="0" fontId="19" fillId="14" borderId="40" xfId="0" applyFont="1" applyFill="1" applyBorder="1" applyAlignment="1">
      <alignment horizontal="center"/>
    </xf>
    <xf numFmtId="0" fontId="19" fillId="14" borderId="41" xfId="0" applyFont="1" applyFill="1" applyBorder="1" applyAlignment="1">
      <alignment horizontal="center"/>
    </xf>
    <xf numFmtId="0" fontId="19" fillId="14" borderId="42" xfId="0" applyFont="1" applyFill="1" applyBorder="1" applyAlignment="1">
      <alignment horizontal="center"/>
    </xf>
    <xf numFmtId="0" fontId="19" fillId="14" borderId="43" xfId="0" applyFont="1" applyFill="1" applyBorder="1" applyAlignment="1">
      <alignment horizontal="center"/>
    </xf>
    <xf numFmtId="0" fontId="19" fillId="10" borderId="44" xfId="0" applyFont="1" applyFill="1" applyBorder="1" applyAlignment="1">
      <alignment horizontal="center"/>
    </xf>
    <xf numFmtId="0" fontId="19" fillId="14" borderId="44" xfId="0" applyFont="1" applyFill="1" applyBorder="1" applyAlignment="1">
      <alignment horizontal="center"/>
    </xf>
    <xf numFmtId="0" fontId="19" fillId="14" borderId="45" xfId="0" applyFont="1" applyFill="1" applyBorder="1" applyAlignment="1">
      <alignment horizontal="center"/>
    </xf>
    <xf numFmtId="0" fontId="21" fillId="16" borderId="46" xfId="0" applyFont="1" applyFill="1" applyBorder="1" applyAlignment="1">
      <alignment horizontal="left"/>
    </xf>
    <xf numFmtId="166" fontId="24" fillId="2" borderId="47" xfId="0" applyNumberFormat="1" applyFont="1" applyFill="1" applyBorder="1" applyAlignment="1">
      <alignment horizontal="center"/>
    </xf>
    <xf numFmtId="166" fontId="24" fillId="2" borderId="48" xfId="0" applyNumberFormat="1" applyFont="1" applyFill="1" applyBorder="1" applyAlignment="1">
      <alignment horizontal="center"/>
    </xf>
    <xf numFmtId="166" fontId="24" fillId="9" borderId="48" xfId="0" applyNumberFormat="1" applyFont="1" applyFill="1" applyBorder="1" applyAlignment="1">
      <alignment horizontal="center"/>
    </xf>
    <xf numFmtId="0" fontId="19" fillId="14" borderId="32" xfId="0" applyFont="1" applyFill="1" applyBorder="1" applyAlignment="1">
      <alignment horizontal="center"/>
    </xf>
    <xf numFmtId="0" fontId="19" fillId="15" borderId="0" xfId="0" applyFont="1" applyFill="1" applyAlignment="1">
      <alignment horizontal="center"/>
    </xf>
    <xf numFmtId="166" fontId="19" fillId="0" borderId="0" xfId="0" applyNumberFormat="1" applyFont="1" applyAlignment="1">
      <alignment horizontal="center"/>
    </xf>
    <xf numFmtId="167" fontId="19" fillId="0" borderId="0" xfId="0" applyNumberFormat="1" applyFont="1"/>
    <xf numFmtId="0" fontId="19" fillId="15" borderId="32" xfId="0" applyFont="1" applyFill="1" applyBorder="1" applyAlignment="1">
      <alignment horizontal="center"/>
    </xf>
    <xf numFmtId="0" fontId="19" fillId="15" borderId="18" xfId="0" applyFont="1" applyFill="1" applyBorder="1" applyAlignment="1">
      <alignment horizontal="center"/>
    </xf>
    <xf numFmtId="0" fontId="19" fillId="16" borderId="18" xfId="0" applyFont="1" applyFill="1" applyBorder="1" applyAlignment="1">
      <alignment horizontal="center"/>
    </xf>
    <xf numFmtId="0" fontId="19" fillId="16" borderId="0" xfId="0" applyFont="1" applyFill="1" applyAlignment="1">
      <alignment horizontal="center"/>
    </xf>
    <xf numFmtId="20" fontId="22" fillId="9" borderId="49" xfId="0" applyNumberFormat="1" applyFont="1" applyFill="1" applyBorder="1" applyAlignment="1">
      <alignment horizontal="center"/>
    </xf>
    <xf numFmtId="20" fontId="22" fillId="9" borderId="50" xfId="0" applyNumberFormat="1" applyFont="1" applyFill="1" applyBorder="1" applyAlignment="1">
      <alignment horizontal="center"/>
    </xf>
    <xf numFmtId="0" fontId="19" fillId="11" borderId="51" xfId="0" applyFont="1" applyFill="1" applyBorder="1" applyAlignment="1">
      <alignment horizontal="center"/>
    </xf>
    <xf numFmtId="0" fontId="19" fillId="11" borderId="45" xfId="0" applyFont="1" applyFill="1" applyBorder="1" applyAlignment="1">
      <alignment horizontal="center"/>
    </xf>
    <xf numFmtId="0" fontId="19" fillId="11" borderId="52" xfId="0" applyFont="1" applyFill="1" applyBorder="1" applyAlignment="1">
      <alignment horizontal="center"/>
    </xf>
    <xf numFmtId="0" fontId="19" fillId="11" borderId="37" xfId="0" applyFont="1" applyFill="1" applyBorder="1" applyAlignment="1">
      <alignment horizontal="center"/>
    </xf>
    <xf numFmtId="0" fontId="19" fillId="11" borderId="18" xfId="0" applyFont="1" applyFill="1" applyBorder="1" applyAlignment="1">
      <alignment horizontal="center"/>
    </xf>
    <xf numFmtId="0" fontId="19" fillId="13" borderId="0" xfId="0" applyFont="1" applyFill="1" applyAlignment="1">
      <alignment horizontal="center"/>
    </xf>
    <xf numFmtId="0" fontId="19" fillId="11" borderId="53" xfId="0" applyFont="1" applyFill="1" applyBorder="1" applyAlignment="1">
      <alignment horizontal="center"/>
    </xf>
    <xf numFmtId="0" fontId="19" fillId="11" borderId="46" xfId="0" applyFont="1" applyFill="1" applyBorder="1" applyAlignment="1">
      <alignment horizontal="center"/>
    </xf>
    <xf numFmtId="0" fontId="19" fillId="11" borderId="55" xfId="0" applyFont="1" applyFill="1" applyBorder="1" applyAlignment="1">
      <alignment horizontal="center"/>
    </xf>
    <xf numFmtId="0" fontId="19" fillId="10" borderId="55" xfId="0" applyFont="1" applyFill="1" applyBorder="1" applyAlignment="1">
      <alignment horizontal="center"/>
    </xf>
    <xf numFmtId="0" fontId="19" fillId="10" borderId="56" xfId="0" applyFont="1" applyFill="1" applyBorder="1" applyAlignment="1">
      <alignment horizontal="center"/>
    </xf>
    <xf numFmtId="0" fontId="22" fillId="9" borderId="58" xfId="0" applyFont="1" applyFill="1" applyBorder="1" applyAlignment="1">
      <alignment horizontal="center"/>
    </xf>
    <xf numFmtId="0" fontId="22" fillId="9" borderId="59" xfId="0" applyFont="1" applyFill="1" applyBorder="1" applyAlignment="1">
      <alignment horizontal="center"/>
    </xf>
    <xf numFmtId="0" fontId="26" fillId="2" borderId="0" xfId="0" applyFont="1" applyFill="1"/>
    <xf numFmtId="0" fontId="27" fillId="8" borderId="23" xfId="0" applyFont="1" applyFill="1" applyBorder="1" applyAlignment="1">
      <alignment horizontal="center"/>
    </xf>
    <xf numFmtId="0" fontId="27" fillId="8" borderId="20" xfId="0" applyFont="1" applyFill="1" applyBorder="1" applyAlignment="1">
      <alignment horizontal="center"/>
    </xf>
    <xf numFmtId="0" fontId="21" fillId="8" borderId="60" xfId="0" applyFont="1" applyFill="1" applyBorder="1" applyAlignment="1">
      <alignment horizontal="center"/>
    </xf>
    <xf numFmtId="0" fontId="21" fillId="8" borderId="61" xfId="0" applyFont="1" applyFill="1" applyBorder="1" applyAlignment="1">
      <alignment horizontal="center"/>
    </xf>
    <xf numFmtId="0" fontId="19" fillId="17" borderId="25" xfId="0" applyFont="1" applyFill="1" applyBorder="1" applyAlignment="1">
      <alignment horizontal="center"/>
    </xf>
    <xf numFmtId="0" fontId="19" fillId="18" borderId="26" xfId="0" applyFont="1" applyFill="1" applyBorder="1" applyAlignment="1">
      <alignment horizontal="center"/>
    </xf>
    <xf numFmtId="0" fontId="19" fillId="19" borderId="26" xfId="0" applyFont="1" applyFill="1" applyBorder="1" applyAlignment="1">
      <alignment horizontal="center"/>
    </xf>
    <xf numFmtId="0" fontId="19" fillId="20" borderId="26" xfId="0" applyFont="1" applyFill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19" fillId="17" borderId="26" xfId="0" applyFont="1" applyFill="1" applyBorder="1" applyAlignment="1">
      <alignment horizontal="center"/>
    </xf>
    <xf numFmtId="0" fontId="19" fillId="20" borderId="27" xfId="0" applyFont="1" applyFill="1" applyBorder="1" applyAlignment="1">
      <alignment horizontal="center"/>
    </xf>
    <xf numFmtId="0" fontId="28" fillId="2" borderId="25" xfId="0" applyFont="1" applyFill="1" applyBorder="1" applyAlignment="1">
      <alignment horizontal="left"/>
    </xf>
    <xf numFmtId="168" fontId="24" fillId="2" borderId="29" xfId="0" applyNumberFormat="1" applyFont="1" applyFill="1" applyBorder="1" applyAlignment="1">
      <alignment horizontal="center"/>
    </xf>
    <xf numFmtId="168" fontId="24" fillId="2" borderId="30" xfId="0" applyNumberFormat="1" applyFont="1" applyFill="1" applyBorder="1" applyAlignment="1">
      <alignment horizontal="center"/>
    </xf>
    <xf numFmtId="168" fontId="24" fillId="9" borderId="62" xfId="0" applyNumberFormat="1" applyFont="1" applyFill="1" applyBorder="1" applyAlignment="1">
      <alignment horizontal="center"/>
    </xf>
    <xf numFmtId="169" fontId="24" fillId="0" borderId="62" xfId="2" applyNumberFormat="1" applyFont="1" applyBorder="1" applyAlignment="1">
      <alignment horizontal="center"/>
    </xf>
    <xf numFmtId="0" fontId="19" fillId="17" borderId="32" xfId="0" applyFont="1" applyFill="1" applyBorder="1" applyAlignment="1">
      <alignment horizontal="center"/>
    </xf>
    <xf numFmtId="0" fontId="19" fillId="18" borderId="0" xfId="0" applyFont="1" applyFill="1" applyAlignment="1">
      <alignment horizontal="center"/>
    </xf>
    <xf numFmtId="0" fontId="19" fillId="20" borderId="0" xfId="0" applyFont="1" applyFill="1" applyAlignment="1">
      <alignment horizontal="center"/>
    </xf>
    <xf numFmtId="0" fontId="19" fillId="1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9" fillId="20" borderId="18" xfId="0" applyFont="1" applyFill="1" applyBorder="1" applyAlignment="1">
      <alignment horizontal="center"/>
    </xf>
    <xf numFmtId="0" fontId="28" fillId="20" borderId="32" xfId="0" applyFont="1" applyFill="1" applyBorder="1" applyAlignment="1">
      <alignment horizontal="left"/>
    </xf>
    <xf numFmtId="168" fontId="24" fillId="2" borderId="34" xfId="0" applyNumberFormat="1" applyFont="1" applyFill="1" applyBorder="1" applyAlignment="1">
      <alignment horizontal="center"/>
    </xf>
    <xf numFmtId="168" fontId="24" fillId="2" borderId="35" xfId="0" applyNumberFormat="1" applyFont="1" applyFill="1" applyBorder="1" applyAlignment="1">
      <alignment horizontal="center"/>
    </xf>
    <xf numFmtId="168" fontId="24" fillId="9" borderId="63" xfId="0" applyNumberFormat="1" applyFont="1" applyFill="1" applyBorder="1" applyAlignment="1">
      <alignment horizontal="center"/>
    </xf>
    <xf numFmtId="169" fontId="24" fillId="0" borderId="63" xfId="2" applyNumberFormat="1" applyFont="1" applyBorder="1" applyAlignment="1">
      <alignment horizontal="center"/>
    </xf>
    <xf numFmtId="0" fontId="19" fillId="20" borderId="32" xfId="0" applyFont="1" applyFill="1" applyBorder="1" applyAlignment="1">
      <alignment horizontal="center"/>
    </xf>
    <xf numFmtId="0" fontId="19" fillId="19" borderId="18" xfId="0" applyFont="1" applyFill="1" applyBorder="1" applyAlignment="1">
      <alignment horizontal="center"/>
    </xf>
    <xf numFmtId="0" fontId="28" fillId="19" borderId="32" xfId="0" applyFont="1" applyFill="1" applyBorder="1" applyAlignment="1">
      <alignment horizontal="left"/>
    </xf>
    <xf numFmtId="0" fontId="19" fillId="19" borderId="64" xfId="0" applyFont="1" applyFill="1" applyBorder="1" applyAlignment="1">
      <alignment horizontal="center"/>
    </xf>
    <xf numFmtId="0" fontId="21" fillId="17" borderId="32" xfId="0" applyFont="1" applyFill="1" applyBorder="1" applyAlignment="1">
      <alignment horizontal="left"/>
    </xf>
    <xf numFmtId="0" fontId="19" fillId="19" borderId="32" xfId="0" applyFont="1" applyFill="1" applyBorder="1" applyAlignment="1">
      <alignment horizontal="center"/>
    </xf>
    <xf numFmtId="0" fontId="19" fillId="17" borderId="37" xfId="0" applyFont="1" applyFill="1" applyBorder="1" applyAlignment="1">
      <alignment horizontal="center"/>
    </xf>
    <xf numFmtId="0" fontId="19" fillId="19" borderId="37" xfId="0" applyFont="1" applyFill="1" applyBorder="1" applyAlignment="1">
      <alignment horizontal="center"/>
    </xf>
    <xf numFmtId="0" fontId="19" fillId="20" borderId="37" xfId="0" applyFont="1" applyFill="1" applyBorder="1" applyAlignment="1">
      <alignment horizontal="center"/>
    </xf>
    <xf numFmtId="0" fontId="19" fillId="18" borderId="37" xfId="0" applyFont="1" applyFill="1" applyBorder="1" applyAlignment="1">
      <alignment horizontal="center"/>
    </xf>
    <xf numFmtId="0" fontId="19" fillId="20" borderId="65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21" fillId="18" borderId="32" xfId="0" applyFont="1" applyFill="1" applyBorder="1" applyAlignment="1">
      <alignment horizontal="left"/>
    </xf>
    <xf numFmtId="0" fontId="19" fillId="19" borderId="66" xfId="0" applyFont="1" applyFill="1" applyBorder="1" applyAlignment="1">
      <alignment horizontal="center"/>
    </xf>
    <xf numFmtId="0" fontId="19" fillId="17" borderId="65" xfId="0" applyFont="1" applyFill="1" applyBorder="1" applyAlignment="1">
      <alignment horizontal="center"/>
    </xf>
    <xf numFmtId="0" fontId="25" fillId="21" borderId="32" xfId="0" applyFont="1" applyFill="1" applyBorder="1" applyAlignment="1">
      <alignment horizontal="left"/>
    </xf>
    <xf numFmtId="168" fontId="24" fillId="2" borderId="67" xfId="0" applyNumberFormat="1" applyFont="1" applyFill="1" applyBorder="1" applyAlignment="1">
      <alignment horizontal="center"/>
    </xf>
    <xf numFmtId="168" fontId="24" fillId="2" borderId="68" xfId="0" applyNumberFormat="1" applyFont="1" applyFill="1" applyBorder="1" applyAlignment="1">
      <alignment horizontal="center"/>
    </xf>
    <xf numFmtId="0" fontId="29" fillId="22" borderId="46" xfId="0" applyFont="1" applyFill="1" applyBorder="1" applyAlignment="1">
      <alignment horizontal="left"/>
    </xf>
    <xf numFmtId="168" fontId="24" fillId="2" borderId="47" xfId="0" applyNumberFormat="1" applyFont="1" applyFill="1" applyBorder="1" applyAlignment="1">
      <alignment horizontal="center"/>
    </xf>
    <xf numFmtId="168" fontId="24" fillId="2" borderId="48" xfId="0" applyNumberFormat="1" applyFont="1" applyFill="1" applyBorder="1" applyAlignment="1">
      <alignment horizontal="center"/>
    </xf>
    <xf numFmtId="168" fontId="24" fillId="9" borderId="69" xfId="0" applyNumberFormat="1" applyFont="1" applyFill="1" applyBorder="1" applyAlignment="1">
      <alignment horizontal="center"/>
    </xf>
    <xf numFmtId="169" fontId="24" fillId="0" borderId="69" xfId="2" applyNumberFormat="1" applyFont="1" applyBorder="1" applyAlignment="1">
      <alignment horizontal="center"/>
    </xf>
    <xf numFmtId="0" fontId="19" fillId="21" borderId="0" xfId="0" applyFont="1" applyFill="1" applyAlignment="1">
      <alignment horizontal="center"/>
    </xf>
    <xf numFmtId="0" fontId="19" fillId="22" borderId="0" xfId="0" applyFont="1" applyFill="1" applyAlignment="1">
      <alignment horizontal="center"/>
    </xf>
    <xf numFmtId="0" fontId="19" fillId="0" borderId="18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19" fillId="19" borderId="45" xfId="0" applyFont="1" applyFill="1" applyBorder="1" applyAlignment="1">
      <alignment horizontal="center"/>
    </xf>
    <xf numFmtId="0" fontId="19" fillId="20" borderId="45" xfId="0" applyFont="1" applyFill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9" fillId="20" borderId="70" xfId="0" applyFont="1" applyFill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19" fillId="0" borderId="53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0" fontId="19" fillId="19" borderId="55" xfId="0" applyFont="1" applyFill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19" fillId="20" borderId="55" xfId="0" applyFont="1" applyFill="1" applyBorder="1" applyAlignment="1">
      <alignment horizontal="center"/>
    </xf>
    <xf numFmtId="0" fontId="19" fillId="17" borderId="55" xfId="0" applyFont="1" applyFill="1" applyBorder="1" applyAlignment="1">
      <alignment horizontal="center"/>
    </xf>
    <xf numFmtId="0" fontId="19" fillId="20" borderId="56" xfId="0" applyFont="1" applyFill="1" applyBorder="1" applyAlignment="1">
      <alignment horizontal="center"/>
    </xf>
    <xf numFmtId="20" fontId="2" fillId="0" borderId="72" xfId="0" applyNumberFormat="1" applyFont="1" applyBorder="1" applyAlignment="1">
      <alignment horizontal="right"/>
    </xf>
    <xf numFmtId="20" fontId="2" fillId="0" borderId="73" xfId="0" applyNumberFormat="1" applyFont="1" applyBorder="1" applyAlignment="1">
      <alignment horizontal="right"/>
    </xf>
    <xf numFmtId="0" fontId="12" fillId="0" borderId="72" xfId="0" applyFont="1" applyBorder="1" applyAlignment="1">
      <alignment horizontal="left"/>
    </xf>
    <xf numFmtId="0" fontId="12" fillId="0" borderId="73" xfId="0" applyFont="1" applyBorder="1" applyAlignment="1">
      <alignment horizontal="left"/>
    </xf>
    <xf numFmtId="0" fontId="0" fillId="0" borderId="72" xfId="0" applyBorder="1"/>
    <xf numFmtId="0" fontId="0" fillId="0" borderId="73" xfId="0" applyBorder="1"/>
    <xf numFmtId="0" fontId="1" fillId="3" borderId="15" xfId="0" applyFont="1" applyFill="1" applyBorder="1" applyAlignment="1">
      <alignment horizontal="center" vertical="center"/>
    </xf>
    <xf numFmtId="0" fontId="0" fillId="7" borderId="0" xfId="0" applyFill="1"/>
    <xf numFmtId="0" fontId="3" fillId="7" borderId="0" xfId="1" applyFill="1" applyAlignment="1">
      <alignment horizontal="center"/>
    </xf>
    <xf numFmtId="0" fontId="4" fillId="7" borderId="0" xfId="0" applyFont="1" applyFill="1"/>
    <xf numFmtId="0" fontId="4" fillId="6" borderId="0" xfId="0" applyFont="1" applyFill="1"/>
    <xf numFmtId="0" fontId="0" fillId="6" borderId="0" xfId="0" applyFill="1"/>
    <xf numFmtId="0" fontId="15" fillId="0" borderId="0" xfId="0" applyFont="1" applyAlignment="1">
      <alignment horizontal="left" indent="9"/>
    </xf>
    <xf numFmtId="0" fontId="33" fillId="0" borderId="0" xfId="0" applyFont="1"/>
    <xf numFmtId="0" fontId="24" fillId="2" borderId="33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28" xfId="0" applyFont="1" applyFill="1" applyBorder="1" applyAlignment="1">
      <alignment horizontal="center" vertical="center"/>
    </xf>
    <xf numFmtId="2" fontId="0" fillId="0" borderId="0" xfId="0" applyNumberFormat="1"/>
    <xf numFmtId="0" fontId="4" fillId="2" borderId="12" xfId="0" applyFont="1" applyFill="1" applyBorder="1" applyAlignment="1">
      <alignment horizontal="left" vertical="center" wrapText="1"/>
    </xf>
    <xf numFmtId="0" fontId="31" fillId="0" borderId="4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left" vertical="top" wrapText="1" indent="1"/>
    </xf>
    <xf numFmtId="0" fontId="4" fillId="7" borderId="0" xfId="0" applyFont="1" applyFill="1" applyAlignment="1">
      <alignment horizontal="left" vertical="top" wrapText="1" indent="1"/>
    </xf>
    <xf numFmtId="0" fontId="4" fillId="7" borderId="2" xfId="0" applyFont="1" applyFill="1" applyBorder="1" applyAlignment="1">
      <alignment horizontal="left" vertical="top" wrapText="1" indent="1"/>
    </xf>
    <xf numFmtId="0" fontId="5" fillId="7" borderId="16" xfId="0" applyFont="1" applyFill="1" applyBorder="1" applyAlignment="1">
      <alignment horizontal="left"/>
    </xf>
    <xf numFmtId="0" fontId="4" fillId="2" borderId="11" xfId="0" applyFont="1" applyFill="1" applyBorder="1" applyAlignment="1">
      <alignment horizontal="left" vertical="top" wrapText="1"/>
    </xf>
    <xf numFmtId="0" fontId="24" fillId="2" borderId="33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33" xfId="0" applyFont="1" applyFill="1" applyBorder="1" applyAlignment="1">
      <alignment horizontal="center" vertical="center"/>
    </xf>
    <xf numFmtId="0" fontId="21" fillId="12" borderId="57" xfId="0" applyFont="1" applyFill="1" applyBorder="1" applyAlignment="1">
      <alignment horizontal="center" vertical="center"/>
    </xf>
    <xf numFmtId="165" fontId="21" fillId="8" borderId="19" xfId="0" applyNumberFormat="1" applyFont="1" applyFill="1" applyBorder="1" applyAlignment="1">
      <alignment horizontal="center"/>
    </xf>
    <xf numFmtId="165" fontId="21" fillId="8" borderId="20" xfId="0" applyNumberFormat="1" applyFont="1" applyFill="1" applyBorder="1" applyAlignment="1">
      <alignment horizontal="center"/>
    </xf>
    <xf numFmtId="165" fontId="21" fillId="8" borderId="21" xfId="0" applyNumberFormat="1" applyFont="1" applyFill="1" applyBorder="1" applyAlignment="1">
      <alignment horizontal="center"/>
    </xf>
    <xf numFmtId="0" fontId="21" fillId="12" borderId="28" xfId="0" applyFont="1" applyFill="1" applyBorder="1" applyAlignment="1">
      <alignment horizontal="center" vertical="center"/>
    </xf>
    <xf numFmtId="0" fontId="21" fillId="12" borderId="36" xfId="0" applyFont="1" applyFill="1" applyBorder="1" applyAlignment="1">
      <alignment horizontal="center" vertical="center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ECA"/>
      <color rgb="FF806000"/>
      <color rgb="FFFFF9EC"/>
      <color rgb="FF006837"/>
      <color rgb="FF005761"/>
      <color rgb="FF020024"/>
      <color rgb="FF2F4858"/>
      <color rgb="FF3B4A3F"/>
      <color rgb="FF00A0A0"/>
      <color rgb="FF007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16</xdr:col>
      <xdr:colOff>1796</xdr:colOff>
      <xdr:row>14</xdr:row>
      <xdr:rowOff>97248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EEBDAC-B1FE-4D15-8069-833FC55FD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9239251" y="824671"/>
          <a:ext cx="1821070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211579</xdr:colOff>
      <xdr:row>37</xdr:row>
      <xdr:rowOff>54164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59603E4-1EA6-5727-EEFF-0991F83FA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1622" y="5662448"/>
          <a:ext cx="1316850" cy="1115665"/>
        </a:xfrm>
        <a:prstGeom prst="rect">
          <a:avLst/>
        </a:prstGeom>
      </xdr:spPr>
    </xdr:pic>
    <xdr:clientData/>
  </xdr:twoCellAnchor>
  <xdr:twoCellAnchor editAs="oneCell">
    <xdr:from>
      <xdr:col>12</xdr:col>
      <xdr:colOff>991125</xdr:colOff>
      <xdr:row>65</xdr:row>
      <xdr:rowOff>37837</xdr:rowOff>
    </xdr:from>
    <xdr:to>
      <xdr:col>15</xdr:col>
      <xdr:colOff>169731</xdr:colOff>
      <xdr:row>71</xdr:row>
      <xdr:rowOff>41542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B12D1B3-8DC3-25B4-1B48-F33C2DA55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63625" y="11972662"/>
          <a:ext cx="1740831" cy="1099080"/>
        </a:xfrm>
        <a:prstGeom prst="rect">
          <a:avLst/>
        </a:prstGeom>
      </xdr:spPr>
    </xdr:pic>
    <xdr:clientData/>
  </xdr:twoCellAnchor>
  <xdr:twoCellAnchor editAs="oneCell">
    <xdr:from>
      <xdr:col>6</xdr:col>
      <xdr:colOff>354724</xdr:colOff>
      <xdr:row>104</xdr:row>
      <xdr:rowOff>70069</xdr:rowOff>
    </xdr:from>
    <xdr:to>
      <xdr:col>9</xdr:col>
      <xdr:colOff>18734</xdr:colOff>
      <xdr:row>126</xdr:row>
      <xdr:rowOff>132277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9EE7C27-2FD5-75E2-1014-F5546E5DE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59586" y="20118552"/>
          <a:ext cx="1920406" cy="413954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396450</xdr:colOff>
      <xdr:row>149</xdr:row>
      <xdr:rowOff>37221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F986834-DFA1-D3A3-1769-8C540DAA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36172" y="27002828"/>
          <a:ext cx="1316850" cy="1780186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11</xdr:col>
      <xdr:colOff>801</xdr:colOff>
      <xdr:row>182</xdr:row>
      <xdr:rowOff>57639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2451FD27-4C78-6D3F-B514-B8334DC7C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92379" y="34066654"/>
          <a:ext cx="2164268" cy="1213209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174373</xdr:colOff>
      <xdr:row>226</xdr:row>
      <xdr:rowOff>18395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B82D9C3-80E0-0496-418B-7A4830C46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593897" y="41121724"/>
          <a:ext cx="1530229" cy="2804403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288238</xdr:colOff>
      <xdr:row>262</xdr:row>
      <xdr:rowOff>58891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2477E41E-AE09-D8AF-0624-CA536D06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699000" y="48290656"/>
          <a:ext cx="1518036" cy="2694666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136000</xdr:colOff>
      <xdr:row>15</xdr:row>
      <xdr:rowOff>92547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EE12756-FDC3-48B4-BCC6-3CBC0F2F2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269" y="983974"/>
          <a:ext cx="268881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630921</xdr:colOff>
      <xdr:row>15</xdr:row>
      <xdr:rowOff>91496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286C08E-9795-4040-90BB-57B72F1AC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36973" y="978452"/>
          <a:ext cx="2683518" cy="1882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16</xdr:col>
      <xdr:colOff>1796</xdr:colOff>
      <xdr:row>14</xdr:row>
      <xdr:rowOff>93438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B0251CF-654C-4D32-B3AC-939D8D3B863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10204451" y="824671"/>
          <a:ext cx="1830595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156334</xdr:colOff>
      <xdr:row>37</xdr:row>
      <xdr:rowOff>42734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56A6B5E-814E-44B4-AB82-30E9670E9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9860" y="6207672"/>
          <a:ext cx="1328674" cy="1112162"/>
        </a:xfrm>
        <a:prstGeom prst="rect">
          <a:avLst/>
        </a:prstGeom>
      </xdr:spPr>
    </xdr:pic>
    <xdr:clientData/>
  </xdr:twoCellAnchor>
  <xdr:twoCellAnchor editAs="oneCell">
    <xdr:from>
      <xdr:col>6</xdr:col>
      <xdr:colOff>472965</xdr:colOff>
      <xdr:row>69</xdr:row>
      <xdr:rowOff>144517</xdr:rowOff>
    </xdr:from>
    <xdr:to>
      <xdr:col>9</xdr:col>
      <xdr:colOff>186</xdr:colOff>
      <xdr:row>75</xdr:row>
      <xdr:rowOff>132982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3C8F77-4017-4BFA-ABE1-38BABA95A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6065" y="13701767"/>
          <a:ext cx="1825921" cy="1106065"/>
        </a:xfrm>
        <a:prstGeom prst="rect">
          <a:avLst/>
        </a:prstGeom>
      </xdr:spPr>
    </xdr:pic>
    <xdr:clientData/>
  </xdr:twoCellAnchor>
  <xdr:twoCellAnchor editAs="oneCell">
    <xdr:from>
      <xdr:col>6</xdr:col>
      <xdr:colOff>354724</xdr:colOff>
      <xdr:row>104</xdr:row>
      <xdr:rowOff>70069</xdr:rowOff>
    </xdr:from>
    <xdr:to>
      <xdr:col>8</xdr:col>
      <xdr:colOff>578804</xdr:colOff>
      <xdr:row>126</xdr:row>
      <xdr:rowOff>145612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C6C367-B1BE-44AF-B2BC-DEB75BE0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37824" y="20466269"/>
          <a:ext cx="1913180" cy="413954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362160</xdr:colOff>
      <xdr:row>149</xdr:row>
      <xdr:rowOff>37221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D72B48A-C9EA-4C4D-A194-98BCD5BD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25358" y="27349012"/>
          <a:ext cx="1318602" cy="1777559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557061</xdr:colOff>
      <xdr:row>182</xdr:row>
      <xdr:rowOff>61449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8833CA8-D944-4AFC-A926-536DDA76D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81565" y="34411525"/>
          <a:ext cx="2166896" cy="1209924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141988</xdr:colOff>
      <xdr:row>226</xdr:row>
      <xdr:rowOff>27920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08B7C25-7229-421E-AE3F-C792D6FEF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72135" y="41281350"/>
          <a:ext cx="1542053" cy="2802870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234898</xdr:colOff>
      <xdr:row>262</xdr:row>
      <xdr:rowOff>62701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597D65A-7B28-4BD9-8445-6752EE4E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7238" y="48448968"/>
          <a:ext cx="1529860" cy="2693133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147430</xdr:colOff>
      <xdr:row>15</xdr:row>
      <xdr:rowOff>84927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527B8BE-A245-433C-BCD0-BBB67DEB6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569" y="983974"/>
          <a:ext cx="268246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600441</xdr:colOff>
      <xdr:row>15</xdr:row>
      <xdr:rowOff>80066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8B95A33-3330-4CA0-A137-2C4677A1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17923" y="978452"/>
          <a:ext cx="2683518" cy="18829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98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3BBC21B-D857-4228-A356-22A9BBF739EC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1246A562-5CD9-4171-A37A-9C80FF6AB55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3F53-A9C8-4188-9B17-5E2C84FAE26F}">
  <sheetPr codeName="Sheet1">
    <tabColor rgb="FF006837"/>
  </sheetPr>
  <dimension ref="B2:P272"/>
  <sheetViews>
    <sheetView showGridLines="0" tabSelected="1" topLeftCell="A70" zoomScaleNormal="100" workbookViewId="0">
      <selection activeCell="T79" sqref="T79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8" width="8" customWidth="1"/>
    <col min="9" max="11" width="8.6640625" customWidth="1"/>
    <col min="12" max="12" width="11.5546875" customWidth="1"/>
    <col min="13" max="13" width="20" customWidth="1"/>
    <col min="14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197" t="s">
        <v>2</v>
      </c>
      <c r="O4" s="197"/>
      <c r="P4" s="197"/>
    </row>
    <row r="5" spans="2:16" ht="15" customHeight="1" thickTop="1" x14ac:dyDescent="0.3">
      <c r="B5" s="198" t="s">
        <v>3</v>
      </c>
      <c r="C5" s="198"/>
      <c r="D5" s="198"/>
      <c r="E5" s="198"/>
      <c r="F5" s="198"/>
      <c r="G5" s="198"/>
      <c r="H5" s="198"/>
      <c r="I5" s="198"/>
      <c r="J5" s="198"/>
      <c r="K5" s="198"/>
      <c r="L5" s="198"/>
    </row>
    <row r="6" spans="2:16" x14ac:dyDescent="0.3"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</row>
    <row r="7" spans="2:16" x14ac:dyDescent="0.3">
      <c r="B7" s="199"/>
      <c r="C7" s="199"/>
      <c r="D7" s="199"/>
      <c r="E7" s="199"/>
      <c r="F7" s="199"/>
      <c r="G7" s="199"/>
      <c r="H7" s="199"/>
      <c r="I7" s="199"/>
      <c r="J7" s="199"/>
      <c r="K7" s="199"/>
      <c r="L7" s="199"/>
    </row>
    <row r="8" spans="2:16" x14ac:dyDescent="0.3"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</row>
    <row r="9" spans="2:16" x14ac:dyDescent="0.3">
      <c r="B9" s="199"/>
      <c r="C9" s="199"/>
      <c r="D9" s="199"/>
      <c r="E9" s="199"/>
      <c r="F9" s="199"/>
      <c r="G9" s="199"/>
      <c r="H9" s="199"/>
      <c r="I9" s="199"/>
      <c r="J9" s="199"/>
      <c r="K9" s="199"/>
      <c r="L9" s="199"/>
    </row>
    <row r="10" spans="2:16" x14ac:dyDescent="0.3"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</row>
    <row r="11" spans="2:16" x14ac:dyDescent="0.3"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</row>
    <row r="12" spans="2:16" x14ac:dyDescent="0.3">
      <c r="B12" s="199"/>
      <c r="C12" s="199"/>
      <c r="D12" s="199"/>
      <c r="E12" s="199"/>
      <c r="F12" s="199"/>
      <c r="G12" s="199"/>
      <c r="H12" s="199"/>
      <c r="I12" s="199"/>
      <c r="J12" s="199"/>
      <c r="K12" s="199"/>
      <c r="L12" s="199"/>
    </row>
    <row r="13" spans="2:16" x14ac:dyDescent="0.3"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</row>
    <row r="14" spans="2:16" x14ac:dyDescent="0.3">
      <c r="B14" s="199"/>
      <c r="C14" s="199"/>
      <c r="D14" s="199"/>
      <c r="E14" s="199"/>
      <c r="F14" s="199"/>
      <c r="G14" s="199"/>
      <c r="H14" s="199"/>
      <c r="I14" s="199"/>
      <c r="J14" s="199"/>
      <c r="K14" s="199"/>
      <c r="L14" s="199"/>
    </row>
    <row r="15" spans="2:16" x14ac:dyDescent="0.3">
      <c r="B15" s="199"/>
      <c r="C15" s="199"/>
      <c r="D15" s="199"/>
      <c r="E15" s="199"/>
      <c r="F15" s="199"/>
      <c r="G15" s="199"/>
      <c r="H15" s="199"/>
      <c r="I15" s="199"/>
      <c r="J15" s="199"/>
      <c r="K15" s="199"/>
      <c r="L15" s="199"/>
    </row>
    <row r="16" spans="2:16" ht="15" thickBot="1" x14ac:dyDescent="0.35"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N16" s="201" t="s">
        <v>4</v>
      </c>
      <c r="O16" s="201"/>
      <c r="P16" s="24" t="str">
        <f>HYPERLINK("https://www.linkedin.com/in/thomas-marcelo/","🔗")</f>
        <v>🔗</v>
      </c>
    </row>
    <row r="17" spans="2:16" ht="15" thickTop="1" x14ac:dyDescent="0.3">
      <c r="B17" s="199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N17" s="179" t="s">
        <v>5</v>
      </c>
      <c r="O17" s="180"/>
      <c r="P17" s="180"/>
    </row>
    <row r="18" spans="2:16" x14ac:dyDescent="0.3">
      <c r="B18" s="199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00"/>
      <c r="C19" s="200"/>
      <c r="D19" s="200"/>
      <c r="E19" s="200"/>
      <c r="F19" s="200"/>
      <c r="G19" s="200"/>
      <c r="H19" s="200"/>
      <c r="I19" s="200"/>
      <c r="J19" s="200"/>
      <c r="K19" s="200"/>
      <c r="L19" s="200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/>
      <c r="E24" s="5">
        <f>IF(D24&lt;&gt;"",IF(D24=Answers!D24,1,-1),0)</f>
        <v>0</v>
      </c>
      <c r="F24" s="202" t="s">
        <v>15</v>
      </c>
      <c r="G24" s="202"/>
      <c r="H24" s="202"/>
      <c r="I24" s="202"/>
      <c r="J24" s="202"/>
      <c r="K24" s="202"/>
      <c r="L24" s="202"/>
      <c r="M24" s="202"/>
      <c r="N24" s="202"/>
      <c r="O24" s="202"/>
      <c r="P24" s="202"/>
    </row>
    <row r="25" spans="2:16" x14ac:dyDescent="0.3">
      <c r="B25" s="21" t="s">
        <v>16</v>
      </c>
      <c r="C25" s="22" t="s">
        <v>17</v>
      </c>
      <c r="D25" s="175"/>
      <c r="E25" s="5">
        <f>IF(D25&lt;&gt;"",IF(D25=Answers!D25,1,-1),0)</f>
        <v>0</v>
      </c>
      <c r="F25" s="187" t="s">
        <v>18</v>
      </c>
      <c r="G25" s="187"/>
      <c r="H25" s="187"/>
      <c r="I25" s="187"/>
      <c r="J25" s="187"/>
      <c r="K25" s="187"/>
      <c r="L25" s="187"/>
      <c r="M25" s="187"/>
      <c r="N25" s="187"/>
      <c r="O25" s="187"/>
      <c r="P25" s="187"/>
    </row>
    <row r="26" spans="2:16" ht="14.4" customHeight="1" x14ac:dyDescent="0.3">
      <c r="B26" s="21" t="s">
        <v>19</v>
      </c>
      <c r="C26" s="22" t="s">
        <v>20</v>
      </c>
      <c r="D26" s="30"/>
      <c r="E26" s="5">
        <f>IF(D26&lt;&gt;"",IF(D26=Answers!D26,1,-1),0)</f>
        <v>0</v>
      </c>
      <c r="F26" s="187" t="s">
        <v>21</v>
      </c>
      <c r="G26" s="187"/>
      <c r="H26" s="187"/>
      <c r="I26" s="187"/>
      <c r="J26" s="187"/>
      <c r="K26" s="187"/>
      <c r="L26" s="187"/>
      <c r="M26" s="187"/>
      <c r="N26" s="187"/>
      <c r="O26" s="187"/>
      <c r="P26" s="187"/>
    </row>
    <row r="27" spans="2:16" ht="14.4" customHeight="1" x14ac:dyDescent="0.3">
      <c r="B27" s="21" t="s">
        <v>22</v>
      </c>
      <c r="C27" s="22" t="s">
        <v>23</v>
      </c>
      <c r="D27" s="30"/>
      <c r="E27" s="5">
        <f>IF(D27&lt;&gt;"",IF(D27=Answers!D27,1,-1),0)</f>
        <v>0</v>
      </c>
      <c r="F27" s="187" t="s">
        <v>24</v>
      </c>
      <c r="G27" s="187"/>
      <c r="H27" s="187"/>
      <c r="I27" s="187"/>
      <c r="J27" s="187"/>
      <c r="K27" s="187"/>
      <c r="L27" s="187"/>
      <c r="M27" s="187"/>
      <c r="N27" s="187"/>
      <c r="O27" s="187"/>
      <c r="P27" s="187"/>
    </row>
    <row r="28" spans="2:16" ht="14.4" customHeight="1" x14ac:dyDescent="0.3">
      <c r="B28" s="21" t="s">
        <v>25</v>
      </c>
      <c r="C28" s="22" t="s">
        <v>26</v>
      </c>
      <c r="D28" s="31"/>
      <c r="E28" s="5">
        <f>IF(D28&lt;&gt;"",IF(D28=Answers!D28,1,-1),0)</f>
        <v>0</v>
      </c>
      <c r="F28" s="187" t="s">
        <v>27</v>
      </c>
      <c r="G28" s="187"/>
      <c r="H28" s="187"/>
      <c r="I28" s="187"/>
      <c r="J28" s="187"/>
      <c r="K28" s="187"/>
      <c r="L28" s="187"/>
      <c r="M28" s="187"/>
      <c r="N28" s="187"/>
      <c r="O28" s="187"/>
      <c r="P28" s="187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  <c r="M32" s="18" t="s">
        <v>31</v>
      </c>
      <c r="N32" s="18"/>
      <c r="O32" s="18"/>
      <c r="P32" s="18"/>
    </row>
    <row r="33" spans="2:16" ht="15" customHeight="1" thickTop="1" x14ac:dyDescent="0.3">
      <c r="M33" s="188" t="str" cm="1">
        <f t="array" ref="M33">_xlfn.LET(_xlpm.q,_xlfn.VSTACK(E24:E28,E42:E61,E75:E94,E110:E129,E146:E165,E181:E200,E216:E235,E253:E272),_xlpm.a,SUM(IF(_xlpm.q&gt;=1,_xlpm.q,0)),_xlpm.a&amp;"/"&amp;ROWS(_xlpm.q)&amp;" ("&amp;TEXT(_xlpm.a/ROWS(_xlpm.q),"0%")&amp;")")</f>
        <v>40/145 (28%)</v>
      </c>
      <c r="N33" s="189"/>
      <c r="O33" s="189"/>
      <c r="P33" s="190"/>
    </row>
    <row r="34" spans="2:16" ht="14.4" customHeight="1" x14ac:dyDescent="0.3">
      <c r="B34" s="10" t="s">
        <v>32</v>
      </c>
      <c r="M34" s="191"/>
      <c r="N34" s="192"/>
      <c r="O34" s="192"/>
      <c r="P34" s="193"/>
    </row>
    <row r="35" spans="2:16" ht="14.4" customHeight="1" x14ac:dyDescent="0.3">
      <c r="B35" s="11" t="s">
        <v>33</v>
      </c>
      <c r="M35" s="191"/>
      <c r="N35" s="192"/>
      <c r="O35" s="192"/>
      <c r="P35" s="193"/>
    </row>
    <row r="36" spans="2:16" ht="14.4" customHeight="1" x14ac:dyDescent="0.3">
      <c r="B36" s="12" t="s">
        <v>34</v>
      </c>
      <c r="M36" s="194"/>
      <c r="N36" s="195"/>
      <c r="O36" s="195"/>
      <c r="P36" s="196"/>
    </row>
    <row r="37" spans="2:16" ht="14.4" customHeight="1" x14ac:dyDescent="0.3"/>
    <row r="38" spans="2:1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16" ht="15" thickTop="1" x14ac:dyDescent="0.3">
      <c r="G39" t="s">
        <v>137</v>
      </c>
      <c r="H39" t="s">
        <v>136</v>
      </c>
    </row>
    <row r="40" spans="2:16" x14ac:dyDescent="0.3">
      <c r="B40" s="3" t="s">
        <v>37</v>
      </c>
      <c r="C40" s="2">
        <v>1</v>
      </c>
      <c r="D40" s="9">
        <v>27</v>
      </c>
      <c r="F40" s="25">
        <v>45770.791666666664</v>
      </c>
      <c r="G40">
        <f>DAY(F40)</f>
        <v>23</v>
      </c>
      <c r="H40" s="186">
        <f>ROUND(24-HOUR(F40),0)</f>
        <v>5</v>
      </c>
      <c r="I40" cm="1">
        <f t="array" ref="I40">INDEX(_tClimate,H40,G40)</f>
        <v>6321607</v>
      </c>
      <c r="J40">
        <f>_xlfn.XLOOKUP(I40,Climatogram!$AM$5:$AM$10,Climatogram!$AL$5:$AL$10)</f>
        <v>27</v>
      </c>
      <c r="K40" t="str" cm="1">
        <f t="array" ref="K40">INDEX(_nDorN,Case!H40)</f>
        <v>Day</v>
      </c>
    </row>
    <row r="41" spans="2:16" x14ac:dyDescent="0.3">
      <c r="F41" s="16"/>
      <c r="H41" s="186"/>
    </row>
    <row r="42" spans="2:16" x14ac:dyDescent="0.3">
      <c r="B42" s="3">
        <v>1</v>
      </c>
      <c r="C42" s="2">
        <v>1</v>
      </c>
      <c r="D42" s="6">
        <v>32</v>
      </c>
      <c r="E42" s="5">
        <f>IF(D42&lt;&gt;"",IF(D42=Answers!D42,1,-1),0)</f>
        <v>1</v>
      </c>
      <c r="F42" s="25">
        <v>45759.458333333336</v>
      </c>
      <c r="G42">
        <f t="shared" ref="G42:G61" si="0">DAY(F42)</f>
        <v>12</v>
      </c>
      <c r="H42" s="186">
        <f t="shared" ref="H42:H61" si="1">ROUND(24-HOUR(F42),0)</f>
        <v>13</v>
      </c>
      <c r="I42" cm="1">
        <f t="array" ref="I42">INDEX(_tClimate,H42,G42)</f>
        <v>5921712</v>
      </c>
      <c r="J42">
        <f>_xlfn.XLOOKUP(I42,Climatogram!$AM$5:$AM$10,Climatogram!$AL$5:$AL$10)</f>
        <v>32</v>
      </c>
      <c r="K42" t="str" cm="1">
        <f t="array" ref="K42">INDEX(_nDorN,Case!H42)</f>
        <v>Day</v>
      </c>
    </row>
    <row r="43" spans="2:16" x14ac:dyDescent="0.3">
      <c r="B43" s="3">
        <v>2</v>
      </c>
      <c r="C43" s="2">
        <v>1</v>
      </c>
      <c r="D43" s="6">
        <v>27</v>
      </c>
      <c r="E43" s="5">
        <f>IF(D43&lt;&gt;"",IF(D43=Answers!D43,1,-1),0)</f>
        <v>1</v>
      </c>
      <c r="F43" s="25">
        <v>45774.416666666664</v>
      </c>
      <c r="G43">
        <f t="shared" si="0"/>
        <v>27</v>
      </c>
      <c r="H43" s="186">
        <f t="shared" si="1"/>
        <v>14</v>
      </c>
      <c r="I43" cm="1">
        <f t="array" ref="I43">INDEX(_tClimate,H43,G43)</f>
        <v>6321607</v>
      </c>
      <c r="J43">
        <f>_xlfn.XLOOKUP(I43,Climatogram!$AM$5:$AM$10,Climatogram!$AL$5:$AL$10)</f>
        <v>27</v>
      </c>
      <c r="K43" t="str" cm="1">
        <f t="array" ref="K43">INDEX(_nDorN,Case!H43)</f>
        <v>Day</v>
      </c>
    </row>
    <row r="44" spans="2:16" x14ac:dyDescent="0.3">
      <c r="B44" s="3">
        <v>3</v>
      </c>
      <c r="C44" s="2">
        <v>1</v>
      </c>
      <c r="D44" s="6">
        <v>22</v>
      </c>
      <c r="E44" s="5">
        <f>IF(D44&lt;&gt;"",IF(D44=Answers!D44,1,-1),0)</f>
        <v>1</v>
      </c>
      <c r="F44" s="25">
        <v>45752.833333333336</v>
      </c>
      <c r="G44">
        <f t="shared" si="0"/>
        <v>5</v>
      </c>
      <c r="H44" s="186">
        <f t="shared" si="1"/>
        <v>4</v>
      </c>
      <c r="I44" cm="1">
        <f t="array" ref="I44">INDEX(_tClimate,H44,G44)</f>
        <v>7851241</v>
      </c>
      <c r="J44">
        <f>_xlfn.XLOOKUP(I44,Climatogram!$AM$5:$AM$10,Climatogram!$AL$5:$AL$10)</f>
        <v>22</v>
      </c>
      <c r="K44" t="str" cm="1">
        <f t="array" ref="K44">INDEX(_nDorN,Case!H44)</f>
        <v>Night</v>
      </c>
    </row>
    <row r="45" spans="2:16" x14ac:dyDescent="0.3">
      <c r="B45" s="3">
        <v>4</v>
      </c>
      <c r="C45" s="2">
        <v>1</v>
      </c>
      <c r="D45" s="6">
        <v>27</v>
      </c>
      <c r="E45" s="5">
        <f>IF(D45&lt;&gt;"",IF(D45=Answers!D45,1,-1),0)</f>
        <v>1</v>
      </c>
      <c r="F45" s="25">
        <v>45756.75</v>
      </c>
      <c r="G45">
        <f t="shared" si="0"/>
        <v>9</v>
      </c>
      <c r="H45" s="186">
        <f t="shared" si="1"/>
        <v>6</v>
      </c>
      <c r="I45" cm="1">
        <f t="array" ref="I45">INDEX(_tClimate,H45,G45)</f>
        <v>6321607</v>
      </c>
      <c r="J45">
        <f>_xlfn.XLOOKUP(I45,Climatogram!$AM$5:$AM$10,Climatogram!$AL$5:$AL$10)</f>
        <v>27</v>
      </c>
      <c r="K45" t="str" cm="1">
        <f t="array" ref="K45">INDEX(_nDorN,Case!H45)</f>
        <v>Day</v>
      </c>
    </row>
    <row r="46" spans="2:16" x14ac:dyDescent="0.3">
      <c r="B46" s="3">
        <v>5</v>
      </c>
      <c r="C46" s="2">
        <v>1</v>
      </c>
      <c r="D46" s="6">
        <v>16</v>
      </c>
      <c r="E46" s="5">
        <f>IF(D46&lt;&gt;"",IF(D46=Answers!D46,1,-1),0)</f>
        <v>1</v>
      </c>
      <c r="F46" s="25">
        <v>45749.25</v>
      </c>
      <c r="G46">
        <f t="shared" si="0"/>
        <v>2</v>
      </c>
      <c r="H46" s="186">
        <f t="shared" si="1"/>
        <v>18</v>
      </c>
      <c r="I46" cm="1">
        <f t="array" ref="I46">INDEX(_tClimate,H46,G46)</f>
        <v>7454605</v>
      </c>
      <c r="J46">
        <f>_xlfn.XLOOKUP(I46,Climatogram!$AM$5:$AM$10,Climatogram!$AL$5:$AL$10)</f>
        <v>16</v>
      </c>
      <c r="K46" t="str" cm="1">
        <f t="array" ref="K46">INDEX(_nDorN,Case!H46)</f>
        <v>Day</v>
      </c>
    </row>
    <row r="47" spans="2:16" x14ac:dyDescent="0.3">
      <c r="B47" s="3">
        <v>6</v>
      </c>
      <c r="C47" s="2">
        <v>1</v>
      </c>
      <c r="D47" s="6">
        <v>27</v>
      </c>
      <c r="E47" s="5">
        <f>IF(D47&lt;&gt;"",IF(D47=Answers!D47,1,-1),0)</f>
        <v>1</v>
      </c>
      <c r="F47" s="25">
        <v>45763.375</v>
      </c>
      <c r="G47">
        <f t="shared" si="0"/>
        <v>16</v>
      </c>
      <c r="H47" s="186">
        <f t="shared" si="1"/>
        <v>15</v>
      </c>
      <c r="I47" cm="1">
        <f t="array" ref="I47">INDEX(_tClimate,H47,G47)</f>
        <v>6321607</v>
      </c>
      <c r="J47">
        <f>_xlfn.XLOOKUP(I47,Climatogram!$AM$5:$AM$10,Climatogram!$AL$5:$AL$10)</f>
        <v>27</v>
      </c>
      <c r="K47" t="str" cm="1">
        <f t="array" ref="K47">INDEX(_nDorN,Case!H47)</f>
        <v>Day</v>
      </c>
    </row>
    <row r="48" spans="2:16" x14ac:dyDescent="0.3">
      <c r="B48" s="3">
        <v>7</v>
      </c>
      <c r="C48" s="2">
        <v>1</v>
      </c>
      <c r="D48" s="6">
        <v>27</v>
      </c>
      <c r="E48" s="5">
        <f>IF(D48&lt;&gt;"",IF(D48=Answers!D48,1,-1),0)</f>
        <v>1</v>
      </c>
      <c r="F48" s="25">
        <v>45773.541666666664</v>
      </c>
      <c r="G48">
        <f t="shared" si="0"/>
        <v>26</v>
      </c>
      <c r="H48" s="186">
        <f t="shared" si="1"/>
        <v>11</v>
      </c>
      <c r="I48" cm="1">
        <f t="array" ref="I48">INDEX(_tClimate,H48,G48)</f>
        <v>6321607</v>
      </c>
      <c r="J48">
        <f>_xlfn.XLOOKUP(I48,Climatogram!$AM$5:$AM$10,Climatogram!$AL$5:$AL$10)</f>
        <v>27</v>
      </c>
      <c r="K48" t="str" cm="1">
        <f t="array" ref="K48">INDEX(_nDorN,Case!H48)</f>
        <v>Day</v>
      </c>
    </row>
    <row r="49" spans="2:11" x14ac:dyDescent="0.3">
      <c r="B49" s="3">
        <v>8</v>
      </c>
      <c r="C49" s="2">
        <v>1</v>
      </c>
      <c r="D49" s="6">
        <v>27</v>
      </c>
      <c r="E49" s="5">
        <f>IF(D49&lt;&gt;"",IF(D49=Answers!D49,1,-1),0)</f>
        <v>1</v>
      </c>
      <c r="F49" s="25">
        <v>45767.708333333336</v>
      </c>
      <c r="G49">
        <f t="shared" si="0"/>
        <v>20</v>
      </c>
      <c r="H49" s="186">
        <f t="shared" si="1"/>
        <v>7</v>
      </c>
      <c r="I49" cm="1">
        <f t="array" ref="I49">INDEX(_tClimate,H49,G49)</f>
        <v>6321607</v>
      </c>
      <c r="J49">
        <f>_xlfn.XLOOKUP(I49,Climatogram!$AM$5:$AM$10,Climatogram!$AL$5:$AL$10)</f>
        <v>27</v>
      </c>
      <c r="K49" t="str" cm="1">
        <f t="array" ref="K49">INDEX(_nDorN,Case!H49)</f>
        <v>Day</v>
      </c>
    </row>
    <row r="50" spans="2:11" x14ac:dyDescent="0.3">
      <c r="B50" s="3">
        <v>9</v>
      </c>
      <c r="C50" s="2">
        <v>1</v>
      </c>
      <c r="D50" s="6">
        <v>16</v>
      </c>
      <c r="E50" s="5">
        <f>IF(D50&lt;&gt;"",IF(D50=Answers!D50,1,-1),0)</f>
        <v>1</v>
      </c>
      <c r="F50" s="25">
        <v>45760.083333333336</v>
      </c>
      <c r="G50">
        <f t="shared" si="0"/>
        <v>13</v>
      </c>
      <c r="H50" s="186">
        <f t="shared" si="1"/>
        <v>22</v>
      </c>
      <c r="I50" cm="1">
        <f t="array" ref="I50">INDEX(_tClimate,H50,G50)</f>
        <v>7454605</v>
      </c>
      <c r="J50">
        <f>_xlfn.XLOOKUP(I50,Climatogram!$AM$5:$AM$10,Climatogram!$AL$5:$AL$10)</f>
        <v>16</v>
      </c>
      <c r="K50" t="str" cm="1">
        <f t="array" ref="K50">INDEX(_nDorN,Case!H50)</f>
        <v>Night</v>
      </c>
    </row>
    <row r="51" spans="2:11" x14ac:dyDescent="0.3">
      <c r="B51" s="3">
        <v>10</v>
      </c>
      <c r="C51" s="2">
        <v>1</v>
      </c>
      <c r="D51" s="6">
        <v>16</v>
      </c>
      <c r="E51" s="5">
        <f>IF(D51&lt;&gt;"",IF(D51=Answers!D51,1,-1),0)</f>
        <v>1</v>
      </c>
      <c r="F51" s="25">
        <v>45754.041666666664</v>
      </c>
      <c r="G51">
        <f t="shared" si="0"/>
        <v>7</v>
      </c>
      <c r="H51" s="186">
        <f t="shared" si="1"/>
        <v>23</v>
      </c>
      <c r="I51" cm="1">
        <f t="array" ref="I51">INDEX(_tClimate,H51,G51)</f>
        <v>7454605</v>
      </c>
      <c r="J51">
        <f>_xlfn.XLOOKUP(I51,Climatogram!$AM$5:$AM$10,Climatogram!$AL$5:$AL$10)</f>
        <v>16</v>
      </c>
      <c r="K51" t="str" cm="1">
        <f t="array" ref="K51">INDEX(_nDorN,Case!H51)</f>
        <v>Night</v>
      </c>
    </row>
    <row r="52" spans="2:11" x14ac:dyDescent="0.3">
      <c r="B52" s="3">
        <v>11</v>
      </c>
      <c r="C52" s="2">
        <v>1</v>
      </c>
      <c r="D52" s="6">
        <v>16</v>
      </c>
      <c r="E52" s="5">
        <f>IF(D52&lt;&gt;"",IF(D52=Answers!D52,1,-1),0)</f>
        <v>1</v>
      </c>
      <c r="F52" s="25">
        <v>45761.041666666664</v>
      </c>
      <c r="G52">
        <f t="shared" si="0"/>
        <v>14</v>
      </c>
      <c r="H52" s="186">
        <f t="shared" si="1"/>
        <v>23</v>
      </c>
      <c r="I52" cm="1">
        <f t="array" ref="I52">INDEX(_tClimate,H52,G52)</f>
        <v>7454605</v>
      </c>
      <c r="J52">
        <f>_xlfn.XLOOKUP(I52,Climatogram!$AM$5:$AM$10,Climatogram!$AL$5:$AL$10)</f>
        <v>16</v>
      </c>
      <c r="K52" t="str" cm="1">
        <f t="array" ref="K52">INDEX(_nDorN,Case!H52)</f>
        <v>Night</v>
      </c>
    </row>
    <row r="53" spans="2:11" x14ac:dyDescent="0.3">
      <c r="B53" s="3">
        <v>12</v>
      </c>
      <c r="C53" s="2">
        <v>1</v>
      </c>
      <c r="D53" s="6">
        <v>16</v>
      </c>
      <c r="E53" s="5">
        <f>IF(D53&lt;&gt;"",IF(D53=Answers!D53,1,-1),0)</f>
        <v>1</v>
      </c>
      <c r="F53" s="25">
        <v>45761.958333333336</v>
      </c>
      <c r="G53">
        <f t="shared" si="0"/>
        <v>14</v>
      </c>
      <c r="H53" s="186">
        <f t="shared" si="1"/>
        <v>1</v>
      </c>
      <c r="I53" cm="1">
        <f t="array" ref="I53">INDEX(_tClimate,H53,G53)</f>
        <v>7454605</v>
      </c>
      <c r="J53">
        <f>_xlfn.XLOOKUP(I53,Climatogram!$AM$5:$AM$10,Climatogram!$AL$5:$AL$10)</f>
        <v>16</v>
      </c>
      <c r="K53" t="str" cm="1">
        <f t="array" ref="K53">INDEX(_nDorN,Case!H53)</f>
        <v>Night</v>
      </c>
    </row>
    <row r="54" spans="2:11" x14ac:dyDescent="0.3">
      <c r="B54" s="3">
        <v>13</v>
      </c>
      <c r="C54" s="2">
        <v>1</v>
      </c>
      <c r="D54" s="6">
        <v>27</v>
      </c>
      <c r="E54" s="5">
        <f>IF(D54&lt;&gt;"",IF(D54=Answers!D54,1,-1),0)</f>
        <v>1</v>
      </c>
      <c r="F54" s="25">
        <v>45767.708333333336</v>
      </c>
      <c r="G54">
        <f t="shared" si="0"/>
        <v>20</v>
      </c>
      <c r="H54" s="186">
        <f t="shared" si="1"/>
        <v>7</v>
      </c>
      <c r="I54" cm="1">
        <f t="array" ref="I54">INDEX(_tClimate,H54,G54)</f>
        <v>6321607</v>
      </c>
      <c r="J54">
        <f>_xlfn.XLOOKUP(I54,Climatogram!$AM$5:$AM$10,Climatogram!$AL$5:$AL$10)</f>
        <v>27</v>
      </c>
      <c r="K54" t="str" cm="1">
        <f t="array" ref="K54">INDEX(_nDorN,Case!H54)</f>
        <v>Day</v>
      </c>
    </row>
    <row r="55" spans="2:11" x14ac:dyDescent="0.3">
      <c r="B55" s="3">
        <v>14</v>
      </c>
      <c r="C55" s="2">
        <v>1</v>
      </c>
      <c r="D55" s="6">
        <v>27</v>
      </c>
      <c r="E55" s="5">
        <f>IF(D55&lt;&gt;"",IF(D55=Answers!D55,1,-1),0)</f>
        <v>1</v>
      </c>
      <c r="F55" s="25">
        <v>45765.708333333336</v>
      </c>
      <c r="G55">
        <f t="shared" si="0"/>
        <v>18</v>
      </c>
      <c r="H55" s="186">
        <f t="shared" si="1"/>
        <v>7</v>
      </c>
      <c r="I55" cm="1">
        <f t="array" ref="I55">INDEX(_tClimate,H55,G55)</f>
        <v>6321607</v>
      </c>
      <c r="J55">
        <f>_xlfn.XLOOKUP(I55,Climatogram!$AM$5:$AM$10,Climatogram!$AL$5:$AL$10)</f>
        <v>27</v>
      </c>
      <c r="K55" t="str" cm="1">
        <f t="array" ref="K55">INDEX(_nDorN,Case!H55)</f>
        <v>Day</v>
      </c>
    </row>
    <row r="56" spans="2:11" x14ac:dyDescent="0.3">
      <c r="B56" s="3">
        <v>15</v>
      </c>
      <c r="C56" s="2">
        <v>1</v>
      </c>
      <c r="D56" s="6">
        <v>27</v>
      </c>
      <c r="E56" s="5">
        <f>IF(D56&lt;&gt;"",IF(D56=Answers!D56,1,-1),0)</f>
        <v>1</v>
      </c>
      <c r="F56" s="25">
        <v>45774.791666666664</v>
      </c>
      <c r="G56">
        <f t="shared" si="0"/>
        <v>27</v>
      </c>
      <c r="H56" s="186">
        <f t="shared" si="1"/>
        <v>5</v>
      </c>
      <c r="I56" cm="1">
        <f t="array" ref="I56">INDEX(_tClimate,H56,G56)</f>
        <v>6321607</v>
      </c>
      <c r="J56">
        <f>_xlfn.XLOOKUP(I56,Climatogram!$AM$5:$AM$10,Climatogram!$AL$5:$AL$10)</f>
        <v>27</v>
      </c>
      <c r="K56" t="str" cm="1">
        <f t="array" ref="K56">INDEX(_nDorN,Case!H56)</f>
        <v>Day</v>
      </c>
    </row>
    <row r="57" spans="2:11" x14ac:dyDescent="0.3">
      <c r="B57" s="3">
        <v>16</v>
      </c>
      <c r="C57" s="2">
        <v>1</v>
      </c>
      <c r="D57" s="6">
        <v>16</v>
      </c>
      <c r="E57" s="5">
        <f>IF(D57&lt;&gt;"",IF(D57=Answers!D57,1,-1),0)</f>
        <v>1</v>
      </c>
      <c r="F57" s="25">
        <v>45757</v>
      </c>
      <c r="G57">
        <f t="shared" si="0"/>
        <v>10</v>
      </c>
      <c r="H57" s="186">
        <f t="shared" si="1"/>
        <v>24</v>
      </c>
      <c r="I57" cm="1">
        <f t="array" ref="I57">INDEX(_tClimate,H57,G57)</f>
        <v>7454605</v>
      </c>
      <c r="J57">
        <f>_xlfn.XLOOKUP(I57,Climatogram!$AM$5:$AM$10,Climatogram!$AL$5:$AL$10)</f>
        <v>16</v>
      </c>
      <c r="K57" t="str" cm="1">
        <f t="array" ref="K57">INDEX(_nDorN,Case!H57)</f>
        <v>Night</v>
      </c>
    </row>
    <row r="58" spans="2:11" x14ac:dyDescent="0.3">
      <c r="B58" s="3">
        <v>17</v>
      </c>
      <c r="C58" s="2">
        <v>1</v>
      </c>
      <c r="D58" s="6">
        <v>16</v>
      </c>
      <c r="E58" s="5">
        <f>IF(D58&lt;&gt;"",IF(D58=Answers!D58,1,-1),0)</f>
        <v>1</v>
      </c>
      <c r="F58" s="25">
        <v>45775.125</v>
      </c>
      <c r="G58">
        <f t="shared" si="0"/>
        <v>28</v>
      </c>
      <c r="H58" s="186">
        <f t="shared" si="1"/>
        <v>21</v>
      </c>
      <c r="I58" cm="1">
        <f t="array" ref="I58">INDEX(_tClimate,H58,G58)</f>
        <v>7454605</v>
      </c>
      <c r="J58">
        <f>_xlfn.XLOOKUP(I58,Climatogram!$AM$5:$AM$10,Climatogram!$AL$5:$AL$10)</f>
        <v>16</v>
      </c>
      <c r="K58" t="str" cm="1">
        <f t="array" ref="K58">INDEX(_nDorN,Case!H58)</f>
        <v>Night</v>
      </c>
    </row>
    <row r="59" spans="2:11" x14ac:dyDescent="0.3">
      <c r="B59" s="3">
        <v>18</v>
      </c>
      <c r="C59" s="2">
        <v>1</v>
      </c>
      <c r="D59" s="6">
        <v>27</v>
      </c>
      <c r="E59" s="5">
        <f>IF(D59&lt;&gt;"",IF(D59=Answers!D59,1,-1),0)</f>
        <v>1</v>
      </c>
      <c r="F59" s="25">
        <v>45765.458333333336</v>
      </c>
      <c r="G59">
        <f t="shared" si="0"/>
        <v>18</v>
      </c>
      <c r="H59" s="186">
        <f t="shared" si="1"/>
        <v>13</v>
      </c>
      <c r="I59" cm="1">
        <f t="array" ref="I59">INDEX(_tClimate,H59,G59)</f>
        <v>6321607</v>
      </c>
      <c r="J59">
        <f>_xlfn.XLOOKUP(I59,Climatogram!$AM$5:$AM$10,Climatogram!$AL$5:$AL$10)</f>
        <v>27</v>
      </c>
      <c r="K59" t="str" cm="1">
        <f t="array" ref="K59">INDEX(_nDorN,Case!H59)</f>
        <v>Day</v>
      </c>
    </row>
    <row r="60" spans="2:11" x14ac:dyDescent="0.3">
      <c r="B60" s="3">
        <v>19</v>
      </c>
      <c r="C60" s="2">
        <v>1</v>
      </c>
      <c r="D60" s="6">
        <v>27</v>
      </c>
      <c r="E60" s="5">
        <f>IF(D60&lt;&gt;"",IF(D60=Answers!D60,1,-1),0)</f>
        <v>1</v>
      </c>
      <c r="F60" s="25">
        <v>45769.708333333336</v>
      </c>
      <c r="G60">
        <f t="shared" si="0"/>
        <v>22</v>
      </c>
      <c r="H60" s="186">
        <f t="shared" si="1"/>
        <v>7</v>
      </c>
      <c r="I60" cm="1">
        <f t="array" ref="I60">INDEX(_tClimate,H60,G60)</f>
        <v>6321607</v>
      </c>
      <c r="J60">
        <f>_xlfn.XLOOKUP(I60,Climatogram!$AM$5:$AM$10,Climatogram!$AL$5:$AL$10)</f>
        <v>27</v>
      </c>
      <c r="K60" t="str" cm="1">
        <f t="array" ref="K60">INDEX(_nDorN,Case!H60)</f>
        <v>Day</v>
      </c>
    </row>
    <row r="61" spans="2:11" x14ac:dyDescent="0.3">
      <c r="B61" s="3">
        <v>20</v>
      </c>
      <c r="C61" s="2">
        <v>1</v>
      </c>
      <c r="D61" s="6">
        <v>32</v>
      </c>
      <c r="E61" s="5">
        <f>IF(D61&lt;&gt;"",IF(D61=Answers!D61,1,-1),0)</f>
        <v>1</v>
      </c>
      <c r="F61" s="25">
        <v>45759.541666666664</v>
      </c>
      <c r="G61">
        <f t="shared" si="0"/>
        <v>12</v>
      </c>
      <c r="H61" s="186">
        <f t="shared" si="1"/>
        <v>11</v>
      </c>
      <c r="I61" cm="1">
        <f t="array" ref="I61">INDEX(_tClimate,H61,G61)</f>
        <v>5921712</v>
      </c>
      <c r="J61">
        <f>_xlfn.XLOOKUP(I61,Climatogram!$AM$5:$AM$10,Climatogram!$AL$5:$AL$10)</f>
        <v>32</v>
      </c>
      <c r="K61" t="str" cm="1">
        <f t="array" ref="K61">INDEX(_nDorN,Case!H61)</f>
        <v>Day</v>
      </c>
    </row>
    <row r="64" spans="2:11" ht="15" thickBot="1" x14ac:dyDescent="0.35">
      <c r="B64" s="4" t="s">
        <v>38</v>
      </c>
      <c r="C64" s="14" t="s">
        <v>30</v>
      </c>
    </row>
    <row r="65" spans="2:12" ht="15" thickTop="1" x14ac:dyDescent="0.3"/>
    <row r="66" spans="2:12" x14ac:dyDescent="0.3">
      <c r="B66" s="10" t="s">
        <v>39</v>
      </c>
    </row>
    <row r="67" spans="2:12" x14ac:dyDescent="0.3">
      <c r="B67" s="10" t="s">
        <v>40</v>
      </c>
    </row>
    <row r="68" spans="2:12" x14ac:dyDescent="0.3">
      <c r="B68" s="23" t="s">
        <v>41</v>
      </c>
    </row>
    <row r="69" spans="2:12" x14ac:dyDescent="0.3">
      <c r="B69" s="12" t="s">
        <v>42</v>
      </c>
    </row>
    <row r="71" spans="2:12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12" ht="15" thickTop="1" x14ac:dyDescent="0.3"/>
    <row r="73" spans="2:12" x14ac:dyDescent="0.3">
      <c r="B73" s="3" t="s">
        <v>43</v>
      </c>
      <c r="C73" s="2">
        <v>2</v>
      </c>
      <c r="D73" s="9" t="s">
        <v>44</v>
      </c>
      <c r="F73" s="25">
        <v>45770.791666666664</v>
      </c>
      <c r="G73">
        <f>DAY(F73)</f>
        <v>23</v>
      </c>
      <c r="H73" s="186">
        <f>ROUND(24-HOUR(F73),0)</f>
        <v>5</v>
      </c>
      <c r="I73" cm="1">
        <f t="array" ref="I73">INDEX(_tClimate,H73,G73)</f>
        <v>6321607</v>
      </c>
      <c r="J73">
        <f>_xlfn.XLOOKUP(I73,Climatogram!$AM$5:$AM$10,Climatogram!$AL$5:$AL$10)</f>
        <v>27</v>
      </c>
      <c r="K73" t="str" cm="1">
        <f t="array" aca="1" ref="K73" ca="1">IF(_fnDay(INDIRECT("Climatogram!"&amp;ADDRESS(H73+4,G73+2))),"D","N")</f>
        <v>N</v>
      </c>
      <c r="L73" t="str">
        <f ca="1">J73&amp;"-"&amp;K73</f>
        <v>27-N</v>
      </c>
    </row>
    <row r="74" spans="2:12" x14ac:dyDescent="0.3">
      <c r="F74" s="16"/>
      <c r="H74" s="186"/>
    </row>
    <row r="75" spans="2:12" x14ac:dyDescent="0.3">
      <c r="B75" s="3">
        <v>21</v>
      </c>
      <c r="C75" s="2">
        <v>2</v>
      </c>
      <c r="D75" s="6" t="s">
        <v>44</v>
      </c>
      <c r="E75" s="5">
        <f>IF(D75&lt;&gt;"",IF(D75=Answers!D75,1,-1),0)</f>
        <v>1</v>
      </c>
      <c r="F75" s="25">
        <v>45757.75</v>
      </c>
      <c r="G75">
        <f t="shared" ref="G75:G94" si="2">DAY(F75)</f>
        <v>10</v>
      </c>
      <c r="H75" s="186">
        <f t="shared" ref="H75:H94" si="3">ROUND(24-HOUR(F75),0)</f>
        <v>6</v>
      </c>
      <c r="I75" cm="1">
        <f t="array" ref="I75">INDEX(_tClimate,H75,G75)</f>
        <v>6321607</v>
      </c>
      <c r="J75">
        <f>_xlfn.XLOOKUP(I75,Climatogram!$AM$5:$AM$10,Climatogram!$AL$5:$AL$10)</f>
        <v>27</v>
      </c>
      <c r="K75" t="str" cm="1">
        <f t="array" aca="1" ref="K75" ca="1">IF(_fnDay(INDIRECT("Climatogram!"&amp;ADDRESS(H75+4,G75+2))),"D","N")</f>
        <v>N</v>
      </c>
      <c r="L75" t="str">
        <f t="shared" ref="L75:L94" ca="1" si="4">J75&amp;"-"&amp;K75</f>
        <v>27-N</v>
      </c>
    </row>
    <row r="76" spans="2:12" x14ac:dyDescent="0.3">
      <c r="B76" s="3">
        <v>22</v>
      </c>
      <c r="C76" s="2">
        <v>2</v>
      </c>
      <c r="D76" s="6" t="s">
        <v>120</v>
      </c>
      <c r="E76" s="5">
        <f>IF(D76&lt;&gt;"",IF(D76=Answers!D76,1,-1),0)</f>
        <v>1</v>
      </c>
      <c r="F76" s="25">
        <v>45750.458333333336</v>
      </c>
      <c r="G76">
        <f t="shared" si="2"/>
        <v>3</v>
      </c>
      <c r="H76" s="186">
        <f t="shared" si="3"/>
        <v>13</v>
      </c>
      <c r="I76" cm="1">
        <f t="array" ref="I76">INDEX(_tClimate,H76,G76)</f>
        <v>6321607</v>
      </c>
      <c r="J76">
        <f>_xlfn.XLOOKUP(I76,Climatogram!$AM$5:$AM$10,Climatogram!$AL$5:$AL$10)</f>
        <v>27</v>
      </c>
      <c r="K76" t="str" cm="1">
        <f t="array" aca="1" ref="K76" ca="1">IF(_fnDay(INDIRECT("Climatogram!"&amp;ADDRESS(H76+4,G76+2))),"D","N")</f>
        <v>D</v>
      </c>
      <c r="L76" t="str">
        <f t="shared" ca="1" si="4"/>
        <v>27-D</v>
      </c>
    </row>
    <row r="77" spans="2:12" x14ac:dyDescent="0.3">
      <c r="B77" s="3">
        <v>23</v>
      </c>
      <c r="C77" s="2">
        <v>2</v>
      </c>
      <c r="D77" s="6" t="s">
        <v>121</v>
      </c>
      <c r="E77" s="5">
        <f>IF(D77&lt;&gt;"",IF(D77=Answers!D77,1,-1),0)</f>
        <v>1</v>
      </c>
      <c r="F77" s="25">
        <v>45761.166666666664</v>
      </c>
      <c r="G77">
        <f t="shared" si="2"/>
        <v>14</v>
      </c>
      <c r="H77" s="186">
        <f t="shared" si="3"/>
        <v>20</v>
      </c>
      <c r="I77" cm="1">
        <f t="array" ref="I77">INDEX(_tClimate,H77,G77)</f>
        <v>7841908</v>
      </c>
      <c r="J77">
        <f>_xlfn.XLOOKUP(I77,Climatogram!$AM$5:$AM$10,Climatogram!$AL$5:$AL$10)</f>
        <v>10</v>
      </c>
      <c r="K77" t="str" cm="1">
        <f t="array" aca="1" ref="K77" ca="1">IF(_fnDay(INDIRECT("Climatogram!"&amp;ADDRESS(H77+4,G77+2))),"D","N")</f>
        <v>N</v>
      </c>
      <c r="L77" t="str">
        <f t="shared" ca="1" si="4"/>
        <v>10-N</v>
      </c>
    </row>
    <row r="78" spans="2:12" x14ac:dyDescent="0.3">
      <c r="B78" s="3">
        <v>24</v>
      </c>
      <c r="C78" s="2">
        <v>2</v>
      </c>
      <c r="D78" s="6" t="s">
        <v>122</v>
      </c>
      <c r="E78" s="5">
        <f>IF(D78&lt;&gt;"",IF(D78=Answers!D78,1,-1),0)</f>
        <v>1</v>
      </c>
      <c r="F78" s="25">
        <v>45765.25</v>
      </c>
      <c r="G78">
        <f t="shared" si="2"/>
        <v>18</v>
      </c>
      <c r="H78" s="186">
        <f t="shared" si="3"/>
        <v>18</v>
      </c>
      <c r="I78" cm="1">
        <f t="array" ref="I78">INDEX(_tClimate,H78,G78)</f>
        <v>7454605</v>
      </c>
      <c r="J78">
        <f>_xlfn.XLOOKUP(I78,Climatogram!$AM$5:$AM$10,Climatogram!$AL$5:$AL$10)</f>
        <v>16</v>
      </c>
      <c r="K78" t="str" cm="1">
        <f t="array" aca="1" ref="K78" ca="1">IF(_fnDay(INDIRECT("Climatogram!"&amp;ADDRESS(H78+4,G78+2))),"D","N")</f>
        <v>D</v>
      </c>
      <c r="L78" t="str">
        <f t="shared" ca="1" si="4"/>
        <v>16-D</v>
      </c>
    </row>
    <row r="79" spans="2:12" x14ac:dyDescent="0.3">
      <c r="B79" s="3">
        <v>25</v>
      </c>
      <c r="C79" s="2">
        <v>2</v>
      </c>
      <c r="D79" s="6" t="s">
        <v>123</v>
      </c>
      <c r="E79" s="5">
        <f>IF(D79&lt;&gt;"",IF(D79=Answers!D79,1,-1),0)</f>
        <v>1</v>
      </c>
      <c r="F79" s="25">
        <v>45753.041666666664</v>
      </c>
      <c r="G79">
        <f t="shared" si="2"/>
        <v>6</v>
      </c>
      <c r="H79" s="186">
        <f t="shared" si="3"/>
        <v>23</v>
      </c>
      <c r="I79" cm="1">
        <f t="array" ref="I79">INDEX(_tClimate,H79,G79)</f>
        <v>7454605</v>
      </c>
      <c r="J79">
        <f>_xlfn.XLOOKUP(I79,Climatogram!$AM$5:$AM$10,Climatogram!$AL$5:$AL$10)</f>
        <v>16</v>
      </c>
      <c r="K79" t="str" cm="1">
        <f t="array" aca="1" ref="K79" ca="1">IF(_fnDay(INDIRECT("Climatogram!"&amp;ADDRESS(H79+4,G79+2))),"D","N")</f>
        <v>N</v>
      </c>
      <c r="L79" t="str">
        <f t="shared" ca="1" si="4"/>
        <v>16-N</v>
      </c>
    </row>
    <row r="80" spans="2:12" x14ac:dyDescent="0.3">
      <c r="B80" s="3">
        <v>26</v>
      </c>
      <c r="C80" s="2">
        <v>2</v>
      </c>
      <c r="D80" s="6" t="s">
        <v>123</v>
      </c>
      <c r="E80" s="5">
        <f>IF(D80&lt;&gt;"",IF(D80=Answers!D80,1,-1),0)</f>
        <v>1</v>
      </c>
      <c r="F80" s="25">
        <v>45758.125</v>
      </c>
      <c r="G80">
        <f t="shared" si="2"/>
        <v>11</v>
      </c>
      <c r="H80" s="186">
        <f t="shared" si="3"/>
        <v>21</v>
      </c>
      <c r="I80" cm="1">
        <f t="array" ref="I80">INDEX(_tClimate,H80,G80)</f>
        <v>7454605</v>
      </c>
      <c r="J80">
        <f>_xlfn.XLOOKUP(I80,Climatogram!$AM$5:$AM$10,Climatogram!$AL$5:$AL$10)</f>
        <v>16</v>
      </c>
      <c r="K80" t="str" cm="1">
        <f t="array" aca="1" ref="K80" ca="1">IF(_fnDay(INDIRECT("Climatogram!"&amp;ADDRESS(H80+4,G80+2))),"D","N")</f>
        <v>N</v>
      </c>
      <c r="L80" t="str">
        <f t="shared" ca="1" si="4"/>
        <v>16-N</v>
      </c>
    </row>
    <row r="81" spans="2:12" x14ac:dyDescent="0.3">
      <c r="B81" s="3">
        <v>27</v>
      </c>
      <c r="C81" s="2">
        <v>2</v>
      </c>
      <c r="D81" s="6" t="s">
        <v>124</v>
      </c>
      <c r="E81" s="5">
        <f>IF(D81&lt;&gt;"",IF(D81=Answers!D81,1,-1),0)</f>
        <v>1</v>
      </c>
      <c r="F81" s="25">
        <v>45777.875</v>
      </c>
      <c r="G81">
        <f t="shared" si="2"/>
        <v>30</v>
      </c>
      <c r="H81" s="186">
        <f t="shared" si="3"/>
        <v>3</v>
      </c>
      <c r="I81" cm="1">
        <f t="array" ref="I81">INDEX(_tClimate,H81,G81)</f>
        <v>7851241</v>
      </c>
      <c r="J81">
        <f>_xlfn.XLOOKUP(I81,Climatogram!$AM$5:$AM$10,Climatogram!$AL$5:$AL$10)</f>
        <v>22</v>
      </c>
      <c r="K81" t="str" cm="1">
        <f t="array" aca="1" ref="K81" ca="1">IF(_fnDay(INDIRECT("Climatogram!"&amp;ADDRESS(H81+4,G81+2))),"D","N")</f>
        <v>N</v>
      </c>
      <c r="L81" t="str">
        <f t="shared" ca="1" si="4"/>
        <v>22-N</v>
      </c>
    </row>
    <row r="82" spans="2:12" x14ac:dyDescent="0.3">
      <c r="B82" s="3">
        <v>28</v>
      </c>
      <c r="C82" s="2">
        <v>2</v>
      </c>
      <c r="D82" s="6" t="s">
        <v>120</v>
      </c>
      <c r="E82" s="5">
        <f>IF(D82&lt;&gt;"",IF(D82=Answers!D82,1,-1),0)</f>
        <v>1</v>
      </c>
      <c r="F82" s="25">
        <v>45768.375</v>
      </c>
      <c r="G82">
        <f t="shared" si="2"/>
        <v>21</v>
      </c>
      <c r="H82" s="186">
        <f t="shared" si="3"/>
        <v>15</v>
      </c>
      <c r="I82" cm="1">
        <f t="array" ref="I82">INDEX(_tClimate,H82,G82)</f>
        <v>6321607</v>
      </c>
      <c r="J82">
        <f>_xlfn.XLOOKUP(I82,Climatogram!$AM$5:$AM$10,Climatogram!$AL$5:$AL$10)</f>
        <v>27</v>
      </c>
      <c r="K82" t="str" cm="1">
        <f t="array" aca="1" ref="K82" ca="1">IF(_fnDay(INDIRECT("Climatogram!"&amp;ADDRESS(H82+4,G82+2))),"D","N")</f>
        <v>D</v>
      </c>
      <c r="L82" t="str">
        <f t="shared" ca="1" si="4"/>
        <v>27-D</v>
      </c>
    </row>
    <row r="83" spans="2:12" x14ac:dyDescent="0.3">
      <c r="B83" s="3">
        <v>29</v>
      </c>
      <c r="C83" s="2">
        <v>2</v>
      </c>
      <c r="D83" s="6" t="s">
        <v>120</v>
      </c>
      <c r="E83" s="5">
        <f>IF(D83&lt;&gt;"",IF(D83=Answers!D83,1,-1),0)</f>
        <v>1</v>
      </c>
      <c r="F83" s="25">
        <v>45768.5</v>
      </c>
      <c r="G83">
        <f t="shared" si="2"/>
        <v>21</v>
      </c>
      <c r="H83" s="186">
        <f t="shared" si="3"/>
        <v>12</v>
      </c>
      <c r="I83" cm="1">
        <f t="array" ref="I83">INDEX(_tClimate,H83,G83)</f>
        <v>6321607</v>
      </c>
      <c r="J83">
        <f>_xlfn.XLOOKUP(I83,Climatogram!$AM$5:$AM$10,Climatogram!$AL$5:$AL$10)</f>
        <v>27</v>
      </c>
      <c r="K83" t="str" cm="1">
        <f t="array" aca="1" ref="K83" ca="1">IF(_fnDay(INDIRECT("Climatogram!"&amp;ADDRESS(H83+4,G83+2))),"D","N")</f>
        <v>D</v>
      </c>
      <c r="L83" t="str">
        <f t="shared" ca="1" si="4"/>
        <v>27-D</v>
      </c>
    </row>
    <row r="84" spans="2:12" x14ac:dyDescent="0.3">
      <c r="B84" s="3">
        <v>30</v>
      </c>
      <c r="C84" s="2">
        <v>2</v>
      </c>
      <c r="D84" s="6" t="s">
        <v>125</v>
      </c>
      <c r="E84" s="5">
        <f>IF(D84&lt;&gt;"",IF(D84=Answers!D84,1,-1),0)</f>
        <v>1</v>
      </c>
      <c r="F84" s="25">
        <v>45748.375</v>
      </c>
      <c r="G84">
        <f t="shared" si="2"/>
        <v>1</v>
      </c>
      <c r="H84" s="186">
        <f t="shared" si="3"/>
        <v>15</v>
      </c>
      <c r="I84" cm="1">
        <f t="array" ref="I84">INDEX(_tClimate,H84,G84)</f>
        <v>7851241</v>
      </c>
      <c r="J84">
        <f>_xlfn.XLOOKUP(I84,Climatogram!$AM$5:$AM$10,Climatogram!$AL$5:$AL$10)</f>
        <v>22</v>
      </c>
      <c r="K84" t="str" cm="1">
        <f t="array" aca="1" ref="K84" ca="1">IF(_fnDay(INDIRECT("Climatogram!"&amp;ADDRESS(H84+4,G84+2))),"D","N")</f>
        <v>D</v>
      </c>
      <c r="L84" t="str">
        <f t="shared" ca="1" si="4"/>
        <v>22-D</v>
      </c>
    </row>
    <row r="85" spans="2:12" x14ac:dyDescent="0.3">
      <c r="B85" s="3">
        <v>31</v>
      </c>
      <c r="C85" s="2">
        <v>2</v>
      </c>
      <c r="D85" s="6" t="s">
        <v>44</v>
      </c>
      <c r="E85" s="5">
        <f>IF(D85&lt;&gt;"",IF(D85=Answers!D85,1,-1),0)</f>
        <v>1</v>
      </c>
      <c r="F85" s="25">
        <v>45759.75</v>
      </c>
      <c r="G85">
        <f t="shared" si="2"/>
        <v>12</v>
      </c>
      <c r="H85" s="186">
        <f t="shared" si="3"/>
        <v>6</v>
      </c>
      <c r="I85" cm="1">
        <f t="array" ref="I85">INDEX(_tClimate,H85,G85)</f>
        <v>6321607</v>
      </c>
      <c r="J85">
        <f>_xlfn.XLOOKUP(I85,Climatogram!$AM$5:$AM$10,Climatogram!$AL$5:$AL$10)</f>
        <v>27</v>
      </c>
      <c r="K85" t="str" cm="1">
        <f t="array" aca="1" ref="K85" ca="1">IF(_fnDay(INDIRECT("Climatogram!"&amp;ADDRESS(H85+4,G85+2))),"D","N")</f>
        <v>N</v>
      </c>
      <c r="L85" t="str">
        <f t="shared" ca="1" si="4"/>
        <v>27-N</v>
      </c>
    </row>
    <row r="86" spans="2:12" x14ac:dyDescent="0.3">
      <c r="B86" s="3">
        <v>32</v>
      </c>
      <c r="C86" s="2">
        <v>2</v>
      </c>
      <c r="D86" s="6" t="s">
        <v>120</v>
      </c>
      <c r="E86" s="5">
        <f>IF(D86&lt;&gt;"",IF(D86=Answers!D86,1,-1),0)</f>
        <v>1</v>
      </c>
      <c r="F86" s="25">
        <v>45769.75</v>
      </c>
      <c r="G86">
        <f t="shared" si="2"/>
        <v>22</v>
      </c>
      <c r="H86" s="186">
        <f t="shared" si="3"/>
        <v>6</v>
      </c>
      <c r="I86" cm="1">
        <f t="array" ref="I86">INDEX(_tClimate,H86,G86)</f>
        <v>6321607</v>
      </c>
      <c r="J86">
        <f>_xlfn.XLOOKUP(I86,Climatogram!$AM$5:$AM$10,Climatogram!$AL$5:$AL$10)</f>
        <v>27</v>
      </c>
      <c r="K86" t="str" cm="1">
        <f t="array" aca="1" ref="K86" ca="1">IF(_fnDay(INDIRECT("Climatogram!"&amp;ADDRESS(H86+4,G86+2))),"D","N")</f>
        <v>D</v>
      </c>
      <c r="L86" t="str">
        <f t="shared" ca="1" si="4"/>
        <v>27-D</v>
      </c>
    </row>
    <row r="87" spans="2:12" x14ac:dyDescent="0.3">
      <c r="B87" s="3">
        <v>33</v>
      </c>
      <c r="C87" s="2">
        <v>2</v>
      </c>
      <c r="D87" s="6" t="s">
        <v>120</v>
      </c>
      <c r="E87" s="5">
        <f>IF(D87&lt;&gt;"",IF(D87=Answers!D87,1,-1),0)</f>
        <v>1</v>
      </c>
      <c r="F87" s="25">
        <v>45772.541666666664</v>
      </c>
      <c r="G87">
        <f t="shared" si="2"/>
        <v>25</v>
      </c>
      <c r="H87" s="186">
        <f t="shared" si="3"/>
        <v>11</v>
      </c>
      <c r="I87" cm="1">
        <f t="array" ref="I87">INDEX(_tClimate,H87,G87)</f>
        <v>6321607</v>
      </c>
      <c r="J87">
        <f>_xlfn.XLOOKUP(I87,Climatogram!$AM$5:$AM$10,Climatogram!$AL$5:$AL$10)</f>
        <v>27</v>
      </c>
      <c r="K87" t="str" cm="1">
        <f t="array" aca="1" ref="K87" ca="1">IF(_fnDay(INDIRECT("Climatogram!"&amp;ADDRESS(H87+4,G87+2))),"D","N")</f>
        <v>D</v>
      </c>
      <c r="L87" t="str">
        <f t="shared" ca="1" si="4"/>
        <v>27-D</v>
      </c>
    </row>
    <row r="88" spans="2:12" x14ac:dyDescent="0.3">
      <c r="B88" s="3">
        <v>34</v>
      </c>
      <c r="C88" s="2">
        <v>2</v>
      </c>
      <c r="D88" s="6" t="s">
        <v>125</v>
      </c>
      <c r="E88" s="5">
        <f>IF(D88&lt;&gt;"",IF(D88=Answers!D88,1,-1),0)</f>
        <v>1</v>
      </c>
      <c r="F88" s="25">
        <v>45756.333333333336</v>
      </c>
      <c r="G88">
        <f t="shared" si="2"/>
        <v>9</v>
      </c>
      <c r="H88" s="186">
        <f t="shared" si="3"/>
        <v>16</v>
      </c>
      <c r="I88" cm="1">
        <f t="array" ref="I88">INDEX(_tClimate,H88,G88)</f>
        <v>7851241</v>
      </c>
      <c r="J88">
        <f>_xlfn.XLOOKUP(I88,Climatogram!$AM$5:$AM$10,Climatogram!$AL$5:$AL$10)</f>
        <v>22</v>
      </c>
      <c r="K88" t="str" cm="1">
        <f t="array" aca="1" ref="K88" ca="1">IF(_fnDay(INDIRECT("Climatogram!"&amp;ADDRESS(H88+4,G88+2))),"D","N")</f>
        <v>D</v>
      </c>
      <c r="L88" t="str">
        <f t="shared" ca="1" si="4"/>
        <v>22-D</v>
      </c>
    </row>
    <row r="89" spans="2:12" x14ac:dyDescent="0.3">
      <c r="B89" s="3">
        <v>35</v>
      </c>
      <c r="C89" s="2">
        <v>2</v>
      </c>
      <c r="D89" s="6" t="s">
        <v>120</v>
      </c>
      <c r="E89" s="5">
        <f>IF(D89&lt;&gt;"",IF(D89=Answers!D89,1,-1),0)</f>
        <v>1</v>
      </c>
      <c r="F89" s="25">
        <v>45763.708333333336</v>
      </c>
      <c r="G89">
        <f t="shared" si="2"/>
        <v>16</v>
      </c>
      <c r="H89" s="186">
        <f t="shared" si="3"/>
        <v>7</v>
      </c>
      <c r="I89" cm="1">
        <f t="array" ref="I89">INDEX(_tClimate,H89,G89)</f>
        <v>6321607</v>
      </c>
      <c r="J89">
        <f>_xlfn.XLOOKUP(I89,Climatogram!$AM$5:$AM$10,Climatogram!$AL$5:$AL$10)</f>
        <v>27</v>
      </c>
      <c r="K89" t="str" cm="1">
        <f t="array" aca="1" ref="K89" ca="1">IF(_fnDay(INDIRECT("Climatogram!"&amp;ADDRESS(H89+4,G89+2))),"D","N")</f>
        <v>D</v>
      </c>
      <c r="L89" t="str">
        <f t="shared" ca="1" si="4"/>
        <v>27-D</v>
      </c>
    </row>
    <row r="90" spans="2:12" x14ac:dyDescent="0.3">
      <c r="B90" s="3">
        <v>36</v>
      </c>
      <c r="C90" s="2">
        <v>2</v>
      </c>
      <c r="D90" s="6" t="s">
        <v>120</v>
      </c>
      <c r="E90" s="5">
        <f>IF(D90&lt;&gt;"",IF(D90=Answers!D90,1,-1),0)</f>
        <v>1</v>
      </c>
      <c r="F90" s="25">
        <v>45777.791666666664</v>
      </c>
      <c r="G90">
        <f t="shared" si="2"/>
        <v>30</v>
      </c>
      <c r="H90" s="186">
        <f t="shared" si="3"/>
        <v>5</v>
      </c>
      <c r="I90" cm="1">
        <f t="array" ref="I90">INDEX(_tClimate,H90,G90)</f>
        <v>6321607</v>
      </c>
      <c r="J90">
        <f>_xlfn.XLOOKUP(I90,Climatogram!$AM$5:$AM$10,Climatogram!$AL$5:$AL$10)</f>
        <v>27</v>
      </c>
      <c r="K90" t="str" cm="1">
        <f t="array" aca="1" ref="K90" ca="1">IF(_fnDay(INDIRECT("Climatogram!"&amp;ADDRESS(H90+4,G90+2))),"D","N")</f>
        <v>D</v>
      </c>
      <c r="L90" t="str">
        <f t="shared" ca="1" si="4"/>
        <v>27-D</v>
      </c>
    </row>
    <row r="91" spans="2:12" x14ac:dyDescent="0.3">
      <c r="B91" s="3">
        <v>37</v>
      </c>
      <c r="C91" s="2">
        <v>2</v>
      </c>
      <c r="D91" s="6" t="s">
        <v>122</v>
      </c>
      <c r="E91" s="5">
        <f>IF(D91&lt;&gt;"",IF(D91=Answers!D91,1,-1),0)</f>
        <v>1</v>
      </c>
      <c r="F91" s="25">
        <v>45771.291666666664</v>
      </c>
      <c r="G91">
        <f t="shared" si="2"/>
        <v>24</v>
      </c>
      <c r="H91" s="186">
        <f t="shared" si="3"/>
        <v>17</v>
      </c>
      <c r="I91" cm="1">
        <f t="array" ref="I91">INDEX(_tClimate,H91,G91)</f>
        <v>7454605</v>
      </c>
      <c r="J91">
        <f>_xlfn.XLOOKUP(I91,Climatogram!$AM$5:$AM$10,Climatogram!$AL$5:$AL$10)</f>
        <v>16</v>
      </c>
      <c r="K91" t="str" cm="1">
        <f t="array" aca="1" ref="K91" ca="1">IF(_fnDay(INDIRECT("Climatogram!"&amp;ADDRESS(H91+4,G91+2))),"D","N")</f>
        <v>D</v>
      </c>
      <c r="L91" t="str">
        <f t="shared" ca="1" si="4"/>
        <v>16-D</v>
      </c>
    </row>
    <row r="92" spans="2:12" x14ac:dyDescent="0.3">
      <c r="B92" s="3">
        <v>38</v>
      </c>
      <c r="C92" s="2">
        <v>2</v>
      </c>
      <c r="D92" s="6" t="s">
        <v>123</v>
      </c>
      <c r="E92" s="5">
        <f>IF(D92&lt;&gt;"",IF(D92=Answers!D92,1,-1),0)</f>
        <v>1</v>
      </c>
      <c r="F92" s="25">
        <v>45750.25</v>
      </c>
      <c r="G92">
        <f t="shared" si="2"/>
        <v>3</v>
      </c>
      <c r="H92" s="186">
        <f t="shared" si="3"/>
        <v>18</v>
      </c>
      <c r="I92" cm="1">
        <f t="array" ref="I92">INDEX(_tClimate,H92,G92)</f>
        <v>7454605</v>
      </c>
      <c r="J92">
        <f>_xlfn.XLOOKUP(I92,Climatogram!$AM$5:$AM$10,Climatogram!$AL$5:$AL$10)</f>
        <v>16</v>
      </c>
      <c r="K92" t="str" cm="1">
        <f t="array" aca="1" ref="K92" ca="1">IF(_fnDay(INDIRECT("Climatogram!"&amp;ADDRESS(H92+4,G92+2))),"D","N")</f>
        <v>N</v>
      </c>
      <c r="L92" t="str">
        <f t="shared" ca="1" si="4"/>
        <v>16-N</v>
      </c>
    </row>
    <row r="93" spans="2:12" x14ac:dyDescent="0.3">
      <c r="B93" s="3">
        <v>39</v>
      </c>
      <c r="C93" s="2">
        <v>2</v>
      </c>
      <c r="D93" s="6" t="s">
        <v>124</v>
      </c>
      <c r="E93" s="5">
        <f>IF(D93&lt;&gt;"",IF(D93=Answers!D93,1,-1),0)</f>
        <v>1</v>
      </c>
      <c r="F93" s="25">
        <v>45777.041666666664</v>
      </c>
      <c r="G93">
        <f t="shared" si="2"/>
        <v>30</v>
      </c>
      <c r="H93" s="186">
        <f t="shared" si="3"/>
        <v>23</v>
      </c>
      <c r="I93" cm="1">
        <f t="array" ref="I93">INDEX(_tClimate,H93,G93)</f>
        <v>7851241</v>
      </c>
      <c r="J93">
        <f>_xlfn.XLOOKUP(I93,Climatogram!$AM$5:$AM$10,Climatogram!$AL$5:$AL$10)</f>
        <v>22</v>
      </c>
      <c r="K93" t="str" cm="1">
        <f t="array" aca="1" ref="K93" ca="1">IF(_fnDay(INDIRECT("Climatogram!"&amp;ADDRESS(H93+4,G93+2))),"D","N")</f>
        <v>N</v>
      </c>
      <c r="L93" t="str">
        <f t="shared" ca="1" si="4"/>
        <v>22-N</v>
      </c>
    </row>
    <row r="94" spans="2:12" x14ac:dyDescent="0.3">
      <c r="B94" s="3">
        <v>40</v>
      </c>
      <c r="C94" s="2">
        <v>2</v>
      </c>
      <c r="D94" s="6" t="s">
        <v>122</v>
      </c>
      <c r="E94" s="5">
        <f>IF(D94&lt;&gt;"",IF(D94=Answers!D94,1,-1),0)</f>
        <v>1</v>
      </c>
      <c r="F94" s="25">
        <v>45765.25</v>
      </c>
      <c r="G94">
        <f t="shared" si="2"/>
        <v>18</v>
      </c>
      <c r="H94" s="186">
        <f t="shared" si="3"/>
        <v>18</v>
      </c>
      <c r="I94" cm="1">
        <f t="array" ref="I94">INDEX(_tClimate,H94,G94)</f>
        <v>7454605</v>
      </c>
      <c r="J94">
        <f>_xlfn.XLOOKUP(I94,Climatogram!$AM$5:$AM$10,Climatogram!$AL$5:$AL$10)</f>
        <v>16</v>
      </c>
      <c r="K94" t="str" cm="1">
        <f t="array" aca="1" ref="K94" ca="1">IF(_fnDay(INDIRECT("Climatogram!"&amp;ADDRESS(H94+4,G94+2))),"D","N")</f>
        <v>D</v>
      </c>
      <c r="L94" t="str">
        <f t="shared" ca="1" si="4"/>
        <v>16-D</v>
      </c>
    </row>
    <row r="97" spans="2:6" ht="15" thickBot="1" x14ac:dyDescent="0.35">
      <c r="B97" s="4" t="s">
        <v>23</v>
      </c>
      <c r="C97" s="14" t="s">
        <v>45</v>
      </c>
    </row>
    <row r="98" spans="2:6" ht="15" thickTop="1" x14ac:dyDescent="0.3"/>
    <row r="99" spans="2:6" x14ac:dyDescent="0.3">
      <c r="B99" s="10" t="s">
        <v>46</v>
      </c>
    </row>
    <row r="100" spans="2:6" x14ac:dyDescent="0.3">
      <c r="B100" s="10" t="s">
        <v>47</v>
      </c>
    </row>
    <row r="101" spans="2:6" x14ac:dyDescent="0.3">
      <c r="B101" s="10" t="s">
        <v>48</v>
      </c>
    </row>
    <row r="102" spans="2:6" x14ac:dyDescent="0.3">
      <c r="B102" s="10" t="s">
        <v>49</v>
      </c>
    </row>
    <row r="103" spans="2:6" x14ac:dyDescent="0.3">
      <c r="B103" s="11" t="s">
        <v>50</v>
      </c>
    </row>
    <row r="104" spans="2:6" x14ac:dyDescent="0.3">
      <c r="B104" s="12" t="s">
        <v>51</v>
      </c>
    </row>
    <row r="106" spans="2: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6" ht="15" thickTop="1" x14ac:dyDescent="0.3"/>
    <row r="108" spans="2:6" x14ac:dyDescent="0.3">
      <c r="B108" s="3" t="s">
        <v>53</v>
      </c>
      <c r="C108" s="2">
        <v>3</v>
      </c>
      <c r="D108" s="9">
        <v>4</v>
      </c>
      <c r="F108" s="26">
        <v>45770</v>
      </c>
    </row>
    <row r="109" spans="2:6" x14ac:dyDescent="0.3">
      <c r="F109" s="16"/>
    </row>
    <row r="110" spans="2:6" x14ac:dyDescent="0.3">
      <c r="B110" s="3">
        <v>41</v>
      </c>
      <c r="C110" s="2">
        <v>3</v>
      </c>
      <c r="D110" s="6"/>
      <c r="E110" s="5">
        <f>IF(D110&lt;&gt;"",IF(D110=Answers!D110,1,-1),0)</f>
        <v>0</v>
      </c>
      <c r="F110" s="26">
        <v>45752</v>
      </c>
    </row>
    <row r="111" spans="2:6" x14ac:dyDescent="0.3">
      <c r="B111" s="3">
        <v>42</v>
      </c>
      <c r="C111" s="2">
        <v>3</v>
      </c>
      <c r="D111" s="6"/>
      <c r="E111" s="5">
        <f>IF(D111&lt;&gt;"",IF(D111=Answers!D111,1,-1),0)</f>
        <v>0</v>
      </c>
      <c r="F111" s="26">
        <v>45753</v>
      </c>
    </row>
    <row r="112" spans="2:6" x14ac:dyDescent="0.3">
      <c r="B112" s="3">
        <v>43</v>
      </c>
      <c r="C112" s="2">
        <v>3</v>
      </c>
      <c r="D112" s="6"/>
      <c r="E112" s="5">
        <f>IF(D112&lt;&gt;"",IF(D112=Answers!D112,1,-1),0)</f>
        <v>0</v>
      </c>
      <c r="F112" s="26">
        <v>45754</v>
      </c>
    </row>
    <row r="113" spans="2:6" x14ac:dyDescent="0.3">
      <c r="B113" s="3">
        <v>44</v>
      </c>
      <c r="C113" s="2">
        <v>3</v>
      </c>
      <c r="D113" s="6"/>
      <c r="E113" s="5">
        <f>IF(D113&lt;&gt;"",IF(D113=Answers!D113,1,-1),0)</f>
        <v>0</v>
      </c>
      <c r="F113" s="26">
        <v>45755</v>
      </c>
    </row>
    <row r="114" spans="2:6" x14ac:dyDescent="0.3">
      <c r="B114" s="3">
        <v>45</v>
      </c>
      <c r="C114" s="2">
        <v>3</v>
      </c>
      <c r="D114" s="6"/>
      <c r="E114" s="5">
        <f>IF(D114&lt;&gt;"",IF(D114=Answers!D114,1,-1),0)</f>
        <v>0</v>
      </c>
      <c r="F114" s="26">
        <v>45756</v>
      </c>
    </row>
    <row r="115" spans="2:6" x14ac:dyDescent="0.3">
      <c r="B115" s="3">
        <v>46</v>
      </c>
      <c r="C115" s="2">
        <v>3</v>
      </c>
      <c r="D115" s="6"/>
      <c r="E115" s="5">
        <f>IF(D115&lt;&gt;"",IF(D115=Answers!D115,1,-1),0)</f>
        <v>0</v>
      </c>
      <c r="F115" s="26">
        <v>45757</v>
      </c>
    </row>
    <row r="116" spans="2:6" x14ac:dyDescent="0.3">
      <c r="B116" s="3">
        <v>47</v>
      </c>
      <c r="C116" s="2">
        <v>3</v>
      </c>
      <c r="D116" s="6"/>
      <c r="E116" s="5">
        <f>IF(D116&lt;&gt;"",IF(D116=Answers!D116,1,-1),0)</f>
        <v>0</v>
      </c>
      <c r="F116" s="26">
        <v>45758</v>
      </c>
    </row>
    <row r="117" spans="2:6" x14ac:dyDescent="0.3">
      <c r="B117" s="3">
        <v>48</v>
      </c>
      <c r="C117" s="2">
        <v>3</v>
      </c>
      <c r="D117" s="6"/>
      <c r="E117" s="5">
        <f>IF(D117&lt;&gt;"",IF(D117=Answers!D117,1,-1),0)</f>
        <v>0</v>
      </c>
      <c r="F117" s="26">
        <v>45759</v>
      </c>
    </row>
    <row r="118" spans="2:6" x14ac:dyDescent="0.3">
      <c r="B118" s="3">
        <v>49</v>
      </c>
      <c r="C118" s="2">
        <v>3</v>
      </c>
      <c r="D118" s="6"/>
      <c r="E118" s="5">
        <f>IF(D118&lt;&gt;"",IF(D118=Answers!D118,1,-1),0)</f>
        <v>0</v>
      </c>
      <c r="F118" s="26">
        <v>45760</v>
      </c>
    </row>
    <row r="119" spans="2:6" x14ac:dyDescent="0.3">
      <c r="B119" s="3">
        <v>50</v>
      </c>
      <c r="C119" s="2">
        <v>3</v>
      </c>
      <c r="D119" s="6"/>
      <c r="E119" s="5">
        <f>IF(D119&lt;&gt;"",IF(D119=Answers!D119,1,-1),0)</f>
        <v>0</v>
      </c>
      <c r="F119" s="26">
        <v>45761</v>
      </c>
    </row>
    <row r="120" spans="2:6" x14ac:dyDescent="0.3">
      <c r="B120" s="3">
        <v>51</v>
      </c>
      <c r="C120" s="2">
        <v>3</v>
      </c>
      <c r="D120" s="6"/>
      <c r="E120" s="5">
        <f>IF(D120&lt;&gt;"",IF(D120=Answers!D120,1,-1),0)</f>
        <v>0</v>
      </c>
      <c r="F120" s="26">
        <v>45762</v>
      </c>
    </row>
    <row r="121" spans="2:6" x14ac:dyDescent="0.3">
      <c r="B121" s="3">
        <v>52</v>
      </c>
      <c r="C121" s="2">
        <v>3</v>
      </c>
      <c r="D121" s="6"/>
      <c r="E121" s="5">
        <f>IF(D121&lt;&gt;"",IF(D121=Answers!D121,1,-1),0)</f>
        <v>0</v>
      </c>
      <c r="F121" s="26">
        <v>45763</v>
      </c>
    </row>
    <row r="122" spans="2:6" x14ac:dyDescent="0.3">
      <c r="B122" s="3">
        <v>53</v>
      </c>
      <c r="C122" s="2">
        <v>3</v>
      </c>
      <c r="D122" s="6"/>
      <c r="E122" s="5">
        <f>IF(D122&lt;&gt;"",IF(D122=Answers!D122,1,-1),0)</f>
        <v>0</v>
      </c>
      <c r="F122" s="26">
        <v>45764</v>
      </c>
    </row>
    <row r="123" spans="2:6" x14ac:dyDescent="0.3">
      <c r="B123" s="3">
        <v>54</v>
      </c>
      <c r="C123" s="2">
        <v>3</v>
      </c>
      <c r="D123" s="6"/>
      <c r="E123" s="5">
        <f>IF(D123&lt;&gt;"",IF(D123=Answers!D123,1,-1),0)</f>
        <v>0</v>
      </c>
      <c r="F123" s="26">
        <v>45765</v>
      </c>
    </row>
    <row r="124" spans="2:6" x14ac:dyDescent="0.3">
      <c r="B124" s="3">
        <v>55</v>
      </c>
      <c r="C124" s="2">
        <v>3</v>
      </c>
      <c r="D124" s="6"/>
      <c r="E124" s="5">
        <f>IF(D124&lt;&gt;"",IF(D124=Answers!D124,1,-1),0)</f>
        <v>0</v>
      </c>
      <c r="F124" s="26">
        <v>45766</v>
      </c>
    </row>
    <row r="125" spans="2:6" x14ac:dyDescent="0.3">
      <c r="B125" s="3">
        <v>56</v>
      </c>
      <c r="C125" s="2">
        <v>3</v>
      </c>
      <c r="D125" s="6"/>
      <c r="E125" s="5">
        <f>IF(D125&lt;&gt;"",IF(D125=Answers!D125,1,-1),0)</f>
        <v>0</v>
      </c>
      <c r="F125" s="26">
        <v>45767</v>
      </c>
    </row>
    <row r="126" spans="2:6" x14ac:dyDescent="0.3">
      <c r="B126" s="3">
        <v>57</v>
      </c>
      <c r="C126" s="2">
        <v>3</v>
      </c>
      <c r="D126" s="6"/>
      <c r="E126" s="5">
        <f>IF(D126&lt;&gt;"",IF(D126=Answers!D126,1,-1),0)</f>
        <v>0</v>
      </c>
      <c r="F126" s="26">
        <v>45768</v>
      </c>
    </row>
    <row r="127" spans="2:6" x14ac:dyDescent="0.3">
      <c r="B127" s="3">
        <v>58</v>
      </c>
      <c r="C127" s="2">
        <v>3</v>
      </c>
      <c r="D127" s="6"/>
      <c r="E127" s="5">
        <f>IF(D127&lt;&gt;"",IF(D127=Answers!D127,1,-1),0)</f>
        <v>0</v>
      </c>
      <c r="F127" s="26">
        <v>45769</v>
      </c>
    </row>
    <row r="128" spans="2:6" x14ac:dyDescent="0.3">
      <c r="B128" s="3">
        <v>59</v>
      </c>
      <c r="C128" s="2">
        <v>3</v>
      </c>
      <c r="D128" s="6"/>
      <c r="E128" s="5">
        <f>IF(D128&lt;&gt;"",IF(D128=Answers!D128,1,-1),0)</f>
        <v>0</v>
      </c>
      <c r="F128" s="26">
        <v>45771</v>
      </c>
    </row>
    <row r="129" spans="2:7" x14ac:dyDescent="0.3">
      <c r="B129" s="3">
        <v>60</v>
      </c>
      <c r="C129" s="2">
        <v>3</v>
      </c>
      <c r="D129" s="6"/>
      <c r="E129" s="5">
        <f>IF(D129&lt;&gt;"",IF(D129=Answers!D129,1,-1),0)</f>
        <v>0</v>
      </c>
      <c r="F129" s="26">
        <v>45772</v>
      </c>
    </row>
    <row r="132" spans="2:7" ht="15" thickBot="1" x14ac:dyDescent="0.35">
      <c r="B132" s="4" t="s">
        <v>54</v>
      </c>
      <c r="C132" s="14" t="s">
        <v>55</v>
      </c>
    </row>
    <row r="133" spans="2:7" ht="15" thickTop="1" x14ac:dyDescent="0.3"/>
    <row r="134" spans="2:7" x14ac:dyDescent="0.3">
      <c r="B134" s="10" t="s">
        <v>56</v>
      </c>
    </row>
    <row r="135" spans="2:7" x14ac:dyDescent="0.3">
      <c r="B135" s="10" t="s">
        <v>57</v>
      </c>
    </row>
    <row r="136" spans="2:7" x14ac:dyDescent="0.3">
      <c r="B136" s="10" t="s">
        <v>58</v>
      </c>
    </row>
    <row r="137" spans="2:7" x14ac:dyDescent="0.3">
      <c r="B137" s="10" t="s">
        <v>59</v>
      </c>
    </row>
    <row r="138" spans="2:7" x14ac:dyDescent="0.3">
      <c r="B138" s="11" t="s">
        <v>60</v>
      </c>
    </row>
    <row r="139" spans="2:7" x14ac:dyDescent="0.3">
      <c r="B139" s="12" t="s">
        <v>61</v>
      </c>
    </row>
    <row r="140" spans="2:7" x14ac:dyDescent="0.3">
      <c r="B140" s="12" t="s">
        <v>62</v>
      </c>
    </row>
    <row r="142" spans="2: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7" ht="15" thickTop="1" x14ac:dyDescent="0.3">
      <c r="G143" s="16"/>
    </row>
    <row r="144" spans="2: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/>
      <c r="E146" s="5">
        <f>IF(D146&lt;&gt;"",IF(D146=Answers!D146,1,-1),0)</f>
        <v>0</v>
      </c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/>
      <c r="E147" s="5">
        <f>IF(D147&lt;&gt;"",IF(D147=Answers!D147,1,-1),0)</f>
        <v>0</v>
      </c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/>
      <c r="E148" s="5">
        <f>IF(D148&lt;&gt;"",IF(D148=Answers!D148,1,-1),0)</f>
        <v>0</v>
      </c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/>
      <c r="E149" s="5">
        <f>IF(D149&lt;&gt;"",IF(D149=Answers!D149,1,-1),0)</f>
        <v>0</v>
      </c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/>
      <c r="E150" s="5">
        <f>IF(D150&lt;&gt;"",IF(D150=Answers!D150,1,-1),0)</f>
        <v>0</v>
      </c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/>
      <c r="E151" s="5">
        <f>IF(D151&lt;&gt;"",IF(D151=Answers!D151,1,-1),0)</f>
        <v>0</v>
      </c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/>
      <c r="E152" s="5">
        <f>IF(D152&lt;&gt;"",IF(D152=Answers!D152,1,-1),0)</f>
        <v>0</v>
      </c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/>
      <c r="E153" s="5">
        <f>IF(D153&lt;&gt;"",IF(D153=Answers!D153,1,-1),0)</f>
        <v>0</v>
      </c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/>
      <c r="E154" s="5">
        <f>IF(D154&lt;&gt;"",IF(D154=Answers!D154,1,-1),0)</f>
        <v>0</v>
      </c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/>
      <c r="E155" s="5">
        <f>IF(D155&lt;&gt;"",IF(D155=Answers!D155,1,-1),0)</f>
        <v>0</v>
      </c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/>
      <c r="E156" s="5">
        <f>IF(D156&lt;&gt;"",IF(D156=Answers!D156,1,-1),0)</f>
        <v>0</v>
      </c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/>
      <c r="E157" s="5">
        <f>IF(D157&lt;&gt;"",IF(D157=Answers!D157,1,-1),0)</f>
        <v>0</v>
      </c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/>
      <c r="E158" s="5">
        <f>IF(D158&lt;&gt;"",IF(D158=Answers!D158,1,-1),0)</f>
        <v>0</v>
      </c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/>
      <c r="E159" s="5">
        <f>IF(D159&lt;&gt;"",IF(D159=Answers!D159,1,-1),0)</f>
        <v>0</v>
      </c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/>
      <c r="E160" s="5">
        <f>IF(D160&lt;&gt;"",IF(D160=Answers!D160,1,-1),0)</f>
        <v>0</v>
      </c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/>
      <c r="E161" s="5">
        <f>IF(D161&lt;&gt;"",IF(D161=Answers!D161,1,-1),0)</f>
        <v>0</v>
      </c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/>
      <c r="E162" s="5">
        <f>IF(D162&lt;&gt;"",IF(D162=Answers!D162,1,-1),0)</f>
        <v>0</v>
      </c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/>
      <c r="E163" s="5">
        <f>IF(D163&lt;&gt;"",IF(D163=Answers!D163,1,-1),0)</f>
        <v>0</v>
      </c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/>
      <c r="E164" s="5">
        <f>IF(D164&lt;&gt;"",IF(D164=Answers!D164,1,-1),0)</f>
        <v>0</v>
      </c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/>
      <c r="E165" s="5">
        <f>IF(D165&lt;&gt;"",IF(D165=Answers!D165,1,-1),0)</f>
        <v>0</v>
      </c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/>
      <c r="E181" s="5">
        <f>IF(D181&lt;&gt;"",IF(D181=Answers!D181,1,-1),0)</f>
        <v>0</v>
      </c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/>
      <c r="E182" s="5">
        <f>IF(D182&lt;&gt;"",IF(D182=Answers!D182,1,-1),0)</f>
        <v>0</v>
      </c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/>
      <c r="E183" s="5">
        <f>IF(D183&lt;&gt;"",IF(D183=Answers!D183,1,-1),0)</f>
        <v>0</v>
      </c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/>
      <c r="E184" s="5">
        <f>IF(D184&lt;&gt;"",IF(D184=Answers!D184,1,-1),0)</f>
        <v>0</v>
      </c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/>
      <c r="E185" s="5">
        <f>IF(D185&lt;&gt;"",IF(D185=Answers!D185,1,-1),0)</f>
        <v>0</v>
      </c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/>
      <c r="E186" s="5">
        <f>IF(D186&lt;&gt;"",IF(D186=Answers!D186,1,-1),0)</f>
        <v>0</v>
      </c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/>
      <c r="E187" s="5">
        <f>IF(D187&lt;&gt;"",IF(D187=Answers!D187,1,-1),0)</f>
        <v>0</v>
      </c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/>
      <c r="E188" s="5">
        <f>IF(D188&lt;&gt;"",IF(D188=Answers!D188,1,-1),0)</f>
        <v>0</v>
      </c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/>
      <c r="E189" s="5">
        <f>IF(D189&lt;&gt;"",IF(D189=Answers!D189,1,-1),0)</f>
        <v>0</v>
      </c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/>
      <c r="E190" s="5">
        <f>IF(D190&lt;&gt;"",IF(D190=Answers!D190,1,-1),0)</f>
        <v>0</v>
      </c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/>
      <c r="E191" s="5">
        <f>IF(D191&lt;&gt;"",IF(D191=Answers!D191,1,-1),0)</f>
        <v>0</v>
      </c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/>
      <c r="E192" s="5">
        <f>IF(D192&lt;&gt;"",IF(D192=Answers!D192,1,-1),0)</f>
        <v>0</v>
      </c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/>
      <c r="E193" s="5">
        <f>IF(D193&lt;&gt;"",IF(D193=Answers!D193,1,-1),0)</f>
        <v>0</v>
      </c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/>
      <c r="E194" s="5">
        <f>IF(D194&lt;&gt;"",IF(D194=Answers!D194,1,-1),0)</f>
        <v>0</v>
      </c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/>
      <c r="E195" s="5">
        <f>IF(D195&lt;&gt;"",IF(D195=Answers!D195,1,-1),0)</f>
        <v>0</v>
      </c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/>
      <c r="E196" s="5">
        <f>IF(D196&lt;&gt;"",IF(D196=Answers!D196,1,-1),0)</f>
        <v>0</v>
      </c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/>
      <c r="E197" s="5">
        <f>IF(D197&lt;&gt;"",IF(D197=Answers!D197,1,-1),0)</f>
        <v>0</v>
      </c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/>
      <c r="E198" s="5">
        <f>IF(D198&lt;&gt;"",IF(D198=Answers!D198,1,-1),0)</f>
        <v>0</v>
      </c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/>
      <c r="E199" s="5">
        <f>IF(D199&lt;&gt;"",IF(D199=Answers!D199,1,-1),0)</f>
        <v>0</v>
      </c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/>
      <c r="E200" s="5">
        <f>IF(D200&lt;&gt;"",IF(D200=Answers!D200,1,-1),0)</f>
        <v>0</v>
      </c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/>
      <c r="E216" s="5">
        <f>IF(D216&lt;&gt;"",IF(D216=Answers!D216,1,-1),0)</f>
        <v>0</v>
      </c>
      <c r="F216" s="25">
        <v>45753.791666666664</v>
      </c>
    </row>
    <row r="217" spans="2:6" x14ac:dyDescent="0.3">
      <c r="B217" s="3">
        <v>102</v>
      </c>
      <c r="C217" s="2">
        <v>6</v>
      </c>
      <c r="D217" s="7"/>
      <c r="E217" s="5">
        <f>IF(D217&lt;&gt;"",IF(D217=Answers!D217,1,-1),0)</f>
        <v>0</v>
      </c>
      <c r="F217" s="25">
        <v>45764.416666666664</v>
      </c>
    </row>
    <row r="218" spans="2:6" x14ac:dyDescent="0.3">
      <c r="B218" s="3">
        <v>103</v>
      </c>
      <c r="C218" s="2">
        <v>6</v>
      </c>
      <c r="D218" s="7"/>
      <c r="E218" s="5">
        <f>IF(D218&lt;&gt;"",IF(D218=Answers!D218,1,-1),0)</f>
        <v>0</v>
      </c>
      <c r="F218" s="25">
        <v>45768.75</v>
      </c>
    </row>
    <row r="219" spans="2:6" x14ac:dyDescent="0.3">
      <c r="B219" s="3">
        <v>104</v>
      </c>
      <c r="C219" s="2">
        <v>6</v>
      </c>
      <c r="D219" s="7"/>
      <c r="E219" s="5">
        <f>IF(D219&lt;&gt;"",IF(D219=Answers!D219,1,-1),0)</f>
        <v>0</v>
      </c>
      <c r="F219" s="25">
        <v>45776.958333333336</v>
      </c>
    </row>
    <row r="220" spans="2:6" x14ac:dyDescent="0.3">
      <c r="B220" s="3">
        <v>105</v>
      </c>
      <c r="C220" s="2">
        <v>6</v>
      </c>
      <c r="D220" s="7"/>
      <c r="E220" s="5">
        <f>IF(D220&lt;&gt;"",IF(D220=Answers!D220,1,-1),0)</f>
        <v>0</v>
      </c>
      <c r="F220" s="25">
        <v>45752.875</v>
      </c>
    </row>
    <row r="221" spans="2:6" x14ac:dyDescent="0.3">
      <c r="B221" s="3">
        <v>106</v>
      </c>
      <c r="C221" s="2">
        <v>6</v>
      </c>
      <c r="D221" s="7"/>
      <c r="E221" s="5">
        <f>IF(D221&lt;&gt;"",IF(D221=Answers!D221,1,-1),0)</f>
        <v>0</v>
      </c>
      <c r="F221" s="25">
        <v>45755.458333333336</v>
      </c>
    </row>
    <row r="222" spans="2:6" x14ac:dyDescent="0.3">
      <c r="B222" s="3">
        <v>107</v>
      </c>
      <c r="C222" s="2">
        <v>6</v>
      </c>
      <c r="D222" s="7"/>
      <c r="E222" s="5">
        <f>IF(D222&lt;&gt;"",IF(D222=Answers!D222,1,-1),0)</f>
        <v>0</v>
      </c>
      <c r="F222" s="25">
        <v>45749.666666666664</v>
      </c>
    </row>
    <row r="223" spans="2:6" x14ac:dyDescent="0.3">
      <c r="B223" s="3">
        <v>108</v>
      </c>
      <c r="C223" s="2">
        <v>6</v>
      </c>
      <c r="D223" s="7"/>
      <c r="E223" s="5">
        <f>IF(D223&lt;&gt;"",IF(D223=Answers!D223,1,-1),0)</f>
        <v>0</v>
      </c>
      <c r="F223" s="25">
        <v>45748.5</v>
      </c>
    </row>
    <row r="224" spans="2:6" x14ac:dyDescent="0.3">
      <c r="B224" s="3">
        <v>109</v>
      </c>
      <c r="C224" s="2">
        <v>6</v>
      </c>
      <c r="D224" s="7"/>
      <c r="E224" s="5">
        <f>IF(D224&lt;&gt;"",IF(D224=Answers!D224,1,-1),0)</f>
        <v>0</v>
      </c>
      <c r="F224" s="25">
        <v>45775.875</v>
      </c>
    </row>
    <row r="225" spans="2:6" x14ac:dyDescent="0.3">
      <c r="B225" s="3">
        <v>110</v>
      </c>
      <c r="C225" s="2">
        <v>6</v>
      </c>
      <c r="D225" s="8"/>
      <c r="E225" s="5">
        <f>IF(D225&lt;&gt;"",IF(D225=Answers!D225,1,-1),0)</f>
        <v>0</v>
      </c>
      <c r="F225" s="25">
        <v>45776.5</v>
      </c>
    </row>
    <row r="226" spans="2:6" x14ac:dyDescent="0.3">
      <c r="B226" s="3">
        <v>111</v>
      </c>
      <c r="C226" s="2">
        <v>6</v>
      </c>
      <c r="D226" s="8"/>
      <c r="E226" s="5">
        <f>IF(D226&lt;&gt;"",IF(D226=Answers!D226,1,-1),0)</f>
        <v>0</v>
      </c>
      <c r="F226" s="25">
        <v>45765.625</v>
      </c>
    </row>
    <row r="227" spans="2:6" x14ac:dyDescent="0.3">
      <c r="B227" s="3">
        <v>112</v>
      </c>
      <c r="C227" s="2">
        <v>6</v>
      </c>
      <c r="D227" s="8"/>
      <c r="E227" s="5">
        <f>IF(D227&lt;&gt;"",IF(D227=Answers!D227,1,-1),0)</f>
        <v>0</v>
      </c>
      <c r="F227" s="25">
        <v>45762.666666666664</v>
      </c>
    </row>
    <row r="228" spans="2:6" x14ac:dyDescent="0.3">
      <c r="B228" s="3">
        <v>113</v>
      </c>
      <c r="C228" s="2">
        <v>6</v>
      </c>
      <c r="D228" s="8"/>
      <c r="E228" s="5">
        <f>IF(D228&lt;&gt;"",IF(D228=Answers!D228,1,-1),0)</f>
        <v>0</v>
      </c>
      <c r="F228" s="25">
        <v>45748.291666666664</v>
      </c>
    </row>
    <row r="229" spans="2:6" x14ac:dyDescent="0.3">
      <c r="B229" s="3">
        <v>114</v>
      </c>
      <c r="C229" s="2">
        <v>6</v>
      </c>
      <c r="D229" s="8"/>
      <c r="E229" s="5">
        <f>IF(D229&lt;&gt;"",IF(D229=Answers!D229,1,-1),0)</f>
        <v>0</v>
      </c>
      <c r="F229" s="25">
        <v>45748.583333333336</v>
      </c>
    </row>
    <row r="230" spans="2:6" x14ac:dyDescent="0.3">
      <c r="B230" s="3">
        <v>115</v>
      </c>
      <c r="C230" s="2">
        <v>6</v>
      </c>
      <c r="D230" s="8"/>
      <c r="E230" s="5">
        <f>IF(D230&lt;&gt;"",IF(D230=Answers!D230,1,-1),0)</f>
        <v>0</v>
      </c>
      <c r="F230" s="25">
        <v>45748.75</v>
      </c>
    </row>
    <row r="231" spans="2:6" x14ac:dyDescent="0.3">
      <c r="B231" s="3">
        <v>116</v>
      </c>
      <c r="C231" s="2">
        <v>6</v>
      </c>
      <c r="D231" s="8"/>
      <c r="E231" s="5">
        <f>IF(D231&lt;&gt;"",IF(D231=Answers!D231,1,-1),0)</f>
        <v>0</v>
      </c>
      <c r="F231" s="25">
        <v>45749.291666666664</v>
      </c>
    </row>
    <row r="232" spans="2:6" x14ac:dyDescent="0.3">
      <c r="B232" s="3">
        <v>117</v>
      </c>
      <c r="C232" s="2">
        <v>6</v>
      </c>
      <c r="D232" s="8"/>
      <c r="E232" s="5">
        <f>IF(D232&lt;&gt;"",IF(D232=Answers!D232,1,-1),0)</f>
        <v>0</v>
      </c>
      <c r="F232" s="25">
        <v>45769.333333333336</v>
      </c>
    </row>
    <row r="233" spans="2:6" x14ac:dyDescent="0.3">
      <c r="B233" s="3">
        <v>118</v>
      </c>
      <c r="C233" s="2">
        <v>6</v>
      </c>
      <c r="D233" s="8"/>
      <c r="E233" s="5">
        <f>IF(D233&lt;&gt;"",IF(D233=Answers!D233,1,-1),0)</f>
        <v>0</v>
      </c>
      <c r="F233" s="25">
        <v>45761.833333333336</v>
      </c>
    </row>
    <row r="234" spans="2:6" x14ac:dyDescent="0.3">
      <c r="B234" s="3">
        <v>119</v>
      </c>
      <c r="C234" s="2">
        <v>6</v>
      </c>
      <c r="D234" s="8"/>
      <c r="E234" s="5">
        <f>IF(D234&lt;&gt;"",IF(D234=Answers!D234,1,-1),0)</f>
        <v>0</v>
      </c>
      <c r="F234" s="25">
        <v>45765.041666666664</v>
      </c>
    </row>
    <row r="235" spans="2:6" x14ac:dyDescent="0.3">
      <c r="B235" s="3">
        <v>120</v>
      </c>
      <c r="C235" s="2">
        <v>6</v>
      </c>
      <c r="D235" s="8"/>
      <c r="E235" s="5">
        <f>IF(D235&lt;&gt;"",IF(D235=Answers!D235,1,-1),0)</f>
        <v>0</v>
      </c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/>
      <c r="E253" s="5">
        <f>IF(D253&lt;&gt;"",IF(D253=Answers!D253,1,-1),0)</f>
        <v>0</v>
      </c>
      <c r="F253" s="25">
        <v>45763.583333333336</v>
      </c>
    </row>
    <row r="254" spans="2:10" x14ac:dyDescent="0.3">
      <c r="B254" s="3">
        <v>122</v>
      </c>
      <c r="C254" s="2">
        <v>7</v>
      </c>
      <c r="D254" s="7"/>
      <c r="E254" s="5">
        <f>IF(D254&lt;&gt;"",IF(D254=Answers!D254,1,-1),0)</f>
        <v>0</v>
      </c>
      <c r="F254" s="25">
        <v>45750.875</v>
      </c>
    </row>
    <row r="255" spans="2:10" x14ac:dyDescent="0.3">
      <c r="B255" s="3">
        <v>123</v>
      </c>
      <c r="C255" s="2">
        <v>7</v>
      </c>
      <c r="D255" s="7"/>
      <c r="E255" s="5">
        <f>IF(D255&lt;&gt;"",IF(D255=Answers!D255,1,-1),0)</f>
        <v>0</v>
      </c>
      <c r="F255" s="25">
        <v>45771.583333333336</v>
      </c>
    </row>
    <row r="256" spans="2:10" x14ac:dyDescent="0.3">
      <c r="B256" s="3">
        <v>124</v>
      </c>
      <c r="C256" s="2">
        <v>7</v>
      </c>
      <c r="D256" s="7"/>
      <c r="E256" s="5">
        <f>IF(D256&lt;&gt;"",IF(D256=Answers!D256,1,-1),0)</f>
        <v>0</v>
      </c>
      <c r="F256" s="25">
        <v>45775.625</v>
      </c>
    </row>
    <row r="257" spans="2:6" x14ac:dyDescent="0.3">
      <c r="B257" s="3">
        <v>125</v>
      </c>
      <c r="C257" s="2">
        <v>7</v>
      </c>
      <c r="D257" s="7"/>
      <c r="E257" s="5">
        <f>IF(D257&lt;&gt;"",IF(D257=Answers!D257,1,-1),0)</f>
        <v>0</v>
      </c>
      <c r="F257" s="25">
        <v>45770.083333333336</v>
      </c>
    </row>
    <row r="258" spans="2:6" x14ac:dyDescent="0.3">
      <c r="B258" s="3">
        <v>126</v>
      </c>
      <c r="C258" s="2">
        <v>7</v>
      </c>
      <c r="D258" s="7"/>
      <c r="E258" s="5">
        <f>IF(D258&lt;&gt;"",IF(D258=Answers!D258,1,-1),0)</f>
        <v>0</v>
      </c>
      <c r="F258" s="25">
        <v>45758.375</v>
      </c>
    </row>
    <row r="259" spans="2:6" x14ac:dyDescent="0.3">
      <c r="B259" s="3">
        <v>127</v>
      </c>
      <c r="C259" s="2">
        <v>7</v>
      </c>
      <c r="D259" s="7"/>
      <c r="E259" s="5">
        <f>IF(D259&lt;&gt;"",IF(D259=Answers!D259,1,-1),0)</f>
        <v>0</v>
      </c>
      <c r="F259" s="25">
        <v>45764.75</v>
      </c>
    </row>
    <row r="260" spans="2:6" x14ac:dyDescent="0.3">
      <c r="B260" s="3">
        <v>128</v>
      </c>
      <c r="C260" s="2">
        <v>7</v>
      </c>
      <c r="D260" s="7"/>
      <c r="E260" s="5">
        <f>IF(D260&lt;&gt;"",IF(D260=Answers!D260,1,-1),0)</f>
        <v>0</v>
      </c>
      <c r="F260" s="25">
        <v>45758.666666666664</v>
      </c>
    </row>
    <row r="261" spans="2:6" x14ac:dyDescent="0.3">
      <c r="B261" s="3">
        <v>129</v>
      </c>
      <c r="C261" s="2">
        <v>7</v>
      </c>
      <c r="D261" s="7"/>
      <c r="E261" s="5">
        <f>IF(D261&lt;&gt;"",IF(D261=Answers!D261,1,-1),0)</f>
        <v>0</v>
      </c>
      <c r="F261" s="25">
        <v>45766.791666666664</v>
      </c>
    </row>
    <row r="262" spans="2:6" x14ac:dyDescent="0.3">
      <c r="B262" s="3">
        <v>130</v>
      </c>
      <c r="C262" s="2">
        <v>7</v>
      </c>
      <c r="D262" s="8"/>
      <c r="E262" s="5">
        <f>IF(D262&lt;&gt;"",IF(D262=Answers!D262,1,-1),0)</f>
        <v>0</v>
      </c>
      <c r="F262" s="25">
        <v>45763.125</v>
      </c>
    </row>
    <row r="263" spans="2:6" x14ac:dyDescent="0.3">
      <c r="B263" s="3">
        <v>131</v>
      </c>
      <c r="C263" s="2">
        <v>7</v>
      </c>
      <c r="D263" s="8"/>
      <c r="E263" s="5">
        <f>IF(D263&lt;&gt;"",IF(D263=Answers!D263,1,-1),0)</f>
        <v>0</v>
      </c>
      <c r="F263" s="25">
        <v>45770.5</v>
      </c>
    </row>
    <row r="264" spans="2:6" x14ac:dyDescent="0.3">
      <c r="B264" s="3">
        <v>132</v>
      </c>
      <c r="C264" s="2">
        <v>7</v>
      </c>
      <c r="D264" s="8"/>
      <c r="E264" s="5">
        <f>IF(D264&lt;&gt;"",IF(D264=Answers!D264,1,-1),0)</f>
        <v>0</v>
      </c>
      <c r="F264" s="25">
        <v>45766.041666666664</v>
      </c>
    </row>
    <row r="265" spans="2:6" x14ac:dyDescent="0.3">
      <c r="B265" s="3">
        <v>133</v>
      </c>
      <c r="C265" s="2">
        <v>7</v>
      </c>
      <c r="D265" s="8"/>
      <c r="E265" s="5">
        <f>IF(D265&lt;&gt;"",IF(D265=Answers!D265,1,-1),0)</f>
        <v>0</v>
      </c>
      <c r="F265" s="25">
        <v>45773.833333333336</v>
      </c>
    </row>
    <row r="266" spans="2:6" x14ac:dyDescent="0.3">
      <c r="B266" s="3">
        <v>134</v>
      </c>
      <c r="C266" s="2">
        <v>7</v>
      </c>
      <c r="D266" s="8"/>
      <c r="E266" s="5">
        <f>IF(D266&lt;&gt;"",IF(D266=Answers!D266,1,-1),0)</f>
        <v>0</v>
      </c>
      <c r="F266" s="25">
        <v>45758.583333333336</v>
      </c>
    </row>
    <row r="267" spans="2:6" x14ac:dyDescent="0.3">
      <c r="B267" s="3">
        <v>135</v>
      </c>
      <c r="C267" s="2">
        <v>7</v>
      </c>
      <c r="D267" s="8"/>
      <c r="E267" s="5">
        <f>IF(D267&lt;&gt;"",IF(D267=Answers!D267,1,-1),0)</f>
        <v>0</v>
      </c>
      <c r="F267" s="25">
        <v>45768.708333333336</v>
      </c>
    </row>
    <row r="268" spans="2:6" x14ac:dyDescent="0.3">
      <c r="B268" s="3">
        <v>136</v>
      </c>
      <c r="C268" s="2">
        <v>7</v>
      </c>
      <c r="D268" s="8"/>
      <c r="E268" s="5">
        <f>IF(D268&lt;&gt;"",IF(D268=Answers!D268,1,-1),0)</f>
        <v>0</v>
      </c>
      <c r="F268" s="25">
        <v>45759.291666666664</v>
      </c>
    </row>
    <row r="269" spans="2:6" x14ac:dyDescent="0.3">
      <c r="B269" s="3">
        <v>137</v>
      </c>
      <c r="C269" s="2">
        <v>7</v>
      </c>
      <c r="D269" s="8"/>
      <c r="E269" s="5">
        <f>IF(D269&lt;&gt;"",IF(D269=Answers!D269,1,-1),0)</f>
        <v>0</v>
      </c>
      <c r="F269" s="25">
        <v>45762.875</v>
      </c>
    </row>
    <row r="270" spans="2:6" x14ac:dyDescent="0.3">
      <c r="B270" s="3">
        <v>138</v>
      </c>
      <c r="C270" s="2">
        <v>7</v>
      </c>
      <c r="D270" s="8"/>
      <c r="E270" s="5">
        <f>IF(D270&lt;&gt;"",IF(D270=Answers!D270,1,-1),0)</f>
        <v>0</v>
      </c>
      <c r="F270" s="25">
        <v>45763.875</v>
      </c>
    </row>
    <row r="271" spans="2:6" x14ac:dyDescent="0.3">
      <c r="B271" s="3">
        <v>139</v>
      </c>
      <c r="C271" s="2">
        <v>7</v>
      </c>
      <c r="D271" s="8"/>
      <c r="E271" s="5">
        <f>IF(D271&lt;&gt;"",IF(D271=Answers!D271,1,-1),0)</f>
        <v>0</v>
      </c>
      <c r="F271" s="25">
        <v>45754.416666666664</v>
      </c>
    </row>
    <row r="272" spans="2:6" x14ac:dyDescent="0.3">
      <c r="B272" s="3">
        <v>140</v>
      </c>
      <c r="C272" s="2">
        <v>7</v>
      </c>
      <c r="D272" s="8"/>
      <c r="E272" s="5">
        <f>IF(D272&lt;&gt;"",IF(D272=Answers!D272,1,-1),0)</f>
        <v>0</v>
      </c>
      <c r="F272" s="25">
        <v>45767.291666666664</v>
      </c>
    </row>
  </sheetData>
  <mergeCells count="9">
    <mergeCell ref="F26:P26"/>
    <mergeCell ref="F27:P27"/>
    <mergeCell ref="F28:P28"/>
    <mergeCell ref="M33:P36"/>
    <mergeCell ref="N4:P4"/>
    <mergeCell ref="B5:L19"/>
    <mergeCell ref="N16:O16"/>
    <mergeCell ref="F24:P24"/>
    <mergeCell ref="F25:P25"/>
  </mergeCells>
  <pageMargins left="0.511811024" right="0.511811024" top="0.78740157499999996" bottom="0.78740157499999996" header="0.31496062000000002" footer="0.31496062000000002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BD334D40-F730-4E7D-9406-5A2A8686305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E24:E28</xm:sqref>
        </x14:conditionalFormatting>
        <x14:conditionalFormatting xmlns:xm="http://schemas.microsoft.com/office/excel/2006/main">
          <x14:cfRule type="iconSet" priority="22" id="{D6373105-C90B-4ACF-BDB5-976DF8BDB81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49" id="{91648ED8-4C91-47F6-A33D-3214A260231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E43:E61</xm:sqref>
        </x14:conditionalFormatting>
        <x14:conditionalFormatting xmlns:xm="http://schemas.microsoft.com/office/excel/2006/main">
          <x14:cfRule type="iconSet" priority="20" id="{FFF7A64C-52C1-41EC-9FA6-C249221AF99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1" id="{CFCB90DB-9647-42C3-AA49-AE96393C314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E75:E94</xm:sqref>
        </x14:conditionalFormatting>
        <x14:conditionalFormatting xmlns:xm="http://schemas.microsoft.com/office/excel/2006/main">
          <x14:cfRule type="iconSet" priority="18" id="{631AB1AC-DE5D-4C49-B346-EE9CEC485F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9" id="{462ABDAF-EFD9-47F3-ACE6-5327309B04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E110:E129</xm:sqref>
        </x14:conditionalFormatting>
        <x14:conditionalFormatting xmlns:xm="http://schemas.microsoft.com/office/excel/2006/main">
          <x14:cfRule type="iconSet" priority="43" id="{0D321932-2389-47F9-85EB-22F0BC1CA7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E111:E112</xm:sqref>
        </x14:conditionalFormatting>
        <x14:conditionalFormatting xmlns:xm="http://schemas.microsoft.com/office/excel/2006/main">
          <x14:cfRule type="iconSet" priority="44" id="{533A9A1C-8246-446D-B592-0F19C1C7AC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5" id="{B4DEFD1D-F7A6-49A3-9A03-5429514B19B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6" id="{9F4C6F22-34FF-40B2-AC3F-579976D283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7" id="{3FFD9F76-8481-4550-8012-0F82ECE201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E146:E165</xm:sqref>
        </x14:conditionalFormatting>
        <x14:conditionalFormatting xmlns:xm="http://schemas.microsoft.com/office/excel/2006/main">
          <x14:cfRule type="iconSet" priority="40" id="{2E6D55DD-2264-43F7-9771-A6458DF99D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E147:E148</xm:sqref>
        </x14:conditionalFormatting>
        <x14:conditionalFormatting xmlns:xm="http://schemas.microsoft.com/office/excel/2006/main">
          <x14:cfRule type="iconSet" priority="41" id="{96AC0E1D-CB68-4CA1-A23A-F88E366685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1" id="{7CAF4AAB-D61D-4457-958D-0DA2EF842E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2" id="{49C617F9-5F29-4BFA-B3D3-CE33FF7598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3" id="{125D8041-B1A1-42E5-9F38-FB600B229B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4" id="{ACAED8C4-CA0F-4A40-98A8-CC7D19BAD06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E181:E200</xm:sqref>
        </x14:conditionalFormatting>
        <x14:conditionalFormatting xmlns:xm="http://schemas.microsoft.com/office/excel/2006/main">
          <x14:cfRule type="iconSet" priority="37" id="{46C64B8A-F774-46BB-BD93-5397FFE0D2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E182</xm:sqref>
        </x14:conditionalFormatting>
        <x14:conditionalFormatting xmlns:xm="http://schemas.microsoft.com/office/excel/2006/main">
          <x14:cfRule type="iconSet" priority="38" id="{7A80FA81-FD56-4FCA-9D0C-09F0B2D8FE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6" id="{B495C6B6-49FB-48D2-9FED-AC29E26A24F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7" id="{01326617-8D3C-4606-94D4-7FE7E84569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8" id="{6C12283B-B4F8-4BCD-9A71-2ABF98D72D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9" id="{83ED4A98-AFE8-4658-A0C1-1CBACA07E0B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0" id="{E88AAD00-B873-4EB2-B841-0DB548CE11F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E216:E235</xm:sqref>
        </x14:conditionalFormatting>
        <x14:conditionalFormatting xmlns:xm="http://schemas.microsoft.com/office/excel/2006/main">
          <x14:cfRule type="iconSet" priority="1" id="{D85A953D-94F3-4295-A405-C0C369D6F0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" id="{B5AA38DA-FF53-4F5F-A72F-F4D9D3D1DC6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3" id="{2D1BE6DB-ED77-4A74-8A28-D336BA6BC0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4" id="{947915BD-04F7-40F3-AC26-CE666156E7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5" id="{BBACA9AA-943C-40D7-8B04-9636DD40E9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E253:E272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1B01-497F-44D3-86E5-5C3672469570}">
  <sheetPr codeName="Sheet2">
    <tabColor rgb="FF806000"/>
  </sheetPr>
  <dimension ref="B1:AM59"/>
  <sheetViews>
    <sheetView showGridLines="0" zoomScaleNormal="100" workbookViewId="0">
      <selection activeCell="B1" sqref="B1:B4"/>
    </sheetView>
  </sheetViews>
  <sheetFormatPr defaultColWidth="8.6640625" defaultRowHeight="14.4" customHeight="1" x14ac:dyDescent="0.3"/>
  <cols>
    <col min="1" max="1" width="3" style="32" customWidth="1"/>
    <col min="2" max="2" width="7.88671875" style="32" bestFit="1" customWidth="1"/>
    <col min="3" max="32" width="3" style="32" customWidth="1"/>
    <col min="33" max="33" width="7.88671875" style="32" bestFit="1" customWidth="1"/>
    <col min="34" max="34" width="3.109375" style="32" customWidth="1"/>
    <col min="35" max="35" width="17.44140625" style="32" customWidth="1"/>
    <col min="36" max="37" width="11" style="32" customWidth="1"/>
    <col min="38" max="38" width="9.88671875" style="32" customWidth="1"/>
    <col min="39" max="39" width="19.6640625" style="32" bestFit="1" customWidth="1"/>
    <col min="40" max="16384" width="8.6640625" style="32"/>
  </cols>
  <sheetData>
    <row r="1" spans="2:39" ht="15" customHeight="1" x14ac:dyDescent="0.3"/>
    <row r="2" spans="2:39" ht="15" customHeight="1" x14ac:dyDescent="0.3">
      <c r="C2" s="33" t="s">
        <v>98</v>
      </c>
      <c r="AI2" s="33" t="s">
        <v>99</v>
      </c>
    </row>
    <row r="3" spans="2:39" ht="15" customHeight="1" thickBot="1" x14ac:dyDescent="0.35"/>
    <row r="4" spans="2:39" ht="15" customHeight="1" thickBot="1" x14ac:dyDescent="0.35">
      <c r="B4" s="34"/>
      <c r="C4" s="208">
        <v>45748</v>
      </c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10"/>
      <c r="AG4" s="35" t="s">
        <v>100</v>
      </c>
      <c r="AI4" s="36" t="s">
        <v>101</v>
      </c>
      <c r="AJ4" s="37" t="s">
        <v>102</v>
      </c>
      <c r="AK4" s="38" t="s">
        <v>103</v>
      </c>
      <c r="AL4" s="35" t="s">
        <v>104</v>
      </c>
    </row>
    <row r="5" spans="2:39" ht="15" customHeight="1" thickBot="1" x14ac:dyDescent="0.35">
      <c r="B5" s="39">
        <v>0.95833333333333703</v>
      </c>
      <c r="C5" s="40" cm="1">
        <f t="array" ref="C5">CheckCellColor(C5)</f>
        <v>7851241</v>
      </c>
      <c r="D5" s="41" cm="1">
        <f t="array" ref="D5">CheckCellColor(D5)</f>
        <v>7851241</v>
      </c>
      <c r="E5" s="41" cm="1">
        <f t="array" ref="E5">CheckCellColor(E5)</f>
        <v>7851241</v>
      </c>
      <c r="F5" s="42" cm="1">
        <f t="array" ref="F5">CheckCellColor(F5)</f>
        <v>7454605</v>
      </c>
      <c r="G5" s="42" cm="1">
        <f t="array" ref="G5">CheckCellColor(G5)</f>
        <v>7454605</v>
      </c>
      <c r="H5" s="42" cm="1">
        <f t="array" ref="H5">CheckCellColor(H5)</f>
        <v>7454605</v>
      </c>
      <c r="I5" s="42" cm="1">
        <f t="array" ref="I5">CheckCellColor(I5)</f>
        <v>7454605</v>
      </c>
      <c r="J5" s="42" cm="1">
        <f t="array" ref="J5">CheckCellColor(J5)</f>
        <v>7454605</v>
      </c>
      <c r="K5" s="41" cm="1">
        <f t="array" ref="K5">CheckCellColor(K5)</f>
        <v>7851241</v>
      </c>
      <c r="L5" s="42" cm="1">
        <f t="array" ref="L5">CheckCellColor(L5)</f>
        <v>7454605</v>
      </c>
      <c r="M5" s="41" cm="1">
        <f t="array" ref="M5">CheckCellColor(M5)</f>
        <v>7851241</v>
      </c>
      <c r="N5" s="41" cm="1">
        <f t="array" ref="N5">CheckCellColor(N5)</f>
        <v>7851241</v>
      </c>
      <c r="O5" s="42" cm="1">
        <f t="array" ref="O5">CheckCellColor(O5)</f>
        <v>7454605</v>
      </c>
      <c r="P5" s="42" cm="1">
        <f t="array" ref="P5">CheckCellColor(P5)</f>
        <v>7454605</v>
      </c>
      <c r="Q5" s="42" cm="1">
        <f t="array" ref="Q5">CheckCellColor(Q5)</f>
        <v>7454605</v>
      </c>
      <c r="R5" s="42" cm="1">
        <f t="array" ref="R5">CheckCellColor(R5)</f>
        <v>7454605</v>
      </c>
      <c r="S5" s="41" cm="1">
        <f t="array" ref="S5">CheckCellColor(S5)</f>
        <v>7851241</v>
      </c>
      <c r="T5" s="41" cm="1">
        <f t="array" ref="T5">CheckCellColor(T5)</f>
        <v>7851241</v>
      </c>
      <c r="U5" s="41" cm="1">
        <f t="array" ref="U5">CheckCellColor(U5)</f>
        <v>7851241</v>
      </c>
      <c r="V5" s="41" cm="1">
        <f t="array" ref="V5">CheckCellColor(V5)</f>
        <v>7851241</v>
      </c>
      <c r="W5" s="41" cm="1">
        <f t="array" ref="W5">CheckCellColor(W5)</f>
        <v>7851241</v>
      </c>
      <c r="X5" s="42" cm="1">
        <f t="array" ref="X5">CheckCellColor(X5)</f>
        <v>7454605</v>
      </c>
      <c r="Y5" s="41" cm="1">
        <f t="array" ref="Y5">CheckCellColor(Y5)</f>
        <v>7851241</v>
      </c>
      <c r="Z5" s="42" cm="1">
        <f t="array" ref="Z5">CheckCellColor(Z5)</f>
        <v>7454605</v>
      </c>
      <c r="AA5" s="42" cm="1">
        <f t="array" ref="AA5">CheckCellColor(AA5)</f>
        <v>7454605</v>
      </c>
      <c r="AB5" s="42" cm="1">
        <f t="array" ref="AB5">CheckCellColor(AB5)</f>
        <v>7454605</v>
      </c>
      <c r="AC5" s="41" cm="1">
        <f t="array" ref="AC5">CheckCellColor(AC5)</f>
        <v>7851241</v>
      </c>
      <c r="AD5" s="41" cm="1">
        <f t="array" ref="AD5">CheckCellColor(AD5)</f>
        <v>7851241</v>
      </c>
      <c r="AE5" s="41" cm="1">
        <f t="array" ref="AE5">CheckCellColor(AE5)</f>
        <v>7851241</v>
      </c>
      <c r="AF5" s="43" cm="1">
        <f t="array" ref="AF5">CheckCellColor(AF5)</f>
        <v>7851241</v>
      </c>
      <c r="AG5" s="185" t="s">
        <v>105</v>
      </c>
      <c r="AI5" s="44" t="s">
        <v>106</v>
      </c>
      <c r="AJ5" s="45">
        <v>7</v>
      </c>
      <c r="AK5" s="46">
        <v>13</v>
      </c>
      <c r="AL5" s="47">
        <f t="shared" ref="AL5:AL10" si="0">(AJ5+AK5)/2</f>
        <v>10</v>
      </c>
      <c r="AM5" s="182" cm="1">
        <f t="array" ref="AM5">CheckCellColor(AI5)</f>
        <v>7841908</v>
      </c>
    </row>
    <row r="6" spans="2:39" ht="15" customHeight="1" thickBot="1" x14ac:dyDescent="0.35">
      <c r="B6" s="48">
        <v>0.91666666666666996</v>
      </c>
      <c r="C6" s="49" cm="1">
        <f t="array" ref="C6">CheckCellColor(C6)</f>
        <v>7851241</v>
      </c>
      <c r="D6" s="50" cm="1">
        <f t="array" ref="D6">CheckCellColor(D6)</f>
        <v>7851241</v>
      </c>
      <c r="E6" s="50" cm="1">
        <f t="array" ref="E6">CheckCellColor(E6)</f>
        <v>7851241</v>
      </c>
      <c r="F6" s="50" cm="1">
        <f t="array" ref="F6">CheckCellColor(F6)</f>
        <v>7851241</v>
      </c>
      <c r="G6" s="50" cm="1">
        <f t="array" ref="G6">CheckCellColor(G6)</f>
        <v>7851241</v>
      </c>
      <c r="H6" s="50" cm="1">
        <f t="array" ref="H6">CheckCellColor(H6)</f>
        <v>7851241</v>
      </c>
      <c r="I6" s="51" cm="1">
        <f t="array" ref="I6">CheckCellColor(I6)</f>
        <v>7454605</v>
      </c>
      <c r="J6" s="50" cm="1">
        <f t="array" ref="J6">CheckCellColor(J6)</f>
        <v>7851241</v>
      </c>
      <c r="K6" s="50" cm="1">
        <f t="array" ref="K6">CheckCellColor(K6)</f>
        <v>7851241</v>
      </c>
      <c r="L6" s="50" cm="1">
        <f t="array" ref="L6">CheckCellColor(L6)</f>
        <v>7851241</v>
      </c>
      <c r="M6" s="50" cm="1">
        <f t="array" ref="M6">CheckCellColor(M6)</f>
        <v>7851241</v>
      </c>
      <c r="N6" s="50" cm="1">
        <f t="array" ref="N6">CheckCellColor(N6)</f>
        <v>7851241</v>
      </c>
      <c r="O6" s="51" cm="1">
        <f t="array" ref="O6">CheckCellColor(O6)</f>
        <v>7454605</v>
      </c>
      <c r="P6" s="51" cm="1">
        <f t="array" ref="P6">CheckCellColor(P6)</f>
        <v>7454605</v>
      </c>
      <c r="Q6" s="50" cm="1">
        <f t="array" ref="Q6">CheckCellColor(Q6)</f>
        <v>7851241</v>
      </c>
      <c r="R6" s="50" cm="1">
        <f t="array" ref="R6">CheckCellColor(R6)</f>
        <v>7851241</v>
      </c>
      <c r="S6" s="51" cm="1">
        <f t="array" ref="S6">CheckCellColor(S6)</f>
        <v>7454605</v>
      </c>
      <c r="T6" s="50" cm="1">
        <f t="array" ref="T6">CheckCellColor(T6)</f>
        <v>7851241</v>
      </c>
      <c r="U6" s="50" cm="1">
        <f t="array" ref="U6">CheckCellColor(U6)</f>
        <v>7851241</v>
      </c>
      <c r="V6" s="50" cm="1">
        <f t="array" ref="V6">CheckCellColor(V6)</f>
        <v>7851241</v>
      </c>
      <c r="W6" s="50" cm="1">
        <f t="array" ref="W6">CheckCellColor(W6)</f>
        <v>7851241</v>
      </c>
      <c r="X6" s="50" cm="1">
        <f t="array" ref="X6">CheckCellColor(X6)</f>
        <v>7851241</v>
      </c>
      <c r="Y6" s="50" cm="1">
        <f t="array" ref="Y6">CheckCellColor(Y6)</f>
        <v>7851241</v>
      </c>
      <c r="Z6" s="50" cm="1">
        <f t="array" ref="Z6">CheckCellColor(Z6)</f>
        <v>7851241</v>
      </c>
      <c r="AA6" s="50" cm="1">
        <f t="array" ref="AA6">CheckCellColor(AA6)</f>
        <v>7851241</v>
      </c>
      <c r="AB6" s="51" cm="1">
        <f t="array" ref="AB6">CheckCellColor(AB6)</f>
        <v>7454605</v>
      </c>
      <c r="AC6" s="50" cm="1">
        <f t="array" ref="AC6">CheckCellColor(AC6)</f>
        <v>7851241</v>
      </c>
      <c r="AD6" s="50" cm="1">
        <f t="array" ref="AD6">CheckCellColor(AD6)</f>
        <v>7851241</v>
      </c>
      <c r="AE6" s="50" cm="1">
        <f t="array" ref="AE6">CheckCellColor(AE6)</f>
        <v>7851241</v>
      </c>
      <c r="AF6" s="52" cm="1">
        <f t="array" ref="AF6">CheckCellColor(AF6)</f>
        <v>7851241</v>
      </c>
      <c r="AG6" s="185" t="s">
        <v>105</v>
      </c>
      <c r="AI6" s="53" t="s">
        <v>107</v>
      </c>
      <c r="AJ6" s="54">
        <v>13</v>
      </c>
      <c r="AK6" s="55">
        <v>19</v>
      </c>
      <c r="AL6" s="56">
        <f t="shared" si="0"/>
        <v>16</v>
      </c>
      <c r="AM6" s="182" cm="1">
        <f t="array" ref="AM6">CheckCellColor(AI6)</f>
        <v>7454605</v>
      </c>
    </row>
    <row r="7" spans="2:39" ht="15" customHeight="1" thickBot="1" x14ac:dyDescent="0.35">
      <c r="B7" s="48">
        <v>0.875000000000003</v>
      </c>
      <c r="C7" s="57" cm="1">
        <f t="array" ref="C7">CheckCellColor(C7)</f>
        <v>7454605</v>
      </c>
      <c r="D7" s="58" cm="1">
        <f t="array" ref="D7">CheckCellColor(D7)</f>
        <v>6321607</v>
      </c>
      <c r="E7" s="50" cm="1">
        <f t="array" ref="E7">CheckCellColor(E7)</f>
        <v>7851241</v>
      </c>
      <c r="F7" s="50" cm="1">
        <f t="array" ref="F7">CheckCellColor(F7)</f>
        <v>7851241</v>
      </c>
      <c r="G7" s="50" cm="1">
        <f t="array" ref="G7">CheckCellColor(G7)</f>
        <v>7851241</v>
      </c>
      <c r="H7" s="50" cm="1">
        <f t="array" ref="H7">CheckCellColor(H7)</f>
        <v>7851241</v>
      </c>
      <c r="I7" s="50" cm="1">
        <f t="array" ref="I7">CheckCellColor(I7)</f>
        <v>7851241</v>
      </c>
      <c r="J7" s="50" cm="1">
        <f t="array" ref="J7">CheckCellColor(J7)</f>
        <v>7851241</v>
      </c>
      <c r="K7" s="50" cm="1">
        <f t="array" ref="K7">CheckCellColor(K7)</f>
        <v>7851241</v>
      </c>
      <c r="L7" s="50" cm="1">
        <f t="array" ref="L7">CheckCellColor(L7)</f>
        <v>7851241</v>
      </c>
      <c r="M7" s="50" cm="1">
        <f t="array" ref="M7">CheckCellColor(M7)</f>
        <v>7851241</v>
      </c>
      <c r="N7" s="50" cm="1">
        <f t="array" ref="N7">CheckCellColor(N7)</f>
        <v>7851241</v>
      </c>
      <c r="O7" s="50" cm="1">
        <f t="array" ref="O7">CheckCellColor(O7)</f>
        <v>7851241</v>
      </c>
      <c r="P7" s="50" cm="1">
        <f t="array" ref="P7">CheckCellColor(P7)</f>
        <v>7851241</v>
      </c>
      <c r="Q7" s="50" cm="1">
        <f t="array" ref="Q7">CheckCellColor(Q7)</f>
        <v>7851241</v>
      </c>
      <c r="R7" s="50" cm="1">
        <f t="array" ref="R7">CheckCellColor(R7)</f>
        <v>7851241</v>
      </c>
      <c r="S7" s="50" cm="1">
        <f t="array" ref="S7">CheckCellColor(S7)</f>
        <v>7851241</v>
      </c>
      <c r="T7" s="50" cm="1">
        <f t="array" ref="T7">CheckCellColor(T7)</f>
        <v>7851241</v>
      </c>
      <c r="U7" s="50" cm="1">
        <f t="array" ref="U7">CheckCellColor(U7)</f>
        <v>7851241</v>
      </c>
      <c r="V7" s="50" cm="1">
        <f t="array" ref="V7">CheckCellColor(V7)</f>
        <v>7851241</v>
      </c>
      <c r="W7" s="50" cm="1">
        <f t="array" ref="W7">CheckCellColor(W7)</f>
        <v>7851241</v>
      </c>
      <c r="X7" s="50" cm="1">
        <f t="array" ref="X7">CheckCellColor(X7)</f>
        <v>7851241</v>
      </c>
      <c r="Y7" s="50" cm="1">
        <f t="array" ref="Y7">CheckCellColor(Y7)</f>
        <v>7851241</v>
      </c>
      <c r="Z7" s="50" cm="1">
        <f t="array" ref="Z7">CheckCellColor(Z7)</f>
        <v>7851241</v>
      </c>
      <c r="AA7" s="50" cm="1">
        <f t="array" ref="AA7">CheckCellColor(AA7)</f>
        <v>7851241</v>
      </c>
      <c r="AB7" s="51" cm="1">
        <f t="array" ref="AB7">CheckCellColor(AB7)</f>
        <v>7454605</v>
      </c>
      <c r="AC7" s="50" cm="1">
        <f t="array" ref="AC7">CheckCellColor(AC7)</f>
        <v>7851241</v>
      </c>
      <c r="AD7" s="50" cm="1">
        <f t="array" ref="AD7">CheckCellColor(AD7)</f>
        <v>7851241</v>
      </c>
      <c r="AE7" s="50" cm="1">
        <f t="array" ref="AE7">CheckCellColor(AE7)</f>
        <v>7851241</v>
      </c>
      <c r="AF7" s="52" cm="1">
        <f t="array" ref="AF7">CheckCellColor(AF7)</f>
        <v>7851241</v>
      </c>
      <c r="AG7" s="185" t="s">
        <v>105</v>
      </c>
      <c r="AI7" s="59" t="s">
        <v>97</v>
      </c>
      <c r="AJ7" s="54">
        <v>19</v>
      </c>
      <c r="AK7" s="55">
        <v>25</v>
      </c>
      <c r="AL7" s="56">
        <f t="shared" si="0"/>
        <v>22</v>
      </c>
      <c r="AM7" s="182" cm="1">
        <f t="array" ref="AM7">CheckCellColor(AI7)</f>
        <v>7851241</v>
      </c>
    </row>
    <row r="8" spans="2:39" ht="15" customHeight="1" thickBot="1" x14ac:dyDescent="0.35">
      <c r="B8" s="48">
        <v>0.83333333333333504</v>
      </c>
      <c r="C8" s="49" cm="1">
        <f t="array" ref="C8">CheckCellColor(C8)</f>
        <v>7851241</v>
      </c>
      <c r="D8" s="58" cm="1">
        <f t="array" ref="D8">CheckCellColor(D8)</f>
        <v>6321607</v>
      </c>
      <c r="E8" s="50" cm="1">
        <f t="array" ref="E8">CheckCellColor(E8)</f>
        <v>7851241</v>
      </c>
      <c r="F8" s="50" cm="1">
        <f t="array" ref="F8">CheckCellColor(F8)</f>
        <v>7851241</v>
      </c>
      <c r="G8" s="50" cm="1">
        <f t="array" ref="G8">CheckCellColor(G8)</f>
        <v>7851241</v>
      </c>
      <c r="H8" s="50" cm="1">
        <f t="array" ref="H8">CheckCellColor(H8)</f>
        <v>7851241</v>
      </c>
      <c r="I8" s="50" cm="1">
        <f t="array" ref="I8">CheckCellColor(I8)</f>
        <v>7851241</v>
      </c>
      <c r="J8" s="50" cm="1">
        <f t="array" ref="J8">CheckCellColor(J8)</f>
        <v>7851241</v>
      </c>
      <c r="K8" s="50" cm="1">
        <f t="array" ref="K8">CheckCellColor(K8)</f>
        <v>7851241</v>
      </c>
      <c r="L8" s="50" cm="1">
        <f t="array" ref="L8">CheckCellColor(L8)</f>
        <v>7851241</v>
      </c>
      <c r="M8" s="58" cm="1">
        <f t="array" ref="M8">CheckCellColor(M8)</f>
        <v>6321607</v>
      </c>
      <c r="N8" s="58" cm="1">
        <f t="array" ref="N8">CheckCellColor(N8)</f>
        <v>6321607</v>
      </c>
      <c r="O8" s="50" cm="1">
        <f t="array" ref="O8">CheckCellColor(O8)</f>
        <v>7851241</v>
      </c>
      <c r="P8" s="50" cm="1">
        <f t="array" ref="P8">CheckCellColor(P8)</f>
        <v>7851241</v>
      </c>
      <c r="Q8" s="50" cm="1">
        <f t="array" ref="Q8">CheckCellColor(Q8)</f>
        <v>7851241</v>
      </c>
      <c r="R8" s="50" cm="1">
        <f t="array" ref="R8">CheckCellColor(R8)</f>
        <v>7851241</v>
      </c>
      <c r="S8" s="50" cm="1">
        <f t="array" ref="S8">CheckCellColor(S8)</f>
        <v>7851241</v>
      </c>
      <c r="T8" s="50" cm="1">
        <f t="array" ref="T8">CheckCellColor(T8)</f>
        <v>7851241</v>
      </c>
      <c r="U8" s="50" cm="1">
        <f t="array" ref="U8">CheckCellColor(U8)</f>
        <v>7851241</v>
      </c>
      <c r="V8" s="50" cm="1">
        <f t="array" ref="V8">CheckCellColor(V8)</f>
        <v>7851241</v>
      </c>
      <c r="W8" s="50" cm="1">
        <f t="array" ref="W8">CheckCellColor(W8)</f>
        <v>7851241</v>
      </c>
      <c r="X8" s="58" cm="1">
        <f t="array" ref="X8">CheckCellColor(X8)</f>
        <v>6321607</v>
      </c>
      <c r="Y8" s="50" cm="1">
        <f t="array" ref="Y8">CheckCellColor(Y8)</f>
        <v>7851241</v>
      </c>
      <c r="Z8" s="50" cm="1">
        <f t="array" ref="Z8">CheckCellColor(Z8)</f>
        <v>7851241</v>
      </c>
      <c r="AA8" s="50" cm="1">
        <f t="array" ref="AA8">CheckCellColor(AA8)</f>
        <v>7851241</v>
      </c>
      <c r="AB8" s="50" cm="1">
        <f t="array" ref="AB8">CheckCellColor(AB8)</f>
        <v>7851241</v>
      </c>
      <c r="AC8" s="58" cm="1">
        <f t="array" ref="AC8">CheckCellColor(AC8)</f>
        <v>6321607</v>
      </c>
      <c r="AD8" s="50" cm="1">
        <f t="array" ref="AD8">CheckCellColor(AD8)</f>
        <v>7851241</v>
      </c>
      <c r="AE8" s="58" cm="1">
        <f t="array" ref="AE8">CheckCellColor(AE8)</f>
        <v>6321607</v>
      </c>
      <c r="AF8" s="60" cm="1">
        <f t="array" ref="AF8">CheckCellColor(AF8)</f>
        <v>6321607</v>
      </c>
      <c r="AG8" s="185" t="s">
        <v>105</v>
      </c>
      <c r="AI8" s="61" t="s">
        <v>65</v>
      </c>
      <c r="AJ8" s="54">
        <v>25</v>
      </c>
      <c r="AK8" s="55">
        <v>29</v>
      </c>
      <c r="AL8" s="56">
        <f t="shared" si="0"/>
        <v>27</v>
      </c>
      <c r="AM8" s="182" cm="1">
        <f t="array" ref="AM8">CheckCellColor(AI8)</f>
        <v>6321607</v>
      </c>
    </row>
    <row r="9" spans="2:39" ht="15" customHeight="1" thickBot="1" x14ac:dyDescent="0.35">
      <c r="B9" s="48">
        <v>0.79166666666666796</v>
      </c>
      <c r="C9" s="49" cm="1">
        <f t="array" ref="C9">CheckCellColor(C9)</f>
        <v>7851241</v>
      </c>
      <c r="D9" s="50" cm="1">
        <f t="array" ref="D9">CheckCellColor(D9)</f>
        <v>7851241</v>
      </c>
      <c r="E9" s="58" cm="1">
        <f t="array" ref="E9">CheckCellColor(E9)</f>
        <v>6321607</v>
      </c>
      <c r="F9" s="50" cm="1">
        <f t="array" ref="F9">CheckCellColor(F9)</f>
        <v>7851241</v>
      </c>
      <c r="G9" s="58" cm="1">
        <f t="array" ref="G9">CheckCellColor(G9)</f>
        <v>6321607</v>
      </c>
      <c r="H9" s="50" cm="1">
        <f t="array" ref="H9">CheckCellColor(H9)</f>
        <v>7851241</v>
      </c>
      <c r="I9" s="50" cm="1">
        <f t="array" ref="I9">CheckCellColor(I9)</f>
        <v>7851241</v>
      </c>
      <c r="J9" s="58" cm="1">
        <f t="array" ref="J9">CheckCellColor(J9)</f>
        <v>6321607</v>
      </c>
      <c r="K9" s="58" cm="1">
        <f t="array" ref="K9">CheckCellColor(K9)</f>
        <v>6321607</v>
      </c>
      <c r="L9" s="58" cm="1">
        <f t="array" ref="L9">CheckCellColor(L9)</f>
        <v>6321607</v>
      </c>
      <c r="M9" s="58" cm="1">
        <f t="array" ref="M9">CheckCellColor(M9)</f>
        <v>6321607</v>
      </c>
      <c r="N9" s="58" cm="1">
        <f t="array" ref="N9">CheckCellColor(N9)</f>
        <v>6321607</v>
      </c>
      <c r="O9" s="58" cm="1">
        <f t="array" ref="O9">CheckCellColor(O9)</f>
        <v>6321607</v>
      </c>
      <c r="P9" s="50" cm="1">
        <f t="array" ref="P9">CheckCellColor(P9)</f>
        <v>7851241</v>
      </c>
      <c r="Q9" s="50" cm="1">
        <f t="array" ref="Q9">CheckCellColor(Q9)</f>
        <v>7851241</v>
      </c>
      <c r="R9" s="50" cm="1">
        <f t="array" ref="R9">CheckCellColor(R9)</f>
        <v>7851241</v>
      </c>
      <c r="S9" s="62" cm="1">
        <f t="array" ref="S9">CheckCellColor(S9)</f>
        <v>7851241</v>
      </c>
      <c r="T9" s="63" cm="1">
        <f t="array" ref="T9">CheckCellColor(T9)</f>
        <v>6321607</v>
      </c>
      <c r="U9" s="62" cm="1">
        <f t="array" ref="U9">CheckCellColor(U9)</f>
        <v>7851241</v>
      </c>
      <c r="V9" s="63" cm="1">
        <f t="array" ref="V9">CheckCellColor(V9)</f>
        <v>6321607</v>
      </c>
      <c r="W9" s="62" cm="1">
        <f t="array" ref="W9">CheckCellColor(W9)</f>
        <v>7851241</v>
      </c>
      <c r="X9" s="62" cm="1">
        <f t="array" ref="X9">CheckCellColor(X9)</f>
        <v>7851241</v>
      </c>
      <c r="Y9" s="63" cm="1">
        <f t="array" ref="Y9">CheckCellColor(Y9)</f>
        <v>6321607</v>
      </c>
      <c r="Z9" s="62" cm="1">
        <f t="array" ref="Z9">CheckCellColor(Z9)</f>
        <v>7851241</v>
      </c>
      <c r="AA9" s="62" cm="1">
        <f t="array" ref="AA9">CheckCellColor(AA9)</f>
        <v>7851241</v>
      </c>
      <c r="AB9" s="62" cm="1">
        <f t="array" ref="AB9">CheckCellColor(AB9)</f>
        <v>7851241</v>
      </c>
      <c r="AC9" s="63" cm="1">
        <f t="array" ref="AC9">CheckCellColor(AC9)</f>
        <v>6321607</v>
      </c>
      <c r="AD9" s="62" cm="1">
        <f t="array" ref="AD9">CheckCellColor(AD9)</f>
        <v>7851241</v>
      </c>
      <c r="AE9" s="63" cm="1">
        <f t="array" ref="AE9">CheckCellColor(AE9)</f>
        <v>6321607</v>
      </c>
      <c r="AF9" s="64" cm="1">
        <f t="array" ref="AF9">CheckCellColor(AF9)</f>
        <v>6321607</v>
      </c>
      <c r="AG9" s="183" t="s">
        <v>108</v>
      </c>
      <c r="AI9" s="65" t="s">
        <v>109</v>
      </c>
      <c r="AJ9" s="54">
        <v>29</v>
      </c>
      <c r="AK9" s="55">
        <v>35</v>
      </c>
      <c r="AL9" s="56">
        <f t="shared" si="0"/>
        <v>32</v>
      </c>
      <c r="AM9" s="182" cm="1">
        <f t="array" ref="AM9">CheckCellColor(AI9)</f>
        <v>5921712</v>
      </c>
    </row>
    <row r="10" spans="2:39" ht="15" customHeight="1" thickBot="1" x14ac:dyDescent="0.35">
      <c r="B10" s="66">
        <v>0.750000000000001</v>
      </c>
      <c r="C10" s="67" cm="1">
        <f t="array" ref="C10">CheckCellColor(C10)</f>
        <v>6321607</v>
      </c>
      <c r="D10" s="68" cm="1">
        <f t="array" ref="D10">CheckCellColor(D10)</f>
        <v>6321607</v>
      </c>
      <c r="E10" s="68" cm="1">
        <f t="array" ref="E10">CheckCellColor(E10)</f>
        <v>6321607</v>
      </c>
      <c r="F10" s="68" cm="1">
        <f t="array" ref="F10">CheckCellColor(F10)</f>
        <v>6321607</v>
      </c>
      <c r="G10" s="68" cm="1">
        <f t="array" ref="G10">CheckCellColor(G10)</f>
        <v>6321607</v>
      </c>
      <c r="H10" s="68" cm="1">
        <f t="array" ref="H10">CheckCellColor(H10)</f>
        <v>6321607</v>
      </c>
      <c r="I10" s="68" cm="1">
        <f t="array" ref="I10">CheckCellColor(I10)</f>
        <v>6321607</v>
      </c>
      <c r="J10" s="68" cm="1">
        <f t="array" ref="J10">CheckCellColor(J10)</f>
        <v>6321607</v>
      </c>
      <c r="K10" s="68" cm="1">
        <f t="array" ref="K10">CheckCellColor(K10)</f>
        <v>6321607</v>
      </c>
      <c r="L10" s="68" cm="1">
        <f t="array" ref="L10">CheckCellColor(L10)</f>
        <v>6321607</v>
      </c>
      <c r="M10" s="68" cm="1">
        <f t="array" ref="M10">CheckCellColor(M10)</f>
        <v>6321607</v>
      </c>
      <c r="N10" s="69" cm="1">
        <f t="array" ref="N10">CheckCellColor(N10)</f>
        <v>6321607</v>
      </c>
      <c r="O10" s="70" cm="1">
        <f t="array" ref="O10">CheckCellColor(O10)</f>
        <v>6321607</v>
      </c>
      <c r="P10" s="71" cm="1">
        <f t="array" ref="P10">CheckCellColor(P10)</f>
        <v>7851241</v>
      </c>
      <c r="Q10" s="71" cm="1">
        <f t="array" ref="Q10">CheckCellColor(Q10)</f>
        <v>7851241</v>
      </c>
      <c r="R10" s="72" cm="1">
        <f t="array" ref="R10">CheckCellColor(R10)</f>
        <v>6321607</v>
      </c>
      <c r="S10" s="73" cm="1">
        <f t="array" ref="S10">CheckCellColor(S10)</f>
        <v>6321607</v>
      </c>
      <c r="T10" s="58" cm="1">
        <f t="array" ref="T10">CheckCellColor(T10)</f>
        <v>6321607</v>
      </c>
      <c r="U10" s="58" cm="1">
        <f t="array" ref="U10">CheckCellColor(U10)</f>
        <v>6321607</v>
      </c>
      <c r="V10" s="58" cm="1">
        <f t="array" ref="V10">CheckCellColor(V10)</f>
        <v>6321607</v>
      </c>
      <c r="W10" s="58" cm="1">
        <f t="array" ref="W10">CheckCellColor(W10)</f>
        <v>6321607</v>
      </c>
      <c r="X10" s="58" cm="1">
        <f t="array" ref="X10">CheckCellColor(X10)</f>
        <v>6321607</v>
      </c>
      <c r="Y10" s="58" cm="1">
        <f t="array" ref="Y10">CheckCellColor(Y10)</f>
        <v>6321607</v>
      </c>
      <c r="Z10" s="58" cm="1">
        <f t="array" ref="Z10">CheckCellColor(Z10)</f>
        <v>6321607</v>
      </c>
      <c r="AA10" s="58" cm="1">
        <f t="array" ref="AA10">CheckCellColor(AA10)</f>
        <v>6321607</v>
      </c>
      <c r="AB10" s="58" cm="1">
        <f t="array" ref="AB10">CheckCellColor(AB10)</f>
        <v>6321607</v>
      </c>
      <c r="AC10" s="58" cm="1">
        <f t="array" ref="AC10">CheckCellColor(AC10)</f>
        <v>6321607</v>
      </c>
      <c r="AD10" s="58" cm="1">
        <f t="array" ref="AD10">CheckCellColor(AD10)</f>
        <v>6321607</v>
      </c>
      <c r="AE10" s="58" cm="1">
        <f t="array" ref="AE10">CheckCellColor(AE10)</f>
        <v>6321607</v>
      </c>
      <c r="AF10" s="60" cm="1">
        <f t="array" ref="AF10">CheckCellColor(AF10)</f>
        <v>6321607</v>
      </c>
      <c r="AG10" s="183" t="s">
        <v>108</v>
      </c>
      <c r="AI10" s="74" t="s">
        <v>110</v>
      </c>
      <c r="AJ10" s="75">
        <v>35</v>
      </c>
      <c r="AK10" s="76">
        <v>41</v>
      </c>
      <c r="AL10" s="77">
        <f t="shared" si="0"/>
        <v>38</v>
      </c>
      <c r="AM10" s="182" cm="1">
        <f t="array" ref="AM10">CheckCellColor(AI10)</f>
        <v>4475800</v>
      </c>
    </row>
    <row r="11" spans="2:39" ht="15" customHeight="1" x14ac:dyDescent="0.3">
      <c r="B11" s="39">
        <v>0.70833333333333404</v>
      </c>
      <c r="C11" s="78" cm="1">
        <f t="array" ref="C11">CheckCellColor(C11)</f>
        <v>6321607</v>
      </c>
      <c r="D11" s="58" cm="1">
        <f t="array" ref="D11">CheckCellColor(D11)</f>
        <v>6321607</v>
      </c>
      <c r="E11" s="58" cm="1">
        <f t="array" ref="E11">CheckCellColor(E11)</f>
        <v>6321607</v>
      </c>
      <c r="F11" s="58" cm="1">
        <f t="array" ref="F11">CheckCellColor(F11)</f>
        <v>6321607</v>
      </c>
      <c r="G11" s="58" cm="1">
        <f t="array" ref="G11">CheckCellColor(G11)</f>
        <v>6321607</v>
      </c>
      <c r="H11" s="58" cm="1">
        <f t="array" ref="H11">CheckCellColor(H11)</f>
        <v>6321607</v>
      </c>
      <c r="I11" s="58" cm="1">
        <f t="array" ref="I11">CheckCellColor(I11)</f>
        <v>6321607</v>
      </c>
      <c r="J11" s="58" cm="1">
        <f t="array" ref="J11">CheckCellColor(J11)</f>
        <v>6321607</v>
      </c>
      <c r="K11" s="58" cm="1">
        <f t="array" ref="K11">CheckCellColor(K11)</f>
        <v>6321607</v>
      </c>
      <c r="L11" s="58" cm="1">
        <f t="array" ref="L11">CheckCellColor(L11)</f>
        <v>6321607</v>
      </c>
      <c r="M11" s="79" cm="1">
        <f t="array" ref="M11">CheckCellColor(M11)</f>
        <v>5921712</v>
      </c>
      <c r="N11" s="58" cm="1">
        <f t="array" ref="N11">CheckCellColor(N11)</f>
        <v>6321607</v>
      </c>
      <c r="O11" s="58" cm="1">
        <f t="array" ref="O11">CheckCellColor(O11)</f>
        <v>6321607</v>
      </c>
      <c r="P11" s="58" cm="1">
        <f t="array" ref="P11">CheckCellColor(P11)</f>
        <v>6321607</v>
      </c>
      <c r="Q11" s="58" cm="1">
        <f t="array" ref="Q11">CheckCellColor(Q11)</f>
        <v>6321607</v>
      </c>
      <c r="R11" s="58" cm="1">
        <f t="array" ref="R11">CheckCellColor(R11)</f>
        <v>6321607</v>
      </c>
      <c r="S11" s="58" cm="1">
        <f t="array" ref="S11">CheckCellColor(S11)</f>
        <v>6321607</v>
      </c>
      <c r="T11" s="58" cm="1">
        <f t="array" ref="T11">CheckCellColor(T11)</f>
        <v>6321607</v>
      </c>
      <c r="U11" s="58" cm="1">
        <f t="array" ref="U11">CheckCellColor(U11)</f>
        <v>6321607</v>
      </c>
      <c r="V11" s="58" cm="1">
        <f t="array" ref="V11">CheckCellColor(V11)</f>
        <v>6321607</v>
      </c>
      <c r="W11" s="58" cm="1">
        <f t="array" ref="W11">CheckCellColor(W11)</f>
        <v>6321607</v>
      </c>
      <c r="X11" s="58" cm="1">
        <f t="array" ref="X11">CheckCellColor(X11)</f>
        <v>6321607</v>
      </c>
      <c r="Y11" s="58" cm="1">
        <f t="array" ref="Y11">CheckCellColor(Y11)</f>
        <v>6321607</v>
      </c>
      <c r="Z11" s="58" cm="1">
        <f t="array" ref="Z11">CheckCellColor(Z11)</f>
        <v>6321607</v>
      </c>
      <c r="AA11" s="58" cm="1">
        <f t="array" ref="AA11">CheckCellColor(AA11)</f>
        <v>6321607</v>
      </c>
      <c r="AB11" s="58" cm="1">
        <f t="array" ref="AB11">CheckCellColor(AB11)</f>
        <v>6321607</v>
      </c>
      <c r="AC11" s="58" cm="1">
        <f t="array" ref="AC11">CheckCellColor(AC11)</f>
        <v>6321607</v>
      </c>
      <c r="AD11" s="58" cm="1">
        <f t="array" ref="AD11">CheckCellColor(AD11)</f>
        <v>6321607</v>
      </c>
      <c r="AE11" s="79" cm="1">
        <f t="array" ref="AE11">CheckCellColor(AE11)</f>
        <v>5921712</v>
      </c>
      <c r="AF11" s="60" cm="1">
        <f t="array" ref="AF11">CheckCellColor(AF11)</f>
        <v>6321607</v>
      </c>
      <c r="AG11" s="183" t="s">
        <v>108</v>
      </c>
      <c r="AJ11" s="80"/>
      <c r="AM11" s="81"/>
    </row>
    <row r="12" spans="2:39" ht="15" customHeight="1" x14ac:dyDescent="0.3">
      <c r="B12" s="48">
        <v>0.66666666666666696</v>
      </c>
      <c r="C12" s="82" cm="1">
        <f t="array" ref="C12">CheckCellColor(C12)</f>
        <v>5921712</v>
      </c>
      <c r="D12" s="58" cm="1">
        <f t="array" ref="D12">CheckCellColor(D12)</f>
        <v>6321607</v>
      </c>
      <c r="E12" s="58" cm="1">
        <f t="array" ref="E12">CheckCellColor(E12)</f>
        <v>6321607</v>
      </c>
      <c r="F12" s="58" cm="1">
        <f t="array" ref="F12">CheckCellColor(F12)</f>
        <v>6321607</v>
      </c>
      <c r="G12" s="58" cm="1">
        <f t="array" ref="G12">CheckCellColor(G12)</f>
        <v>6321607</v>
      </c>
      <c r="H12" s="79" cm="1">
        <f t="array" ref="H12">CheckCellColor(H12)</f>
        <v>5921712</v>
      </c>
      <c r="I12" s="79" cm="1">
        <f t="array" ref="I12">CheckCellColor(I12)</f>
        <v>5921712</v>
      </c>
      <c r="J12" s="79" cm="1">
        <f t="array" ref="J12">CheckCellColor(J12)</f>
        <v>5921712</v>
      </c>
      <c r="K12" s="79" cm="1">
        <f t="array" ref="K12">CheckCellColor(K12)</f>
        <v>5921712</v>
      </c>
      <c r="L12" s="79" cm="1">
        <f t="array" ref="L12">CheckCellColor(L12)</f>
        <v>5921712</v>
      </c>
      <c r="M12" s="79" cm="1">
        <f t="array" ref="M12">CheckCellColor(M12)</f>
        <v>5921712</v>
      </c>
      <c r="N12" s="79" cm="1">
        <f t="array" ref="N12">CheckCellColor(N12)</f>
        <v>5921712</v>
      </c>
      <c r="O12" s="58" cm="1">
        <f t="array" ref="O12">CheckCellColor(O12)</f>
        <v>6321607</v>
      </c>
      <c r="P12" s="58" cm="1">
        <f t="array" ref="P12">CheckCellColor(P12)</f>
        <v>6321607</v>
      </c>
      <c r="Q12" s="58" cm="1">
        <f t="array" ref="Q12">CheckCellColor(Q12)</f>
        <v>6321607</v>
      </c>
      <c r="R12" s="58" cm="1">
        <f t="array" ref="R12">CheckCellColor(R12)</f>
        <v>6321607</v>
      </c>
      <c r="S12" s="58" cm="1">
        <f t="array" ref="S12">CheckCellColor(S12)</f>
        <v>6321607</v>
      </c>
      <c r="T12" s="58" cm="1">
        <f t="array" ref="T12">CheckCellColor(T12)</f>
        <v>6321607</v>
      </c>
      <c r="U12" s="58" cm="1">
        <f t="array" ref="U12">CheckCellColor(U12)</f>
        <v>6321607</v>
      </c>
      <c r="V12" s="58" cm="1">
        <f t="array" ref="V12">CheckCellColor(V12)</f>
        <v>6321607</v>
      </c>
      <c r="W12" s="58" cm="1">
        <f t="array" ref="W12">CheckCellColor(W12)</f>
        <v>6321607</v>
      </c>
      <c r="X12" s="58" cm="1">
        <f t="array" ref="X12">CheckCellColor(X12)</f>
        <v>6321607</v>
      </c>
      <c r="Y12" s="58" cm="1">
        <f t="array" ref="Y12">CheckCellColor(Y12)</f>
        <v>6321607</v>
      </c>
      <c r="Z12" s="79" cm="1">
        <f t="array" ref="Z12">CheckCellColor(Z12)</f>
        <v>5921712</v>
      </c>
      <c r="AA12" s="58" cm="1">
        <f t="array" ref="AA12">CheckCellColor(AA12)</f>
        <v>6321607</v>
      </c>
      <c r="AB12" s="79" cm="1">
        <f t="array" ref="AB12">CheckCellColor(AB12)</f>
        <v>5921712</v>
      </c>
      <c r="AC12" s="79" cm="1">
        <f t="array" ref="AC12">CheckCellColor(AC12)</f>
        <v>5921712</v>
      </c>
      <c r="AD12" s="79" cm="1">
        <f t="array" ref="AD12">CheckCellColor(AD12)</f>
        <v>5921712</v>
      </c>
      <c r="AE12" s="79" cm="1">
        <f t="array" ref="AE12">CheckCellColor(AE12)</f>
        <v>5921712</v>
      </c>
      <c r="AF12" s="83" cm="1">
        <f t="array" ref="AF12">CheckCellColor(AF12)</f>
        <v>5921712</v>
      </c>
      <c r="AG12" s="183" t="s">
        <v>108</v>
      </c>
    </row>
    <row r="13" spans="2:39" ht="15" customHeight="1" x14ac:dyDescent="0.3">
      <c r="B13" s="48">
        <v>0.625</v>
      </c>
      <c r="C13" s="82" cm="1">
        <f t="array" ref="C13">CheckCellColor(C13)</f>
        <v>5921712</v>
      </c>
      <c r="D13" s="79" cm="1">
        <f t="array" ref="D13">CheckCellColor(D13)</f>
        <v>5921712</v>
      </c>
      <c r="E13" s="58" cm="1">
        <f t="array" ref="E13">CheckCellColor(E13)</f>
        <v>6321607</v>
      </c>
      <c r="F13" s="58" cm="1">
        <f t="array" ref="F13">CheckCellColor(F13)</f>
        <v>6321607</v>
      </c>
      <c r="G13" s="58" cm="1">
        <f t="array" ref="G13">CheckCellColor(G13)</f>
        <v>6321607</v>
      </c>
      <c r="H13" s="79" cm="1">
        <f t="array" ref="H13">CheckCellColor(H13)</f>
        <v>5921712</v>
      </c>
      <c r="I13" s="79" cm="1">
        <f t="array" ref="I13">CheckCellColor(I13)</f>
        <v>5921712</v>
      </c>
      <c r="J13" s="79" cm="1">
        <f t="array" ref="J13">CheckCellColor(J13)</f>
        <v>5921712</v>
      </c>
      <c r="K13" s="79" cm="1">
        <f t="array" ref="K13">CheckCellColor(K13)</f>
        <v>5921712</v>
      </c>
      <c r="L13" s="79" cm="1">
        <f t="array" ref="L13">CheckCellColor(L13)</f>
        <v>5921712</v>
      </c>
      <c r="M13" s="79" cm="1">
        <f t="array" ref="M13">CheckCellColor(M13)</f>
        <v>5921712</v>
      </c>
      <c r="N13" s="79" cm="1">
        <f t="array" ref="N13">CheckCellColor(N13)</f>
        <v>5921712</v>
      </c>
      <c r="O13" s="58" cm="1">
        <f t="array" ref="O13">CheckCellColor(O13)</f>
        <v>6321607</v>
      </c>
      <c r="P13" s="58" cm="1">
        <f t="array" ref="P13">CheckCellColor(P13)</f>
        <v>6321607</v>
      </c>
      <c r="Q13" s="58" cm="1">
        <f t="array" ref="Q13">CheckCellColor(Q13)</f>
        <v>6321607</v>
      </c>
      <c r="R13" s="58" cm="1">
        <f t="array" ref="R13">CheckCellColor(R13)</f>
        <v>6321607</v>
      </c>
      <c r="S13" s="58" cm="1">
        <f t="array" ref="S13">CheckCellColor(S13)</f>
        <v>6321607</v>
      </c>
      <c r="T13" s="58" cm="1">
        <f t="array" ref="T13">CheckCellColor(T13)</f>
        <v>6321607</v>
      </c>
      <c r="U13" s="58" cm="1">
        <f t="array" ref="U13">CheckCellColor(U13)</f>
        <v>6321607</v>
      </c>
      <c r="V13" s="58" cm="1">
        <f t="array" ref="V13">CheckCellColor(V13)</f>
        <v>6321607</v>
      </c>
      <c r="W13" s="58" cm="1">
        <f t="array" ref="W13">CheckCellColor(W13)</f>
        <v>6321607</v>
      </c>
      <c r="X13" s="58" cm="1">
        <f t="array" ref="X13">CheckCellColor(X13)</f>
        <v>6321607</v>
      </c>
      <c r="Y13" s="58" cm="1">
        <f t="array" ref="Y13">CheckCellColor(Y13)</f>
        <v>6321607</v>
      </c>
      <c r="Z13" s="79" cm="1">
        <f t="array" ref="Z13">CheckCellColor(Z13)</f>
        <v>5921712</v>
      </c>
      <c r="AA13" s="58" cm="1">
        <f t="array" ref="AA13">CheckCellColor(AA13)</f>
        <v>6321607</v>
      </c>
      <c r="AB13" s="79" cm="1">
        <f t="array" ref="AB13">CheckCellColor(AB13)</f>
        <v>5921712</v>
      </c>
      <c r="AC13" s="79" cm="1">
        <f t="array" ref="AC13">CheckCellColor(AC13)</f>
        <v>5921712</v>
      </c>
      <c r="AD13" s="79" cm="1">
        <f t="array" ref="AD13">CheckCellColor(AD13)</f>
        <v>5921712</v>
      </c>
      <c r="AE13" s="79" cm="1">
        <f t="array" ref="AE13">CheckCellColor(AE13)</f>
        <v>5921712</v>
      </c>
      <c r="AF13" s="84" cm="1">
        <f t="array" ref="AF13">CheckCellColor(AF13)</f>
        <v>4475800</v>
      </c>
      <c r="AG13" s="183" t="s">
        <v>108</v>
      </c>
    </row>
    <row r="14" spans="2:39" ht="15" customHeight="1" x14ac:dyDescent="0.3">
      <c r="B14" s="48">
        <v>0.58333333333333304</v>
      </c>
      <c r="C14" s="82" cm="1">
        <f t="array" ref="C14">CheckCellColor(C14)</f>
        <v>5921712</v>
      </c>
      <c r="D14" s="79" cm="1">
        <f t="array" ref="D14">CheckCellColor(D14)</f>
        <v>5921712</v>
      </c>
      <c r="E14" s="58" cm="1">
        <f t="array" ref="E14">CheckCellColor(E14)</f>
        <v>6321607</v>
      </c>
      <c r="F14" s="58" cm="1">
        <f t="array" ref="F14">CheckCellColor(F14)</f>
        <v>6321607</v>
      </c>
      <c r="G14" s="58" cm="1">
        <f t="array" ref="G14">CheckCellColor(G14)</f>
        <v>6321607</v>
      </c>
      <c r="H14" s="79" cm="1">
        <f t="array" ref="H14">CheckCellColor(H14)</f>
        <v>5921712</v>
      </c>
      <c r="I14" s="79" cm="1">
        <f t="array" ref="I14">CheckCellColor(I14)</f>
        <v>5921712</v>
      </c>
      <c r="J14" s="85" cm="1">
        <f t="array" ref="J14">CheckCellColor(J14)</f>
        <v>4475800</v>
      </c>
      <c r="K14" s="85" cm="1">
        <f t="array" ref="K14">CheckCellColor(K14)</f>
        <v>4475800</v>
      </c>
      <c r="L14" s="85" cm="1">
        <f t="array" ref="L14">CheckCellColor(L14)</f>
        <v>4475800</v>
      </c>
      <c r="M14" s="79" cm="1">
        <f t="array" ref="M14">CheckCellColor(M14)</f>
        <v>5921712</v>
      </c>
      <c r="N14" s="79" cm="1">
        <f t="array" ref="N14">CheckCellColor(N14)</f>
        <v>5921712</v>
      </c>
      <c r="O14" s="58" cm="1">
        <f t="array" ref="O14">CheckCellColor(O14)</f>
        <v>6321607</v>
      </c>
      <c r="P14" s="58" cm="1">
        <f t="array" ref="P14">CheckCellColor(P14)</f>
        <v>6321607</v>
      </c>
      <c r="Q14" s="58" cm="1">
        <f t="array" ref="Q14">CheckCellColor(Q14)</f>
        <v>6321607</v>
      </c>
      <c r="R14" s="58" cm="1">
        <f t="array" ref="R14">CheckCellColor(R14)</f>
        <v>6321607</v>
      </c>
      <c r="S14" s="58" cm="1">
        <f t="array" ref="S14">CheckCellColor(S14)</f>
        <v>6321607</v>
      </c>
      <c r="T14" s="58" cm="1">
        <f t="array" ref="T14">CheckCellColor(T14)</f>
        <v>6321607</v>
      </c>
      <c r="U14" s="79" cm="1">
        <f t="array" ref="U14">CheckCellColor(U14)</f>
        <v>5921712</v>
      </c>
      <c r="V14" s="58" cm="1">
        <f t="array" ref="V14">CheckCellColor(V14)</f>
        <v>6321607</v>
      </c>
      <c r="W14" s="58" cm="1">
        <f t="array" ref="W14">CheckCellColor(W14)</f>
        <v>6321607</v>
      </c>
      <c r="X14" s="58" cm="1">
        <f t="array" ref="X14">CheckCellColor(X14)</f>
        <v>6321607</v>
      </c>
      <c r="Y14" s="58" cm="1">
        <f t="array" ref="Y14">CheckCellColor(Y14)</f>
        <v>6321607</v>
      </c>
      <c r="Z14" s="79" cm="1">
        <f t="array" ref="Z14">CheckCellColor(Z14)</f>
        <v>5921712</v>
      </c>
      <c r="AA14" s="79" cm="1">
        <f t="array" ref="AA14">CheckCellColor(AA14)</f>
        <v>5921712</v>
      </c>
      <c r="AB14" s="79" cm="1">
        <f t="array" ref="AB14">CheckCellColor(AB14)</f>
        <v>5921712</v>
      </c>
      <c r="AC14" s="79" cm="1">
        <f t="array" ref="AC14">CheckCellColor(AC14)</f>
        <v>5921712</v>
      </c>
      <c r="AD14" s="79" cm="1">
        <f t="array" ref="AD14">CheckCellColor(AD14)</f>
        <v>5921712</v>
      </c>
      <c r="AE14" s="85" cm="1">
        <f t="array" ref="AE14">CheckCellColor(AE14)</f>
        <v>4475800</v>
      </c>
      <c r="AF14" s="84" cm="1">
        <f t="array" ref="AF14">CheckCellColor(AF14)</f>
        <v>4475800</v>
      </c>
      <c r="AG14" s="183" t="s">
        <v>108</v>
      </c>
    </row>
    <row r="15" spans="2:39" ht="15" customHeight="1" x14ac:dyDescent="0.3">
      <c r="B15" s="48">
        <v>0.54166666666666596</v>
      </c>
      <c r="C15" s="82" cm="1">
        <f t="array" ref="C15">CheckCellColor(C15)</f>
        <v>5921712</v>
      </c>
      <c r="D15" s="79" cm="1">
        <f t="array" ref="D15">CheckCellColor(D15)</f>
        <v>5921712</v>
      </c>
      <c r="E15" s="58" cm="1">
        <f t="array" ref="E15">CheckCellColor(E15)</f>
        <v>6321607</v>
      </c>
      <c r="F15" s="58" cm="1">
        <f t="array" ref="F15">CheckCellColor(F15)</f>
        <v>6321607</v>
      </c>
      <c r="G15" s="58" cm="1">
        <f t="array" ref="G15">CheckCellColor(G15)</f>
        <v>6321607</v>
      </c>
      <c r="H15" s="79" cm="1">
        <f t="array" ref="H15">CheckCellColor(H15)</f>
        <v>5921712</v>
      </c>
      <c r="I15" s="79" cm="1">
        <f t="array" ref="I15">CheckCellColor(I15)</f>
        <v>5921712</v>
      </c>
      <c r="J15" s="79" cm="1">
        <f t="array" ref="J15">CheckCellColor(J15)</f>
        <v>5921712</v>
      </c>
      <c r="K15" s="79" cm="1">
        <f t="array" ref="K15">CheckCellColor(K15)</f>
        <v>5921712</v>
      </c>
      <c r="L15" s="79" cm="1">
        <f t="array" ref="L15">CheckCellColor(L15)</f>
        <v>5921712</v>
      </c>
      <c r="M15" s="79" cm="1">
        <f t="array" ref="M15">CheckCellColor(M15)</f>
        <v>5921712</v>
      </c>
      <c r="N15" s="79" cm="1">
        <f t="array" ref="N15">CheckCellColor(N15)</f>
        <v>5921712</v>
      </c>
      <c r="O15" s="58" cm="1">
        <f t="array" ref="O15">CheckCellColor(O15)</f>
        <v>6321607</v>
      </c>
      <c r="P15" s="58" cm="1">
        <f t="array" ref="P15">CheckCellColor(P15)</f>
        <v>6321607</v>
      </c>
      <c r="Q15" s="58" cm="1">
        <f t="array" ref="Q15">CheckCellColor(Q15)</f>
        <v>6321607</v>
      </c>
      <c r="R15" s="58" cm="1">
        <f t="array" ref="R15">CheckCellColor(R15)</f>
        <v>6321607</v>
      </c>
      <c r="S15" s="58" cm="1">
        <f t="array" ref="S15">CheckCellColor(S15)</f>
        <v>6321607</v>
      </c>
      <c r="T15" s="58" cm="1">
        <f t="array" ref="T15">CheckCellColor(T15)</f>
        <v>6321607</v>
      </c>
      <c r="U15" s="79" cm="1">
        <f t="array" ref="U15">CheckCellColor(U15)</f>
        <v>5921712</v>
      </c>
      <c r="V15" s="58" cm="1">
        <f t="array" ref="V15">CheckCellColor(V15)</f>
        <v>6321607</v>
      </c>
      <c r="W15" s="58" cm="1">
        <f t="array" ref="W15">CheckCellColor(W15)</f>
        <v>6321607</v>
      </c>
      <c r="X15" s="58" cm="1">
        <f t="array" ref="X15">CheckCellColor(X15)</f>
        <v>6321607</v>
      </c>
      <c r="Y15" s="58" cm="1">
        <f t="array" ref="Y15">CheckCellColor(Y15)</f>
        <v>6321607</v>
      </c>
      <c r="Z15" s="58" cm="1">
        <f t="array" ref="Z15">CheckCellColor(Z15)</f>
        <v>6321607</v>
      </c>
      <c r="AA15" s="58" cm="1">
        <f t="array" ref="AA15">CheckCellColor(AA15)</f>
        <v>6321607</v>
      </c>
      <c r="AB15" s="58" cm="1">
        <f t="array" ref="AB15">CheckCellColor(AB15)</f>
        <v>6321607</v>
      </c>
      <c r="AC15" s="79" cm="1">
        <f t="array" ref="AC15">CheckCellColor(AC15)</f>
        <v>5921712</v>
      </c>
      <c r="AD15" s="79" cm="1">
        <f t="array" ref="AD15">CheckCellColor(AD15)</f>
        <v>5921712</v>
      </c>
      <c r="AE15" s="79" cm="1">
        <f t="array" ref="AE15">CheckCellColor(AE15)</f>
        <v>5921712</v>
      </c>
      <c r="AF15" s="83" cm="1">
        <f t="array" ref="AF15">CheckCellColor(AF15)</f>
        <v>5921712</v>
      </c>
      <c r="AG15" s="183" t="s">
        <v>108</v>
      </c>
      <c r="AI15"/>
      <c r="AJ15"/>
      <c r="AK15"/>
      <c r="AL15"/>
      <c r="AM15"/>
    </row>
    <row r="16" spans="2:39" ht="15" customHeight="1" x14ac:dyDescent="0.3">
      <c r="B16" s="48">
        <v>0.5</v>
      </c>
      <c r="C16" s="82" cm="1">
        <f t="array" ref="C16">CheckCellColor(C16)</f>
        <v>5921712</v>
      </c>
      <c r="D16" s="79" cm="1">
        <f t="array" ref="D16">CheckCellColor(D16)</f>
        <v>5921712</v>
      </c>
      <c r="E16" s="58" cm="1">
        <f t="array" ref="E16">CheckCellColor(E16)</f>
        <v>6321607</v>
      </c>
      <c r="F16" s="58" cm="1">
        <f t="array" ref="F16">CheckCellColor(F16)</f>
        <v>6321607</v>
      </c>
      <c r="G16" s="58" cm="1">
        <f t="array" ref="G16">CheckCellColor(G16)</f>
        <v>6321607</v>
      </c>
      <c r="H16" s="79" cm="1">
        <f t="array" ref="H16">CheckCellColor(H16)</f>
        <v>5921712</v>
      </c>
      <c r="I16" s="79" cm="1">
        <f t="array" ref="I16">CheckCellColor(I16)</f>
        <v>5921712</v>
      </c>
      <c r="J16" s="79" cm="1">
        <f t="array" ref="J16">CheckCellColor(J16)</f>
        <v>5921712</v>
      </c>
      <c r="K16" s="79" cm="1">
        <f t="array" ref="K16">CheckCellColor(K16)</f>
        <v>5921712</v>
      </c>
      <c r="L16" s="79" cm="1">
        <f t="array" ref="L16">CheckCellColor(L16)</f>
        <v>5921712</v>
      </c>
      <c r="M16" s="79" cm="1">
        <f t="array" ref="M16">CheckCellColor(M16)</f>
        <v>5921712</v>
      </c>
      <c r="N16" s="79" cm="1">
        <f t="array" ref="N16">CheckCellColor(N16)</f>
        <v>5921712</v>
      </c>
      <c r="O16" s="58" cm="1">
        <f t="array" ref="O16">CheckCellColor(O16)</f>
        <v>6321607</v>
      </c>
      <c r="P16" s="58" cm="1">
        <f t="array" ref="P16">CheckCellColor(P16)</f>
        <v>6321607</v>
      </c>
      <c r="Q16" s="58" cm="1">
        <f t="array" ref="Q16">CheckCellColor(Q16)</f>
        <v>6321607</v>
      </c>
      <c r="R16" s="58" cm="1">
        <f t="array" ref="R16">CheckCellColor(R16)</f>
        <v>6321607</v>
      </c>
      <c r="S16" s="58" cm="1">
        <f t="array" ref="S16">CheckCellColor(S16)</f>
        <v>6321607</v>
      </c>
      <c r="T16" s="58" cm="1">
        <f t="array" ref="T16">CheckCellColor(T16)</f>
        <v>6321607</v>
      </c>
      <c r="U16" s="58" cm="1">
        <f t="array" ref="U16">CheckCellColor(U16)</f>
        <v>6321607</v>
      </c>
      <c r="V16" s="58" cm="1">
        <f t="array" ref="V16">CheckCellColor(V16)</f>
        <v>6321607</v>
      </c>
      <c r="W16" s="58" cm="1">
        <f t="array" ref="W16">CheckCellColor(W16)</f>
        <v>6321607</v>
      </c>
      <c r="X16" s="58" cm="1">
        <f t="array" ref="X16">CheckCellColor(X16)</f>
        <v>6321607</v>
      </c>
      <c r="Y16" s="58" cm="1">
        <f t="array" ref="Y16">CheckCellColor(Y16)</f>
        <v>6321607</v>
      </c>
      <c r="Z16" s="58" cm="1">
        <f t="array" ref="Z16">CheckCellColor(Z16)</f>
        <v>6321607</v>
      </c>
      <c r="AA16" s="58" cm="1">
        <f t="array" ref="AA16">CheckCellColor(AA16)</f>
        <v>6321607</v>
      </c>
      <c r="AB16" s="58" cm="1">
        <f t="array" ref="AB16">CheckCellColor(AB16)</f>
        <v>6321607</v>
      </c>
      <c r="AC16" s="58" cm="1">
        <f t="array" ref="AC16">CheckCellColor(AC16)</f>
        <v>6321607</v>
      </c>
      <c r="AD16" s="79" cm="1">
        <f t="array" ref="AD16">CheckCellColor(AD16)</f>
        <v>5921712</v>
      </c>
      <c r="AE16" s="79" cm="1">
        <f t="array" ref="AE16">CheckCellColor(AE16)</f>
        <v>5921712</v>
      </c>
      <c r="AF16" s="83" cm="1">
        <f t="array" ref="AF16">CheckCellColor(AF16)</f>
        <v>5921712</v>
      </c>
      <c r="AG16" s="183" t="s">
        <v>108</v>
      </c>
      <c r="AJ16" s="32" t="b" cm="1">
        <f t="array" aca="1" ref="AJ16" ca="1">_xlfn.REDUCE(FALSE,$C$11:$AF$21,_xlfn.LAMBDA(_xlpm.a,_xlpm.v,OR(_xlpm.a,CELL("address",D11)=CELL("address",_xlpm.v))))</f>
        <v>1</v>
      </c>
    </row>
    <row r="17" spans="2:36" ht="15" customHeight="1" x14ac:dyDescent="0.3">
      <c r="B17" s="48">
        <v>0.45833333333333298</v>
      </c>
      <c r="C17" s="78" cm="1">
        <f t="array" ref="C17">CheckCellColor(C17)</f>
        <v>6321607</v>
      </c>
      <c r="D17" s="58" cm="1">
        <f t="array" ref="D17">CheckCellColor(D17)</f>
        <v>6321607</v>
      </c>
      <c r="E17" s="58" cm="1">
        <f t="array" ref="E17">CheckCellColor(E17)</f>
        <v>6321607</v>
      </c>
      <c r="F17" s="58" cm="1">
        <f t="array" ref="F17">CheckCellColor(F17)</f>
        <v>6321607</v>
      </c>
      <c r="G17" s="58" cm="1">
        <f t="array" ref="G17">CheckCellColor(G17)</f>
        <v>6321607</v>
      </c>
      <c r="H17" s="58" cm="1">
        <f t="array" ref="H17">CheckCellColor(H17)</f>
        <v>6321607</v>
      </c>
      <c r="I17" s="58" cm="1">
        <f t="array" ref="I17">CheckCellColor(I17)</f>
        <v>6321607</v>
      </c>
      <c r="J17" s="58" cm="1">
        <f t="array" ref="J17">CheckCellColor(J17)</f>
        <v>6321607</v>
      </c>
      <c r="K17" s="58" cm="1">
        <f t="array" ref="K17">CheckCellColor(K17)</f>
        <v>6321607</v>
      </c>
      <c r="L17" s="58" cm="1">
        <f t="array" ref="L17">CheckCellColor(L17)</f>
        <v>6321607</v>
      </c>
      <c r="M17" s="79" cm="1">
        <f t="array" ref="M17">CheckCellColor(M17)</f>
        <v>5921712</v>
      </c>
      <c r="N17" s="79" cm="1">
        <f t="array" ref="N17">CheckCellColor(N17)</f>
        <v>5921712</v>
      </c>
      <c r="O17" s="58" cm="1">
        <f t="array" ref="O17">CheckCellColor(O17)</f>
        <v>6321607</v>
      </c>
      <c r="P17" s="58" cm="1">
        <f t="array" ref="P17">CheckCellColor(P17)</f>
        <v>6321607</v>
      </c>
      <c r="Q17" s="58" cm="1">
        <f t="array" ref="Q17">CheckCellColor(Q17)</f>
        <v>6321607</v>
      </c>
      <c r="R17" s="58" cm="1">
        <f t="array" ref="R17">CheckCellColor(R17)</f>
        <v>6321607</v>
      </c>
      <c r="S17" s="58" cm="1">
        <f t="array" ref="S17">CheckCellColor(S17)</f>
        <v>6321607</v>
      </c>
      <c r="T17" s="58" cm="1">
        <f t="array" ref="T17">CheckCellColor(T17)</f>
        <v>6321607</v>
      </c>
      <c r="U17" s="58" cm="1">
        <f t="array" ref="U17">CheckCellColor(U17)</f>
        <v>6321607</v>
      </c>
      <c r="V17" s="58" cm="1">
        <f t="array" ref="V17">CheckCellColor(V17)</f>
        <v>6321607</v>
      </c>
      <c r="W17" s="58" cm="1">
        <f t="array" ref="W17">CheckCellColor(W17)</f>
        <v>6321607</v>
      </c>
      <c r="X17" s="58" cm="1">
        <f t="array" ref="X17">CheckCellColor(X17)</f>
        <v>6321607</v>
      </c>
      <c r="Y17" s="58" cm="1">
        <f t="array" ref="Y17">CheckCellColor(Y17)</f>
        <v>6321607</v>
      </c>
      <c r="Z17" s="58" cm="1">
        <f t="array" ref="Z17">CheckCellColor(Z17)</f>
        <v>6321607</v>
      </c>
      <c r="AA17" s="58" cm="1">
        <f t="array" ref="AA17">CheckCellColor(AA17)</f>
        <v>6321607</v>
      </c>
      <c r="AB17" s="58" cm="1">
        <f t="array" ref="AB17">CheckCellColor(AB17)</f>
        <v>6321607</v>
      </c>
      <c r="AC17" s="58" cm="1">
        <f t="array" ref="AC17">CheckCellColor(AC17)</f>
        <v>6321607</v>
      </c>
      <c r="AD17" s="58" cm="1">
        <f t="array" ref="AD17">CheckCellColor(AD17)</f>
        <v>6321607</v>
      </c>
      <c r="AE17" s="79" cm="1">
        <f t="array" ref="AE17">CheckCellColor(AE17)</f>
        <v>5921712</v>
      </c>
      <c r="AF17" s="83" cm="1">
        <f t="array" ref="AF17">CheckCellColor(AF17)</f>
        <v>5921712</v>
      </c>
      <c r="AG17" s="183" t="s">
        <v>108</v>
      </c>
      <c r="AJ17" s="32" t="b" cm="1">
        <f t="array" aca="1" ref="AJ17" ca="1">_xlfn.LAMBDA(_xlpm.z, _xlfn.LET(_xlpm.a, _xlfn.REDUCE(FALSE,_nA1,_xlfn.LAMBDA(_xlpm.a,_xlpm.v,OR(_xlpm.a,CELL("address",_xlpm.z)=CELL("address",_xlpm.v)))),
               _xlpm.b, _xlfn.REDUCE(FALSE,_nA2,_xlfn.LAMBDA(_xlpm.a,_xlpm.v,OR(_xlpm.a,CELL("address",_xlpm.z)=CELL("address",_xlpm.v)))),
               _xlpm.c, _xlfn.REDUCE(FALSE,_nA3,_xlfn.LAMBDA(_xlpm.a,_xlpm.v,OR(_xlpm.a,CELL("address",_xlpm.z)=CELL("address",_xlpm.v)))),
               _xlpm.d, _xlfn.REDUCE(FALSE,_nA4,_xlfn.LAMBDA(_xlpm.a,_xlpm.v,OR(_xlpm.a,CELL("address",_xlpm.z)=CELL("address",_xlpm.v)))),
               OR(_xlpm.a,_xlpm.b,_xlpm.c,_xlpm.d))
)(AF10)</f>
        <v>1</v>
      </c>
    </row>
    <row r="18" spans="2:36" ht="15" customHeight="1" x14ac:dyDescent="0.3">
      <c r="B18" s="48">
        <v>0.41666666666666602</v>
      </c>
      <c r="C18" s="78" cm="1">
        <f t="array" ref="C18">CheckCellColor(C18)</f>
        <v>6321607</v>
      </c>
      <c r="D18" s="58" cm="1">
        <f t="array" ref="D18">CheckCellColor(D18)</f>
        <v>6321607</v>
      </c>
      <c r="E18" s="58" cm="1">
        <f t="array" ref="E18">CheckCellColor(E18)</f>
        <v>6321607</v>
      </c>
      <c r="F18" s="58" cm="1">
        <f t="array" ref="F18">CheckCellColor(F18)</f>
        <v>6321607</v>
      </c>
      <c r="G18" s="58" cm="1">
        <f t="array" ref="G18">CheckCellColor(G18)</f>
        <v>6321607</v>
      </c>
      <c r="H18" s="58" cm="1">
        <f t="array" ref="H18">CheckCellColor(H18)</f>
        <v>6321607</v>
      </c>
      <c r="I18" s="58" cm="1">
        <f t="array" ref="I18">CheckCellColor(I18)</f>
        <v>6321607</v>
      </c>
      <c r="J18" s="58" cm="1">
        <f t="array" ref="J18">CheckCellColor(J18)</f>
        <v>6321607</v>
      </c>
      <c r="K18" s="58" cm="1">
        <f t="array" ref="K18">CheckCellColor(K18)</f>
        <v>6321607</v>
      </c>
      <c r="L18" s="58" cm="1">
        <f t="array" ref="L18">CheckCellColor(L18)</f>
        <v>6321607</v>
      </c>
      <c r="M18" s="58" cm="1">
        <f t="array" ref="M18">CheckCellColor(M18)</f>
        <v>6321607</v>
      </c>
      <c r="N18" s="58" cm="1">
        <f t="array" ref="N18">CheckCellColor(N18)</f>
        <v>6321607</v>
      </c>
      <c r="O18" s="58" cm="1">
        <f t="array" ref="O18">CheckCellColor(O18)</f>
        <v>6321607</v>
      </c>
      <c r="P18" s="58" cm="1">
        <f t="array" ref="P18">CheckCellColor(P18)</f>
        <v>6321607</v>
      </c>
      <c r="Q18" s="58" cm="1">
        <f t="array" ref="Q18">CheckCellColor(Q18)</f>
        <v>6321607</v>
      </c>
      <c r="R18" s="58" cm="1">
        <f t="array" ref="R18">CheckCellColor(R18)</f>
        <v>6321607</v>
      </c>
      <c r="S18" s="58" cm="1">
        <f t="array" ref="S18">CheckCellColor(S18)</f>
        <v>6321607</v>
      </c>
      <c r="T18" s="58" cm="1">
        <f t="array" ref="T18">CheckCellColor(T18)</f>
        <v>6321607</v>
      </c>
      <c r="U18" s="58" cm="1">
        <f t="array" ref="U18">CheckCellColor(U18)</f>
        <v>6321607</v>
      </c>
      <c r="V18" s="58" cm="1">
        <f t="array" ref="V18">CheckCellColor(V18)</f>
        <v>6321607</v>
      </c>
      <c r="W18" s="58" cm="1">
        <f t="array" ref="W18">CheckCellColor(W18)</f>
        <v>6321607</v>
      </c>
      <c r="X18" s="58" cm="1">
        <f t="array" ref="X18">CheckCellColor(X18)</f>
        <v>6321607</v>
      </c>
      <c r="Y18" s="58" cm="1">
        <f t="array" ref="Y18">CheckCellColor(Y18)</f>
        <v>6321607</v>
      </c>
      <c r="Z18" s="58" cm="1">
        <f t="array" ref="Z18">CheckCellColor(Z18)</f>
        <v>6321607</v>
      </c>
      <c r="AA18" s="58" cm="1">
        <f t="array" ref="AA18">CheckCellColor(AA18)</f>
        <v>6321607</v>
      </c>
      <c r="AB18" s="58" cm="1">
        <f t="array" ref="AB18">CheckCellColor(AB18)</f>
        <v>6321607</v>
      </c>
      <c r="AC18" s="58" cm="1">
        <f t="array" ref="AC18">CheckCellColor(AC18)</f>
        <v>6321607</v>
      </c>
      <c r="AD18" s="58" cm="1">
        <f t="array" ref="AD18">CheckCellColor(AD18)</f>
        <v>6321607</v>
      </c>
      <c r="AE18" s="58" cm="1">
        <f t="array" ref="AE18">CheckCellColor(AE18)</f>
        <v>6321607</v>
      </c>
      <c r="AF18" s="83" cm="1">
        <f t="array" ref="AF18">CheckCellColor(AF18)</f>
        <v>5921712</v>
      </c>
      <c r="AG18" s="183" t="s">
        <v>108</v>
      </c>
      <c r="AJ18" s="32" t="b" cm="1">
        <f t="array" aca="1" ref="AJ18" ca="1">_fnDay(D11)</f>
        <v>1</v>
      </c>
    </row>
    <row r="19" spans="2:36" ht="15" customHeight="1" x14ac:dyDescent="0.3">
      <c r="B19" s="48">
        <v>0.375</v>
      </c>
      <c r="C19" s="49" cm="1">
        <f t="array" ref="C19">CheckCellColor(C19)</f>
        <v>7851241</v>
      </c>
      <c r="D19" s="58" cm="1">
        <f t="array" ref="D19">CheckCellColor(D19)</f>
        <v>6321607</v>
      </c>
      <c r="E19" s="58" cm="1">
        <f t="array" ref="E19">CheckCellColor(E19)</f>
        <v>6321607</v>
      </c>
      <c r="F19" s="50" cm="1">
        <f t="array" ref="F19">CheckCellColor(F19)</f>
        <v>7851241</v>
      </c>
      <c r="G19" s="58" cm="1">
        <f t="array" ref="G19">CheckCellColor(G19)</f>
        <v>6321607</v>
      </c>
      <c r="H19" s="58" cm="1">
        <f t="array" ref="H19">CheckCellColor(H19)</f>
        <v>6321607</v>
      </c>
      <c r="I19" s="58" cm="1">
        <f t="array" ref="I19">CheckCellColor(I19)</f>
        <v>6321607</v>
      </c>
      <c r="J19" s="58" cm="1">
        <f t="array" ref="J19">CheckCellColor(J19)</f>
        <v>6321607</v>
      </c>
      <c r="K19" s="50" cm="1">
        <f t="array" ref="K19">CheckCellColor(K19)</f>
        <v>7851241</v>
      </c>
      <c r="L19" s="50" cm="1">
        <f t="array" ref="L19">CheckCellColor(L19)</f>
        <v>7851241</v>
      </c>
      <c r="M19" s="58" cm="1">
        <f t="array" ref="M19">CheckCellColor(M19)</f>
        <v>6321607</v>
      </c>
      <c r="N19" s="58" cm="1">
        <f t="array" ref="N19">CheckCellColor(N19)</f>
        <v>6321607</v>
      </c>
      <c r="O19" s="58" cm="1">
        <f t="array" ref="O19">CheckCellColor(O19)</f>
        <v>6321607</v>
      </c>
      <c r="P19" s="50" cm="1">
        <f t="array" ref="P19">CheckCellColor(P19)</f>
        <v>7851241</v>
      </c>
      <c r="Q19" s="58" cm="1">
        <f t="array" ref="Q19">CheckCellColor(Q19)</f>
        <v>6321607</v>
      </c>
      <c r="R19" s="58" cm="1">
        <f t="array" ref="R19">CheckCellColor(R19)</f>
        <v>6321607</v>
      </c>
      <c r="S19" s="50" cm="1">
        <f t="array" ref="S19">CheckCellColor(S19)</f>
        <v>7851241</v>
      </c>
      <c r="T19" s="58" cm="1">
        <f t="array" ref="T19">CheckCellColor(T19)</f>
        <v>6321607</v>
      </c>
      <c r="U19" s="58" cm="1">
        <f t="array" ref="U19">CheckCellColor(U19)</f>
        <v>6321607</v>
      </c>
      <c r="V19" s="58" cm="1">
        <f t="array" ref="V19">CheckCellColor(V19)</f>
        <v>6321607</v>
      </c>
      <c r="W19" s="58" cm="1">
        <f t="array" ref="W19">CheckCellColor(W19)</f>
        <v>6321607</v>
      </c>
      <c r="X19" s="58" cm="1">
        <f t="array" ref="X19">CheckCellColor(X19)</f>
        <v>6321607</v>
      </c>
      <c r="Y19" s="50" cm="1">
        <f t="array" ref="Y19">CheckCellColor(Y19)</f>
        <v>7851241</v>
      </c>
      <c r="Z19" s="58" cm="1">
        <f t="array" ref="Z19">CheckCellColor(Z19)</f>
        <v>6321607</v>
      </c>
      <c r="AA19" s="50" cm="1">
        <f t="array" ref="AA19">CheckCellColor(AA19)</f>
        <v>7851241</v>
      </c>
      <c r="AB19" s="58" cm="1">
        <f t="array" ref="AB19">CheckCellColor(AB19)</f>
        <v>6321607</v>
      </c>
      <c r="AC19" s="58" cm="1">
        <f t="array" ref="AC19">CheckCellColor(AC19)</f>
        <v>6321607</v>
      </c>
      <c r="AD19" s="58" cm="1">
        <f t="array" ref="AD19">CheckCellColor(AD19)</f>
        <v>6321607</v>
      </c>
      <c r="AE19" s="58" cm="1">
        <f t="array" ref="AE19">CheckCellColor(AE19)</f>
        <v>6321607</v>
      </c>
      <c r="AF19" s="60" cm="1">
        <f t="array" ref="AF19">CheckCellColor(AF19)</f>
        <v>6321607</v>
      </c>
      <c r="AG19" s="183" t="s">
        <v>108</v>
      </c>
    </row>
    <row r="20" spans="2:36" ht="15" customHeight="1" x14ac:dyDescent="0.3">
      <c r="B20" s="48">
        <v>0.33333333333333298</v>
      </c>
      <c r="C20" s="49" cm="1">
        <f t="array" ref="C20">CheckCellColor(C20)</f>
        <v>7851241</v>
      </c>
      <c r="D20" s="50" cm="1">
        <f t="array" ref="D20">CheckCellColor(D20)</f>
        <v>7851241</v>
      </c>
      <c r="E20" s="50" cm="1">
        <f t="array" ref="E20">CheckCellColor(E20)</f>
        <v>7851241</v>
      </c>
      <c r="F20" s="50" cm="1">
        <f t="array" ref="F20">CheckCellColor(F20)</f>
        <v>7851241</v>
      </c>
      <c r="G20" s="50" cm="1">
        <f t="array" ref="G20">CheckCellColor(G20)</f>
        <v>7851241</v>
      </c>
      <c r="H20" s="50" cm="1">
        <f t="array" ref="H20">CheckCellColor(H20)</f>
        <v>7851241</v>
      </c>
      <c r="I20" s="50" cm="1">
        <f t="array" ref="I20">CheckCellColor(I20)</f>
        <v>7851241</v>
      </c>
      <c r="J20" s="50" cm="1">
        <f t="array" ref="J20">CheckCellColor(J20)</f>
        <v>7851241</v>
      </c>
      <c r="K20" s="50" cm="1">
        <f t="array" ref="K20">CheckCellColor(K20)</f>
        <v>7851241</v>
      </c>
      <c r="L20" s="50" cm="1">
        <f t="array" ref="L20">CheckCellColor(L20)</f>
        <v>7851241</v>
      </c>
      <c r="M20" s="50" cm="1">
        <f t="array" ref="M20">CheckCellColor(M20)</f>
        <v>7851241</v>
      </c>
      <c r="N20" s="50" cm="1">
        <f t="array" ref="N20">CheckCellColor(N20)</f>
        <v>7851241</v>
      </c>
      <c r="O20" s="50" cm="1">
        <f t="array" ref="O20">CheckCellColor(O20)</f>
        <v>7851241</v>
      </c>
      <c r="P20" s="51" cm="1">
        <f t="array" ref="P20">CheckCellColor(P20)</f>
        <v>7454605</v>
      </c>
      <c r="Q20" s="50" cm="1">
        <f t="array" ref="Q20">CheckCellColor(Q20)</f>
        <v>7851241</v>
      </c>
      <c r="R20" s="50" cm="1">
        <f t="array" ref="R20">CheckCellColor(R20)</f>
        <v>7851241</v>
      </c>
      <c r="S20" s="50" cm="1">
        <f t="array" ref="S20">CheckCellColor(S20)</f>
        <v>7851241</v>
      </c>
      <c r="T20" s="50" cm="1">
        <f t="array" ref="T20">CheckCellColor(T20)</f>
        <v>7851241</v>
      </c>
      <c r="U20" s="50" cm="1">
        <f t="array" ref="U20">CheckCellColor(U20)</f>
        <v>7851241</v>
      </c>
      <c r="V20" s="50" cm="1">
        <f t="array" ref="V20">CheckCellColor(V20)</f>
        <v>7851241</v>
      </c>
      <c r="W20" s="50" cm="1">
        <f t="array" ref="W20">CheckCellColor(W20)</f>
        <v>7851241</v>
      </c>
      <c r="X20" s="50" cm="1">
        <f t="array" ref="X20">CheckCellColor(X20)</f>
        <v>7851241</v>
      </c>
      <c r="Y20" s="50" cm="1">
        <f t="array" ref="Y20">CheckCellColor(Y20)</f>
        <v>7851241</v>
      </c>
      <c r="Z20" s="50" cm="1">
        <f t="array" ref="Z20">CheckCellColor(Z20)</f>
        <v>7851241</v>
      </c>
      <c r="AA20" s="50" cm="1">
        <f t="array" ref="AA20">CheckCellColor(AA20)</f>
        <v>7851241</v>
      </c>
      <c r="AB20" s="50" cm="1">
        <f t="array" ref="AB20">CheckCellColor(AB20)</f>
        <v>7851241</v>
      </c>
      <c r="AC20" s="50" cm="1">
        <f t="array" ref="AC20">CheckCellColor(AC20)</f>
        <v>7851241</v>
      </c>
      <c r="AD20" s="50" cm="1">
        <f t="array" ref="AD20">CheckCellColor(AD20)</f>
        <v>7851241</v>
      </c>
      <c r="AE20" s="50" cm="1">
        <f t="array" ref="AE20">CheckCellColor(AE20)</f>
        <v>7851241</v>
      </c>
      <c r="AF20" s="52" cm="1">
        <f t="array" ref="AF20">CheckCellColor(AF20)</f>
        <v>7851241</v>
      </c>
      <c r="AG20" s="183" t="s">
        <v>108</v>
      </c>
    </row>
    <row r="21" spans="2:36" ht="15" customHeight="1" thickBot="1" x14ac:dyDescent="0.35">
      <c r="B21" s="86">
        <v>0.29166666666666602</v>
      </c>
      <c r="C21" s="57" cm="1">
        <f t="array" ref="C21">CheckCellColor(C21)</f>
        <v>7454605</v>
      </c>
      <c r="D21" s="51" cm="1">
        <f t="array" ref="D21">CheckCellColor(D21)</f>
        <v>7454605</v>
      </c>
      <c r="E21" s="51" cm="1">
        <f t="array" ref="E21">CheckCellColor(E21)</f>
        <v>7454605</v>
      </c>
      <c r="F21" s="51" cm="1">
        <f t="array" ref="F21">CheckCellColor(F21)</f>
        <v>7454605</v>
      </c>
      <c r="G21" s="51" cm="1">
        <f t="array" ref="G21">CheckCellColor(G21)</f>
        <v>7454605</v>
      </c>
      <c r="H21" s="51" cm="1">
        <f t="array" ref="H21">CheckCellColor(H21)</f>
        <v>7454605</v>
      </c>
      <c r="I21" s="50" cm="1">
        <f t="array" ref="I21">CheckCellColor(I21)</f>
        <v>7851241</v>
      </c>
      <c r="J21" s="51" cm="1">
        <f t="array" ref="J21">CheckCellColor(J21)</f>
        <v>7454605</v>
      </c>
      <c r="K21" s="51" cm="1">
        <f t="array" ref="K21">CheckCellColor(K21)</f>
        <v>7454605</v>
      </c>
      <c r="L21" s="51" cm="1">
        <f t="array" ref="L21">CheckCellColor(L21)</f>
        <v>7454605</v>
      </c>
      <c r="M21" s="51" cm="1">
        <f t="array" ref="M21">CheckCellColor(M21)</f>
        <v>7454605</v>
      </c>
      <c r="N21" s="51" cm="1">
        <f t="array" ref="N21">CheckCellColor(N21)</f>
        <v>7454605</v>
      </c>
      <c r="O21" s="50" cm="1">
        <f t="array" ref="O21">CheckCellColor(O21)</f>
        <v>7851241</v>
      </c>
      <c r="P21" s="51" cm="1">
        <f t="array" ref="P21">CheckCellColor(P21)</f>
        <v>7454605</v>
      </c>
      <c r="Q21" s="51" cm="1">
        <f t="array" ref="Q21">CheckCellColor(Q21)</f>
        <v>7454605</v>
      </c>
      <c r="R21" s="51" cm="1">
        <f t="array" ref="R21">CheckCellColor(R21)</f>
        <v>7454605</v>
      </c>
      <c r="S21" s="51" cm="1">
        <f t="array" ref="S21">CheckCellColor(S21)</f>
        <v>7454605</v>
      </c>
      <c r="T21" s="51" cm="1">
        <f t="array" ref="T21">CheckCellColor(T21)</f>
        <v>7454605</v>
      </c>
      <c r="U21" s="51" cm="1">
        <f t="array" ref="U21">CheckCellColor(U21)</f>
        <v>7454605</v>
      </c>
      <c r="V21" s="51" cm="1">
        <f t="array" ref="V21">CheckCellColor(V21)</f>
        <v>7454605</v>
      </c>
      <c r="W21" s="51" cm="1">
        <f t="array" ref="W21">CheckCellColor(W21)</f>
        <v>7454605</v>
      </c>
      <c r="X21" s="51" cm="1">
        <f t="array" ref="X21">CheckCellColor(X21)</f>
        <v>7454605</v>
      </c>
      <c r="Y21" s="51" cm="1">
        <f t="array" ref="Y21">CheckCellColor(Y21)</f>
        <v>7454605</v>
      </c>
      <c r="Z21" s="51" cm="1">
        <f t="array" ref="Z21">CheckCellColor(Z21)</f>
        <v>7454605</v>
      </c>
      <c r="AA21" s="51" cm="1">
        <f t="array" ref="AA21">CheckCellColor(AA21)</f>
        <v>7454605</v>
      </c>
      <c r="AB21" s="51" cm="1">
        <f t="array" ref="AB21">CheckCellColor(AB21)</f>
        <v>7454605</v>
      </c>
      <c r="AC21" s="51" cm="1">
        <f t="array" ref="AC21">CheckCellColor(AC21)</f>
        <v>7454605</v>
      </c>
      <c r="AD21" s="50" cm="1">
        <f t="array" ref="AD21">CheckCellColor(AD21)</f>
        <v>7851241</v>
      </c>
      <c r="AE21" s="51" cm="1">
        <f t="array" ref="AE21">CheckCellColor(AE21)</f>
        <v>7454605</v>
      </c>
      <c r="AF21" s="52" cm="1">
        <f t="array" ref="AF21">CheckCellColor(AF21)</f>
        <v>7851241</v>
      </c>
      <c r="AG21" s="183" t="s">
        <v>108</v>
      </c>
    </row>
    <row r="22" spans="2:36" ht="15" customHeight="1" thickBot="1" x14ac:dyDescent="0.35">
      <c r="B22" s="87">
        <v>0.25</v>
      </c>
      <c r="C22" s="88" cm="1">
        <f t="array" ref="C22">CheckCellColor(C22)</f>
        <v>7454605</v>
      </c>
      <c r="D22" s="89" cm="1">
        <f t="array" ref="D22">CheckCellColor(D22)</f>
        <v>7454605</v>
      </c>
      <c r="E22" s="89" cm="1">
        <f t="array" ref="E22">CheckCellColor(E22)</f>
        <v>7454605</v>
      </c>
      <c r="F22" s="89" cm="1">
        <f t="array" ref="F22">CheckCellColor(F22)</f>
        <v>7454605</v>
      </c>
      <c r="G22" s="89" cm="1">
        <f t="array" ref="G22">CheckCellColor(G22)</f>
        <v>7454605</v>
      </c>
      <c r="H22" s="89" cm="1">
        <f t="array" ref="H22">CheckCellColor(H22)</f>
        <v>7454605</v>
      </c>
      <c r="I22" s="89" cm="1">
        <f t="array" ref="I22">CheckCellColor(I22)</f>
        <v>7454605</v>
      </c>
      <c r="J22" s="89" cm="1">
        <f t="array" ref="J22">CheckCellColor(J22)</f>
        <v>7454605</v>
      </c>
      <c r="K22" s="89" cm="1">
        <f t="array" ref="K22">CheckCellColor(K22)</f>
        <v>7454605</v>
      </c>
      <c r="L22" s="89" cm="1">
        <f t="array" ref="L22">CheckCellColor(L22)</f>
        <v>7454605</v>
      </c>
      <c r="M22" s="89" cm="1">
        <f t="array" ref="M22">CheckCellColor(M22)</f>
        <v>7454605</v>
      </c>
      <c r="N22" s="89" cm="1">
        <f t="array" ref="N22">CheckCellColor(N22)</f>
        <v>7454605</v>
      </c>
      <c r="O22" s="89" cm="1">
        <f t="array" ref="O22">CheckCellColor(O22)</f>
        <v>7454605</v>
      </c>
      <c r="P22" s="89" cm="1">
        <f t="array" ref="P22">CheckCellColor(P22)</f>
        <v>7454605</v>
      </c>
      <c r="Q22" s="89" cm="1">
        <f t="array" ref="Q22">CheckCellColor(Q22)</f>
        <v>7454605</v>
      </c>
      <c r="R22" s="89" cm="1">
        <f t="array" ref="R22">CheckCellColor(R22)</f>
        <v>7454605</v>
      </c>
      <c r="S22" s="89" cm="1">
        <f t="array" ref="S22">CheckCellColor(S22)</f>
        <v>7454605</v>
      </c>
      <c r="T22" s="90" cm="1">
        <f t="array" ref="T22">CheckCellColor(T22)</f>
        <v>7454605</v>
      </c>
      <c r="U22" s="91" cm="1">
        <f t="array" ref="U22">CheckCellColor(U22)</f>
        <v>7454605</v>
      </c>
      <c r="V22" s="91" cm="1">
        <f t="array" ref="V22">CheckCellColor(V22)</f>
        <v>7454605</v>
      </c>
      <c r="W22" s="91" cm="1">
        <f t="array" ref="W22">CheckCellColor(W22)</f>
        <v>7454605</v>
      </c>
      <c r="X22" s="51" cm="1">
        <f t="array" ref="X22">CheckCellColor(X22)</f>
        <v>7454605</v>
      </c>
      <c r="Y22" s="51" cm="1">
        <f t="array" ref="Y22">CheckCellColor(Y22)</f>
        <v>7454605</v>
      </c>
      <c r="Z22" s="51" cm="1">
        <f t="array" ref="Z22">CheckCellColor(Z22)</f>
        <v>7454605</v>
      </c>
      <c r="AA22" s="51" cm="1">
        <f t="array" ref="AA22">CheckCellColor(AA22)</f>
        <v>7454605</v>
      </c>
      <c r="AB22" s="51" cm="1">
        <f t="array" ref="AB22">CheckCellColor(AB22)</f>
        <v>7454605</v>
      </c>
      <c r="AC22" s="51" cm="1">
        <f t="array" ref="AC22">CheckCellColor(AC22)</f>
        <v>7454605</v>
      </c>
      <c r="AD22" s="51" cm="1">
        <f t="array" ref="AD22">CheckCellColor(AD22)</f>
        <v>7454605</v>
      </c>
      <c r="AE22" s="51" cm="1">
        <f t="array" ref="AE22">CheckCellColor(AE22)</f>
        <v>7454605</v>
      </c>
      <c r="AF22" s="92" cm="1">
        <f t="array" ref="AF22">CheckCellColor(AF22)</f>
        <v>7454605</v>
      </c>
      <c r="AG22" s="183" t="s">
        <v>108</v>
      </c>
    </row>
    <row r="23" spans="2:36" ht="15" customHeight="1" thickBot="1" x14ac:dyDescent="0.35">
      <c r="B23" s="48">
        <v>0.20833333333333301</v>
      </c>
      <c r="C23" s="57" cm="1">
        <f t="array" ref="C23">CheckCellColor(C23)</f>
        <v>7454605</v>
      </c>
      <c r="D23" s="51" cm="1">
        <f t="array" ref="D23">CheckCellColor(D23)</f>
        <v>7454605</v>
      </c>
      <c r="E23" s="51" cm="1">
        <f t="array" ref="E23">CheckCellColor(E23)</f>
        <v>7454605</v>
      </c>
      <c r="F23" s="51" cm="1">
        <f t="array" ref="F23">CheckCellColor(F23)</f>
        <v>7454605</v>
      </c>
      <c r="G23" s="51" cm="1">
        <f t="array" ref="G23">CheckCellColor(G23)</f>
        <v>7454605</v>
      </c>
      <c r="H23" s="51" cm="1">
        <f t="array" ref="H23">CheckCellColor(H23)</f>
        <v>7454605</v>
      </c>
      <c r="I23" s="51" cm="1">
        <f t="array" ref="I23">CheckCellColor(I23)</f>
        <v>7454605</v>
      </c>
      <c r="J23" s="51" cm="1">
        <f t="array" ref="J23">CheckCellColor(J23)</f>
        <v>7454605</v>
      </c>
      <c r="K23" s="51" cm="1">
        <f t="array" ref="K23">CheckCellColor(K23)</f>
        <v>7454605</v>
      </c>
      <c r="L23" s="51" cm="1">
        <f t="array" ref="L23">CheckCellColor(L23)</f>
        <v>7454605</v>
      </c>
      <c r="M23" s="51" cm="1">
        <f t="array" ref="M23">CheckCellColor(M23)</f>
        <v>7454605</v>
      </c>
      <c r="N23" s="51" cm="1">
        <f t="array" ref="N23">CheckCellColor(N23)</f>
        <v>7454605</v>
      </c>
      <c r="O23" s="51" cm="1">
        <f t="array" ref="O23">CheckCellColor(O23)</f>
        <v>7454605</v>
      </c>
      <c r="P23" s="51" cm="1">
        <f t="array" ref="P23">CheckCellColor(P23)</f>
        <v>7454605</v>
      </c>
      <c r="Q23" s="93" cm="1">
        <f t="array" ref="Q23">CheckCellColor(Q23)</f>
        <v>7841908</v>
      </c>
      <c r="R23" s="93" cm="1">
        <f t="array" ref="R23">CheckCellColor(R23)</f>
        <v>7841908</v>
      </c>
      <c r="S23" s="51" cm="1">
        <f t="array" ref="S23">CheckCellColor(S23)</f>
        <v>7454605</v>
      </c>
      <c r="T23" s="51" cm="1">
        <f t="array" ref="T23">CheckCellColor(T23)</f>
        <v>7454605</v>
      </c>
      <c r="U23" s="51" cm="1">
        <f t="array" ref="U23">CheckCellColor(U23)</f>
        <v>7454605</v>
      </c>
      <c r="V23" s="51" cm="1">
        <f t="array" ref="V23">CheckCellColor(V23)</f>
        <v>7454605</v>
      </c>
      <c r="W23" s="51" cm="1">
        <f t="array" ref="W23">CheckCellColor(W23)</f>
        <v>7454605</v>
      </c>
      <c r="X23" s="89" cm="1">
        <f t="array" ref="X23">CheckCellColor(X23)</f>
        <v>7454605</v>
      </c>
      <c r="Y23" s="89" cm="1">
        <f t="array" ref="Y23">CheckCellColor(Y23)</f>
        <v>7454605</v>
      </c>
      <c r="Z23" s="89" cm="1">
        <f t="array" ref="Z23">CheckCellColor(Z23)</f>
        <v>7454605</v>
      </c>
      <c r="AA23" s="89" cm="1">
        <f t="array" ref="AA23">CheckCellColor(AA23)</f>
        <v>7454605</v>
      </c>
      <c r="AB23" s="89" cm="1">
        <f t="array" ref="AB23">CheckCellColor(AB23)</f>
        <v>7454605</v>
      </c>
      <c r="AC23" s="89" cm="1">
        <f t="array" ref="AC23">CheckCellColor(AC23)</f>
        <v>7454605</v>
      </c>
      <c r="AD23" s="89" cm="1">
        <f t="array" ref="AD23">CheckCellColor(AD23)</f>
        <v>7454605</v>
      </c>
      <c r="AE23" s="89" cm="1">
        <f t="array" ref="AE23">CheckCellColor(AE23)</f>
        <v>7454605</v>
      </c>
      <c r="AF23" s="94" cm="1">
        <f t="array" ref="AF23">CheckCellColor(AF23)</f>
        <v>7454605</v>
      </c>
      <c r="AG23" s="184" t="s">
        <v>105</v>
      </c>
    </row>
    <row r="24" spans="2:36" ht="15" customHeight="1" thickBot="1" x14ac:dyDescent="0.35">
      <c r="B24" s="48">
        <v>0.16666666666666699</v>
      </c>
      <c r="C24" s="57" cm="1">
        <f t="array" ref="C24">CheckCellColor(C24)</f>
        <v>7454605</v>
      </c>
      <c r="D24" s="51" cm="1">
        <f t="array" ref="D24">CheckCellColor(D24)</f>
        <v>7454605</v>
      </c>
      <c r="E24" s="51" cm="1">
        <f t="array" ref="E24">CheckCellColor(E24)</f>
        <v>7454605</v>
      </c>
      <c r="F24" s="51" cm="1">
        <f t="array" ref="F24">CheckCellColor(F24)</f>
        <v>7454605</v>
      </c>
      <c r="G24" s="51" cm="1">
        <f t="array" ref="G24">CheckCellColor(G24)</f>
        <v>7454605</v>
      </c>
      <c r="H24" s="51" cm="1">
        <f t="array" ref="H24">CheckCellColor(H24)</f>
        <v>7454605</v>
      </c>
      <c r="I24" s="51" cm="1">
        <f t="array" ref="I24">CheckCellColor(I24)</f>
        <v>7454605</v>
      </c>
      <c r="J24" s="51" cm="1">
        <f t="array" ref="J24">CheckCellColor(J24)</f>
        <v>7454605</v>
      </c>
      <c r="K24" s="51" cm="1">
        <f t="array" ref="K24">CheckCellColor(K24)</f>
        <v>7454605</v>
      </c>
      <c r="L24" s="51" cm="1">
        <f t="array" ref="L24">CheckCellColor(L24)</f>
        <v>7454605</v>
      </c>
      <c r="M24" s="51" cm="1">
        <f t="array" ref="M24">CheckCellColor(M24)</f>
        <v>7454605</v>
      </c>
      <c r="N24" s="51" cm="1">
        <f t="array" ref="N24">CheckCellColor(N24)</f>
        <v>7454605</v>
      </c>
      <c r="O24" s="51" cm="1">
        <f t="array" ref="O24">CheckCellColor(O24)</f>
        <v>7454605</v>
      </c>
      <c r="P24" s="93" cm="1">
        <f t="array" ref="P24">CheckCellColor(P24)</f>
        <v>7841908</v>
      </c>
      <c r="Q24" s="93" cm="1">
        <f t="array" ref="Q24">CheckCellColor(Q24)</f>
        <v>7841908</v>
      </c>
      <c r="R24" s="93" cm="1">
        <f t="array" ref="R24">CheckCellColor(R24)</f>
        <v>7841908</v>
      </c>
      <c r="S24" s="51" cm="1">
        <f t="array" ref="S24">CheckCellColor(S24)</f>
        <v>7454605</v>
      </c>
      <c r="T24" s="51" cm="1">
        <f t="array" ref="T24">CheckCellColor(T24)</f>
        <v>7454605</v>
      </c>
      <c r="U24" s="51" cm="1">
        <f t="array" ref="U24">CheckCellColor(U24)</f>
        <v>7454605</v>
      </c>
      <c r="V24" s="51" cm="1">
        <f t="array" ref="V24">CheckCellColor(V24)</f>
        <v>7454605</v>
      </c>
      <c r="W24" s="51" cm="1">
        <f t="array" ref="W24">CheckCellColor(W24)</f>
        <v>7454605</v>
      </c>
      <c r="X24" s="51" cm="1">
        <f t="array" ref="X24">CheckCellColor(X24)</f>
        <v>7454605</v>
      </c>
      <c r="Y24" s="51" cm="1">
        <f t="array" ref="Y24">CheckCellColor(Y24)</f>
        <v>7454605</v>
      </c>
      <c r="Z24" s="51" cm="1">
        <f t="array" ref="Z24">CheckCellColor(Z24)</f>
        <v>7454605</v>
      </c>
      <c r="AA24" s="51" cm="1">
        <f t="array" ref="AA24">CheckCellColor(AA24)</f>
        <v>7454605</v>
      </c>
      <c r="AB24" s="51" cm="1">
        <f t="array" ref="AB24">CheckCellColor(AB24)</f>
        <v>7454605</v>
      </c>
      <c r="AC24" s="51" cm="1">
        <f t="array" ref="AC24">CheckCellColor(AC24)</f>
        <v>7454605</v>
      </c>
      <c r="AD24" s="50" cm="1">
        <f t="array" ref="AD24">CheckCellColor(AD24)</f>
        <v>7851241</v>
      </c>
      <c r="AE24" s="51" cm="1">
        <f t="array" ref="AE24">CheckCellColor(AE24)</f>
        <v>7454605</v>
      </c>
      <c r="AF24" s="92" cm="1">
        <f t="array" ref="AF24">CheckCellColor(AF24)</f>
        <v>7454605</v>
      </c>
      <c r="AG24" s="184" t="s">
        <v>105</v>
      </c>
    </row>
    <row r="25" spans="2:36" ht="15" customHeight="1" thickBot="1" x14ac:dyDescent="0.35">
      <c r="B25" s="48">
        <v>0.125</v>
      </c>
      <c r="C25" s="57" cm="1">
        <f t="array" ref="C25">CheckCellColor(C25)</f>
        <v>7454605</v>
      </c>
      <c r="D25" s="51" cm="1">
        <f t="array" ref="D25">CheckCellColor(D25)</f>
        <v>7454605</v>
      </c>
      <c r="E25" s="51" cm="1">
        <f t="array" ref="E25">CheckCellColor(E25)</f>
        <v>7454605</v>
      </c>
      <c r="F25" s="50" cm="1">
        <f t="array" ref="F25">CheckCellColor(F25)</f>
        <v>7851241</v>
      </c>
      <c r="G25" s="51" cm="1">
        <f t="array" ref="G25">CheckCellColor(G25)</f>
        <v>7454605</v>
      </c>
      <c r="H25" s="51" cm="1">
        <f t="array" ref="H25">CheckCellColor(H25)</f>
        <v>7454605</v>
      </c>
      <c r="I25" s="51" cm="1">
        <f t="array" ref="I25">CheckCellColor(I25)</f>
        <v>7454605</v>
      </c>
      <c r="J25" s="51" cm="1">
        <f t="array" ref="J25">CheckCellColor(J25)</f>
        <v>7454605</v>
      </c>
      <c r="K25" s="51" cm="1">
        <f t="array" ref="K25">CheckCellColor(K25)</f>
        <v>7454605</v>
      </c>
      <c r="L25" s="51" cm="1">
        <f t="array" ref="L25">CheckCellColor(L25)</f>
        <v>7454605</v>
      </c>
      <c r="M25" s="51" cm="1">
        <f t="array" ref="M25">CheckCellColor(M25)</f>
        <v>7454605</v>
      </c>
      <c r="N25" s="51" cm="1">
        <f t="array" ref="N25">CheckCellColor(N25)</f>
        <v>7454605</v>
      </c>
      <c r="O25" s="51" cm="1">
        <f t="array" ref="O25">CheckCellColor(O25)</f>
        <v>7454605</v>
      </c>
      <c r="P25" s="51" cm="1">
        <f t="array" ref="P25">CheckCellColor(P25)</f>
        <v>7454605</v>
      </c>
      <c r="Q25" s="93" cm="1">
        <f t="array" ref="Q25">CheckCellColor(Q25)</f>
        <v>7841908</v>
      </c>
      <c r="R25" s="51" cm="1">
        <f t="array" ref="R25">CheckCellColor(R25)</f>
        <v>7454605</v>
      </c>
      <c r="S25" s="51" cm="1">
        <f t="array" ref="S25">CheckCellColor(S25)</f>
        <v>7454605</v>
      </c>
      <c r="T25" s="51" cm="1">
        <f t="array" ref="T25">CheckCellColor(T25)</f>
        <v>7454605</v>
      </c>
      <c r="U25" s="51" cm="1">
        <f t="array" ref="U25">CheckCellColor(U25)</f>
        <v>7454605</v>
      </c>
      <c r="V25" s="51" cm="1">
        <f t="array" ref="V25">CheckCellColor(V25)</f>
        <v>7454605</v>
      </c>
      <c r="W25" s="51" cm="1">
        <f t="array" ref="W25">CheckCellColor(W25)</f>
        <v>7454605</v>
      </c>
      <c r="X25" s="51" cm="1">
        <f t="array" ref="X25">CheckCellColor(X25)</f>
        <v>7454605</v>
      </c>
      <c r="Y25" s="51" cm="1">
        <f t="array" ref="Y25">CheckCellColor(Y25)</f>
        <v>7454605</v>
      </c>
      <c r="Z25" s="51" cm="1">
        <f t="array" ref="Z25">CheckCellColor(Z25)</f>
        <v>7454605</v>
      </c>
      <c r="AA25" s="51" cm="1">
        <f t="array" ref="AA25">CheckCellColor(AA25)</f>
        <v>7454605</v>
      </c>
      <c r="AB25" s="51" cm="1">
        <f t="array" ref="AB25">CheckCellColor(AB25)</f>
        <v>7454605</v>
      </c>
      <c r="AC25" s="51" cm="1">
        <f t="array" ref="AC25">CheckCellColor(AC25)</f>
        <v>7454605</v>
      </c>
      <c r="AD25" s="51" cm="1">
        <f t="array" ref="AD25">CheckCellColor(AD25)</f>
        <v>7454605</v>
      </c>
      <c r="AE25" s="51" cm="1">
        <f t="array" ref="AE25">CheckCellColor(AE25)</f>
        <v>7454605</v>
      </c>
      <c r="AF25" s="52" cm="1">
        <f t="array" ref="AF25">CheckCellColor(AF25)</f>
        <v>7851241</v>
      </c>
      <c r="AG25" s="184" t="s">
        <v>105</v>
      </c>
    </row>
    <row r="26" spans="2:36" ht="15" customHeight="1" thickBot="1" x14ac:dyDescent="0.35">
      <c r="B26" s="48">
        <v>8.3333333333333329E-2</v>
      </c>
      <c r="C26" s="57" cm="1">
        <f t="array" ref="C26">CheckCellColor(C26)</f>
        <v>7454605</v>
      </c>
      <c r="D26" s="51" cm="1">
        <f t="array" ref="D26">CheckCellColor(D26)</f>
        <v>7454605</v>
      </c>
      <c r="E26" s="51" cm="1">
        <f t="array" ref="E26">CheckCellColor(E26)</f>
        <v>7454605</v>
      </c>
      <c r="F26" s="50" cm="1">
        <f t="array" ref="F26">CheckCellColor(F26)</f>
        <v>7851241</v>
      </c>
      <c r="G26" s="51" cm="1">
        <f t="array" ref="G26">CheckCellColor(G26)</f>
        <v>7454605</v>
      </c>
      <c r="H26" s="51" cm="1">
        <f t="array" ref="H26">CheckCellColor(H26)</f>
        <v>7454605</v>
      </c>
      <c r="I26" s="51" cm="1">
        <f t="array" ref="I26">CheckCellColor(I26)</f>
        <v>7454605</v>
      </c>
      <c r="J26" s="51" cm="1">
        <f t="array" ref="J26">CheckCellColor(J26)</f>
        <v>7454605</v>
      </c>
      <c r="K26" s="51" cm="1">
        <f t="array" ref="K26">CheckCellColor(K26)</f>
        <v>7454605</v>
      </c>
      <c r="L26" s="51" cm="1">
        <f t="array" ref="L26">CheckCellColor(L26)</f>
        <v>7454605</v>
      </c>
      <c r="M26" s="51" cm="1">
        <f t="array" ref="M26">CheckCellColor(M26)</f>
        <v>7454605</v>
      </c>
      <c r="N26" s="51" cm="1">
        <f t="array" ref="N26">CheckCellColor(N26)</f>
        <v>7454605</v>
      </c>
      <c r="O26" s="51" cm="1">
        <f t="array" ref="O26">CheckCellColor(O26)</f>
        <v>7454605</v>
      </c>
      <c r="P26" s="51" cm="1">
        <f t="array" ref="P26">CheckCellColor(P26)</f>
        <v>7454605</v>
      </c>
      <c r="Q26" s="51" cm="1">
        <f t="array" ref="Q26">CheckCellColor(Q26)</f>
        <v>7454605</v>
      </c>
      <c r="R26" s="51" cm="1">
        <f t="array" ref="R26">CheckCellColor(R26)</f>
        <v>7454605</v>
      </c>
      <c r="S26" s="51" cm="1">
        <f t="array" ref="S26">CheckCellColor(S26)</f>
        <v>7454605</v>
      </c>
      <c r="T26" s="51" cm="1">
        <f t="array" ref="T26">CheckCellColor(T26)</f>
        <v>7454605</v>
      </c>
      <c r="U26" s="51" cm="1">
        <f t="array" ref="U26">CheckCellColor(U26)</f>
        <v>7454605</v>
      </c>
      <c r="V26" s="51" cm="1">
        <f t="array" ref="V26">CheckCellColor(V26)</f>
        <v>7454605</v>
      </c>
      <c r="W26" s="51" cm="1">
        <f t="array" ref="W26">CheckCellColor(W26)</f>
        <v>7454605</v>
      </c>
      <c r="X26" s="51" cm="1">
        <f t="array" ref="X26">CheckCellColor(X26)</f>
        <v>7454605</v>
      </c>
      <c r="Y26" s="51" cm="1">
        <f t="array" ref="Y26">CheckCellColor(Y26)</f>
        <v>7454605</v>
      </c>
      <c r="Z26" s="51" cm="1">
        <f t="array" ref="Z26">CheckCellColor(Z26)</f>
        <v>7454605</v>
      </c>
      <c r="AA26" s="51" cm="1">
        <f t="array" ref="AA26">CheckCellColor(AA26)</f>
        <v>7454605</v>
      </c>
      <c r="AB26" s="51" cm="1">
        <f t="array" ref="AB26">CheckCellColor(AB26)</f>
        <v>7454605</v>
      </c>
      <c r="AC26" s="51" cm="1">
        <f t="array" ref="AC26">CheckCellColor(AC26)</f>
        <v>7454605</v>
      </c>
      <c r="AD26" s="50" cm="1">
        <f t="array" ref="AD26">CheckCellColor(AD26)</f>
        <v>7851241</v>
      </c>
      <c r="AE26" s="51" cm="1">
        <f t="array" ref="AE26">CheckCellColor(AE26)</f>
        <v>7454605</v>
      </c>
      <c r="AF26" s="52" cm="1">
        <f t="array" ref="AF26">CheckCellColor(AF26)</f>
        <v>7851241</v>
      </c>
      <c r="AG26" s="184" t="s">
        <v>105</v>
      </c>
    </row>
    <row r="27" spans="2:36" ht="15" customHeight="1" thickBot="1" x14ac:dyDescent="0.35">
      <c r="B27" s="48">
        <v>4.1666666666666664E-2</v>
      </c>
      <c r="C27" s="57" cm="1">
        <f t="array" ref="C27">CheckCellColor(C27)</f>
        <v>7454605</v>
      </c>
      <c r="D27" s="51" cm="1">
        <f t="array" ref="D27">CheckCellColor(D27)</f>
        <v>7454605</v>
      </c>
      <c r="E27" s="51" cm="1">
        <f t="array" ref="E27">CheckCellColor(E27)</f>
        <v>7454605</v>
      </c>
      <c r="F27" s="50" cm="1">
        <f t="array" ref="F27">CheckCellColor(F27)</f>
        <v>7851241</v>
      </c>
      <c r="G27" s="50" cm="1">
        <f t="array" ref="G27">CheckCellColor(G27)</f>
        <v>7851241</v>
      </c>
      <c r="H27" s="51" cm="1">
        <f t="array" ref="H27">CheckCellColor(H27)</f>
        <v>7454605</v>
      </c>
      <c r="I27" s="51" cm="1">
        <f t="array" ref="I27">CheckCellColor(I27)</f>
        <v>7454605</v>
      </c>
      <c r="J27" s="51" cm="1">
        <f t="array" ref="J27">CheckCellColor(J27)</f>
        <v>7454605</v>
      </c>
      <c r="K27" s="51" cm="1">
        <f t="array" ref="K27">CheckCellColor(K27)</f>
        <v>7454605</v>
      </c>
      <c r="L27" s="51" cm="1">
        <f t="array" ref="L27">CheckCellColor(L27)</f>
        <v>7454605</v>
      </c>
      <c r="M27" s="51" cm="1">
        <f t="array" ref="M27">CheckCellColor(M27)</f>
        <v>7454605</v>
      </c>
      <c r="N27" s="51" cm="1">
        <f t="array" ref="N27">CheckCellColor(N27)</f>
        <v>7454605</v>
      </c>
      <c r="O27" s="51" cm="1">
        <f t="array" ref="O27">CheckCellColor(O27)</f>
        <v>7454605</v>
      </c>
      <c r="P27" s="51" cm="1">
        <f t="array" ref="P27">CheckCellColor(P27)</f>
        <v>7454605</v>
      </c>
      <c r="Q27" s="51" cm="1">
        <f t="array" ref="Q27">CheckCellColor(Q27)</f>
        <v>7454605</v>
      </c>
      <c r="R27" s="51" cm="1">
        <f t="array" ref="R27">CheckCellColor(R27)</f>
        <v>7454605</v>
      </c>
      <c r="S27" s="51" cm="1">
        <f t="array" ref="S27">CheckCellColor(S27)</f>
        <v>7454605</v>
      </c>
      <c r="T27" s="51" cm="1">
        <f t="array" ref="T27">CheckCellColor(T27)</f>
        <v>7454605</v>
      </c>
      <c r="U27" s="51" cm="1">
        <f t="array" ref="U27">CheckCellColor(U27)</f>
        <v>7454605</v>
      </c>
      <c r="V27" s="51" cm="1">
        <f t="array" ref="V27">CheckCellColor(V27)</f>
        <v>7454605</v>
      </c>
      <c r="W27" s="51" cm="1">
        <f t="array" ref="W27">CheckCellColor(W27)</f>
        <v>7454605</v>
      </c>
      <c r="X27" s="51" cm="1">
        <f t="array" ref="X27">CheckCellColor(X27)</f>
        <v>7454605</v>
      </c>
      <c r="Y27" s="51" cm="1">
        <f t="array" ref="Y27">CheckCellColor(Y27)</f>
        <v>7454605</v>
      </c>
      <c r="Z27" s="51" cm="1">
        <f t="array" ref="Z27">CheckCellColor(Z27)</f>
        <v>7454605</v>
      </c>
      <c r="AA27" s="51" cm="1">
        <f t="array" ref="AA27">CheckCellColor(AA27)</f>
        <v>7454605</v>
      </c>
      <c r="AB27" s="51" cm="1">
        <f t="array" ref="AB27">CheckCellColor(AB27)</f>
        <v>7454605</v>
      </c>
      <c r="AC27" s="51" cm="1">
        <f t="array" ref="AC27">CheckCellColor(AC27)</f>
        <v>7454605</v>
      </c>
      <c r="AD27" s="50" cm="1">
        <f t="array" ref="AD27">CheckCellColor(AD27)</f>
        <v>7851241</v>
      </c>
      <c r="AE27" s="51" cm="1">
        <f t="array" ref="AE27">CheckCellColor(AE27)</f>
        <v>7454605</v>
      </c>
      <c r="AF27" s="52" cm="1">
        <f t="array" ref="AF27">CheckCellColor(AF27)</f>
        <v>7851241</v>
      </c>
      <c r="AG27" s="184" t="s">
        <v>105</v>
      </c>
    </row>
    <row r="28" spans="2:36" ht="15" customHeight="1" thickBot="1" x14ac:dyDescent="0.35">
      <c r="B28" s="48">
        <v>0</v>
      </c>
      <c r="C28" s="95" cm="1">
        <f t="array" ref="C28">CheckCellColor(C28)</f>
        <v>7454605</v>
      </c>
      <c r="D28" s="96" cm="1">
        <f t="array" ref="D28">CheckCellColor(D28)</f>
        <v>7454605</v>
      </c>
      <c r="E28" s="96" cm="1">
        <f t="array" ref="E28">CheckCellColor(E28)</f>
        <v>7454605</v>
      </c>
      <c r="F28" s="97" cm="1">
        <f t="array" ref="F28">CheckCellColor(F28)</f>
        <v>7851241</v>
      </c>
      <c r="G28" s="97" cm="1">
        <f t="array" ref="G28">CheckCellColor(G28)</f>
        <v>7851241</v>
      </c>
      <c r="H28" s="96" cm="1">
        <f t="array" ref="H28">CheckCellColor(H28)</f>
        <v>7454605</v>
      </c>
      <c r="I28" s="96" cm="1">
        <f t="array" ref="I28">CheckCellColor(I28)</f>
        <v>7454605</v>
      </c>
      <c r="J28" s="96" cm="1">
        <f t="array" ref="J28">CheckCellColor(J28)</f>
        <v>7454605</v>
      </c>
      <c r="K28" s="96" cm="1">
        <f t="array" ref="K28">CheckCellColor(K28)</f>
        <v>7454605</v>
      </c>
      <c r="L28" s="96" cm="1">
        <f t="array" ref="L28">CheckCellColor(L28)</f>
        <v>7454605</v>
      </c>
      <c r="M28" s="96" cm="1">
        <f t="array" ref="M28">CheckCellColor(M28)</f>
        <v>7454605</v>
      </c>
      <c r="N28" s="97" cm="1">
        <f t="array" ref="N28">CheckCellColor(N28)</f>
        <v>7851241</v>
      </c>
      <c r="O28" s="97" cm="1">
        <f t="array" ref="O28">CheckCellColor(O28)</f>
        <v>7851241</v>
      </c>
      <c r="P28" s="96" cm="1">
        <f t="array" ref="P28">CheckCellColor(P28)</f>
        <v>7454605</v>
      </c>
      <c r="Q28" s="96" cm="1">
        <f t="array" ref="Q28">CheckCellColor(Q28)</f>
        <v>7454605</v>
      </c>
      <c r="R28" s="96" cm="1">
        <f t="array" ref="R28">CheckCellColor(R28)</f>
        <v>7454605</v>
      </c>
      <c r="S28" s="96" cm="1">
        <f t="array" ref="S28">CheckCellColor(S28)</f>
        <v>7454605</v>
      </c>
      <c r="T28" s="96" cm="1">
        <f t="array" ref="T28">CheckCellColor(T28)</f>
        <v>7454605</v>
      </c>
      <c r="U28" s="97" cm="1">
        <f t="array" ref="U28">CheckCellColor(U28)</f>
        <v>7851241</v>
      </c>
      <c r="V28" s="97" cm="1">
        <f t="array" ref="V28">CheckCellColor(V28)</f>
        <v>7851241</v>
      </c>
      <c r="W28" s="97" cm="1">
        <f t="array" ref="W28">CheckCellColor(W28)</f>
        <v>7851241</v>
      </c>
      <c r="X28" s="96" cm="1">
        <f t="array" ref="X28">CheckCellColor(X28)</f>
        <v>7454605</v>
      </c>
      <c r="Y28" s="96" cm="1">
        <f t="array" ref="Y28">CheckCellColor(Y28)</f>
        <v>7454605</v>
      </c>
      <c r="Z28" s="96" cm="1">
        <f t="array" ref="Z28">CheckCellColor(Z28)</f>
        <v>7454605</v>
      </c>
      <c r="AA28" s="96" cm="1">
        <f t="array" ref="AA28">CheckCellColor(AA28)</f>
        <v>7454605</v>
      </c>
      <c r="AB28" s="96" cm="1">
        <f t="array" ref="AB28">CheckCellColor(AB28)</f>
        <v>7454605</v>
      </c>
      <c r="AC28" s="96" cm="1">
        <f t="array" ref="AC28">CheckCellColor(AC28)</f>
        <v>7454605</v>
      </c>
      <c r="AD28" s="97" cm="1">
        <f t="array" ref="AD28">CheckCellColor(AD28)</f>
        <v>7851241</v>
      </c>
      <c r="AE28" s="96" cm="1">
        <f t="array" ref="AE28">CheckCellColor(AE28)</f>
        <v>7454605</v>
      </c>
      <c r="AF28" s="98" cm="1">
        <f t="array" ref="AF28">CheckCellColor(AF28)</f>
        <v>7851241</v>
      </c>
      <c r="AG28" s="184" t="s">
        <v>105</v>
      </c>
    </row>
    <row r="29" spans="2:36" ht="15" customHeight="1" x14ac:dyDescent="0.3">
      <c r="C29" s="99">
        <v>1</v>
      </c>
      <c r="D29" s="100">
        <v>2</v>
      </c>
      <c r="E29" s="100">
        <v>3</v>
      </c>
      <c r="F29" s="100">
        <v>4</v>
      </c>
      <c r="G29" s="100">
        <v>5</v>
      </c>
      <c r="H29" s="100">
        <v>6</v>
      </c>
      <c r="I29" s="100">
        <v>7</v>
      </c>
      <c r="J29" s="100">
        <v>8</v>
      </c>
      <c r="K29" s="100">
        <v>9</v>
      </c>
      <c r="L29" s="100">
        <v>10</v>
      </c>
      <c r="M29" s="100">
        <v>11</v>
      </c>
      <c r="N29" s="100">
        <v>12</v>
      </c>
      <c r="O29" s="100">
        <v>13</v>
      </c>
      <c r="P29" s="100">
        <v>14</v>
      </c>
      <c r="Q29" s="100">
        <v>15</v>
      </c>
      <c r="R29" s="100">
        <v>16</v>
      </c>
      <c r="S29" s="100">
        <v>17</v>
      </c>
      <c r="T29" s="100">
        <v>18</v>
      </c>
      <c r="U29" s="100">
        <v>19</v>
      </c>
      <c r="V29" s="100">
        <v>20</v>
      </c>
      <c r="W29" s="100">
        <v>21</v>
      </c>
      <c r="X29" s="100">
        <v>22</v>
      </c>
      <c r="Y29" s="100">
        <v>23</v>
      </c>
      <c r="Z29" s="100">
        <v>24</v>
      </c>
      <c r="AA29" s="100">
        <v>25</v>
      </c>
      <c r="AB29" s="100">
        <v>26</v>
      </c>
      <c r="AC29" s="100">
        <v>27</v>
      </c>
      <c r="AD29" s="100">
        <v>28</v>
      </c>
      <c r="AE29" s="100">
        <v>29</v>
      </c>
      <c r="AF29" s="100">
        <v>30</v>
      </c>
    </row>
    <row r="30" spans="2:36" ht="15" customHeight="1" x14ac:dyDescent="0.3"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</row>
    <row r="31" spans="2:36" ht="15" customHeight="1" x14ac:dyDescent="0.3"/>
    <row r="32" spans="2:36" ht="15" customHeight="1" x14ac:dyDescent="0.3">
      <c r="C32" s="33" t="s">
        <v>111</v>
      </c>
      <c r="AI32" s="33" t="s">
        <v>112</v>
      </c>
    </row>
    <row r="33" spans="2:39" ht="15" customHeight="1" thickBot="1" x14ac:dyDescent="0.35"/>
    <row r="34" spans="2:39" ht="15" customHeight="1" thickBot="1" x14ac:dyDescent="0.35">
      <c r="B34" s="34"/>
      <c r="C34" s="209">
        <v>45748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  <c r="AA34" s="209"/>
      <c r="AB34" s="209"/>
      <c r="AC34" s="209"/>
      <c r="AD34" s="209"/>
      <c r="AE34" s="209"/>
      <c r="AF34" s="209"/>
      <c r="AG34" s="35" t="s">
        <v>100</v>
      </c>
      <c r="AI34" s="36" t="s">
        <v>101</v>
      </c>
      <c r="AJ34" s="102" t="s">
        <v>102</v>
      </c>
      <c r="AK34" s="103" t="s">
        <v>103</v>
      </c>
      <c r="AL34" s="104" t="s">
        <v>104</v>
      </c>
      <c r="AM34" s="105" t="s">
        <v>113</v>
      </c>
    </row>
    <row r="35" spans="2:39" ht="15" customHeight="1" x14ac:dyDescent="0.3">
      <c r="B35" s="39">
        <v>0.95833333333333703</v>
      </c>
      <c r="C35" s="106"/>
      <c r="D35" s="107"/>
      <c r="E35" s="108"/>
      <c r="F35" s="108"/>
      <c r="G35" s="109"/>
      <c r="H35" s="109"/>
      <c r="I35" s="108"/>
      <c r="J35" s="109"/>
      <c r="K35" s="108"/>
      <c r="L35" s="109"/>
      <c r="M35" s="109"/>
      <c r="N35" s="108"/>
      <c r="O35" s="109"/>
      <c r="P35" s="110"/>
      <c r="Q35" s="108"/>
      <c r="R35" s="108"/>
      <c r="S35" s="109"/>
      <c r="T35" s="107"/>
      <c r="U35" s="108"/>
      <c r="V35" s="111"/>
      <c r="W35" s="109"/>
      <c r="X35" s="110"/>
      <c r="Y35" s="111"/>
      <c r="Z35" s="109"/>
      <c r="AA35" s="108"/>
      <c r="AB35" s="110"/>
      <c r="AC35" s="110"/>
      <c r="AD35" s="109"/>
      <c r="AE35" s="110"/>
      <c r="AF35" s="112"/>
      <c r="AG35" s="211" t="s">
        <v>105</v>
      </c>
      <c r="AI35" s="113" t="s">
        <v>114</v>
      </c>
      <c r="AJ35" s="114">
        <v>0</v>
      </c>
      <c r="AK35" s="115">
        <v>2</v>
      </c>
      <c r="AL35" s="116">
        <f>(AJ35+AK35)/2</f>
        <v>1</v>
      </c>
      <c r="AM35" s="117">
        <v>4</v>
      </c>
    </row>
    <row r="36" spans="2:39" ht="15" customHeight="1" x14ac:dyDescent="0.3">
      <c r="B36" s="48">
        <v>0.91666666666666996</v>
      </c>
      <c r="C36" s="118"/>
      <c r="D36" s="119"/>
      <c r="E36" s="120"/>
      <c r="F36" s="121"/>
      <c r="G36" s="120"/>
      <c r="H36" s="120"/>
      <c r="I36" s="120"/>
      <c r="J36" s="120"/>
      <c r="K36" s="121"/>
      <c r="L36" s="120"/>
      <c r="M36" s="120"/>
      <c r="N36" s="122"/>
      <c r="O36" s="123"/>
      <c r="P36" s="120"/>
      <c r="Q36" s="121"/>
      <c r="R36" s="121"/>
      <c r="S36" s="123"/>
      <c r="T36" s="119"/>
      <c r="U36" s="121"/>
      <c r="V36" s="119"/>
      <c r="W36" s="122"/>
      <c r="X36" s="121"/>
      <c r="Y36" s="122"/>
      <c r="Z36" s="123"/>
      <c r="AA36" s="120"/>
      <c r="AB36" s="123"/>
      <c r="AC36" s="123"/>
      <c r="AD36" s="121"/>
      <c r="AE36" s="121"/>
      <c r="AF36" s="124"/>
      <c r="AG36" s="206"/>
      <c r="AI36" s="125" t="s">
        <v>115</v>
      </c>
      <c r="AJ36" s="126">
        <v>2</v>
      </c>
      <c r="AK36" s="127">
        <v>6</v>
      </c>
      <c r="AL36" s="128">
        <f t="shared" ref="AL36:AL41" si="1">(AJ36+AK36)/2</f>
        <v>4</v>
      </c>
      <c r="AM36" s="129">
        <v>2</v>
      </c>
    </row>
    <row r="37" spans="2:39" ht="15" customHeight="1" x14ac:dyDescent="0.3">
      <c r="B37" s="48">
        <v>0.875000000000003</v>
      </c>
      <c r="C37" s="130"/>
      <c r="D37" s="119"/>
      <c r="E37" s="120"/>
      <c r="F37" s="123"/>
      <c r="G37" s="120"/>
      <c r="H37" s="123"/>
      <c r="I37" s="120"/>
      <c r="J37" s="120"/>
      <c r="K37" s="121"/>
      <c r="L37" s="123"/>
      <c r="M37" s="120"/>
      <c r="N37" s="122"/>
      <c r="O37" s="122"/>
      <c r="P37" s="121"/>
      <c r="Q37" s="121"/>
      <c r="R37" s="121"/>
      <c r="S37" s="123"/>
      <c r="T37" s="120"/>
      <c r="U37" s="121"/>
      <c r="V37" s="122"/>
      <c r="W37" s="122"/>
      <c r="X37" s="122"/>
      <c r="Y37" s="122"/>
      <c r="Z37" s="123"/>
      <c r="AA37" s="121"/>
      <c r="AB37" s="123"/>
      <c r="AC37" s="121"/>
      <c r="AD37" s="120"/>
      <c r="AE37" s="123"/>
      <c r="AF37" s="131"/>
      <c r="AG37" s="206"/>
      <c r="AI37" s="132" t="s">
        <v>116</v>
      </c>
      <c r="AJ37" s="126">
        <v>6</v>
      </c>
      <c r="AK37" s="127">
        <v>12</v>
      </c>
      <c r="AL37" s="128">
        <f t="shared" si="1"/>
        <v>9</v>
      </c>
      <c r="AM37" s="129">
        <v>0</v>
      </c>
    </row>
    <row r="38" spans="2:39" ht="15" customHeight="1" thickBot="1" x14ac:dyDescent="0.35">
      <c r="B38" s="48">
        <v>0.83333333333333504</v>
      </c>
      <c r="C38" s="130"/>
      <c r="D38" s="122"/>
      <c r="E38" s="120"/>
      <c r="F38" s="120"/>
      <c r="G38" s="121"/>
      <c r="H38" s="123"/>
      <c r="I38" s="120"/>
      <c r="J38" s="120"/>
      <c r="K38" s="121"/>
      <c r="L38" s="120"/>
      <c r="M38" s="123"/>
      <c r="N38" s="122"/>
      <c r="O38" s="122"/>
      <c r="P38" s="121"/>
      <c r="Q38" s="121"/>
      <c r="R38" s="122"/>
      <c r="S38" s="121"/>
      <c r="T38" s="120"/>
      <c r="U38" s="121"/>
      <c r="V38" s="120"/>
      <c r="W38" s="122"/>
      <c r="X38" s="122"/>
      <c r="Y38" s="122"/>
      <c r="Z38" s="121"/>
      <c r="AA38" s="120"/>
      <c r="AB38" s="123"/>
      <c r="AC38" s="120"/>
      <c r="AD38" s="120"/>
      <c r="AE38" s="120"/>
      <c r="AF38" s="133"/>
      <c r="AG38" s="212"/>
      <c r="AI38" s="134" t="s">
        <v>75</v>
      </c>
      <c r="AJ38" s="126">
        <v>12</v>
      </c>
      <c r="AK38" s="127">
        <v>20</v>
      </c>
      <c r="AL38" s="128">
        <f t="shared" si="1"/>
        <v>16</v>
      </c>
      <c r="AM38" s="129">
        <v>-2</v>
      </c>
    </row>
    <row r="39" spans="2:39" ht="15" customHeight="1" thickBot="1" x14ac:dyDescent="0.35">
      <c r="B39" s="48">
        <v>0.79166666666666796</v>
      </c>
      <c r="C39" s="135"/>
      <c r="D39" s="121"/>
      <c r="E39" s="122"/>
      <c r="F39" s="120"/>
      <c r="G39" s="121"/>
      <c r="H39" s="120"/>
      <c r="I39" s="120"/>
      <c r="J39" s="121"/>
      <c r="K39" s="121"/>
      <c r="L39" s="120"/>
      <c r="M39" s="121"/>
      <c r="N39" s="121"/>
      <c r="O39" s="136"/>
      <c r="P39" s="136"/>
      <c r="Q39" s="137"/>
      <c r="R39" s="137"/>
      <c r="S39" s="137"/>
      <c r="T39" s="136"/>
      <c r="U39" s="138"/>
      <c r="V39" s="136"/>
      <c r="W39" s="136"/>
      <c r="X39" s="137"/>
      <c r="Y39" s="139"/>
      <c r="Z39" s="137"/>
      <c r="AA39" s="136"/>
      <c r="AB39" s="138"/>
      <c r="AC39" s="137"/>
      <c r="AD39" s="138"/>
      <c r="AE39" s="140"/>
      <c r="AF39" s="141"/>
      <c r="AG39" s="203" t="s">
        <v>108</v>
      </c>
      <c r="AI39" s="142" t="s">
        <v>117</v>
      </c>
      <c r="AJ39" s="126">
        <v>20</v>
      </c>
      <c r="AK39" s="127">
        <v>30</v>
      </c>
      <c r="AL39" s="128">
        <f t="shared" si="1"/>
        <v>25</v>
      </c>
      <c r="AM39" s="129">
        <v>-4</v>
      </c>
    </row>
    <row r="40" spans="2:39" ht="15" customHeight="1" thickBot="1" x14ac:dyDescent="0.35">
      <c r="B40" s="66">
        <v>0.750000000000001</v>
      </c>
      <c r="C40" s="143"/>
      <c r="D40" s="136"/>
      <c r="E40" s="136"/>
      <c r="F40" s="137"/>
      <c r="G40" s="137"/>
      <c r="H40" s="137"/>
      <c r="I40" s="137"/>
      <c r="J40" s="137"/>
      <c r="K40" s="138"/>
      <c r="L40" s="138"/>
      <c r="M40" s="136"/>
      <c r="N40" s="144"/>
      <c r="O40" s="121"/>
      <c r="P40" s="121"/>
      <c r="Q40" s="121"/>
      <c r="R40" s="122"/>
      <c r="S40" s="121"/>
      <c r="T40" s="121"/>
      <c r="U40" s="121"/>
      <c r="V40" s="122"/>
      <c r="W40" s="122"/>
      <c r="X40" s="122"/>
      <c r="Y40" s="122"/>
      <c r="Z40" s="122"/>
      <c r="AA40" s="120"/>
      <c r="AB40" s="120"/>
      <c r="AC40" s="121"/>
      <c r="AD40" s="123"/>
      <c r="AE40" s="120"/>
      <c r="AF40" s="131"/>
      <c r="AG40" s="203"/>
      <c r="AI40" s="145" t="s">
        <v>118</v>
      </c>
      <c r="AJ40" s="146">
        <v>30</v>
      </c>
      <c r="AK40" s="147">
        <v>40</v>
      </c>
      <c r="AL40" s="128">
        <f t="shared" si="1"/>
        <v>35</v>
      </c>
      <c r="AM40" s="129">
        <v>-6</v>
      </c>
    </row>
    <row r="41" spans="2:39" ht="15" customHeight="1" thickBot="1" x14ac:dyDescent="0.35">
      <c r="B41" s="39">
        <v>0.70833333333333404</v>
      </c>
      <c r="C41" s="135"/>
      <c r="D41" s="122"/>
      <c r="E41" s="122"/>
      <c r="F41" s="121"/>
      <c r="G41" s="121"/>
      <c r="H41" s="123"/>
      <c r="I41" s="120"/>
      <c r="J41" s="121"/>
      <c r="K41" s="121"/>
      <c r="L41" s="120"/>
      <c r="M41" s="122"/>
      <c r="N41" s="122"/>
      <c r="O41" s="122"/>
      <c r="P41" s="121"/>
      <c r="Q41" s="121"/>
      <c r="R41" s="122"/>
      <c r="S41" s="121"/>
      <c r="T41" s="122"/>
      <c r="U41" s="121"/>
      <c r="V41" s="122"/>
      <c r="W41" s="122"/>
      <c r="X41" s="121"/>
      <c r="Y41" s="121"/>
      <c r="Z41" s="121"/>
      <c r="AA41" s="121"/>
      <c r="AB41" s="121"/>
      <c r="AC41" s="121"/>
      <c r="AD41" s="121"/>
      <c r="AE41" s="121"/>
      <c r="AF41" s="131"/>
      <c r="AG41" s="203"/>
      <c r="AI41" s="148" t="s">
        <v>119</v>
      </c>
      <c r="AJ41" s="149">
        <v>40</v>
      </c>
      <c r="AK41" s="150">
        <v>50</v>
      </c>
      <c r="AL41" s="151">
        <f t="shared" si="1"/>
        <v>45</v>
      </c>
      <c r="AM41" s="152">
        <v>-8</v>
      </c>
    </row>
    <row r="42" spans="2:39" ht="15" customHeight="1" x14ac:dyDescent="0.3">
      <c r="B42" s="48">
        <v>0.66666666666666696</v>
      </c>
      <c r="C42" s="135"/>
      <c r="D42" s="122"/>
      <c r="E42" s="122"/>
      <c r="F42" s="121"/>
      <c r="G42" s="121"/>
      <c r="H42" s="120"/>
      <c r="I42" s="121"/>
      <c r="J42" s="121"/>
      <c r="K42" s="122"/>
      <c r="L42" s="121"/>
      <c r="M42" s="121"/>
      <c r="N42" s="122"/>
      <c r="O42" s="119"/>
      <c r="P42" s="122"/>
      <c r="Q42" s="122"/>
      <c r="R42" s="122"/>
      <c r="S42" s="121"/>
      <c r="T42" s="122"/>
      <c r="U42" s="121"/>
      <c r="V42" s="122"/>
      <c r="W42" s="122"/>
      <c r="X42" s="122"/>
      <c r="Y42" s="122"/>
      <c r="Z42" s="121"/>
      <c r="AA42" s="121"/>
      <c r="AB42" s="120"/>
      <c r="AC42" s="121"/>
      <c r="AD42" s="121"/>
      <c r="AE42" s="121"/>
      <c r="AF42" s="131"/>
      <c r="AG42" s="203"/>
    </row>
    <row r="43" spans="2:39" ht="15" customHeight="1" x14ac:dyDescent="0.3">
      <c r="B43" s="48">
        <v>0.625</v>
      </c>
      <c r="C43" s="135"/>
      <c r="D43" s="122"/>
      <c r="E43" s="120"/>
      <c r="F43" s="120"/>
      <c r="G43" s="121"/>
      <c r="H43" s="121"/>
      <c r="I43" s="121"/>
      <c r="J43" s="121"/>
      <c r="K43" s="122"/>
      <c r="L43" s="122"/>
      <c r="M43" s="122"/>
      <c r="N43" s="122"/>
      <c r="O43" s="119"/>
      <c r="P43" s="122"/>
      <c r="Q43" s="122"/>
      <c r="R43" s="122"/>
      <c r="S43" s="121"/>
      <c r="T43" s="122"/>
      <c r="U43" s="121"/>
      <c r="V43" s="122"/>
      <c r="W43" s="122"/>
      <c r="X43" s="122"/>
      <c r="Y43" s="153"/>
      <c r="Z43" s="121"/>
      <c r="AA43" s="121"/>
      <c r="AB43" s="121"/>
      <c r="AC43" s="120"/>
      <c r="AD43" s="121"/>
      <c r="AE43" s="121"/>
      <c r="AF43" s="141"/>
      <c r="AG43" s="203"/>
    </row>
    <row r="44" spans="2:39" ht="15" customHeight="1" x14ac:dyDescent="0.3">
      <c r="B44" s="48">
        <v>0.58333333333333304</v>
      </c>
      <c r="C44" s="118"/>
      <c r="D44" s="122"/>
      <c r="E44" s="121"/>
      <c r="F44" s="121"/>
      <c r="G44" s="121"/>
      <c r="H44" s="121"/>
      <c r="I44" s="122"/>
      <c r="J44" s="121"/>
      <c r="K44" s="122"/>
      <c r="L44" s="120"/>
      <c r="M44" s="122"/>
      <c r="N44" s="122"/>
      <c r="O44" s="154"/>
      <c r="P44" s="122"/>
      <c r="Q44" s="121"/>
      <c r="R44" s="121"/>
      <c r="S44" s="120"/>
      <c r="T44" s="122"/>
      <c r="U44" s="121"/>
      <c r="V44" s="122"/>
      <c r="W44" s="122"/>
      <c r="X44" s="122"/>
      <c r="Y44" s="153"/>
      <c r="Z44" s="122"/>
      <c r="AA44" s="121"/>
      <c r="AB44" s="121"/>
      <c r="AC44" s="121"/>
      <c r="AD44" s="120"/>
      <c r="AE44" s="121"/>
      <c r="AF44" s="141"/>
      <c r="AG44" s="203"/>
    </row>
    <row r="45" spans="2:39" ht="15" customHeight="1" x14ac:dyDescent="0.3">
      <c r="B45" s="48">
        <v>0.54166666666666596</v>
      </c>
      <c r="C45" s="130"/>
      <c r="D45" s="122"/>
      <c r="E45" s="121"/>
      <c r="F45" s="121"/>
      <c r="G45" s="121"/>
      <c r="H45" s="121"/>
      <c r="I45" s="122"/>
      <c r="J45" s="121"/>
      <c r="K45" s="122"/>
      <c r="L45" s="121"/>
      <c r="M45" s="122"/>
      <c r="N45" s="122"/>
      <c r="O45" s="119"/>
      <c r="P45" s="121"/>
      <c r="Q45" s="121"/>
      <c r="R45" s="121"/>
      <c r="S45" s="121"/>
      <c r="T45" s="121"/>
      <c r="U45" s="122"/>
      <c r="V45" s="122"/>
      <c r="W45" s="122"/>
      <c r="X45" s="122"/>
      <c r="Y45" s="122"/>
      <c r="Z45" s="121"/>
      <c r="AA45" s="121"/>
      <c r="AB45" s="121"/>
      <c r="AC45" s="121"/>
      <c r="AD45" s="122"/>
      <c r="AE45" s="121"/>
      <c r="AF45" s="131"/>
      <c r="AG45" s="203"/>
    </row>
    <row r="46" spans="2:39" ht="15" customHeight="1" x14ac:dyDescent="0.3">
      <c r="B46" s="48">
        <v>0.5</v>
      </c>
      <c r="C46" s="135"/>
      <c r="D46" s="122"/>
      <c r="E46" s="122"/>
      <c r="F46" s="121"/>
      <c r="G46" s="122"/>
      <c r="H46" s="121"/>
      <c r="I46" s="122"/>
      <c r="J46" s="121"/>
      <c r="K46" s="119"/>
      <c r="L46" s="121"/>
      <c r="M46" s="122"/>
      <c r="N46" s="122"/>
      <c r="O46" s="119"/>
      <c r="P46" s="121"/>
      <c r="Q46" s="122"/>
      <c r="R46" s="122"/>
      <c r="S46" s="121"/>
      <c r="T46" s="121"/>
      <c r="U46" s="122"/>
      <c r="V46" s="122"/>
      <c r="W46" s="119"/>
      <c r="X46" s="122"/>
      <c r="Y46" s="153"/>
      <c r="Z46" s="122"/>
      <c r="AA46" s="121"/>
      <c r="AB46" s="121"/>
      <c r="AC46" s="121"/>
      <c r="AD46" s="122"/>
      <c r="AE46" s="121"/>
      <c r="AF46" s="124"/>
      <c r="AG46" s="203"/>
    </row>
    <row r="47" spans="2:39" ht="15" customHeight="1" x14ac:dyDescent="0.3">
      <c r="B47" s="48">
        <v>0.45833333333333298</v>
      </c>
      <c r="C47" s="135"/>
      <c r="D47" s="122"/>
      <c r="E47" s="122"/>
      <c r="F47" s="121"/>
      <c r="G47" s="122"/>
      <c r="H47" s="121"/>
      <c r="I47" s="122"/>
      <c r="J47" s="120"/>
      <c r="K47" s="121"/>
      <c r="L47" s="121"/>
      <c r="M47" s="122"/>
      <c r="N47" s="122"/>
      <c r="O47" s="122"/>
      <c r="P47" s="122"/>
      <c r="Q47" s="122"/>
      <c r="R47" s="122"/>
      <c r="S47" s="121"/>
      <c r="T47" s="122"/>
      <c r="U47" s="122"/>
      <c r="V47" s="122"/>
      <c r="W47" s="119"/>
      <c r="X47" s="122"/>
      <c r="Y47" s="122"/>
      <c r="Z47" s="122"/>
      <c r="AA47" s="121"/>
      <c r="AB47" s="121"/>
      <c r="AC47" s="122"/>
      <c r="AD47" s="122"/>
      <c r="AE47" s="120"/>
      <c r="AF47" s="131"/>
      <c r="AG47" s="203"/>
    </row>
    <row r="48" spans="2:39" ht="15" customHeight="1" x14ac:dyDescent="0.3">
      <c r="B48" s="48">
        <v>0.41666666666666602</v>
      </c>
      <c r="C48" s="135"/>
      <c r="D48" s="122"/>
      <c r="E48" s="119"/>
      <c r="F48" s="121"/>
      <c r="G48" s="122"/>
      <c r="H48" s="121"/>
      <c r="I48" s="119"/>
      <c r="J48" s="121"/>
      <c r="K48" s="121"/>
      <c r="L48" s="121"/>
      <c r="M48" s="121"/>
      <c r="N48" s="122"/>
      <c r="O48" s="153"/>
      <c r="P48" s="122"/>
      <c r="Q48" s="122"/>
      <c r="R48" s="122"/>
      <c r="S48" s="120"/>
      <c r="T48" s="121"/>
      <c r="U48" s="122"/>
      <c r="V48" s="122"/>
      <c r="W48" s="122"/>
      <c r="X48" s="119"/>
      <c r="Y48" s="154"/>
      <c r="Z48" s="119"/>
      <c r="AA48" s="121"/>
      <c r="AB48" s="122"/>
      <c r="AC48" s="121"/>
      <c r="AD48" s="122"/>
      <c r="AE48" s="120"/>
      <c r="AF48" s="141"/>
      <c r="AG48" s="203"/>
    </row>
    <row r="49" spans="2:33" ht="15" customHeight="1" x14ac:dyDescent="0.3">
      <c r="B49" s="48">
        <v>0.375</v>
      </c>
      <c r="C49" s="135"/>
      <c r="D49" s="122"/>
      <c r="E49" s="119"/>
      <c r="F49" s="121"/>
      <c r="G49" s="122"/>
      <c r="H49" s="120"/>
      <c r="I49" s="119"/>
      <c r="J49" s="120"/>
      <c r="K49" s="120"/>
      <c r="L49" s="123"/>
      <c r="M49" s="123"/>
      <c r="N49" s="121"/>
      <c r="O49" s="122"/>
      <c r="P49" s="121"/>
      <c r="Q49" s="121"/>
      <c r="R49" s="121"/>
      <c r="S49" s="120"/>
      <c r="T49" s="120"/>
      <c r="U49" s="154"/>
      <c r="V49" s="122"/>
      <c r="W49" s="122"/>
      <c r="X49" s="153"/>
      <c r="Y49" s="120"/>
      <c r="Z49" s="119"/>
      <c r="AA49" s="120"/>
      <c r="AB49" s="121"/>
      <c r="AC49" s="120"/>
      <c r="AD49" s="121"/>
      <c r="AE49" s="120"/>
      <c r="AF49" s="131"/>
      <c r="AG49" s="203"/>
    </row>
    <row r="50" spans="2:33" ht="15" customHeight="1" x14ac:dyDescent="0.3">
      <c r="B50" s="48">
        <v>0.33333333333333298</v>
      </c>
      <c r="C50" s="135"/>
      <c r="D50" s="122"/>
      <c r="E50" s="123"/>
      <c r="F50" s="121"/>
      <c r="G50" s="120"/>
      <c r="H50" s="123"/>
      <c r="I50" s="120"/>
      <c r="J50" s="123"/>
      <c r="K50" s="120"/>
      <c r="L50" s="120"/>
      <c r="M50" s="123"/>
      <c r="N50" s="122"/>
      <c r="O50" s="119"/>
      <c r="P50" s="121"/>
      <c r="Q50" s="121"/>
      <c r="R50" s="121"/>
      <c r="S50" s="123"/>
      <c r="T50" s="123"/>
      <c r="U50" s="120"/>
      <c r="V50" s="120"/>
      <c r="W50" s="121"/>
      <c r="X50" s="120"/>
      <c r="Y50" s="123"/>
      <c r="Z50" s="121"/>
      <c r="AA50" s="121"/>
      <c r="AB50" s="121"/>
      <c r="AC50" s="120"/>
      <c r="AD50" s="123"/>
      <c r="AE50" s="120"/>
      <c r="AF50" s="124"/>
      <c r="AG50" s="203"/>
    </row>
    <row r="51" spans="2:33" ht="15" customHeight="1" thickBot="1" x14ac:dyDescent="0.35">
      <c r="B51" s="86">
        <v>0.29166666666666602</v>
      </c>
      <c r="C51" s="130"/>
      <c r="D51" s="122"/>
      <c r="E51" s="123"/>
      <c r="F51" s="121"/>
      <c r="G51" s="120"/>
      <c r="H51" s="123"/>
      <c r="I51" s="123"/>
      <c r="J51" s="123"/>
      <c r="K51" s="123"/>
      <c r="L51" s="123"/>
      <c r="M51" s="123"/>
      <c r="N51" s="121"/>
      <c r="O51" s="121"/>
      <c r="P51" s="121"/>
      <c r="Q51" s="121"/>
      <c r="R51" s="121"/>
      <c r="S51" s="123"/>
      <c r="T51" s="123"/>
      <c r="U51" s="123"/>
      <c r="V51" s="120"/>
      <c r="W51" s="123"/>
      <c r="X51" s="123"/>
      <c r="Y51" s="123"/>
      <c r="Z51" s="120"/>
      <c r="AA51" s="120"/>
      <c r="AB51" s="123"/>
      <c r="AC51" s="123"/>
      <c r="AD51" s="123"/>
      <c r="AE51" s="120"/>
      <c r="AF51" s="155"/>
      <c r="AG51" s="203"/>
    </row>
    <row r="52" spans="2:33" ht="15" customHeight="1" thickBot="1" x14ac:dyDescent="0.35">
      <c r="B52" s="87">
        <v>0.25</v>
      </c>
      <c r="C52" s="156"/>
      <c r="D52" s="157"/>
      <c r="E52" s="157"/>
      <c r="F52" s="158"/>
      <c r="G52" s="158"/>
      <c r="H52" s="159"/>
      <c r="I52" s="159"/>
      <c r="J52" s="159"/>
      <c r="K52" s="158"/>
      <c r="L52" s="158"/>
      <c r="M52" s="159"/>
      <c r="N52" s="158"/>
      <c r="O52" s="157"/>
      <c r="P52" s="158"/>
      <c r="Q52" s="157"/>
      <c r="R52" s="157"/>
      <c r="S52" s="160"/>
      <c r="T52" s="120"/>
      <c r="U52" s="123"/>
      <c r="V52" s="123"/>
      <c r="W52" s="123"/>
      <c r="X52" s="123"/>
      <c r="Y52" s="123"/>
      <c r="Z52" s="121"/>
      <c r="AA52" s="123"/>
      <c r="AB52" s="120"/>
      <c r="AC52" s="123"/>
      <c r="AD52" s="123"/>
      <c r="AE52" s="123"/>
      <c r="AF52" s="155"/>
      <c r="AG52" s="204"/>
    </row>
    <row r="53" spans="2:33" ht="15" customHeight="1" x14ac:dyDescent="0.3">
      <c r="B53" s="48">
        <v>0.20833333333333301</v>
      </c>
      <c r="C53" s="161"/>
      <c r="D53" s="121"/>
      <c r="E53" s="121"/>
      <c r="F53" s="121"/>
      <c r="G53" s="123"/>
      <c r="H53" s="123"/>
      <c r="I53" s="123"/>
      <c r="J53" s="120"/>
      <c r="K53" s="123"/>
      <c r="L53" s="121"/>
      <c r="M53" s="120"/>
      <c r="N53" s="123"/>
      <c r="O53" s="120"/>
      <c r="P53" s="121"/>
      <c r="Q53" s="122"/>
      <c r="R53" s="121"/>
      <c r="S53" s="121"/>
      <c r="T53" s="159"/>
      <c r="U53" s="159"/>
      <c r="V53" s="158"/>
      <c r="W53" s="159"/>
      <c r="X53" s="159"/>
      <c r="Y53" s="159"/>
      <c r="Z53" s="158"/>
      <c r="AA53" s="158"/>
      <c r="AB53" s="158"/>
      <c r="AC53" s="159"/>
      <c r="AD53" s="159"/>
      <c r="AE53" s="159"/>
      <c r="AF53" s="162"/>
      <c r="AG53" s="205" t="s">
        <v>105</v>
      </c>
    </row>
    <row r="54" spans="2:33" ht="15" customHeight="1" x14ac:dyDescent="0.3">
      <c r="B54" s="48">
        <v>0.16666666666666699</v>
      </c>
      <c r="C54" s="130"/>
      <c r="D54" s="121"/>
      <c r="E54" s="121"/>
      <c r="F54" s="123"/>
      <c r="G54" s="120"/>
      <c r="H54" s="121"/>
      <c r="I54" s="123"/>
      <c r="J54" s="120"/>
      <c r="K54" s="123"/>
      <c r="L54" s="123"/>
      <c r="M54" s="123"/>
      <c r="N54" s="123"/>
      <c r="O54" s="121"/>
      <c r="P54" s="123"/>
      <c r="Q54" s="121"/>
      <c r="R54" s="121"/>
      <c r="S54" s="121"/>
      <c r="T54" s="123"/>
      <c r="U54" s="121"/>
      <c r="V54" s="123"/>
      <c r="W54" s="123"/>
      <c r="X54" s="123"/>
      <c r="Y54" s="123"/>
      <c r="Z54" s="123"/>
      <c r="AA54" s="123"/>
      <c r="AB54" s="120"/>
      <c r="AC54" s="123"/>
      <c r="AD54" s="123"/>
      <c r="AE54" s="120"/>
      <c r="AF54" s="155"/>
      <c r="AG54" s="206"/>
    </row>
    <row r="55" spans="2:33" ht="15" customHeight="1" x14ac:dyDescent="0.3">
      <c r="B55" s="48">
        <v>0.125</v>
      </c>
      <c r="C55" s="161"/>
      <c r="D55" s="121"/>
      <c r="E55" s="121"/>
      <c r="F55" s="123"/>
      <c r="G55" s="123"/>
      <c r="H55" s="121"/>
      <c r="I55" s="123"/>
      <c r="J55" s="120"/>
      <c r="K55" s="120"/>
      <c r="L55" s="120"/>
      <c r="M55" s="123"/>
      <c r="N55" s="120"/>
      <c r="O55" s="121"/>
      <c r="P55" s="123"/>
      <c r="Q55" s="121"/>
      <c r="R55" s="120"/>
      <c r="S55" s="121"/>
      <c r="T55" s="123"/>
      <c r="U55" s="123"/>
      <c r="V55" s="123"/>
      <c r="W55" s="123"/>
      <c r="X55" s="123"/>
      <c r="Y55" s="120"/>
      <c r="Z55" s="123"/>
      <c r="AA55" s="123"/>
      <c r="AB55" s="120"/>
      <c r="AC55" s="120"/>
      <c r="AD55" s="123"/>
      <c r="AE55" s="120"/>
      <c r="AF55" s="155"/>
      <c r="AG55" s="206"/>
    </row>
    <row r="56" spans="2:33" ht="15" customHeight="1" x14ac:dyDescent="0.3">
      <c r="B56" s="48">
        <v>8.3333333333333329E-2</v>
      </c>
      <c r="C56" s="130"/>
      <c r="D56" s="121"/>
      <c r="E56" s="123"/>
      <c r="F56" s="123"/>
      <c r="G56" s="123"/>
      <c r="H56" s="121"/>
      <c r="I56" s="120"/>
      <c r="J56" s="120"/>
      <c r="K56" s="121"/>
      <c r="L56" s="121"/>
      <c r="M56" s="121"/>
      <c r="N56" s="123"/>
      <c r="O56" s="121"/>
      <c r="P56" s="120"/>
      <c r="Q56" s="121"/>
      <c r="R56" s="123"/>
      <c r="S56" s="121"/>
      <c r="T56" s="123"/>
      <c r="U56" s="123"/>
      <c r="V56" s="123"/>
      <c r="W56" s="120"/>
      <c r="X56" s="121"/>
      <c r="Y56" s="120"/>
      <c r="Z56" s="123"/>
      <c r="AA56" s="121"/>
      <c r="AB56" s="121"/>
      <c r="AC56" s="121"/>
      <c r="AD56" s="123"/>
      <c r="AE56" s="120"/>
      <c r="AF56" s="155"/>
      <c r="AG56" s="206"/>
    </row>
    <row r="57" spans="2:33" ht="15" customHeight="1" x14ac:dyDescent="0.3">
      <c r="B57" s="48">
        <v>4.1666666666666664E-2</v>
      </c>
      <c r="C57" s="130"/>
      <c r="D57" s="121"/>
      <c r="E57" s="120"/>
      <c r="F57" s="120"/>
      <c r="G57" s="121"/>
      <c r="H57" s="123"/>
      <c r="I57" s="123"/>
      <c r="J57" s="121"/>
      <c r="K57" s="120"/>
      <c r="L57" s="120"/>
      <c r="M57" s="120"/>
      <c r="N57" s="123"/>
      <c r="O57" s="120"/>
      <c r="P57" s="121"/>
      <c r="Q57" s="120"/>
      <c r="R57" s="123"/>
      <c r="S57" s="121"/>
      <c r="T57" s="123"/>
      <c r="U57" s="120"/>
      <c r="V57" s="121"/>
      <c r="W57" s="120"/>
      <c r="X57" s="120"/>
      <c r="Y57" s="123"/>
      <c r="Z57" s="120"/>
      <c r="AA57" s="121"/>
      <c r="AB57" s="120"/>
      <c r="AC57" s="120"/>
      <c r="AD57" s="123"/>
      <c r="AE57" s="123"/>
      <c r="AF57" s="155"/>
      <c r="AG57" s="206"/>
    </row>
    <row r="58" spans="2:33" ht="15" customHeight="1" thickBot="1" x14ac:dyDescent="0.35">
      <c r="B58" s="48">
        <v>0</v>
      </c>
      <c r="C58" s="163"/>
      <c r="D58" s="164"/>
      <c r="E58" s="164"/>
      <c r="F58" s="164"/>
      <c r="G58" s="164"/>
      <c r="H58" s="164"/>
      <c r="I58" s="165"/>
      <c r="J58" s="166"/>
      <c r="K58" s="166"/>
      <c r="L58" s="165"/>
      <c r="M58" s="165"/>
      <c r="N58" s="165"/>
      <c r="O58" s="166"/>
      <c r="P58" s="164"/>
      <c r="Q58" s="164"/>
      <c r="R58" s="165"/>
      <c r="S58" s="164"/>
      <c r="T58" s="166"/>
      <c r="U58" s="164"/>
      <c r="V58" s="167"/>
      <c r="W58" s="167"/>
      <c r="X58" s="164"/>
      <c r="Y58" s="165"/>
      <c r="Z58" s="166"/>
      <c r="AA58" s="166"/>
      <c r="AB58" s="164"/>
      <c r="AC58" s="166"/>
      <c r="AD58" s="165"/>
      <c r="AE58" s="165"/>
      <c r="AF58" s="168"/>
      <c r="AG58" s="207"/>
    </row>
    <row r="59" spans="2:33" ht="15" customHeight="1" x14ac:dyDescent="0.3">
      <c r="C59" s="99">
        <v>1</v>
      </c>
      <c r="D59" s="100">
        <v>2</v>
      </c>
      <c r="E59" s="100">
        <v>3</v>
      </c>
      <c r="F59" s="100">
        <v>4</v>
      </c>
      <c r="G59" s="100">
        <v>5</v>
      </c>
      <c r="H59" s="100">
        <v>6</v>
      </c>
      <c r="I59" s="100">
        <v>7</v>
      </c>
      <c r="J59" s="100">
        <v>8</v>
      </c>
      <c r="K59" s="100">
        <v>9</v>
      </c>
      <c r="L59" s="100">
        <v>10</v>
      </c>
      <c r="M59" s="100">
        <v>11</v>
      </c>
      <c r="N59" s="100">
        <v>12</v>
      </c>
      <c r="O59" s="100">
        <v>13</v>
      </c>
      <c r="P59" s="100">
        <v>14</v>
      </c>
      <c r="Q59" s="100">
        <v>15</v>
      </c>
      <c r="R59" s="100">
        <v>16</v>
      </c>
      <c r="S59" s="100">
        <v>17</v>
      </c>
      <c r="T59" s="100">
        <v>18</v>
      </c>
      <c r="U59" s="100">
        <v>19</v>
      </c>
      <c r="V59" s="100">
        <v>20</v>
      </c>
      <c r="W59" s="100">
        <v>21</v>
      </c>
      <c r="X59" s="100">
        <v>22</v>
      </c>
      <c r="Y59" s="100">
        <v>23</v>
      </c>
      <c r="Z59" s="100">
        <v>24</v>
      </c>
      <c r="AA59" s="100">
        <v>25</v>
      </c>
      <c r="AB59" s="100">
        <v>26</v>
      </c>
      <c r="AC59" s="100">
        <v>27</v>
      </c>
      <c r="AD59" s="100">
        <v>28</v>
      </c>
      <c r="AE59" s="100">
        <v>29</v>
      </c>
      <c r="AF59" s="100">
        <v>30</v>
      </c>
    </row>
  </sheetData>
  <mergeCells count="5">
    <mergeCell ref="AG39:AG52"/>
    <mergeCell ref="AG53:AG58"/>
    <mergeCell ref="C4:AF4"/>
    <mergeCell ref="C34:AF34"/>
    <mergeCell ref="AG35:AG38"/>
  </mergeCells>
  <pageMargins left="0.511811024" right="0.511811024" top="0.78740157499999996" bottom="0.78740157499999996" header="0.31496062000000002" footer="0.31496062000000002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AC77-7D8E-4ED1-A10A-8B6B59CB6451}">
  <sheetPr codeName="Sheet3">
    <tabColor theme="1"/>
  </sheetPr>
  <dimension ref="B2:P272"/>
  <sheetViews>
    <sheetView showGridLines="0" topLeftCell="A57" zoomScaleNormal="100" workbookViewId="0"/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11" width="8.6640625" customWidth="1"/>
    <col min="12" max="12" width="11.5546875" customWidth="1"/>
    <col min="13" max="13" width="20" customWidth="1"/>
    <col min="14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197" t="s">
        <v>2</v>
      </c>
      <c r="O4" s="197"/>
      <c r="P4" s="197"/>
    </row>
    <row r="5" spans="2:16" ht="15" customHeight="1" thickTop="1" x14ac:dyDescent="0.3">
      <c r="B5" s="198" t="s">
        <v>3</v>
      </c>
      <c r="C5" s="198"/>
      <c r="D5" s="198"/>
      <c r="E5" s="198"/>
      <c r="F5" s="198"/>
      <c r="G5" s="198"/>
      <c r="H5" s="198"/>
      <c r="I5" s="198"/>
      <c r="J5" s="198"/>
      <c r="K5" s="198"/>
      <c r="L5" s="198"/>
    </row>
    <row r="6" spans="2:16" x14ac:dyDescent="0.3"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</row>
    <row r="7" spans="2:16" x14ac:dyDescent="0.3">
      <c r="B7" s="199"/>
      <c r="C7" s="199"/>
      <c r="D7" s="199"/>
      <c r="E7" s="199"/>
      <c r="F7" s="199"/>
      <c r="G7" s="199"/>
      <c r="H7" s="199"/>
      <c r="I7" s="199"/>
      <c r="J7" s="199"/>
      <c r="K7" s="199"/>
      <c r="L7" s="199"/>
    </row>
    <row r="8" spans="2:16" x14ac:dyDescent="0.3"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</row>
    <row r="9" spans="2:16" x14ac:dyDescent="0.3">
      <c r="B9" s="199"/>
      <c r="C9" s="199"/>
      <c r="D9" s="199"/>
      <c r="E9" s="199"/>
      <c r="F9" s="199"/>
      <c r="G9" s="199"/>
      <c r="H9" s="199"/>
      <c r="I9" s="199"/>
      <c r="J9" s="199"/>
      <c r="K9" s="199"/>
      <c r="L9" s="199"/>
    </row>
    <row r="10" spans="2:16" x14ac:dyDescent="0.3"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</row>
    <row r="11" spans="2:16" x14ac:dyDescent="0.3"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</row>
    <row r="12" spans="2:16" x14ac:dyDescent="0.3">
      <c r="B12" s="199"/>
      <c r="C12" s="199"/>
      <c r="D12" s="199"/>
      <c r="E12" s="199"/>
      <c r="F12" s="199"/>
      <c r="G12" s="199"/>
      <c r="H12" s="199"/>
      <c r="I12" s="199"/>
      <c r="J12" s="199"/>
      <c r="K12" s="199"/>
      <c r="L12" s="199"/>
    </row>
    <row r="13" spans="2:16" x14ac:dyDescent="0.3"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</row>
    <row r="14" spans="2:16" x14ac:dyDescent="0.3">
      <c r="B14" s="199"/>
      <c r="C14" s="199"/>
      <c r="D14" s="199"/>
      <c r="E14" s="199"/>
      <c r="F14" s="199"/>
      <c r="G14" s="199"/>
      <c r="H14" s="199"/>
      <c r="I14" s="199"/>
      <c r="J14" s="199"/>
      <c r="K14" s="199"/>
      <c r="L14" s="199"/>
    </row>
    <row r="15" spans="2:16" x14ac:dyDescent="0.3">
      <c r="B15" s="199"/>
      <c r="C15" s="199"/>
      <c r="D15" s="199"/>
      <c r="E15" s="199"/>
      <c r="F15" s="199"/>
      <c r="G15" s="199"/>
      <c r="H15" s="199"/>
      <c r="I15" s="199"/>
      <c r="J15" s="199"/>
      <c r="K15" s="199"/>
      <c r="L15" s="199"/>
    </row>
    <row r="16" spans="2:16" ht="15" thickBot="1" x14ac:dyDescent="0.35"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N16" s="201" t="s">
        <v>4</v>
      </c>
      <c r="O16" s="201"/>
      <c r="P16" s="24" t="str">
        <f>HYPERLINK("https://www.linkedin.com/in/thomas-marcelo/","🔗")</f>
        <v>🔗</v>
      </c>
    </row>
    <row r="17" spans="2:16" ht="15" thickTop="1" x14ac:dyDescent="0.3">
      <c r="B17" s="199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N17" s="179" t="s">
        <v>5</v>
      </c>
      <c r="O17" s="180"/>
      <c r="P17" s="180"/>
    </row>
    <row r="18" spans="2:16" x14ac:dyDescent="0.3">
      <c r="B18" s="199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00"/>
      <c r="C19" s="200"/>
      <c r="D19" s="200"/>
      <c r="E19" s="200"/>
      <c r="F19" s="200"/>
      <c r="G19" s="200"/>
      <c r="H19" s="200"/>
      <c r="I19" s="200"/>
      <c r="J19" s="200"/>
      <c r="K19" s="200"/>
      <c r="L19" s="200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>
        <v>45765</v>
      </c>
      <c r="F24" s="202" t="s">
        <v>15</v>
      </c>
      <c r="G24" s="202"/>
      <c r="H24" s="202"/>
      <c r="I24" s="202"/>
      <c r="J24" s="202"/>
      <c r="K24" s="202"/>
      <c r="L24" s="202"/>
      <c r="M24" s="202"/>
      <c r="N24" s="202"/>
      <c r="O24" s="202"/>
      <c r="P24" s="202"/>
    </row>
    <row r="25" spans="2:16" x14ac:dyDescent="0.3">
      <c r="B25" s="21" t="s">
        <v>16</v>
      </c>
      <c r="C25" s="22" t="s">
        <v>17</v>
      </c>
      <c r="D25" s="175">
        <v>3</v>
      </c>
      <c r="F25" s="187" t="s">
        <v>18</v>
      </c>
      <c r="G25" s="187"/>
      <c r="H25" s="187"/>
      <c r="I25" s="187"/>
      <c r="J25" s="187"/>
      <c r="K25" s="187"/>
      <c r="L25" s="187"/>
      <c r="M25" s="187"/>
      <c r="N25" s="187"/>
      <c r="O25" s="187"/>
      <c r="P25" s="187"/>
    </row>
    <row r="26" spans="2:16" ht="14.4" customHeight="1" x14ac:dyDescent="0.3">
      <c r="B26" s="21" t="s">
        <v>19</v>
      </c>
      <c r="C26" s="22" t="s">
        <v>20</v>
      </c>
      <c r="D26" s="30">
        <v>46266</v>
      </c>
      <c r="F26" s="187" t="s">
        <v>21</v>
      </c>
      <c r="G26" s="187"/>
      <c r="H26" s="187"/>
      <c r="I26" s="187"/>
      <c r="J26" s="187"/>
      <c r="K26" s="187"/>
      <c r="L26" s="187"/>
      <c r="M26" s="187"/>
      <c r="N26" s="187"/>
      <c r="O26" s="187"/>
      <c r="P26" s="187"/>
    </row>
    <row r="27" spans="2:16" ht="14.4" customHeight="1" x14ac:dyDescent="0.3">
      <c r="B27" s="21" t="s">
        <v>22</v>
      </c>
      <c r="C27" s="22" t="s">
        <v>23</v>
      </c>
      <c r="D27" s="30">
        <v>45777</v>
      </c>
      <c r="F27" s="187" t="s">
        <v>24</v>
      </c>
      <c r="G27" s="187"/>
      <c r="H27" s="187"/>
      <c r="I27" s="187"/>
      <c r="J27" s="187"/>
      <c r="K27" s="187"/>
      <c r="L27" s="187"/>
      <c r="M27" s="187"/>
      <c r="N27" s="187"/>
      <c r="O27" s="187"/>
      <c r="P27" s="187"/>
    </row>
    <row r="28" spans="2:16" ht="14.4" customHeight="1" x14ac:dyDescent="0.3">
      <c r="B28" s="21" t="s">
        <v>25</v>
      </c>
      <c r="C28" s="22" t="s">
        <v>26</v>
      </c>
      <c r="D28" s="31">
        <v>40</v>
      </c>
      <c r="F28" s="187" t="s">
        <v>27</v>
      </c>
      <c r="G28" s="187"/>
      <c r="H28" s="187"/>
      <c r="I28" s="187"/>
      <c r="J28" s="187"/>
      <c r="K28" s="187"/>
      <c r="L28" s="187"/>
      <c r="M28" s="187"/>
      <c r="N28" s="187"/>
      <c r="O28" s="187"/>
      <c r="P28" s="187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</row>
    <row r="33" spans="2:6" ht="15" customHeight="1" thickTop="1" x14ac:dyDescent="0.3"/>
    <row r="34" spans="2:6" ht="14.4" customHeight="1" x14ac:dyDescent="0.3">
      <c r="B34" s="10" t="s">
        <v>32</v>
      </c>
    </row>
    <row r="35" spans="2:6" ht="14.4" customHeight="1" x14ac:dyDescent="0.3">
      <c r="B35" s="11" t="s">
        <v>33</v>
      </c>
    </row>
    <row r="36" spans="2:6" ht="14.4" customHeight="1" x14ac:dyDescent="0.3">
      <c r="B36" s="12" t="s">
        <v>34</v>
      </c>
    </row>
    <row r="37" spans="2:6" ht="14.4" customHeight="1" x14ac:dyDescent="0.3"/>
    <row r="38" spans="2: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6" ht="15" thickTop="1" x14ac:dyDescent="0.3"/>
    <row r="40" spans="2:6" x14ac:dyDescent="0.3">
      <c r="B40" s="3" t="s">
        <v>37</v>
      </c>
      <c r="C40" s="2">
        <v>1</v>
      </c>
      <c r="D40" s="9">
        <v>27</v>
      </c>
      <c r="F40" s="25">
        <v>45770.791666666664</v>
      </c>
    </row>
    <row r="41" spans="2:6" x14ac:dyDescent="0.3">
      <c r="F41" s="16"/>
    </row>
    <row r="42" spans="2:6" x14ac:dyDescent="0.3">
      <c r="B42" s="3">
        <v>1</v>
      </c>
      <c r="C42" s="2">
        <v>1</v>
      </c>
      <c r="D42" s="6">
        <v>32</v>
      </c>
      <c r="E42" s="5"/>
      <c r="F42" s="25">
        <v>45759.458333333336</v>
      </c>
    </row>
    <row r="43" spans="2:6" x14ac:dyDescent="0.3">
      <c r="B43" s="3">
        <v>2</v>
      </c>
      <c r="C43" s="2">
        <v>1</v>
      </c>
      <c r="D43" s="6">
        <v>27</v>
      </c>
      <c r="E43" s="5"/>
      <c r="F43" s="25">
        <v>45774.416666666664</v>
      </c>
    </row>
    <row r="44" spans="2:6" x14ac:dyDescent="0.3">
      <c r="B44" s="3">
        <v>3</v>
      </c>
      <c r="C44" s="2">
        <v>1</v>
      </c>
      <c r="D44" s="6">
        <v>22</v>
      </c>
      <c r="E44" s="5"/>
      <c r="F44" s="25">
        <v>45752.833333333336</v>
      </c>
    </row>
    <row r="45" spans="2:6" x14ac:dyDescent="0.3">
      <c r="B45" s="3">
        <v>4</v>
      </c>
      <c r="C45" s="2">
        <v>1</v>
      </c>
      <c r="D45" s="6">
        <v>27</v>
      </c>
      <c r="E45" s="5"/>
      <c r="F45" s="25">
        <v>45756.75</v>
      </c>
    </row>
    <row r="46" spans="2:6" x14ac:dyDescent="0.3">
      <c r="B46" s="3">
        <v>5</v>
      </c>
      <c r="C46" s="2">
        <v>1</v>
      </c>
      <c r="D46" s="6">
        <v>16</v>
      </c>
      <c r="E46" s="5"/>
      <c r="F46" s="25">
        <v>45749.25</v>
      </c>
    </row>
    <row r="47" spans="2:6" x14ac:dyDescent="0.3">
      <c r="B47" s="3">
        <v>6</v>
      </c>
      <c r="C47" s="2">
        <v>1</v>
      </c>
      <c r="D47" s="6">
        <v>27</v>
      </c>
      <c r="E47" s="5"/>
      <c r="F47" s="25">
        <v>45763.375</v>
      </c>
    </row>
    <row r="48" spans="2:6" x14ac:dyDescent="0.3">
      <c r="B48" s="3">
        <v>7</v>
      </c>
      <c r="C48" s="2">
        <v>1</v>
      </c>
      <c r="D48" s="6">
        <v>27</v>
      </c>
      <c r="E48" s="5"/>
      <c r="F48" s="25">
        <v>45773.541666666664</v>
      </c>
    </row>
    <row r="49" spans="2:6" x14ac:dyDescent="0.3">
      <c r="B49" s="3">
        <v>8</v>
      </c>
      <c r="C49" s="2">
        <v>1</v>
      </c>
      <c r="D49" s="6">
        <v>27</v>
      </c>
      <c r="E49" s="5"/>
      <c r="F49" s="25">
        <v>45767.708333333336</v>
      </c>
    </row>
    <row r="50" spans="2:6" x14ac:dyDescent="0.3">
      <c r="B50" s="3">
        <v>9</v>
      </c>
      <c r="C50" s="2">
        <v>1</v>
      </c>
      <c r="D50" s="6">
        <v>16</v>
      </c>
      <c r="E50" s="5"/>
      <c r="F50" s="25">
        <v>45760.083333333336</v>
      </c>
    </row>
    <row r="51" spans="2:6" x14ac:dyDescent="0.3">
      <c r="B51" s="3">
        <v>10</v>
      </c>
      <c r="C51" s="2">
        <v>1</v>
      </c>
      <c r="D51" s="6">
        <v>16</v>
      </c>
      <c r="E51" s="5"/>
      <c r="F51" s="25">
        <v>45754.041666666664</v>
      </c>
    </row>
    <row r="52" spans="2:6" x14ac:dyDescent="0.3">
      <c r="B52" s="3">
        <v>11</v>
      </c>
      <c r="C52" s="2">
        <v>1</v>
      </c>
      <c r="D52" s="6">
        <v>16</v>
      </c>
      <c r="E52" s="5"/>
      <c r="F52" s="25">
        <v>45761.041666666664</v>
      </c>
    </row>
    <row r="53" spans="2:6" x14ac:dyDescent="0.3">
      <c r="B53" s="3">
        <v>12</v>
      </c>
      <c r="C53" s="2">
        <v>1</v>
      </c>
      <c r="D53" s="6">
        <v>16</v>
      </c>
      <c r="E53" s="5"/>
      <c r="F53" s="25">
        <v>45761.958333333336</v>
      </c>
    </row>
    <row r="54" spans="2:6" x14ac:dyDescent="0.3">
      <c r="B54" s="3">
        <v>13</v>
      </c>
      <c r="C54" s="2">
        <v>1</v>
      </c>
      <c r="D54" s="6">
        <v>27</v>
      </c>
      <c r="E54" s="5"/>
      <c r="F54" s="25">
        <v>45767.708333333336</v>
      </c>
    </row>
    <row r="55" spans="2:6" x14ac:dyDescent="0.3">
      <c r="B55" s="3">
        <v>14</v>
      </c>
      <c r="C55" s="2">
        <v>1</v>
      </c>
      <c r="D55" s="6">
        <v>27</v>
      </c>
      <c r="E55" s="5"/>
      <c r="F55" s="25">
        <v>45765.708333333336</v>
      </c>
    </row>
    <row r="56" spans="2:6" x14ac:dyDescent="0.3">
      <c r="B56" s="3">
        <v>15</v>
      </c>
      <c r="C56" s="2">
        <v>1</v>
      </c>
      <c r="D56" s="6">
        <v>27</v>
      </c>
      <c r="E56" s="5"/>
      <c r="F56" s="25">
        <v>45774.791666666664</v>
      </c>
    </row>
    <row r="57" spans="2:6" x14ac:dyDescent="0.3">
      <c r="B57" s="3">
        <v>16</v>
      </c>
      <c r="C57" s="2">
        <v>1</v>
      </c>
      <c r="D57" s="6">
        <v>16</v>
      </c>
      <c r="E57" s="5"/>
      <c r="F57" s="25">
        <v>45757</v>
      </c>
    </row>
    <row r="58" spans="2:6" x14ac:dyDescent="0.3">
      <c r="B58" s="3">
        <v>17</v>
      </c>
      <c r="C58" s="2">
        <v>1</v>
      </c>
      <c r="D58" s="6">
        <v>16</v>
      </c>
      <c r="E58" s="5"/>
      <c r="F58" s="25">
        <v>45775.125</v>
      </c>
    </row>
    <row r="59" spans="2:6" x14ac:dyDescent="0.3">
      <c r="B59" s="3">
        <v>18</v>
      </c>
      <c r="C59" s="2">
        <v>1</v>
      </c>
      <c r="D59" s="6">
        <v>27</v>
      </c>
      <c r="E59" s="5"/>
      <c r="F59" s="25">
        <v>45765.458333333336</v>
      </c>
    </row>
    <row r="60" spans="2:6" x14ac:dyDescent="0.3">
      <c r="B60" s="3">
        <v>19</v>
      </c>
      <c r="C60" s="2">
        <v>1</v>
      </c>
      <c r="D60" s="6">
        <v>27</v>
      </c>
      <c r="E60" s="5"/>
      <c r="F60" s="25">
        <v>45769.708333333336</v>
      </c>
    </row>
    <row r="61" spans="2:6" x14ac:dyDescent="0.3">
      <c r="B61" s="3">
        <v>20</v>
      </c>
      <c r="C61" s="2">
        <v>1</v>
      </c>
      <c r="D61" s="6">
        <v>32</v>
      </c>
      <c r="E61" s="5"/>
      <c r="F61" s="25">
        <v>45759.541666666664</v>
      </c>
    </row>
    <row r="64" spans="2:6" ht="15" thickBot="1" x14ac:dyDescent="0.35">
      <c r="B64" s="4" t="s">
        <v>38</v>
      </c>
      <c r="C64" s="14" t="s">
        <v>30</v>
      </c>
    </row>
    <row r="65" spans="2:6" ht="15" thickTop="1" x14ac:dyDescent="0.3"/>
    <row r="66" spans="2:6" x14ac:dyDescent="0.3">
      <c r="B66" s="10" t="s">
        <v>39</v>
      </c>
    </row>
    <row r="67" spans="2:6" x14ac:dyDescent="0.3">
      <c r="B67" s="10" t="s">
        <v>40</v>
      </c>
    </row>
    <row r="68" spans="2:6" x14ac:dyDescent="0.3">
      <c r="B68" s="23" t="s">
        <v>41</v>
      </c>
    </row>
    <row r="69" spans="2:6" x14ac:dyDescent="0.3">
      <c r="B69" s="12" t="s">
        <v>42</v>
      </c>
    </row>
    <row r="71" spans="2: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6" ht="15" thickTop="1" x14ac:dyDescent="0.3"/>
    <row r="73" spans="2:6" x14ac:dyDescent="0.3">
      <c r="B73" s="3" t="s">
        <v>43</v>
      </c>
      <c r="C73" s="2">
        <v>2</v>
      </c>
      <c r="D73" s="9" t="s">
        <v>44</v>
      </c>
      <c r="F73" s="25">
        <v>45770.791666666664</v>
      </c>
    </row>
    <row r="74" spans="2:6" x14ac:dyDescent="0.3">
      <c r="F74" s="16"/>
    </row>
    <row r="75" spans="2:6" x14ac:dyDescent="0.3">
      <c r="B75" s="3">
        <v>21</v>
      </c>
      <c r="C75" s="2">
        <v>2</v>
      </c>
      <c r="D75" s="6" t="s">
        <v>44</v>
      </c>
      <c r="E75" s="5"/>
      <c r="F75" s="25">
        <v>45757.75</v>
      </c>
    </row>
    <row r="76" spans="2:6" x14ac:dyDescent="0.3">
      <c r="B76" s="3">
        <v>22</v>
      </c>
      <c r="C76" s="2">
        <v>2</v>
      </c>
      <c r="D76" s="6" t="s">
        <v>120</v>
      </c>
      <c r="E76" s="5"/>
      <c r="F76" s="25">
        <v>45750.458333333336</v>
      </c>
    </row>
    <row r="77" spans="2:6" x14ac:dyDescent="0.3">
      <c r="B77" s="3">
        <v>23</v>
      </c>
      <c r="C77" s="2">
        <v>2</v>
      </c>
      <c r="D77" s="6" t="s">
        <v>121</v>
      </c>
      <c r="E77" s="5"/>
      <c r="F77" s="25">
        <v>45761.166666666664</v>
      </c>
    </row>
    <row r="78" spans="2:6" x14ac:dyDescent="0.3">
      <c r="B78" s="3">
        <v>24</v>
      </c>
      <c r="C78" s="2">
        <v>2</v>
      </c>
      <c r="D78" s="6" t="s">
        <v>122</v>
      </c>
      <c r="E78" s="5"/>
      <c r="F78" s="25">
        <v>45765.25</v>
      </c>
    </row>
    <row r="79" spans="2:6" x14ac:dyDescent="0.3">
      <c r="B79" s="3">
        <v>25</v>
      </c>
      <c r="C79" s="2">
        <v>2</v>
      </c>
      <c r="D79" s="6" t="s">
        <v>123</v>
      </c>
      <c r="E79" s="5"/>
      <c r="F79" s="25">
        <v>45753.041666666664</v>
      </c>
    </row>
    <row r="80" spans="2:6" x14ac:dyDescent="0.3">
      <c r="B80" s="3">
        <v>26</v>
      </c>
      <c r="C80" s="2">
        <v>2</v>
      </c>
      <c r="D80" s="6" t="s">
        <v>123</v>
      </c>
      <c r="E80" s="5"/>
      <c r="F80" s="25">
        <v>45758.125</v>
      </c>
    </row>
    <row r="81" spans="2:6" x14ac:dyDescent="0.3">
      <c r="B81" s="3">
        <v>27</v>
      </c>
      <c r="C81" s="2">
        <v>2</v>
      </c>
      <c r="D81" s="6" t="s">
        <v>124</v>
      </c>
      <c r="E81" s="5"/>
      <c r="F81" s="25">
        <v>45777.875</v>
      </c>
    </row>
    <row r="82" spans="2:6" x14ac:dyDescent="0.3">
      <c r="B82" s="3">
        <v>28</v>
      </c>
      <c r="C82" s="2">
        <v>2</v>
      </c>
      <c r="D82" s="6" t="s">
        <v>120</v>
      </c>
      <c r="E82" s="5"/>
      <c r="F82" s="25">
        <v>45768.375</v>
      </c>
    </row>
    <row r="83" spans="2:6" x14ac:dyDescent="0.3">
      <c r="B83" s="3">
        <v>29</v>
      </c>
      <c r="C83" s="2">
        <v>2</v>
      </c>
      <c r="D83" s="6" t="s">
        <v>120</v>
      </c>
      <c r="E83" s="5"/>
      <c r="F83" s="25">
        <v>45768.5</v>
      </c>
    </row>
    <row r="84" spans="2:6" x14ac:dyDescent="0.3">
      <c r="B84" s="3">
        <v>30</v>
      </c>
      <c r="C84" s="2">
        <v>2</v>
      </c>
      <c r="D84" s="6" t="s">
        <v>125</v>
      </c>
      <c r="E84" s="5"/>
      <c r="F84" s="25">
        <v>45748.375</v>
      </c>
    </row>
    <row r="85" spans="2:6" x14ac:dyDescent="0.3">
      <c r="B85" s="3">
        <v>31</v>
      </c>
      <c r="C85" s="2">
        <v>2</v>
      </c>
      <c r="D85" s="6" t="s">
        <v>44</v>
      </c>
      <c r="E85" s="5"/>
      <c r="F85" s="25">
        <v>45759.75</v>
      </c>
    </row>
    <row r="86" spans="2:6" x14ac:dyDescent="0.3">
      <c r="B86" s="3">
        <v>32</v>
      </c>
      <c r="C86" s="2">
        <v>2</v>
      </c>
      <c r="D86" s="6" t="s">
        <v>120</v>
      </c>
      <c r="E86" s="5"/>
      <c r="F86" s="25">
        <v>45769.75</v>
      </c>
    </row>
    <row r="87" spans="2:6" x14ac:dyDescent="0.3">
      <c r="B87" s="3">
        <v>33</v>
      </c>
      <c r="C87" s="2">
        <v>2</v>
      </c>
      <c r="D87" s="6" t="s">
        <v>120</v>
      </c>
      <c r="E87" s="5"/>
      <c r="F87" s="25">
        <v>45772.541666666664</v>
      </c>
    </row>
    <row r="88" spans="2:6" x14ac:dyDescent="0.3">
      <c r="B88" s="3">
        <v>34</v>
      </c>
      <c r="C88" s="2">
        <v>2</v>
      </c>
      <c r="D88" s="6" t="s">
        <v>125</v>
      </c>
      <c r="E88" s="5"/>
      <c r="F88" s="25">
        <v>45756.333333333336</v>
      </c>
    </row>
    <row r="89" spans="2:6" x14ac:dyDescent="0.3">
      <c r="B89" s="3">
        <v>35</v>
      </c>
      <c r="C89" s="2">
        <v>2</v>
      </c>
      <c r="D89" s="6" t="s">
        <v>120</v>
      </c>
      <c r="E89" s="5"/>
      <c r="F89" s="25">
        <v>45763.708333333336</v>
      </c>
    </row>
    <row r="90" spans="2:6" x14ac:dyDescent="0.3">
      <c r="B90" s="3">
        <v>36</v>
      </c>
      <c r="C90" s="2">
        <v>2</v>
      </c>
      <c r="D90" s="6" t="s">
        <v>120</v>
      </c>
      <c r="E90" s="5"/>
      <c r="F90" s="25">
        <v>45777.791666666664</v>
      </c>
    </row>
    <row r="91" spans="2:6" x14ac:dyDescent="0.3">
      <c r="B91" s="3">
        <v>37</v>
      </c>
      <c r="C91" s="2">
        <v>2</v>
      </c>
      <c r="D91" s="6" t="s">
        <v>122</v>
      </c>
      <c r="E91" s="5"/>
      <c r="F91" s="25">
        <v>45771.291666666664</v>
      </c>
    </row>
    <row r="92" spans="2:6" x14ac:dyDescent="0.3">
      <c r="B92" s="3">
        <v>38</v>
      </c>
      <c r="C92" s="2">
        <v>2</v>
      </c>
      <c r="D92" s="6" t="s">
        <v>123</v>
      </c>
      <c r="E92" s="5"/>
      <c r="F92" s="25">
        <v>45750.25</v>
      </c>
    </row>
    <row r="93" spans="2:6" x14ac:dyDescent="0.3">
      <c r="B93" s="3">
        <v>39</v>
      </c>
      <c r="C93" s="2">
        <v>2</v>
      </c>
      <c r="D93" s="6" t="s">
        <v>124</v>
      </c>
      <c r="E93" s="5"/>
      <c r="F93" s="25">
        <v>45777.041666666664</v>
      </c>
    </row>
    <row r="94" spans="2:6" x14ac:dyDescent="0.3">
      <c r="B94" s="3">
        <v>40</v>
      </c>
      <c r="C94" s="2">
        <v>2</v>
      </c>
      <c r="D94" s="6" t="s">
        <v>122</v>
      </c>
      <c r="E94" s="5"/>
      <c r="F94" s="25">
        <v>45765.25</v>
      </c>
    </row>
    <row r="97" spans="2:6" ht="15" thickBot="1" x14ac:dyDescent="0.35">
      <c r="B97" s="4" t="s">
        <v>23</v>
      </c>
      <c r="C97" s="14" t="s">
        <v>45</v>
      </c>
    </row>
    <row r="98" spans="2:6" ht="15" thickTop="1" x14ac:dyDescent="0.3"/>
    <row r="99" spans="2:6" x14ac:dyDescent="0.3">
      <c r="B99" s="10" t="s">
        <v>46</v>
      </c>
    </row>
    <row r="100" spans="2:6" x14ac:dyDescent="0.3">
      <c r="B100" s="10" t="s">
        <v>47</v>
      </c>
    </row>
    <row r="101" spans="2:6" x14ac:dyDescent="0.3">
      <c r="B101" s="10" t="s">
        <v>48</v>
      </c>
    </row>
    <row r="102" spans="2:6" x14ac:dyDescent="0.3">
      <c r="B102" s="10" t="s">
        <v>49</v>
      </c>
    </row>
    <row r="103" spans="2:6" x14ac:dyDescent="0.3">
      <c r="B103" s="11" t="s">
        <v>50</v>
      </c>
    </row>
    <row r="104" spans="2:6" x14ac:dyDescent="0.3">
      <c r="B104" s="12" t="s">
        <v>51</v>
      </c>
    </row>
    <row r="106" spans="2: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6" ht="15" thickTop="1" x14ac:dyDescent="0.3"/>
    <row r="108" spans="2:6" x14ac:dyDescent="0.3">
      <c r="B108" s="3" t="s">
        <v>53</v>
      </c>
      <c r="C108" s="2">
        <v>3</v>
      </c>
      <c r="D108" s="9">
        <v>4</v>
      </c>
      <c r="F108" s="26">
        <v>45770</v>
      </c>
    </row>
    <row r="109" spans="2:6" x14ac:dyDescent="0.3">
      <c r="F109" s="16"/>
    </row>
    <row r="110" spans="2:6" x14ac:dyDescent="0.3">
      <c r="B110" s="3">
        <v>41</v>
      </c>
      <c r="C110" s="2">
        <v>3</v>
      </c>
      <c r="D110" s="6">
        <v>4</v>
      </c>
      <c r="E110" s="5"/>
      <c r="F110" s="26">
        <v>45752</v>
      </c>
    </row>
    <row r="111" spans="2:6" x14ac:dyDescent="0.3">
      <c r="B111" s="3">
        <v>42</v>
      </c>
      <c r="C111" s="2">
        <v>3</v>
      </c>
      <c r="D111" s="6">
        <v>5</v>
      </c>
      <c r="E111" s="5"/>
      <c r="F111" s="26">
        <v>45753</v>
      </c>
    </row>
    <row r="112" spans="2:6" x14ac:dyDescent="0.3">
      <c r="B112" s="3">
        <v>43</v>
      </c>
      <c r="C112" s="2">
        <v>3</v>
      </c>
      <c r="D112" s="6">
        <v>4</v>
      </c>
      <c r="E112" s="5"/>
      <c r="F112" s="26">
        <v>45754</v>
      </c>
    </row>
    <row r="113" spans="2:6" x14ac:dyDescent="0.3">
      <c r="B113" s="3">
        <v>44</v>
      </c>
      <c r="C113" s="2">
        <v>3</v>
      </c>
      <c r="D113" s="6">
        <v>5</v>
      </c>
      <c r="E113" s="5"/>
      <c r="F113" s="26">
        <v>45755</v>
      </c>
    </row>
    <row r="114" spans="2:6" x14ac:dyDescent="0.3">
      <c r="B114" s="3">
        <v>45</v>
      </c>
      <c r="C114" s="2">
        <v>3</v>
      </c>
      <c r="D114" s="6">
        <v>6</v>
      </c>
      <c r="E114" s="5"/>
      <c r="F114" s="26">
        <v>45756</v>
      </c>
    </row>
    <row r="115" spans="2:6" x14ac:dyDescent="0.3">
      <c r="B115" s="3">
        <v>46</v>
      </c>
      <c r="C115" s="2">
        <v>3</v>
      </c>
      <c r="D115" s="6">
        <v>5</v>
      </c>
      <c r="E115" s="5"/>
      <c r="F115" s="26">
        <v>45757</v>
      </c>
    </row>
    <row r="116" spans="2:6" x14ac:dyDescent="0.3">
      <c r="B116" s="3">
        <v>47</v>
      </c>
      <c r="C116" s="2">
        <v>3</v>
      </c>
      <c r="D116" s="6">
        <v>7</v>
      </c>
      <c r="E116" s="5"/>
      <c r="F116" s="26">
        <v>45758</v>
      </c>
    </row>
    <row r="117" spans="2:6" x14ac:dyDescent="0.3">
      <c r="B117" s="3">
        <v>48</v>
      </c>
      <c r="C117" s="2">
        <v>3</v>
      </c>
      <c r="D117" s="6">
        <v>6</v>
      </c>
      <c r="E117" s="5"/>
      <c r="F117" s="26">
        <v>45759</v>
      </c>
    </row>
    <row r="118" spans="2:6" x14ac:dyDescent="0.3">
      <c r="B118" s="3">
        <v>49</v>
      </c>
      <c r="C118" s="2">
        <v>3</v>
      </c>
      <c r="D118" s="6">
        <v>2</v>
      </c>
      <c r="E118" s="5"/>
      <c r="F118" s="26">
        <v>45760</v>
      </c>
    </row>
    <row r="119" spans="2:6" x14ac:dyDescent="0.3">
      <c r="B119" s="3">
        <v>50</v>
      </c>
      <c r="C119" s="2">
        <v>3</v>
      </c>
      <c r="D119" s="6">
        <v>3</v>
      </c>
      <c r="E119" s="5"/>
      <c r="F119" s="26">
        <v>45761</v>
      </c>
    </row>
    <row r="120" spans="2:6" x14ac:dyDescent="0.3">
      <c r="B120" s="3">
        <v>51</v>
      </c>
      <c r="C120" s="2">
        <v>3</v>
      </c>
      <c r="D120" s="6">
        <v>2</v>
      </c>
      <c r="E120" s="5"/>
      <c r="F120" s="26">
        <v>45762</v>
      </c>
    </row>
    <row r="121" spans="2:6" x14ac:dyDescent="0.3">
      <c r="B121" s="3">
        <v>52</v>
      </c>
      <c r="C121" s="2">
        <v>3</v>
      </c>
      <c r="D121" s="6">
        <v>1</v>
      </c>
      <c r="E121" s="5"/>
      <c r="F121" s="26">
        <v>45763</v>
      </c>
    </row>
    <row r="122" spans="2:6" x14ac:dyDescent="0.3">
      <c r="B122" s="3">
        <v>53</v>
      </c>
      <c r="C122" s="2">
        <v>3</v>
      </c>
      <c r="D122" s="6">
        <v>3</v>
      </c>
      <c r="E122" s="5"/>
      <c r="F122" s="26">
        <v>45764</v>
      </c>
    </row>
    <row r="123" spans="2:6" x14ac:dyDescent="0.3">
      <c r="B123" s="3">
        <v>54</v>
      </c>
      <c r="C123" s="2">
        <v>3</v>
      </c>
      <c r="D123" s="6">
        <v>4</v>
      </c>
      <c r="E123" s="5"/>
      <c r="F123" s="26">
        <v>45765</v>
      </c>
    </row>
    <row r="124" spans="2:6" x14ac:dyDescent="0.3">
      <c r="B124" s="3">
        <v>55</v>
      </c>
      <c r="C124" s="2">
        <v>3</v>
      </c>
      <c r="D124" s="6">
        <v>3</v>
      </c>
      <c r="E124" s="5"/>
      <c r="F124" s="26">
        <v>45766</v>
      </c>
    </row>
    <row r="125" spans="2:6" x14ac:dyDescent="0.3">
      <c r="B125" s="3">
        <v>56</v>
      </c>
      <c r="C125" s="2">
        <v>3</v>
      </c>
      <c r="D125" s="6">
        <v>5</v>
      </c>
      <c r="E125" s="5"/>
      <c r="F125" s="26">
        <v>45767</v>
      </c>
    </row>
    <row r="126" spans="2:6" x14ac:dyDescent="0.3">
      <c r="B126" s="3">
        <v>57</v>
      </c>
      <c r="C126" s="2">
        <v>3</v>
      </c>
      <c r="D126" s="6">
        <v>4</v>
      </c>
      <c r="E126" s="5"/>
      <c r="F126" s="26">
        <v>45768</v>
      </c>
    </row>
    <row r="127" spans="2:6" x14ac:dyDescent="0.3">
      <c r="B127" s="3">
        <v>58</v>
      </c>
      <c r="C127" s="2">
        <v>3</v>
      </c>
      <c r="D127" s="6">
        <v>4</v>
      </c>
      <c r="E127" s="5"/>
      <c r="F127" s="26">
        <v>45769</v>
      </c>
    </row>
    <row r="128" spans="2:6" x14ac:dyDescent="0.3">
      <c r="B128" s="3">
        <v>59</v>
      </c>
      <c r="C128" s="2">
        <v>3</v>
      </c>
      <c r="D128" s="6">
        <v>2</v>
      </c>
      <c r="E128" s="5"/>
      <c r="F128" s="26">
        <v>45771</v>
      </c>
    </row>
    <row r="129" spans="2:7" x14ac:dyDescent="0.3">
      <c r="B129" s="3">
        <v>60</v>
      </c>
      <c r="C129" s="2">
        <v>3</v>
      </c>
      <c r="D129" s="6">
        <v>3</v>
      </c>
      <c r="E129" s="5"/>
      <c r="F129" s="26">
        <v>45772</v>
      </c>
    </row>
    <row r="132" spans="2:7" ht="15" thickBot="1" x14ac:dyDescent="0.35">
      <c r="B132" s="4" t="s">
        <v>54</v>
      </c>
      <c r="C132" s="14" t="s">
        <v>55</v>
      </c>
    </row>
    <row r="133" spans="2:7" ht="15" thickTop="1" x14ac:dyDescent="0.3"/>
    <row r="134" spans="2:7" x14ac:dyDescent="0.3">
      <c r="B134" s="10" t="s">
        <v>56</v>
      </c>
    </row>
    <row r="135" spans="2:7" x14ac:dyDescent="0.3">
      <c r="B135" s="10" t="s">
        <v>57</v>
      </c>
    </row>
    <row r="136" spans="2:7" x14ac:dyDescent="0.3">
      <c r="B136" s="10" t="s">
        <v>58</v>
      </c>
    </row>
    <row r="137" spans="2:7" x14ac:dyDescent="0.3">
      <c r="B137" s="10" t="s">
        <v>59</v>
      </c>
    </row>
    <row r="138" spans="2:7" x14ac:dyDescent="0.3">
      <c r="B138" s="11" t="s">
        <v>60</v>
      </c>
    </row>
    <row r="139" spans="2:7" x14ac:dyDescent="0.3">
      <c r="B139" s="12" t="s">
        <v>61</v>
      </c>
    </row>
    <row r="140" spans="2:7" x14ac:dyDescent="0.3">
      <c r="B140" s="12" t="s">
        <v>62</v>
      </c>
    </row>
    <row r="142" spans="2: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7" ht="15" thickTop="1" x14ac:dyDescent="0.3">
      <c r="G143" s="16"/>
    </row>
    <row r="144" spans="2: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 t="s">
        <v>65</v>
      </c>
      <c r="E146" s="5"/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 t="s">
        <v>97</v>
      </c>
      <c r="E147" s="5"/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 t="s">
        <v>107</v>
      </c>
      <c r="E148" s="5"/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 t="s">
        <v>97</v>
      </c>
      <c r="E149" s="5"/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 t="s">
        <v>97</v>
      </c>
      <c r="E150" s="5"/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 t="s">
        <v>65</v>
      </c>
      <c r="E151" s="5"/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 t="s">
        <v>97</v>
      </c>
      <c r="E152" s="5"/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 t="s">
        <v>97</v>
      </c>
      <c r="E153" s="5"/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 t="s">
        <v>97</v>
      </c>
      <c r="E154" s="5"/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 t="s">
        <v>65</v>
      </c>
      <c r="E155" s="5"/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 t="s">
        <v>109</v>
      </c>
      <c r="E156" s="5"/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 t="s">
        <v>107</v>
      </c>
      <c r="E157" s="5"/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 t="s">
        <v>109</v>
      </c>
      <c r="E158" s="5"/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 t="s">
        <v>97</v>
      </c>
      <c r="E159" s="5"/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 t="s">
        <v>97</v>
      </c>
      <c r="E160" s="5"/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 t="s">
        <v>107</v>
      </c>
      <c r="E161" s="5"/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 t="s">
        <v>65</v>
      </c>
      <c r="E162" s="5"/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 t="s">
        <v>97</v>
      </c>
      <c r="E163" s="5"/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 t="s">
        <v>97</v>
      </c>
      <c r="E164" s="5"/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 t="s">
        <v>97</v>
      </c>
      <c r="E165" s="5"/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 t="s">
        <v>114</v>
      </c>
      <c r="E181" s="5"/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 t="s">
        <v>115</v>
      </c>
      <c r="E182" s="5"/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 t="s">
        <v>75</v>
      </c>
      <c r="E183" s="5"/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 t="s">
        <v>115</v>
      </c>
      <c r="E184" s="5"/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 t="s">
        <v>75</v>
      </c>
      <c r="E185" s="5"/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 t="s">
        <v>116</v>
      </c>
      <c r="E186" s="5"/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 t="s">
        <v>115</v>
      </c>
      <c r="E187" s="5"/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 t="s">
        <v>75</v>
      </c>
      <c r="E188" s="5"/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 t="s">
        <v>115</v>
      </c>
      <c r="E189" s="5"/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 t="s">
        <v>116</v>
      </c>
      <c r="E190" s="5"/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 t="s">
        <v>115</v>
      </c>
      <c r="E191" s="5"/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 t="s">
        <v>115</v>
      </c>
      <c r="E192" s="5"/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 t="s">
        <v>75</v>
      </c>
      <c r="E193" s="5"/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 t="s">
        <v>115</v>
      </c>
      <c r="E194" s="5"/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 t="s">
        <v>116</v>
      </c>
      <c r="E195" s="5"/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 t="s">
        <v>116</v>
      </c>
      <c r="E196" s="5"/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 t="s">
        <v>115</v>
      </c>
      <c r="E197" s="5"/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 t="s">
        <v>75</v>
      </c>
      <c r="E198" s="5"/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 t="s">
        <v>116</v>
      </c>
      <c r="E199" s="5"/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 t="s">
        <v>115</v>
      </c>
      <c r="E200" s="5"/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 t="s">
        <v>126</v>
      </c>
      <c r="E216" s="5"/>
      <c r="F216" s="25">
        <v>45753.791666666664</v>
      </c>
    </row>
    <row r="217" spans="2:6" x14ac:dyDescent="0.3">
      <c r="B217" s="3">
        <v>102</v>
      </c>
      <c r="C217" s="2">
        <v>6</v>
      </c>
      <c r="D217" s="7" t="s">
        <v>127</v>
      </c>
      <c r="E217" s="5"/>
      <c r="F217" s="25">
        <v>45764.416666666664</v>
      </c>
    </row>
    <row r="218" spans="2:6" x14ac:dyDescent="0.3">
      <c r="B218" s="3">
        <v>103</v>
      </c>
      <c r="C218" s="2">
        <v>6</v>
      </c>
      <c r="D218" s="7" t="s">
        <v>126</v>
      </c>
      <c r="E218" s="5"/>
      <c r="F218" s="25">
        <v>45768.75</v>
      </c>
    </row>
    <row r="219" spans="2:6" x14ac:dyDescent="0.3">
      <c r="B219" s="3">
        <v>104</v>
      </c>
      <c r="C219" s="2">
        <v>6</v>
      </c>
      <c r="D219" s="7" t="s">
        <v>128</v>
      </c>
      <c r="E219" s="5"/>
      <c r="F219" s="25">
        <v>45776.958333333336</v>
      </c>
    </row>
    <row r="220" spans="2:6" x14ac:dyDescent="0.3">
      <c r="B220" s="3">
        <v>105</v>
      </c>
      <c r="C220" s="2">
        <v>6</v>
      </c>
      <c r="D220" s="7" t="s">
        <v>126</v>
      </c>
      <c r="E220" s="5"/>
      <c r="F220" s="25">
        <v>45752.875</v>
      </c>
    </row>
    <row r="221" spans="2:6" x14ac:dyDescent="0.3">
      <c r="B221" s="3">
        <v>106</v>
      </c>
      <c r="C221" s="2">
        <v>6</v>
      </c>
      <c r="D221" s="7" t="s">
        <v>127</v>
      </c>
      <c r="E221" s="5"/>
      <c r="F221" s="25">
        <v>45755.458333333336</v>
      </c>
    </row>
    <row r="222" spans="2:6" x14ac:dyDescent="0.3">
      <c r="B222" s="3">
        <v>107</v>
      </c>
      <c r="C222" s="2">
        <v>6</v>
      </c>
      <c r="D222" s="7" t="s">
        <v>126</v>
      </c>
      <c r="E222" s="5"/>
      <c r="F222" s="25">
        <v>45749.666666666664</v>
      </c>
    </row>
    <row r="223" spans="2:6" x14ac:dyDescent="0.3">
      <c r="B223" s="3">
        <v>108</v>
      </c>
      <c r="C223" s="2">
        <v>6</v>
      </c>
      <c r="D223" s="7" t="s">
        <v>129</v>
      </c>
      <c r="E223" s="5"/>
      <c r="F223" s="25">
        <v>45748.5</v>
      </c>
    </row>
    <row r="224" spans="2:6" x14ac:dyDescent="0.3">
      <c r="B224" s="3">
        <v>109</v>
      </c>
      <c r="C224" s="2">
        <v>6</v>
      </c>
      <c r="D224" s="7" t="s">
        <v>126</v>
      </c>
      <c r="E224" s="5"/>
      <c r="F224" s="25">
        <v>45775.875</v>
      </c>
    </row>
    <row r="225" spans="2:6" x14ac:dyDescent="0.3">
      <c r="B225" s="3">
        <v>110</v>
      </c>
      <c r="C225" s="2">
        <v>6</v>
      </c>
      <c r="D225" s="8" t="s">
        <v>129</v>
      </c>
      <c r="E225" s="5"/>
      <c r="F225" s="25">
        <v>45776.5</v>
      </c>
    </row>
    <row r="226" spans="2:6" x14ac:dyDescent="0.3">
      <c r="B226" s="3">
        <v>111</v>
      </c>
      <c r="C226" s="2">
        <v>6</v>
      </c>
      <c r="D226" s="8" t="s">
        <v>126</v>
      </c>
      <c r="E226" s="5"/>
      <c r="F226" s="25">
        <v>45765.625</v>
      </c>
    </row>
    <row r="227" spans="2:6" x14ac:dyDescent="0.3">
      <c r="B227" s="3">
        <v>112</v>
      </c>
      <c r="C227" s="2">
        <v>6</v>
      </c>
      <c r="D227" s="8" t="s">
        <v>126</v>
      </c>
      <c r="E227" s="5"/>
      <c r="F227" s="25">
        <v>45762.666666666664</v>
      </c>
    </row>
    <row r="228" spans="2:6" x14ac:dyDescent="0.3">
      <c r="B228" s="3">
        <v>113</v>
      </c>
      <c r="C228" s="2">
        <v>6</v>
      </c>
      <c r="D228" s="8" t="s">
        <v>130</v>
      </c>
      <c r="E228" s="5"/>
      <c r="F228" s="25">
        <v>45748.291666666664</v>
      </c>
    </row>
    <row r="229" spans="2:6" x14ac:dyDescent="0.3">
      <c r="B229" s="3">
        <v>114</v>
      </c>
      <c r="C229" s="2">
        <v>6</v>
      </c>
      <c r="D229" s="8" t="s">
        <v>131</v>
      </c>
      <c r="E229" s="5"/>
      <c r="F229" s="25">
        <v>45748.583333333336</v>
      </c>
    </row>
    <row r="230" spans="2:6" x14ac:dyDescent="0.3">
      <c r="B230" s="3">
        <v>115</v>
      </c>
      <c r="C230" s="2">
        <v>6</v>
      </c>
      <c r="D230" s="8" t="s">
        <v>132</v>
      </c>
      <c r="E230" s="5"/>
      <c r="F230" s="25">
        <v>45748.75</v>
      </c>
    </row>
    <row r="231" spans="2:6" x14ac:dyDescent="0.3">
      <c r="B231" s="3">
        <v>116</v>
      </c>
      <c r="C231" s="2">
        <v>6</v>
      </c>
      <c r="D231" s="8" t="s">
        <v>133</v>
      </c>
      <c r="E231" s="5"/>
      <c r="F231" s="25">
        <v>45749.291666666664</v>
      </c>
    </row>
    <row r="232" spans="2:6" x14ac:dyDescent="0.3">
      <c r="B232" s="3">
        <v>117</v>
      </c>
      <c r="C232" s="2">
        <v>6</v>
      </c>
      <c r="D232" s="8" t="s">
        <v>134</v>
      </c>
      <c r="E232" s="5"/>
      <c r="F232" s="25">
        <v>45769.333333333336</v>
      </c>
    </row>
    <row r="233" spans="2:6" x14ac:dyDescent="0.3">
      <c r="B233" s="3">
        <v>118</v>
      </c>
      <c r="C233" s="2">
        <v>6</v>
      </c>
      <c r="D233" s="8" t="s">
        <v>135</v>
      </c>
      <c r="E233" s="5"/>
      <c r="F233" s="25">
        <v>45761.833333333336</v>
      </c>
    </row>
    <row r="234" spans="2:6" x14ac:dyDescent="0.3">
      <c r="B234" s="3">
        <v>119</v>
      </c>
      <c r="C234" s="2">
        <v>6</v>
      </c>
      <c r="D234" s="8" t="s">
        <v>135</v>
      </c>
      <c r="E234" s="5"/>
      <c r="F234" s="25">
        <v>45765.041666666664</v>
      </c>
    </row>
    <row r="235" spans="2:6" x14ac:dyDescent="0.3">
      <c r="B235" s="3">
        <v>120</v>
      </c>
      <c r="C235" s="2">
        <v>6</v>
      </c>
      <c r="D235" s="8" t="s">
        <v>131</v>
      </c>
      <c r="E235" s="5"/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 t="s">
        <v>65</v>
      </c>
      <c r="E253" s="5"/>
      <c r="F253" s="25">
        <v>45763.583333333336</v>
      </c>
    </row>
    <row r="254" spans="2:10" x14ac:dyDescent="0.3">
      <c r="B254" s="3">
        <v>122</v>
      </c>
      <c r="C254" s="2">
        <v>7</v>
      </c>
      <c r="D254" s="7" t="s">
        <v>97</v>
      </c>
      <c r="E254" s="5"/>
      <c r="F254" s="25">
        <v>45750.875</v>
      </c>
    </row>
    <row r="255" spans="2:10" x14ac:dyDescent="0.3">
      <c r="B255" s="3">
        <v>123</v>
      </c>
      <c r="C255" s="2">
        <v>7</v>
      </c>
      <c r="D255" s="7" t="s">
        <v>65</v>
      </c>
      <c r="E255" s="5"/>
      <c r="F255" s="25">
        <v>45771.583333333336</v>
      </c>
    </row>
    <row r="256" spans="2:10" x14ac:dyDescent="0.3">
      <c r="B256" s="3">
        <v>124</v>
      </c>
      <c r="C256" s="2">
        <v>7</v>
      </c>
      <c r="D256" s="7" t="s">
        <v>109</v>
      </c>
      <c r="E256" s="5"/>
      <c r="F256" s="25">
        <v>45775.625</v>
      </c>
    </row>
    <row r="257" spans="2:6" x14ac:dyDescent="0.3">
      <c r="B257" s="3">
        <v>125</v>
      </c>
      <c r="C257" s="2">
        <v>7</v>
      </c>
      <c r="D257" s="7" t="s">
        <v>97</v>
      </c>
      <c r="E257" s="5"/>
      <c r="F257" s="25">
        <v>45770.083333333336</v>
      </c>
    </row>
    <row r="258" spans="2:6" x14ac:dyDescent="0.3">
      <c r="B258" s="3">
        <v>126</v>
      </c>
      <c r="C258" s="2">
        <v>7</v>
      </c>
      <c r="D258" s="7" t="s">
        <v>65</v>
      </c>
      <c r="E258" s="5"/>
      <c r="F258" s="25">
        <v>45758.375</v>
      </c>
    </row>
    <row r="259" spans="2:6" x14ac:dyDescent="0.3">
      <c r="B259" s="3">
        <v>127</v>
      </c>
      <c r="C259" s="2">
        <v>7</v>
      </c>
      <c r="D259" s="7" t="s">
        <v>97</v>
      </c>
      <c r="E259" s="5"/>
      <c r="F259" s="25">
        <v>45764.75</v>
      </c>
    </row>
    <row r="260" spans="2:6" x14ac:dyDescent="0.3">
      <c r="B260" s="3">
        <v>128</v>
      </c>
      <c r="C260" s="2">
        <v>7</v>
      </c>
      <c r="D260" s="7" t="s">
        <v>109</v>
      </c>
      <c r="E260" s="5"/>
      <c r="F260" s="25">
        <v>45758.666666666664</v>
      </c>
    </row>
    <row r="261" spans="2:6" x14ac:dyDescent="0.3">
      <c r="B261" s="3">
        <v>129</v>
      </c>
      <c r="C261" s="2">
        <v>7</v>
      </c>
      <c r="D261" s="7" t="s">
        <v>97</v>
      </c>
      <c r="E261" s="5"/>
      <c r="F261" s="25">
        <v>45766.791666666664</v>
      </c>
    </row>
    <row r="262" spans="2:6" x14ac:dyDescent="0.3">
      <c r="B262" s="3">
        <v>130</v>
      </c>
      <c r="C262" s="2">
        <v>7</v>
      </c>
      <c r="D262" s="8" t="s">
        <v>107</v>
      </c>
      <c r="E262" s="5"/>
      <c r="F262" s="25">
        <v>45763.125</v>
      </c>
    </row>
    <row r="263" spans="2:6" x14ac:dyDescent="0.3">
      <c r="B263" s="3">
        <v>131</v>
      </c>
      <c r="C263" s="2">
        <v>7</v>
      </c>
      <c r="D263" s="8" t="s">
        <v>97</v>
      </c>
      <c r="E263" s="5"/>
      <c r="F263" s="25">
        <v>45770.5</v>
      </c>
    </row>
    <row r="264" spans="2:6" x14ac:dyDescent="0.3">
      <c r="B264" s="3">
        <v>132</v>
      </c>
      <c r="C264" s="2">
        <v>7</v>
      </c>
      <c r="D264" s="8" t="s">
        <v>97</v>
      </c>
      <c r="E264" s="5"/>
      <c r="F264" s="25">
        <v>45766.041666666664</v>
      </c>
    </row>
    <row r="265" spans="2:6" x14ac:dyDescent="0.3">
      <c r="B265" s="3">
        <v>133</v>
      </c>
      <c r="C265" s="2">
        <v>7</v>
      </c>
      <c r="D265" s="8" t="s">
        <v>97</v>
      </c>
      <c r="E265" s="5"/>
      <c r="F265" s="25">
        <v>45773.833333333336</v>
      </c>
    </row>
    <row r="266" spans="2:6" x14ac:dyDescent="0.3">
      <c r="B266" s="3">
        <v>134</v>
      </c>
      <c r="C266" s="2">
        <v>7</v>
      </c>
      <c r="D266" s="8" t="s">
        <v>109</v>
      </c>
      <c r="E266" s="5"/>
      <c r="F266" s="25">
        <v>45758.583333333336</v>
      </c>
    </row>
    <row r="267" spans="2:6" x14ac:dyDescent="0.3">
      <c r="B267" s="3">
        <v>135</v>
      </c>
      <c r="C267" s="2">
        <v>7</v>
      </c>
      <c r="D267" s="8" t="s">
        <v>65</v>
      </c>
      <c r="E267" s="5"/>
      <c r="F267" s="25">
        <v>45768.708333333336</v>
      </c>
    </row>
    <row r="268" spans="2:6" x14ac:dyDescent="0.3">
      <c r="B268" s="3">
        <v>136</v>
      </c>
      <c r="C268" s="2">
        <v>7</v>
      </c>
      <c r="D268" s="8" t="s">
        <v>97</v>
      </c>
      <c r="E268" s="5"/>
      <c r="F268" s="25">
        <v>45759.291666666664</v>
      </c>
    </row>
    <row r="269" spans="2:6" x14ac:dyDescent="0.3">
      <c r="B269" s="3">
        <v>137</v>
      </c>
      <c r="C269" s="2">
        <v>7</v>
      </c>
      <c r="D269" s="8" t="s">
        <v>97</v>
      </c>
      <c r="E269" s="5"/>
      <c r="F269" s="25">
        <v>45762.875</v>
      </c>
    </row>
    <row r="270" spans="2:6" x14ac:dyDescent="0.3">
      <c r="B270" s="3">
        <v>138</v>
      </c>
      <c r="C270" s="2">
        <v>7</v>
      </c>
      <c r="D270" s="8" t="s">
        <v>97</v>
      </c>
      <c r="E270" s="5"/>
      <c r="F270" s="25">
        <v>45763.875</v>
      </c>
    </row>
    <row r="271" spans="2:6" x14ac:dyDescent="0.3">
      <c r="B271" s="3">
        <v>139</v>
      </c>
      <c r="C271" s="2">
        <v>7</v>
      </c>
      <c r="D271" s="8" t="s">
        <v>65</v>
      </c>
      <c r="E271" s="5"/>
      <c r="F271" s="25">
        <v>45754.416666666664</v>
      </c>
    </row>
    <row r="272" spans="2:6" x14ac:dyDescent="0.3">
      <c r="B272" s="3">
        <v>140</v>
      </c>
      <c r="C272" s="2">
        <v>7</v>
      </c>
      <c r="D272" s="8" t="s">
        <v>97</v>
      </c>
      <c r="E272" s="5"/>
      <c r="F272" s="25">
        <v>45767.291666666664</v>
      </c>
    </row>
  </sheetData>
  <mergeCells count="8">
    <mergeCell ref="F27:P27"/>
    <mergeCell ref="F28:P28"/>
    <mergeCell ref="N4:P4"/>
    <mergeCell ref="B5:L19"/>
    <mergeCell ref="N16:O16"/>
    <mergeCell ref="F24:P24"/>
    <mergeCell ref="F25:P25"/>
    <mergeCell ref="F26:P2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" id="{65EA4DFD-1C0D-4416-AA9D-C447491B092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19" id="{AB40EB8F-2DE5-4995-9141-31A00B76A49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E75:E77</xm:sqref>
        </x14:conditionalFormatting>
        <x14:conditionalFormatting xmlns:xm="http://schemas.microsoft.com/office/excel/2006/main">
          <x14:cfRule type="iconSet" priority="20" id="{82CFC314-9E6A-4B3D-830C-2F5A9318EC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E78:E94</xm:sqref>
        </x14:conditionalFormatting>
        <x14:conditionalFormatting xmlns:xm="http://schemas.microsoft.com/office/excel/2006/main">
          <x14:cfRule type="iconSet" priority="16" id="{F158E474-4075-4D3F-8C9D-1C5B3917B13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E110:E112</xm:sqref>
        </x14:conditionalFormatting>
        <x14:conditionalFormatting xmlns:xm="http://schemas.microsoft.com/office/excel/2006/main">
          <x14:cfRule type="iconSet" priority="17" id="{317CF390-9426-4E55-80AC-6879066198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3" id="{ABD7E58A-D096-4349-899E-03F9292ED4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E146:E148</xm:sqref>
        </x14:conditionalFormatting>
        <x14:conditionalFormatting xmlns:xm="http://schemas.microsoft.com/office/excel/2006/main">
          <x14:cfRule type="iconSet" priority="14" id="{5548B18D-758A-49DE-BE50-D0AC7BA60D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0" id="{A0BB4639-617C-45EE-86EF-E7D8A72E05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E181:E182</xm:sqref>
        </x14:conditionalFormatting>
        <x14:conditionalFormatting xmlns:xm="http://schemas.microsoft.com/office/excel/2006/main">
          <x14:cfRule type="iconSet" priority="11" id="{F2FA1B22-0AAD-47B1-9D96-E2C5832EECE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7" id="{56A04500-10E8-42F7-8576-BC1955582F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</xm:sqref>
        </x14:conditionalFormatting>
        <x14:conditionalFormatting xmlns:xm="http://schemas.microsoft.com/office/excel/2006/main">
          <x14:cfRule type="iconSet" priority="6" id="{E57EFB0D-1FAE-4C55-8549-7765D8BD082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E217</xm:sqref>
        </x14:conditionalFormatting>
        <x14:conditionalFormatting xmlns:xm="http://schemas.microsoft.com/office/excel/2006/main">
          <x14:cfRule type="iconSet" priority="8" id="{8750E6B2-CEA5-4B24-99C1-ADA0FCCA9EB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E218:E235</xm:sqref>
        </x14:conditionalFormatting>
        <x14:conditionalFormatting xmlns:xm="http://schemas.microsoft.com/office/excel/2006/main">
          <x14:cfRule type="iconSet" priority="3" id="{36A083E6-C54D-4A28-A2EA-7CBDDE6FA4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</xm:sqref>
        </x14:conditionalFormatting>
        <x14:conditionalFormatting xmlns:xm="http://schemas.microsoft.com/office/excel/2006/main">
          <x14:cfRule type="iconSet" priority="2" id="{6B541358-D5A0-4CC6-BF38-C3DD4FAE23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E254</xm:sqref>
        </x14:conditionalFormatting>
        <x14:conditionalFormatting xmlns:xm="http://schemas.microsoft.com/office/excel/2006/main">
          <x14:cfRule type="iconSet" priority="4" id="{90523280-FAB2-418E-A99A-691B7EBF43E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E255:E272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=</AFEJSONBlob>
</file>

<file path=customXml/itemProps1.xml><?xml version="1.0" encoding="utf-8"?>
<ds:datastoreItem xmlns:ds="http://schemas.openxmlformats.org/officeDocument/2006/customXml" ds:itemID="{1246A562-5CD9-4171-A37A-9C80FF6AB55F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Case</vt:lpstr>
      <vt:lpstr>Climatogram</vt:lpstr>
      <vt:lpstr>Answers</vt:lpstr>
      <vt:lpstr>_nA1</vt:lpstr>
      <vt:lpstr>_nA2</vt:lpstr>
      <vt:lpstr>_nA3</vt:lpstr>
      <vt:lpstr>_nA4</vt:lpstr>
      <vt:lpstr>_nD</vt:lpstr>
      <vt:lpstr>_nDay</vt:lpstr>
      <vt:lpstr>_nDorN</vt:lpstr>
      <vt:lpstr>_tClimate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Marcelo</dc:creator>
  <cp:keywords/>
  <dc:description/>
  <cp:lastModifiedBy>Mark Biegert</cp:lastModifiedBy>
  <cp:revision/>
  <dcterms:created xsi:type="dcterms:W3CDTF">2025-03-30T12:44:58Z</dcterms:created>
  <dcterms:modified xsi:type="dcterms:W3CDTF">2025-07-08T04:40:35Z</dcterms:modified>
  <cp:category/>
  <cp:contentStatus/>
</cp:coreProperties>
</file>