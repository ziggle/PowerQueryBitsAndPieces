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T Tricks\"/>
    </mc:Choice>
  </mc:AlternateContent>
  <xr:revisionPtr revIDLastSave="0" documentId="13_ncr:1_{CE7ACB0D-556C-42F5-8513-9811FE2740A4}" xr6:coauthVersionLast="47" xr6:coauthVersionMax="47" xr10:uidLastSave="{00000000-0000-0000-0000-000000000000}"/>
  <bookViews>
    <workbookView xWindow="-120" yWindow="-120" windowWidth="29040" windowHeight="15990" activeTab="4" xr2:uid="{00000000-000D-0000-FFFF-FFFF00000000}"/>
  </bookViews>
  <sheets>
    <sheet name="Data" sheetId="1" r:id="rId1"/>
    <sheet name="Sheet1" sheetId="27" r:id="rId2"/>
    <sheet name="Sheet3" sheetId="29" r:id="rId3"/>
    <sheet name="Sheet2" sheetId="28" r:id="rId4"/>
    <sheet name="Sheet15" sheetId="41" r:id="rId5"/>
    <sheet name="1" sheetId="15" r:id="rId6"/>
    <sheet name="2" sheetId="16" r:id="rId7"/>
    <sheet name="3" sheetId="17" r:id="rId8"/>
    <sheet name="4" sheetId="18" r:id="rId9"/>
    <sheet name="5" sheetId="20" r:id="rId10"/>
    <sheet name="6" sheetId="21" r:id="rId11"/>
    <sheet name="7" sheetId="22" r:id="rId12"/>
    <sheet name="8" sheetId="23" r:id="rId13"/>
    <sheet name="9" sheetId="24" r:id="rId14"/>
    <sheet name="10" sheetId="26" r:id="rId15"/>
  </sheets>
  <definedNames>
    <definedName name="_xlcn.WorksheetConnection_PTTricks.xlsmData1" hidden="1">Data[]</definedName>
  </definedNames>
  <calcPr calcId="191029"/>
  <pivotCaches>
    <pivotCache cacheId="3" r:id="rId16"/>
    <pivotCache cacheId="4" r:id="rId17"/>
    <pivotCache cacheId="21" r:id="rId18"/>
    <pivotCache cacheId="49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" name="Data" connection="WorksheetConnection_PT-Tricks.xlsm!Data"/>
        </x15:modelTables>
        <x15:extLst>
          <ext xmlns:x16="http://schemas.microsoft.com/office/spreadsheetml/2014/11/main" uri="{9835A34E-60A6-4A7C-AAB8-D5F71C897F49}">
            <x16:modelTimeGroupings>
              <x16:modelTimeGrouping tableName="Data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C2" i="15"/>
  <c r="D2" i="15" s="1"/>
  <c r="E2" i="15" s="1"/>
  <c r="F2" i="15" s="1"/>
  <c r="G2" i="15" s="1"/>
  <c r="H2" i="15" s="1"/>
  <c r="I2" i="15" s="1"/>
  <c r="J2" i="15" s="1"/>
  <c r="K2" i="15" s="1"/>
  <c r="L2" i="15" s="1"/>
  <c r="M2" i="15" s="1"/>
  <c r="N2" i="15" s="1"/>
  <c r="O2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BBF83B-7198-40A3-9F67-8F4F932B07E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B6AD41A-D4CB-4DAB-B283-BB39187DE92A}" name="WorksheetConnection_PT-Tricks.xlsm!Data" type="102" refreshedVersion="8" minRefreshableVersion="5">
    <extLst>
      <ext xmlns:x15="http://schemas.microsoft.com/office/spreadsheetml/2010/11/main" uri="{DE250136-89BD-433C-8126-D09CA5730AF9}">
        <x15:connection id="Data" autoDelete="1">
          <x15:rangePr sourceName="_xlcn.WorksheetConnection_PTTricks.xlsmData1"/>
        </x15:connection>
      </ext>
    </extLst>
  </connection>
</connections>
</file>

<file path=xl/sharedStrings.xml><?xml version="1.0" encoding="utf-8"?>
<sst xmlns="http://schemas.openxmlformats.org/spreadsheetml/2006/main" count="3470" uniqueCount="129">
  <si>
    <t>Date</t>
  </si>
  <si>
    <t>Sales Rep</t>
  </si>
  <si>
    <t>Customer</t>
  </si>
  <si>
    <t>Amount</t>
  </si>
  <si>
    <t>Profit</t>
  </si>
  <si>
    <t>Region</t>
  </si>
  <si>
    <t>Varsha</t>
  </si>
  <si>
    <t>Shyam &amp; Sharma Co</t>
  </si>
  <si>
    <t>East</t>
  </si>
  <si>
    <t>Veronica</t>
  </si>
  <si>
    <t>MNTL</t>
  </si>
  <si>
    <t>West</t>
  </si>
  <si>
    <t>Ramesh</t>
  </si>
  <si>
    <t>Sharma &amp; Co</t>
  </si>
  <si>
    <t>James</t>
  </si>
  <si>
    <t>South</t>
  </si>
  <si>
    <t>Rajat</t>
  </si>
  <si>
    <t>White Associates</t>
  </si>
  <si>
    <t>Swati</t>
  </si>
  <si>
    <t>Boston Consultants</t>
  </si>
  <si>
    <t>Charley</t>
  </si>
  <si>
    <t>Shah Associates</t>
  </si>
  <si>
    <t>North</t>
  </si>
  <si>
    <t>Mark</t>
  </si>
  <si>
    <t>Namint Enterprises</t>
  </si>
  <si>
    <t>Abhay</t>
  </si>
  <si>
    <t>Data Tronics</t>
  </si>
  <si>
    <t>Bruce</t>
  </si>
  <si>
    <t>VCC</t>
  </si>
  <si>
    <t>India Trotters</t>
  </si>
  <si>
    <t>Good Fly</t>
  </si>
  <si>
    <t>Anshika</t>
  </si>
  <si>
    <t>Jaspreet</t>
  </si>
  <si>
    <t>Jindle Power Works</t>
  </si>
  <si>
    <t>Grand Total</t>
  </si>
  <si>
    <t>Jan</t>
  </si>
  <si>
    <t>Feb</t>
  </si>
  <si>
    <t>Mar</t>
  </si>
  <si>
    <t>Jun</t>
  </si>
  <si>
    <t>Aug</t>
  </si>
  <si>
    <t>Sep</t>
  </si>
  <si>
    <t>Oct</t>
  </si>
  <si>
    <t>Nov</t>
  </si>
  <si>
    <t>Dec</t>
  </si>
  <si>
    <t>Apr</t>
  </si>
  <si>
    <t>May</t>
  </si>
  <si>
    <t>Jul</t>
  </si>
  <si>
    <t>Years</t>
  </si>
  <si>
    <t>2005</t>
  </si>
  <si>
    <t>2005 Total</t>
  </si>
  <si>
    <t>2006</t>
  </si>
  <si>
    <t>2006 Total</t>
  </si>
  <si>
    <t>2007</t>
  </si>
  <si>
    <t>2007 Total</t>
  </si>
  <si>
    <t>2008</t>
  </si>
  <si>
    <t>2008 Total</t>
  </si>
  <si>
    <t>YTD Revenue</t>
  </si>
  <si>
    <t>Products</t>
  </si>
  <si>
    <t>A</t>
  </si>
  <si>
    <t>B</t>
  </si>
  <si>
    <t>C</t>
  </si>
  <si>
    <t>D</t>
  </si>
  <si>
    <t>E</t>
  </si>
  <si>
    <t>F</t>
  </si>
  <si>
    <t>Monthly Units Sold</t>
  </si>
  <si>
    <t>Revenue</t>
  </si>
  <si>
    <t>Group1</t>
  </si>
  <si>
    <t>Group1 Total</t>
  </si>
  <si>
    <t>Group2</t>
  </si>
  <si>
    <t>Group2 Total</t>
  </si>
  <si>
    <t>Cost</t>
  </si>
  <si>
    <t>Total Cost</t>
  </si>
  <si>
    <t>Total Rev</t>
  </si>
  <si>
    <t>Total Total Rev</t>
  </si>
  <si>
    <t>Total Profit</t>
  </si>
  <si>
    <t>Cost Pct</t>
  </si>
  <si>
    <t>Profit Pct</t>
  </si>
  <si>
    <t>P&amp;L</t>
  </si>
  <si>
    <t>Month</t>
  </si>
  <si>
    <t>Count of Sales Rep</t>
  </si>
  <si>
    <t>Boston Consultants Total</t>
  </si>
  <si>
    <t>Data Tronics Total</t>
  </si>
  <si>
    <t>Good Fly Total</t>
  </si>
  <si>
    <t>India Trotters Total</t>
  </si>
  <si>
    <t>Jindle Power Works Total</t>
  </si>
  <si>
    <t>MNTL Total</t>
  </si>
  <si>
    <t>Namint Enterprises Total</t>
  </si>
  <si>
    <t>Shah Associates Total</t>
  </si>
  <si>
    <t>Sharma &amp; Co Total</t>
  </si>
  <si>
    <t>Shyam &amp; Sharma Co Total</t>
  </si>
  <si>
    <t>VCC Total</t>
  </si>
  <si>
    <t>White Associates Total</t>
  </si>
  <si>
    <t>YoY%</t>
  </si>
  <si>
    <t>Total YoY%</t>
  </si>
  <si>
    <t>Year</t>
  </si>
  <si>
    <t>Qtr</t>
  </si>
  <si>
    <t>Units</t>
  </si>
  <si>
    <t>Q1</t>
  </si>
  <si>
    <t>xx</t>
  </si>
  <si>
    <t>Q2</t>
  </si>
  <si>
    <t>Q3</t>
  </si>
  <si>
    <t>Q4</t>
  </si>
  <si>
    <t>Row Labels</t>
  </si>
  <si>
    <t>Column Labels</t>
  </si>
  <si>
    <t>Sum of 31-Jan-22</t>
  </si>
  <si>
    <t>Sum of Value</t>
  </si>
  <si>
    <t>Prod</t>
  </si>
  <si>
    <t>Customer2</t>
  </si>
  <si>
    <t>Big Customers</t>
  </si>
  <si>
    <t>Small Customers</t>
  </si>
  <si>
    <t>Customer Category</t>
  </si>
  <si>
    <t>Total Total Cost</t>
  </si>
  <si>
    <t>Total Cost Pct</t>
  </si>
  <si>
    <t>Total Total Profit</t>
  </si>
  <si>
    <t>Total Profit Pct</t>
  </si>
  <si>
    <t>FY</t>
  </si>
  <si>
    <t>FQ</t>
  </si>
  <si>
    <t>2004-2005</t>
  </si>
  <si>
    <t>2004-2005 Total</t>
  </si>
  <si>
    <t>2005-2006</t>
  </si>
  <si>
    <t>2005-2006 Total</t>
  </si>
  <si>
    <t>2006-2007</t>
  </si>
  <si>
    <t>2006-2007 Total</t>
  </si>
  <si>
    <t>2007-2008</t>
  </si>
  <si>
    <t>2007-2008 Total</t>
  </si>
  <si>
    <t>2008-2009</t>
  </si>
  <si>
    <t>2008-2009 Total</t>
  </si>
  <si>
    <t>Sum of Amount</t>
  </si>
  <si>
    <t>Date (Year)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</si>
</sst>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9"/>
      <color theme="1"/>
      <name val="Segoe U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 Light"/>
      <family val="2"/>
    </font>
    <font>
      <sz val="8"/>
      <color theme="1"/>
      <name val="Segoe UI"/>
      <family val="2"/>
    </font>
    <font>
      <b/>
      <sz val="9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/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15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5" fontId="2" fillId="0" borderId="2" xfId="0" applyNumberFormat="1" applyFont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0" fillId="0" borderId="3" xfId="0" pivotButton="1" applyBorder="1"/>
    <xf numFmtId="0" fontId="0" fillId="0" borderId="3" xfId="0" applyBorder="1"/>
    <xf numFmtId="15" fontId="0" fillId="0" borderId="3" xfId="0" applyNumberFormat="1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3" fillId="0" borderId="10" xfId="0" applyFont="1" applyBorder="1"/>
    <xf numFmtId="15" fontId="3" fillId="0" borderId="10" xfId="0" applyNumberFormat="1" applyFont="1" applyBorder="1"/>
    <xf numFmtId="15" fontId="0" fillId="0" borderId="5" xfId="0" applyNumberFormat="1" applyBorder="1"/>
    <xf numFmtId="0" fontId="0" fillId="0" borderId="9" xfId="0" pivotButton="1" applyBorder="1"/>
    <xf numFmtId="0" fontId="0" fillId="0" borderId="11" xfId="0" applyBorder="1"/>
    <xf numFmtId="0" fontId="0" fillId="0" borderId="5" xfId="0" applyBorder="1"/>
    <xf numFmtId="0" fontId="0" fillId="0" borderId="14" xfId="0" applyBorder="1"/>
    <xf numFmtId="10" fontId="0" fillId="0" borderId="0" xfId="0" applyNumberFormat="1"/>
    <xf numFmtId="0" fontId="0" fillId="0" borderId="0" xfId="0" pivotButton="1"/>
    <xf numFmtId="0" fontId="4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0" fillId="0" borderId="3" xfId="0" applyNumberFormat="1" applyBorder="1"/>
    <xf numFmtId="0" fontId="0" fillId="0" borderId="11" xfId="0" applyNumberFormat="1" applyBorder="1"/>
    <xf numFmtId="0" fontId="0" fillId="0" borderId="5" xfId="0" applyNumberFormat="1" applyBorder="1"/>
    <xf numFmtId="0" fontId="0" fillId="0" borderId="12" xfId="0" applyNumberFormat="1" applyBorder="1"/>
    <xf numFmtId="0" fontId="0" fillId="0" borderId="7" xfId="0" applyNumberFormat="1" applyBorder="1"/>
    <xf numFmtId="0" fontId="0" fillId="0" borderId="13" xfId="0" applyNumberFormat="1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9" xfId="0" applyNumberFormat="1" applyBorder="1"/>
    <xf numFmtId="10" fontId="0" fillId="0" borderId="15" xfId="0" applyNumberFormat="1" applyBorder="1"/>
    <xf numFmtId="10" fontId="0" fillId="0" borderId="14" xfId="0" applyNumberFormat="1" applyBorder="1"/>
    <xf numFmtId="10" fontId="0" fillId="0" borderId="9" xfId="0" applyNumberFormat="1" applyBorder="1"/>
    <xf numFmtId="0" fontId="0" fillId="0" borderId="3" xfId="0" pivotButton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20" formatCode="dd/mmm/yy"/>
      <alignment horizontal="left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20" formatCode="dd/mmm/yy"/>
      <alignment horizontal="left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numFmt numFmtId="20" formatCode="dd/mmm/yy"/>
      <alignment horizontal="left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23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981.910450578704" createdVersion="8" refreshedVersion="8" minRefreshableVersion="3" recordCount="6" xr:uid="{8F6037F1-4023-4024-9FCE-80382C72D592}">
  <cacheSource type="worksheet">
    <worksheetSource ref="A2:O8" sheet="1"/>
  </cacheSource>
  <cacheFields count="15">
    <cacheField name="Products" numFmtId="0">
      <sharedItems/>
    </cacheField>
    <cacheField name="31-Jan-22" numFmtId="0">
      <sharedItems containsSemiMixedTypes="0" containsString="0" containsNumber="1" containsInteger="1" minValue="32" maxValue="90" count="5">
        <n v="88"/>
        <n v="69"/>
        <n v="63"/>
        <n v="90"/>
        <n v="32"/>
      </sharedItems>
    </cacheField>
    <cacheField name="28-Feb-22" numFmtId="0">
      <sharedItems containsSemiMixedTypes="0" containsString="0" containsNumber="1" containsInteger="1" minValue="18" maxValue="74"/>
    </cacheField>
    <cacheField name="31-Mar-22" numFmtId="0">
      <sharedItems containsSemiMixedTypes="0" containsString="0" containsNumber="1" containsInteger="1" minValue="34" maxValue="96"/>
    </cacheField>
    <cacheField name="30-Apr-22" numFmtId="0">
      <sharedItems containsSemiMixedTypes="0" containsString="0" containsNumber="1" containsInteger="1" minValue="19" maxValue="92"/>
    </cacheField>
    <cacheField name="31-May-22" numFmtId="0">
      <sharedItems containsSemiMixedTypes="0" containsString="0" containsNumber="1" containsInteger="1" minValue="52" maxValue="81"/>
    </cacheField>
    <cacheField name="30-Jun-22" numFmtId="0">
      <sharedItems containsSemiMixedTypes="0" containsString="0" containsNumber="1" containsInteger="1" minValue="21" maxValue="77"/>
    </cacheField>
    <cacheField name="31-Jul-22" numFmtId="0">
      <sharedItems containsSemiMixedTypes="0" containsString="0" containsNumber="1" containsInteger="1" minValue="41" maxValue="91"/>
    </cacheField>
    <cacheField name="31-Aug-22" numFmtId="0">
      <sharedItems containsSemiMixedTypes="0" containsString="0" containsNumber="1" containsInteger="1" minValue="21" maxValue="100"/>
    </cacheField>
    <cacheField name="30-Sep-22" numFmtId="0">
      <sharedItems containsSemiMixedTypes="0" containsString="0" containsNumber="1" containsInteger="1" minValue="26" maxValue="74"/>
    </cacheField>
    <cacheField name="31-Oct-22" numFmtId="0">
      <sharedItems containsSemiMixedTypes="0" containsString="0" containsNumber="1" containsInteger="1" minValue="35" maxValue="93"/>
    </cacheField>
    <cacheField name="30-Nov-22" numFmtId="0">
      <sharedItems containsSemiMixedTypes="0" containsString="0" containsNumber="1" containsInteger="1" minValue="24" maxValue="74"/>
    </cacheField>
    <cacheField name="31-Dec-22" numFmtId="0">
      <sharedItems containsSemiMixedTypes="0" containsString="0" containsNumber="1" containsInteger="1" minValue="10" maxValue="99"/>
    </cacheField>
    <cacheField name="31-Jan-23" numFmtId="0">
      <sharedItems containsSemiMixedTypes="0" containsString="0" containsNumber="1" containsInteger="1" minValue="11" maxValue="93"/>
    </cacheField>
    <cacheField name="28-Feb-23" numFmtId="0">
      <sharedItems containsSemiMixedTypes="0" containsString="0" containsNumber="1" containsInteger="1" minValue="10" maxValue="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981.911763194446" createdVersion="8" refreshedVersion="8" minRefreshableVersion="3" recordCount="84" xr:uid="{5D535C8F-FF25-4D70-95FD-EFAEEC1E2D3C}">
  <cacheSource type="consolidation">
    <consolidation autoPage="0">
      <rangeSets count="1">
        <rangeSet ref="A2:O8" sheet="1"/>
      </rangeSets>
    </consolidation>
  </cacheSource>
  <cacheFields count="3">
    <cacheField name="Row" numFmtId="0">
      <sharedItems count="6">
        <s v="A"/>
        <s v="B"/>
        <s v="C"/>
        <s v="D"/>
        <s v="E"/>
        <s v="F"/>
      </sharedItems>
    </cacheField>
    <cacheField name="Column" numFmtId="0">
      <sharedItems containsSemiMixedTypes="0" containsNonDate="0" containsDate="1" containsString="0" minDate="2022-01-31T00:00:00" maxDate="2023-03-01T00:00:00" count="14"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</sharedItems>
    </cacheField>
    <cacheField name="Value" numFmtId="0">
      <sharedItems containsSemiMixedTypes="0" containsString="0" containsNumber="1" containsInteger="1" minValue="1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981.922700810188" createdVersion="8" refreshedVersion="8" minRefreshableVersion="3" recordCount="590" xr:uid="{A3AD3FEB-08CF-4B1E-B7D9-B1E0B4EDC209}">
  <cacheSource type="worksheet">
    <worksheetSource name="Data"/>
  </cacheSource>
  <cacheFields count="15">
    <cacheField name="Date" numFmtId="15">
      <sharedItems containsSemiMixedTypes="0" containsNonDate="0" containsDate="1" containsString="0" minDate="2005-01-01T00:00:00" maxDate="2009-01-01T00:00:00" count="490">
        <d v="2005-12-27T00:00:00"/>
        <d v="2006-04-20T00:00:00"/>
        <d v="2006-05-24T00:00:00"/>
        <d v="2007-11-19T00:00:00"/>
        <d v="2005-06-25T00:00:00"/>
        <d v="2008-09-14T00:00:00"/>
        <d v="2005-09-19T00:00:00"/>
        <d v="2008-11-12T00:00:00"/>
        <d v="2005-06-02T00:00:00"/>
        <d v="2007-04-14T00:00:00"/>
        <d v="2006-04-28T00:00:00"/>
        <d v="2006-08-16T00:00:00"/>
        <d v="2006-01-23T00:00:00"/>
        <d v="2007-02-22T00:00:00"/>
        <d v="2008-10-20T00:00:00"/>
        <d v="2006-03-16T00:00:00"/>
        <d v="2005-01-29T00:00:00"/>
        <d v="2008-02-05T00:00:00"/>
        <d v="2006-03-17T00:00:00"/>
        <d v="2006-06-20T00:00:00"/>
        <d v="2008-12-25T00:00:00"/>
        <d v="2006-10-13T00:00:00"/>
        <d v="2007-05-08T00:00:00"/>
        <d v="2005-11-30T00:00:00"/>
        <d v="2007-03-05T00:00:00"/>
        <d v="2007-09-14T00:00:00"/>
        <d v="2006-03-20T00:00:00"/>
        <d v="2006-09-11T00:00:00"/>
        <d v="2008-02-07T00:00:00"/>
        <d v="2006-01-08T00:00:00"/>
        <d v="2007-06-30T00:00:00"/>
        <d v="2007-05-10T00:00:00"/>
        <d v="2008-02-09T00:00:00"/>
        <d v="2008-05-19T00:00:00"/>
        <d v="2008-05-16T00:00:00"/>
        <d v="2006-08-11T00:00:00"/>
        <d v="2008-09-02T00:00:00"/>
        <d v="2005-12-31T00:00:00"/>
        <d v="2006-07-01T00:00:00"/>
        <d v="2007-04-18T00:00:00"/>
        <d v="2005-10-05T00:00:00"/>
        <d v="2005-12-28T00:00:00"/>
        <d v="2008-02-17T00:00:00"/>
        <d v="2006-07-17T00:00:00"/>
        <d v="2006-09-22T00:00:00"/>
        <d v="2006-02-27T00:00:00"/>
        <d v="2007-09-06T00:00:00"/>
        <d v="2005-11-27T00:00:00"/>
        <d v="2008-02-24T00:00:00"/>
        <d v="2008-07-25T00:00:00"/>
        <d v="2005-12-30T00:00:00"/>
        <d v="2006-08-07T00:00:00"/>
        <d v="2005-10-02T00:00:00"/>
        <d v="2008-05-18T00:00:00"/>
        <d v="2006-04-10T00:00:00"/>
        <d v="2007-09-07T00:00:00"/>
        <d v="2006-10-17T00:00:00"/>
        <d v="2005-03-12T00:00:00"/>
        <d v="2008-03-10T00:00:00"/>
        <d v="2007-09-11T00:00:00"/>
        <d v="2006-07-04T00:00:00"/>
        <d v="2008-11-15T00:00:00"/>
        <d v="2008-01-31T00:00:00"/>
        <d v="2006-10-22T00:00:00"/>
        <d v="2006-05-06T00:00:00"/>
        <d v="2005-10-28T00:00:00"/>
        <d v="2007-08-06T00:00:00"/>
        <d v="2005-06-16T00:00:00"/>
        <d v="2005-01-09T00:00:00"/>
        <d v="2005-10-03T00:00:00"/>
        <d v="2007-06-13T00:00:00"/>
        <d v="2005-08-09T00:00:00"/>
        <d v="2008-06-30T00:00:00"/>
        <d v="2007-01-27T00:00:00"/>
        <d v="2006-12-14T00:00:00"/>
        <d v="2005-04-16T00:00:00"/>
        <d v="2007-11-12T00:00:00"/>
        <d v="2006-09-01T00:00:00"/>
        <d v="2008-04-15T00:00:00"/>
        <d v="2005-01-06T00:00:00"/>
        <d v="2008-11-16T00:00:00"/>
        <d v="2006-02-22T00:00:00"/>
        <d v="2008-10-17T00:00:00"/>
        <d v="2007-11-24T00:00:00"/>
        <d v="2006-07-23T00:00:00"/>
        <d v="2008-10-07T00:00:00"/>
        <d v="2008-02-21T00:00:00"/>
        <d v="2005-12-08T00:00:00"/>
        <d v="2006-11-09T00:00:00"/>
        <d v="2005-07-06T00:00:00"/>
        <d v="2007-10-31T00:00:00"/>
        <d v="2005-01-26T00:00:00"/>
        <d v="2006-03-05T00:00:00"/>
        <d v="2007-03-15T00:00:00"/>
        <d v="2007-06-11T00:00:00"/>
        <d v="2007-08-15T00:00:00"/>
        <d v="2008-02-22T00:00:00"/>
        <d v="2007-07-03T00:00:00"/>
        <d v="2008-02-04T00:00:00"/>
        <d v="2006-03-29T00:00:00"/>
        <d v="2005-02-13T00:00:00"/>
        <d v="2005-06-06T00:00:00"/>
        <d v="2006-03-30T00:00:00"/>
        <d v="2005-08-25T00:00:00"/>
        <d v="2006-11-27T00:00:00"/>
        <d v="2008-09-30T00:00:00"/>
        <d v="2007-03-18T00:00:00"/>
        <d v="2006-11-16T00:00:00"/>
        <d v="2008-12-31T00:00:00"/>
        <d v="2007-12-03T00:00:00"/>
        <d v="2006-03-14T00:00:00"/>
        <d v="2006-03-31T00:00:00"/>
        <d v="2007-04-23T00:00:00"/>
        <d v="2007-01-10T00:00:00"/>
        <d v="2005-09-16T00:00:00"/>
        <d v="2007-01-24T00:00:00"/>
        <d v="2006-05-03T00:00:00"/>
        <d v="2006-12-31T00:00:00"/>
        <d v="2008-10-13T00:00:00"/>
        <d v="2005-04-29T00:00:00"/>
        <d v="2008-06-24T00:00:00"/>
        <d v="2008-09-20T00:00:00"/>
        <d v="2008-11-06T00:00:00"/>
        <d v="2008-05-21T00:00:00"/>
        <d v="2006-07-22T00:00:00"/>
        <d v="2008-11-02T00:00:00"/>
        <d v="2006-06-08T00:00:00"/>
        <d v="2008-06-13T00:00:00"/>
        <d v="2007-09-22T00:00:00"/>
        <d v="2006-02-19T00:00:00"/>
        <d v="2005-04-10T00:00:00"/>
        <d v="2006-08-27T00:00:00"/>
        <d v="2007-02-06T00:00:00"/>
        <d v="2005-08-30T00:00:00"/>
        <d v="2005-11-20T00:00:00"/>
        <d v="2007-01-16T00:00:00"/>
        <d v="2008-05-27T00:00:00"/>
        <d v="2005-11-03T00:00:00"/>
        <d v="2007-08-19T00:00:00"/>
        <d v="2008-09-03T00:00:00"/>
        <d v="2006-10-08T00:00:00"/>
        <d v="2007-09-27T00:00:00"/>
        <d v="2007-08-23T00:00:00"/>
        <d v="2005-01-14T00:00:00"/>
        <d v="2005-07-21T00:00:00"/>
        <d v="2007-10-15T00:00:00"/>
        <d v="2008-08-31T00:00:00"/>
        <d v="2008-12-07T00:00:00"/>
        <d v="2007-11-16T00:00:00"/>
        <d v="2005-09-04T00:00:00"/>
        <d v="2006-07-13T00:00:00"/>
        <d v="2007-03-22T00:00:00"/>
        <d v="2008-08-28T00:00:00"/>
        <d v="2006-09-21T00:00:00"/>
        <d v="2007-12-14T00:00:00"/>
        <d v="2006-07-29T00:00:00"/>
        <d v="2007-07-06T00:00:00"/>
        <d v="2006-08-20T00:00:00"/>
        <d v="2006-10-15T00:00:00"/>
        <d v="2005-12-20T00:00:00"/>
        <d v="2007-09-16T00:00:00"/>
        <d v="2008-07-22T00:00:00"/>
        <d v="2008-12-01T00:00:00"/>
        <d v="2007-02-14T00:00:00"/>
        <d v="2006-01-27T00:00:00"/>
        <d v="2007-08-25T00:00:00"/>
        <d v="2007-01-29T00:00:00"/>
        <d v="2007-02-17T00:00:00"/>
        <d v="2005-08-23T00:00:00"/>
        <d v="2008-07-16T00:00:00"/>
        <d v="2007-02-01T00:00:00"/>
        <d v="2008-08-02T00:00:00"/>
        <d v="2006-01-24T00:00:00"/>
        <d v="2008-02-01T00:00:00"/>
        <d v="2008-01-23T00:00:00"/>
        <d v="2008-07-15T00:00:00"/>
        <d v="2005-05-08T00:00:00"/>
        <d v="2006-11-24T00:00:00"/>
        <d v="2008-02-06T00:00:00"/>
        <d v="2005-08-21T00:00:00"/>
        <d v="2005-02-24T00:00:00"/>
        <d v="2005-11-04T00:00:00"/>
        <d v="2006-01-19T00:00:00"/>
        <d v="2007-10-28T00:00:00"/>
        <d v="2008-05-28T00:00:00"/>
        <d v="2006-12-28T00:00:00"/>
        <d v="2005-01-01T00:00:00"/>
        <d v="2007-03-27T00:00:00"/>
        <d v="2005-05-26T00:00:00"/>
        <d v="2008-12-28T00:00:00"/>
        <d v="2005-04-18T00:00:00"/>
        <d v="2005-03-19T00:00:00"/>
        <d v="2007-08-07T00:00:00"/>
        <d v="2005-12-17T00:00:00"/>
        <d v="2007-11-25T00:00:00"/>
        <d v="2007-01-14T00:00:00"/>
        <d v="2007-06-03T00:00:00"/>
        <d v="2007-05-04T00:00:00"/>
        <d v="2008-08-12T00:00:00"/>
        <d v="2007-05-28T00:00:00"/>
        <d v="2008-10-22T00:00:00"/>
        <d v="2005-08-17T00:00:00"/>
        <d v="2006-06-29T00:00:00"/>
        <d v="2007-03-28T00:00:00"/>
        <d v="2005-08-18T00:00:00"/>
        <d v="2006-05-31T00:00:00"/>
        <d v="2007-06-04T00:00:00"/>
        <d v="2006-06-27T00:00:00"/>
        <d v="2006-12-18T00:00:00"/>
        <d v="2006-03-08T00:00:00"/>
        <d v="2006-08-15T00:00:00"/>
        <d v="2007-01-21T00:00:00"/>
        <d v="2007-05-29T00:00:00"/>
        <d v="2006-07-09T00:00:00"/>
        <d v="2007-09-21T00:00:00"/>
        <d v="2008-07-09T00:00:00"/>
        <d v="2007-10-21T00:00:00"/>
        <d v="2006-11-29T00:00:00"/>
        <d v="2006-02-16T00:00:00"/>
        <d v="2005-01-11T00:00:00"/>
        <d v="2006-12-29T00:00:00"/>
        <d v="2006-05-01T00:00:00"/>
        <d v="2007-06-16T00:00:00"/>
        <d v="2005-10-07T00:00:00"/>
        <d v="2005-11-17T00:00:00"/>
        <d v="2007-07-10T00:00:00"/>
        <d v="2008-03-24T00:00:00"/>
        <d v="2007-03-16T00:00:00"/>
        <d v="2006-01-18T00:00:00"/>
        <d v="2008-05-24T00:00:00"/>
        <d v="2008-05-23T00:00:00"/>
        <d v="2008-10-04T00:00:00"/>
        <d v="2008-11-23T00:00:00"/>
        <d v="2005-09-17T00:00:00"/>
        <d v="2007-03-07T00:00:00"/>
        <d v="2006-11-01T00:00:00"/>
        <d v="2007-05-22T00:00:00"/>
        <d v="2007-02-04T00:00:00"/>
        <d v="2005-04-19T00:00:00"/>
        <d v="2008-01-13T00:00:00"/>
        <d v="2007-09-23T00:00:00"/>
        <d v="2005-11-23T00:00:00"/>
        <d v="2005-02-08T00:00:00"/>
        <d v="2007-01-08T00:00:00"/>
        <d v="2006-01-05T00:00:00"/>
        <d v="2007-12-26T00:00:00"/>
        <d v="2006-09-05T00:00:00"/>
        <d v="2007-10-27T00:00:00"/>
        <d v="2007-04-30T00:00:00"/>
        <d v="2007-01-30T00:00:00"/>
        <d v="2006-02-25T00:00:00"/>
        <d v="2005-11-25T00:00:00"/>
        <d v="2008-02-29T00:00:00"/>
        <d v="2007-11-13T00:00:00"/>
        <d v="2005-02-18T00:00:00"/>
        <d v="2006-06-14T00:00:00"/>
        <d v="2006-09-27T00:00:00"/>
        <d v="2006-09-28T00:00:00"/>
        <d v="2008-12-11T00:00:00"/>
        <d v="2008-04-27T00:00:00"/>
        <d v="2006-05-17T00:00:00"/>
        <d v="2007-10-22T00:00:00"/>
        <d v="2008-04-30T00:00:00"/>
        <d v="2006-12-11T00:00:00"/>
        <d v="2008-12-21T00:00:00"/>
        <d v="2007-06-07T00:00:00"/>
        <d v="2008-12-19T00:00:00"/>
        <d v="2008-05-03T00:00:00"/>
        <d v="2008-08-18T00:00:00"/>
        <d v="2005-01-30T00:00:00"/>
        <d v="2005-06-15T00:00:00"/>
        <d v="2006-04-12T00:00:00"/>
        <d v="2008-01-03T00:00:00"/>
        <d v="2006-03-26T00:00:00"/>
        <d v="2007-02-03T00:00:00"/>
        <d v="2007-05-16T00:00:00"/>
        <d v="2006-02-24T00:00:00"/>
        <d v="2005-03-13T00:00:00"/>
        <d v="2007-09-08T00:00:00"/>
        <d v="2006-05-25T00:00:00"/>
        <d v="2007-08-28T00:00:00"/>
        <d v="2006-05-22T00:00:00"/>
        <d v="2005-06-13T00:00:00"/>
        <d v="2006-11-21T00:00:00"/>
        <d v="2007-10-05T00:00:00"/>
        <d v="2006-01-30T00:00:00"/>
        <d v="2008-10-11T00:00:00"/>
        <d v="2006-04-15T00:00:00"/>
        <d v="2005-10-12T00:00:00"/>
        <d v="2007-05-23T00:00:00"/>
        <d v="2005-10-16T00:00:00"/>
        <d v="2005-06-12T00:00:00"/>
        <d v="2005-09-22T00:00:00"/>
        <d v="2005-04-23T00:00:00"/>
        <d v="2007-05-01T00:00:00"/>
        <d v="2005-11-28T00:00:00"/>
        <d v="2008-04-11T00:00:00"/>
        <d v="2006-05-13T00:00:00"/>
        <d v="2008-10-19T00:00:00"/>
        <d v="2008-01-20T00:00:00"/>
        <d v="2007-09-30T00:00:00"/>
        <d v="2008-09-13T00:00:00"/>
        <d v="2006-03-07T00:00:00"/>
        <d v="2005-12-26T00:00:00"/>
        <d v="2007-09-05T00:00:00"/>
        <d v="2008-03-22T00:00:00"/>
        <d v="2006-04-08T00:00:00"/>
        <d v="2008-12-12T00:00:00"/>
        <d v="2007-10-12T00:00:00"/>
        <d v="2008-11-19T00:00:00"/>
        <d v="2007-06-21T00:00:00"/>
        <d v="2008-03-14T00:00:00"/>
        <d v="2006-04-25T00:00:00"/>
        <d v="2007-11-09T00:00:00"/>
        <d v="2005-06-22T00:00:00"/>
        <d v="2005-07-26T00:00:00"/>
        <d v="2007-08-10T00:00:00"/>
        <d v="2007-10-10T00:00:00"/>
        <d v="2007-06-20T00:00:00"/>
        <d v="2008-09-12T00:00:00"/>
        <d v="2006-05-29T00:00:00"/>
        <d v="2005-07-08T00:00:00"/>
        <d v="2008-01-21T00:00:00"/>
        <d v="2005-06-11T00:00:00"/>
        <d v="2007-08-18T00:00:00"/>
        <d v="2006-01-21T00:00:00"/>
        <d v="2006-11-25T00:00:00"/>
        <d v="2006-04-02T00:00:00"/>
        <d v="2008-01-19T00:00:00"/>
        <d v="2008-12-13T00:00:00"/>
        <d v="2005-03-18T00:00:00"/>
        <d v="2008-03-23T00:00:00"/>
        <d v="2007-01-06T00:00:00"/>
        <d v="2007-08-02T00:00:00"/>
        <d v="2008-09-05T00:00:00"/>
        <d v="2006-07-10T00:00:00"/>
        <d v="2005-09-11T00:00:00"/>
        <d v="2008-10-15T00:00:00"/>
        <d v="2006-05-11T00:00:00"/>
        <d v="2008-02-20T00:00:00"/>
        <d v="2007-02-25T00:00:00"/>
        <d v="2007-06-18T00:00:00"/>
        <d v="2006-12-09T00:00:00"/>
        <d v="2006-08-01T00:00:00"/>
        <d v="2008-08-25T00:00:00"/>
        <d v="2005-06-07T00:00:00"/>
        <d v="2005-08-02T00:00:00"/>
        <d v="2005-11-12T00:00:00"/>
        <d v="2008-09-10T00:00:00"/>
        <d v="2005-01-12T00:00:00"/>
        <d v="2008-11-13T00:00:00"/>
        <d v="2005-12-11T00:00:00"/>
        <d v="2008-02-13T00:00:00"/>
        <d v="2005-05-23T00:00:00"/>
        <d v="2005-05-09T00:00:00"/>
        <d v="2008-11-04T00:00:00"/>
        <d v="2007-09-20T00:00:00"/>
        <d v="2005-02-04T00:00:00"/>
        <d v="2005-07-31T00:00:00"/>
        <d v="2005-05-28T00:00:00"/>
        <d v="2008-04-21T00:00:00"/>
        <d v="2008-03-13T00:00:00"/>
        <d v="2006-07-12T00:00:00"/>
        <d v="2007-08-17T00:00:00"/>
        <d v="2006-07-28T00:00:00"/>
        <d v="2008-02-10T00:00:00"/>
        <d v="2007-03-30T00:00:00"/>
        <d v="2005-10-10T00:00:00"/>
        <d v="2006-12-15T00:00:00"/>
        <d v="2006-03-27T00:00:00"/>
        <d v="2007-10-26T00:00:00"/>
        <d v="2005-03-24T00:00:00"/>
        <d v="2006-12-27T00:00:00"/>
        <d v="2006-07-05T00:00:00"/>
        <d v="2007-03-04T00:00:00"/>
        <d v="2006-11-12T00:00:00"/>
        <d v="2007-11-18T00:00:00"/>
        <d v="2005-09-05T00:00:00"/>
        <d v="2005-08-08T00:00:00"/>
        <d v="2008-08-01T00:00:00"/>
        <d v="2008-08-16T00:00:00"/>
        <d v="2008-04-04T00:00:00"/>
        <d v="2005-02-09T00:00:00"/>
        <d v="2005-06-30T00:00:00"/>
        <d v="2008-06-05T00:00:00"/>
        <d v="2005-03-03T00:00:00"/>
        <d v="2005-06-23T00:00:00"/>
        <d v="2007-12-18T00:00:00"/>
        <d v="2005-07-27T00:00:00"/>
        <d v="2007-02-21T00:00:00"/>
        <d v="2006-03-01T00:00:00"/>
        <d v="2008-10-29T00:00:00"/>
        <d v="2008-08-13T00:00:00"/>
        <d v="2008-01-05T00:00:00"/>
        <d v="2007-04-11T00:00:00"/>
        <d v="2006-06-07T00:00:00"/>
        <d v="2006-06-30T00:00:00"/>
        <d v="2007-04-24T00:00:00"/>
        <d v="2008-06-09T00:00:00"/>
        <d v="2005-05-27T00:00:00"/>
        <d v="2007-04-09T00:00:00"/>
        <d v="2008-01-27T00:00:00"/>
        <d v="2007-07-25T00:00:00"/>
        <d v="2005-05-30T00:00:00"/>
        <d v="2005-11-24T00:00:00"/>
        <d v="2007-11-11T00:00:00"/>
        <d v="2008-12-08T00:00:00"/>
        <d v="2006-05-16T00:00:00"/>
        <d v="2006-05-15T00:00:00"/>
        <d v="2008-05-07T00:00:00"/>
        <d v="2007-07-02T00:00:00"/>
        <d v="2008-03-11T00:00:00"/>
        <d v="2008-07-30T00:00:00"/>
        <d v="2008-11-22T00:00:00"/>
        <d v="2005-04-24T00:00:00"/>
        <d v="2008-07-19T00:00:00"/>
        <d v="2007-07-19T00:00:00"/>
        <d v="2008-07-05T00:00:00"/>
        <d v="2006-10-16T00:00:00"/>
        <d v="2006-04-22T00:00:00"/>
        <d v="2008-03-12T00:00:00"/>
        <d v="2005-10-23T00:00:00"/>
        <d v="2007-03-13T00:00:00"/>
        <d v="2005-11-16T00:00:00"/>
        <d v="2006-06-05T00:00:00"/>
        <d v="2005-12-12T00:00:00"/>
        <d v="2008-03-28T00:00:00"/>
        <d v="2008-10-30T00:00:00"/>
        <d v="2005-09-07T00:00:00"/>
        <d v="2006-06-28T00:00:00"/>
        <d v="2007-12-27T00:00:00"/>
        <d v="2006-02-11T00:00:00"/>
        <d v="2008-07-18T00:00:00"/>
        <d v="2005-05-10T00:00:00"/>
        <d v="2007-07-28T00:00:00"/>
        <d v="2007-09-02T00:00:00"/>
        <d v="2005-06-27T00:00:00"/>
        <d v="2007-05-25T00:00:00"/>
        <d v="2008-09-01T00:00:00"/>
        <d v="2008-06-04T00:00:00"/>
        <d v="2006-08-03T00:00:00"/>
        <d v="2007-06-02T00:00:00"/>
        <d v="2007-06-28T00:00:00"/>
        <d v="2007-07-29T00:00:00"/>
        <d v="2008-04-29T00:00:00"/>
        <d v="2007-07-05T00:00:00"/>
        <d v="2007-04-16T00:00:00"/>
        <d v="2008-11-11T00:00:00"/>
        <d v="2005-02-20T00:00:00"/>
        <d v="2008-10-10T00:00:00"/>
        <d v="2007-09-25T00:00:00"/>
        <d v="2005-02-16T00:00:00"/>
        <d v="2005-02-14T00:00:00"/>
        <d v="2008-02-03T00:00:00"/>
        <d v="2005-11-19T00:00:00"/>
        <d v="2008-01-22T00:00:00"/>
        <d v="2008-05-20T00:00:00"/>
        <d v="2008-04-20T00:00:00"/>
        <d v="2005-10-09T00:00:00"/>
        <d v="2008-08-04T00:00:00"/>
        <d v="2007-10-02T00:00:00"/>
        <d v="2006-02-14T00:00:00"/>
        <d v="2005-09-23T00:00:00"/>
        <d v="2006-01-28T00:00:00"/>
        <d v="2006-08-12T00:00:00"/>
        <d v="2008-02-11T00:00:00"/>
        <d v="2007-10-09T00:00:00"/>
        <d v="2007-12-30T00:00:00"/>
        <d v="2008-03-07T00:00:00"/>
        <d v="2007-03-21T00:00:00"/>
        <d v="2008-06-25T00:00:00"/>
        <d v="2008-05-10T00:00:00"/>
        <d v="2005-03-09T00:00:00"/>
        <d v="2005-06-21T00:00:00"/>
        <d v="2005-02-05T00:00:00"/>
        <d v="2005-12-10T00:00:00"/>
        <d v="2007-11-17T00:00:00"/>
        <d v="2008-01-09T00:00:00"/>
        <d v="2008-03-17T00:00:00"/>
        <d v="2005-08-13T00:00:00"/>
        <d v="2007-12-12T00:00:00"/>
        <d v="2006-04-11T00:00:00"/>
        <d v="2006-01-29T00:00:00"/>
        <d v="2008-12-18T00:00:00"/>
        <d v="2007-10-14T00:00:00"/>
        <d v="2006-03-15T00:00:00"/>
        <d v="2005-05-11T00:00:00"/>
        <d v="2006-06-11T00:00:00"/>
        <d v="2007-04-29T00:00:00"/>
        <d v="2007-08-24T00:00:00"/>
      </sharedItems>
      <fieldGroup par="10" base="0">
        <rangePr groupBy="months" startDate="2005-01-01T00:00:00" endDate="2009-01-01T00:00:00"/>
        <groupItems count="14">
          <s v="&lt;01-01-200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1-2009"/>
        </groupItems>
      </fieldGroup>
    </cacheField>
    <cacheField name="FY" numFmtId="15">
      <sharedItems count="5">
        <s v="2005-2006"/>
        <s v="2006-2007"/>
        <s v="2007-2008"/>
        <s v="2008-2009"/>
        <s v="2004-2005"/>
      </sharedItems>
    </cacheField>
    <cacheField name="FQ" numFmtId="15">
      <sharedItems count="4">
        <s v="Q3"/>
        <s v="Q1"/>
        <s v="Q2"/>
        <s v="Q4"/>
      </sharedItems>
    </cacheField>
    <cacheField name="Sales Rep" numFmtId="0">
      <sharedItems count="12">
        <s v="Varsha"/>
        <s v="Veronica"/>
        <s v="Ramesh"/>
        <s v="James"/>
        <s v="Rajat"/>
        <s v="Swati"/>
        <s v="Charley"/>
        <s v="Mark"/>
        <s v="Abhay"/>
        <s v="Bruce"/>
        <s v="Anshika"/>
        <s v="Jaspreet"/>
      </sharedItems>
      <fieldGroup par="11"/>
    </cacheField>
    <cacheField name="Customer" numFmtId="0">
      <sharedItems count="12">
        <s v="Shyam &amp; Sharma Co"/>
        <s v="MNTL"/>
        <s v="Sharma &amp; Co"/>
        <s v="White Associates"/>
        <s v="Boston Consultants"/>
        <s v="Shah Associates"/>
        <s v="Namint Enterprises"/>
        <s v="Data Tronics"/>
        <s v="VCC"/>
        <s v="India Trotters"/>
        <s v="Good Fly"/>
        <s v="Jindle Power Works"/>
      </sharedItems>
      <fieldGroup par="14"/>
    </cacheField>
    <cacheField name="Amount" numFmtId="0">
      <sharedItems containsSemiMixedTypes="0" containsString="0" containsNumber="1" containsInteger="1" minValue="10000" maxValue="15000"/>
    </cacheField>
    <cacheField name="Cost" numFmtId="0">
      <sharedItems containsSemiMixedTypes="0" containsString="0" containsNumber="1" containsInteger="1" minValue="4400" maxValue="12880"/>
    </cacheField>
    <cacheField name="Profit" numFmtId="0">
      <sharedItems containsSemiMixedTypes="0" containsString="0" containsNumber="1" containsInteger="1" minValue="2000" maxValue="5800"/>
    </cacheField>
    <cacheField name="Region" numFmtId="0">
      <sharedItems count="4">
        <s v="East"/>
        <s v="West"/>
        <s v="South"/>
        <s v="North"/>
      </sharedItems>
    </cacheField>
    <cacheField name="Quarters" numFmtId="0" databaseField="0">
      <fieldGroup base="0">
        <rangePr groupBy="quarters" startDate="2005-01-01T00:00:00" endDate="2009-01-01T00:00:00"/>
        <groupItems count="6">
          <s v="&lt;01-01-2005"/>
          <s v="Qtr1"/>
          <s v="Qtr2"/>
          <s v="Qtr3"/>
          <s v="Qtr4"/>
          <s v="&gt;01-01-2009"/>
        </groupItems>
      </fieldGroup>
    </cacheField>
    <cacheField name="Years" numFmtId="0" databaseField="0">
      <fieldGroup base="0">
        <rangePr groupBy="years" startDate="2005-01-01T00:00:00" endDate="2009-01-01T00:00:00"/>
        <groupItems count="7">
          <s v="&lt;01-01-2005"/>
          <s v="2005"/>
          <s v="2006"/>
          <s v="2007"/>
          <s v="2008"/>
          <s v="2009"/>
          <s v="&gt;01-01-2009"/>
        </groupItems>
      </fieldGroup>
    </cacheField>
    <cacheField name="Sales Rep2" numFmtId="0" databaseField="0">
      <fieldGroup base="3">
        <discretePr count="12">
          <x v="0"/>
          <x v="1"/>
          <x v="1"/>
          <x v="0"/>
          <x v="1"/>
          <x v="1"/>
          <x v="1"/>
          <x v="0"/>
          <x v="0"/>
          <x v="1"/>
          <x v="0"/>
          <x v="1"/>
        </discretePr>
        <groupItems count="2">
          <s v="Group1"/>
          <s v="Group2"/>
        </groupItems>
      </fieldGroup>
    </cacheField>
    <cacheField name="Cost %" numFmtId="0" formula=" SUM(Cost) /SUM(Amount)" databaseField="0"/>
    <cacheField name="Profit %" numFmtId="0" formula=" SUM(Profit) /SUM(Amount)" databaseField="0"/>
    <cacheField name="Customer2" numFmtId="0" databaseField="0">
      <fieldGroup base="4">
        <discretePr count="12">
          <x v="1"/>
          <x v="0"/>
          <x v="1"/>
          <x v="1"/>
          <x v="0"/>
          <x v="1"/>
          <x v="1"/>
          <x v="0"/>
          <x v="1"/>
          <x v="0"/>
          <x v="0"/>
          <x v="0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 pivotCacheId="850687688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4981.928730208332" backgroundQuery="1" createdVersion="8" refreshedVersion="8" minRefreshableVersion="3" recordCount="0" supportSubquery="1" supportAdvancedDrill="1" xr:uid="{23EAFA58-EE17-4EF2-92E5-0CF0B0D9CC38}">
  <cacheSource type="external" connectionId="1"/>
  <cacheFields count="5">
    <cacheField name="[Measures].[Sum of Amount]" caption="Sum of Amount" numFmtId="0" hierarchy="13" level="32767"/>
    <cacheField name="[Measures].[Count of Sales Rep]" caption="Count of Sales Rep" numFmtId="0" hierarchy="14" level="32767"/>
    <cacheField name="[Data].[Customer].[Customer]" caption="Customer" numFmtId="0" hierarchy="4" level="1">
      <sharedItems count="12">
        <s v="Boston Consultants"/>
        <s v="Data Tronics"/>
        <s v="Good Fly"/>
        <s v="India Trotters"/>
        <s v="Jindle Power Works"/>
        <s v="MNTL"/>
        <s v="Namint Enterprises"/>
        <s v="Shah Associates"/>
        <s v="Sharma &amp; Co"/>
        <s v="Shyam &amp; Sharma Co"/>
        <s v="VCC"/>
        <s v="White Associates"/>
      </sharedItems>
      <extLst>
        <ext xmlns:x15="http://schemas.microsoft.com/office/spreadsheetml/2010/11/main" uri="{4F2E5C28-24EA-4eb8-9CBF-B6C8F9C3D259}">
          <x15:cachedUniqueNames>
            <x15:cachedUniqueName index="0" name="[Data].[Customer].&amp;[Boston Consultants]"/>
            <x15:cachedUniqueName index="1" name="[Data].[Customer].&amp;[Data Tronics]"/>
            <x15:cachedUniqueName index="2" name="[Data].[Customer].&amp;[Good Fly]"/>
            <x15:cachedUniqueName index="3" name="[Data].[Customer].&amp;[India Trotters]"/>
            <x15:cachedUniqueName index="4" name="[Data].[Customer].&amp;[Jindle Power Works]"/>
            <x15:cachedUniqueName index="5" name="[Data].[Customer].&amp;[MNTL]"/>
            <x15:cachedUniqueName index="6" name="[Data].[Customer].&amp;[Namint Enterprises]"/>
            <x15:cachedUniqueName index="7" name="[Data].[Customer].&amp;[Shah Associates]"/>
            <x15:cachedUniqueName index="8" name="[Data].[Customer].&amp;[Sharma &amp; Co]"/>
            <x15:cachedUniqueName index="9" name="[Data].[Customer].&amp;[Shyam &amp; Sharma Co]"/>
            <x15:cachedUniqueName index="10" name="[Data].[Customer].&amp;[VCC]"/>
            <x15:cachedUniqueName index="11" name="[Data].[Customer].&amp;[White Associates]"/>
          </x15:cachedUniqueNames>
        </ext>
      </extLst>
    </cacheField>
    <cacheField name="[Data].[Region].[Region]" caption="Region" numFmtId="0" hierarchy="8" level="1">
      <sharedItems count="4">
        <s v="East"/>
        <s v="South"/>
        <s v="West"/>
        <s v="North"/>
      </sharedItems>
      <extLst>
        <ext xmlns:x15="http://schemas.microsoft.com/office/spreadsheetml/2010/11/main" uri="{4F2E5C28-24EA-4eb8-9CBF-B6C8F9C3D259}">
          <x15:cachedUniqueNames>
            <x15:cachedUniqueName index="0" name="[Data].[Region].&amp;[East]"/>
            <x15:cachedUniqueName index="1" name="[Data].[Region].&amp;[South]"/>
            <x15:cachedUniqueName index="2" name="[Data].[Region].&amp;[West]"/>
            <x15:cachedUniqueName index="3" name="[Data].[Region].&amp;[North]"/>
          </x15:cachedUniqueNames>
        </ext>
      </extLst>
    </cacheField>
    <cacheField name="[Data].[Date (Year)].[Date (Year)]" caption="Date (Year)" numFmtId="0" hierarchy="9" level="1">
      <sharedItems count="4">
        <s v="2005"/>
        <s v="2006"/>
        <s v="2007"/>
        <s v="2008"/>
      </sharedItems>
      <extLst>
        <ext xmlns:x15="http://schemas.microsoft.com/office/spreadsheetml/2010/11/main" uri="{4F2E5C28-24EA-4eb8-9CBF-B6C8F9C3D259}">
          <x15:cachedUniqueNames>
            <x15:cachedUniqueName index="0" name="[Data].[Date (Year)].&amp;[2005]"/>
            <x15:cachedUniqueName index="1" name="[Data].[Date (Year)].&amp;[2006]"/>
            <x15:cachedUniqueName index="2" name="[Data].[Date (Year)].&amp;[2007]"/>
            <x15:cachedUniqueName index="3" name="[Data].[Date (Year)].&amp;[2008]"/>
          </x15:cachedUniqueNames>
        </ext>
      </extLst>
    </cacheField>
  </cacheFields>
  <cacheHierarchies count="18">
    <cacheHierarchy uniqueName="[Data].[Date]" caption="Date" attribute="1" time="1" defaultMemberUniqueName="[Data].[Date].[All]" allUniqueName="[Data].[Date].[All]" dimensionUniqueName="[Data]" displayFolder="" count="2" memberValueDatatype="7" unbalanced="0"/>
    <cacheHierarchy uniqueName="[Data].[FY]" caption="FY" attribute="1" defaultMemberUniqueName="[Data].[FY].[All]" allUniqueName="[Data].[FY].[All]" dimensionUniqueName="[Data]" displayFolder="" count="0" memberValueDatatype="130" unbalanced="0"/>
    <cacheHierarchy uniqueName="[Data].[FQ]" caption="FQ" attribute="1" defaultMemberUniqueName="[Data].[FQ].[All]" allUniqueName="[Data].[FQ].[All]" dimensionUniqueName="[Data]" displayFolder="" count="0" memberValueDatatype="130" unbalanced="0"/>
    <cacheHierarchy uniqueName="[Data].[Sales Rep]" caption="Sales Rep" attribute="1" defaultMemberUniqueName="[Data].[Sales Rep].[All]" allUniqueName="[Data].[Sales Rep].[All]" dimensionUniqueName="[Data]" displayFolder="" count="0" memberValueDatatype="130" unbalanced="0"/>
    <cacheHierarchy uniqueName="[Data].[Customer]" caption="Customer" attribute="1" defaultMemberUniqueName="[Data].[Customer].[All]" allUniqueName="[Data].[Customer].[All]" dimensionUniqueName="[Data]" displayFolder="" count="2" memberValueDatatype="130" unbalanced="0">
      <fieldsUsage count="2">
        <fieldUsage x="-1"/>
        <fieldUsage x="2"/>
      </fieldsUsage>
    </cacheHierarchy>
    <cacheHierarchy uniqueName="[Data].[Amount]" caption="Amount" attribute="1" defaultMemberUniqueName="[Data].[Amount].[All]" allUniqueName="[Data].[Amount].[All]" dimensionUniqueName="[Data]" displayFolder="" count="0" memberValueDatatype="20" unbalanced="0"/>
    <cacheHierarchy uniqueName="[Data].[Cost]" caption="Cost" attribute="1" defaultMemberUniqueName="[Data].[Cost].[All]" allUniqueName="[Data].[Cost].[All]" dimensionUniqueName="[Data]" displayFolder="" count="0" memberValueDatatype="20" unbalanced="0"/>
    <cacheHierarchy uniqueName="[Data].[Profit]" caption="Profit" attribute="1" defaultMemberUniqueName="[Data].[Profit].[All]" allUniqueName="[Data].[Profit].[All]" dimensionUniqueName="[Data]" displayFolder="" count="0" memberValueDatatype="20" unbalanced="0"/>
    <cacheHierarchy uniqueName="[Data].[Region]" caption="Region" attribute="1" defaultMemberUniqueName="[Data].[Region].[All]" allUniqueName="[Data].[Region].[All]" dimensionUniqueName="[Data]" displayFolder="" count="2" memberValueDatatype="130" unbalanced="0">
      <fieldsUsage count="2">
        <fieldUsage x="-1"/>
        <fieldUsage x="3"/>
      </fieldsUsage>
    </cacheHierarchy>
    <cacheHierarchy uniqueName="[Data].[Date (Year)]" caption="Date (Year)" attribute="1" defaultMemberUniqueName="[Data].[Date (Year)].[All]" allUniqueName="[Data].[Date (Year)].[All]" dimensionUniqueName="[Data]" displayFolder="" count="2" memberValueDatatype="130" unbalanced="0">
      <fieldsUsage count="2">
        <fieldUsage x="-1"/>
        <fieldUsage x="4"/>
      </fieldsUsage>
    </cacheHierarchy>
    <cacheHierarchy uniqueName="[Data].[Date (Quarter)]" caption="Date (Quarter)" attribute="1" defaultMemberUniqueName="[Data].[Date (Quarter)].[All]" allUniqueName="[Data].[Date (Quarter)].[All]" dimensionUniqueName="[Data]" displayFolder="" count="2" memberValueDatatype="130" unbalanced="0"/>
    <cacheHierarchy uniqueName="[Data].[Date (Month)]" caption="Date (Month)" attribute="1" defaultMemberUniqueName="[Data].[Date (Month)].[All]" allUniqueName="[Data].[Date (Month)].[All]" dimensionUniqueName="[Data]" displayFolder="" count="2" memberValueDatatype="130" unbalanced="0"/>
    <cacheHierarchy uniqueName="[Data].[Date (Month Index)]" caption="Date (Month Index)" attribute="1" defaultMemberUniqueName="[Data].[Date (Month Index)].[All]" allUniqueName="[Data].[Date (Month Index)].[All]" dimensionUniqueName="[Data]" displayFolder="" count="0" memberValueDatatype="20" unbalanced="0" hidden="1"/>
    <cacheHierarchy uniqueName="[Measures].[Sum of Amount]" caption="Sum of Amount" measure="1" displayFolder="" measureGroup="Data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Sales Rep]" caption="Count of Sales Rep" measure="1" displayFolder="" measureGroup="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ames of Sales Rep]" caption="Names of Sales Rep" measure="1" displayFolder="" measureGroup="Data" count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A"/>
    <x v="0"/>
    <n v="57"/>
    <n v="85"/>
    <n v="19"/>
    <n v="52"/>
    <n v="38"/>
    <n v="74"/>
    <n v="86"/>
    <n v="26"/>
    <n v="52"/>
    <n v="62"/>
    <n v="31"/>
    <n v="93"/>
    <n v="33"/>
  </r>
  <r>
    <s v="B"/>
    <x v="1"/>
    <n v="35"/>
    <n v="96"/>
    <n v="38"/>
    <n v="55"/>
    <n v="21"/>
    <n v="41"/>
    <n v="91"/>
    <n v="48"/>
    <n v="82"/>
    <n v="74"/>
    <n v="67"/>
    <n v="69"/>
    <n v="10"/>
  </r>
  <r>
    <s v="C"/>
    <x v="2"/>
    <n v="71"/>
    <n v="70"/>
    <n v="71"/>
    <n v="68"/>
    <n v="62"/>
    <n v="91"/>
    <n v="100"/>
    <n v="28"/>
    <n v="51"/>
    <n v="51"/>
    <n v="47"/>
    <n v="86"/>
    <n v="70"/>
  </r>
  <r>
    <s v="D"/>
    <x v="3"/>
    <n v="74"/>
    <n v="50"/>
    <n v="75"/>
    <n v="52"/>
    <n v="62"/>
    <n v="90"/>
    <n v="21"/>
    <n v="47"/>
    <n v="93"/>
    <n v="46"/>
    <n v="10"/>
    <n v="11"/>
    <n v="75"/>
  </r>
  <r>
    <s v="E"/>
    <x v="0"/>
    <n v="18"/>
    <n v="34"/>
    <n v="92"/>
    <n v="64"/>
    <n v="63"/>
    <n v="78"/>
    <n v="27"/>
    <n v="64"/>
    <n v="37"/>
    <n v="24"/>
    <n v="18"/>
    <n v="17"/>
    <n v="59"/>
  </r>
  <r>
    <s v="F"/>
    <x v="4"/>
    <n v="38"/>
    <n v="66"/>
    <n v="42"/>
    <n v="81"/>
    <n v="77"/>
    <n v="42"/>
    <n v="40"/>
    <n v="74"/>
    <n v="35"/>
    <n v="65"/>
    <n v="99"/>
    <n v="51"/>
    <n v="5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x v="0"/>
    <n v="88"/>
  </r>
  <r>
    <x v="0"/>
    <x v="1"/>
    <n v="57"/>
  </r>
  <r>
    <x v="0"/>
    <x v="2"/>
    <n v="85"/>
  </r>
  <r>
    <x v="0"/>
    <x v="3"/>
    <n v="19"/>
  </r>
  <r>
    <x v="0"/>
    <x v="4"/>
    <n v="52"/>
  </r>
  <r>
    <x v="0"/>
    <x v="5"/>
    <n v="38"/>
  </r>
  <r>
    <x v="0"/>
    <x v="6"/>
    <n v="74"/>
  </r>
  <r>
    <x v="0"/>
    <x v="7"/>
    <n v="86"/>
  </r>
  <r>
    <x v="0"/>
    <x v="8"/>
    <n v="26"/>
  </r>
  <r>
    <x v="0"/>
    <x v="9"/>
    <n v="52"/>
  </r>
  <r>
    <x v="0"/>
    <x v="10"/>
    <n v="62"/>
  </r>
  <r>
    <x v="0"/>
    <x v="11"/>
    <n v="31"/>
  </r>
  <r>
    <x v="0"/>
    <x v="12"/>
    <n v="93"/>
  </r>
  <r>
    <x v="0"/>
    <x v="13"/>
    <n v="33"/>
  </r>
  <r>
    <x v="1"/>
    <x v="0"/>
    <n v="69"/>
  </r>
  <r>
    <x v="1"/>
    <x v="1"/>
    <n v="35"/>
  </r>
  <r>
    <x v="1"/>
    <x v="2"/>
    <n v="96"/>
  </r>
  <r>
    <x v="1"/>
    <x v="3"/>
    <n v="38"/>
  </r>
  <r>
    <x v="1"/>
    <x v="4"/>
    <n v="55"/>
  </r>
  <r>
    <x v="1"/>
    <x v="5"/>
    <n v="21"/>
  </r>
  <r>
    <x v="1"/>
    <x v="6"/>
    <n v="41"/>
  </r>
  <r>
    <x v="1"/>
    <x v="7"/>
    <n v="91"/>
  </r>
  <r>
    <x v="1"/>
    <x v="8"/>
    <n v="48"/>
  </r>
  <r>
    <x v="1"/>
    <x v="9"/>
    <n v="82"/>
  </r>
  <r>
    <x v="1"/>
    <x v="10"/>
    <n v="74"/>
  </r>
  <r>
    <x v="1"/>
    <x v="11"/>
    <n v="67"/>
  </r>
  <r>
    <x v="1"/>
    <x v="12"/>
    <n v="69"/>
  </r>
  <r>
    <x v="1"/>
    <x v="13"/>
    <n v="10"/>
  </r>
  <r>
    <x v="2"/>
    <x v="0"/>
    <n v="63"/>
  </r>
  <r>
    <x v="2"/>
    <x v="1"/>
    <n v="71"/>
  </r>
  <r>
    <x v="2"/>
    <x v="2"/>
    <n v="70"/>
  </r>
  <r>
    <x v="2"/>
    <x v="3"/>
    <n v="71"/>
  </r>
  <r>
    <x v="2"/>
    <x v="4"/>
    <n v="68"/>
  </r>
  <r>
    <x v="2"/>
    <x v="5"/>
    <n v="62"/>
  </r>
  <r>
    <x v="2"/>
    <x v="6"/>
    <n v="91"/>
  </r>
  <r>
    <x v="2"/>
    <x v="7"/>
    <n v="100"/>
  </r>
  <r>
    <x v="2"/>
    <x v="8"/>
    <n v="28"/>
  </r>
  <r>
    <x v="2"/>
    <x v="9"/>
    <n v="51"/>
  </r>
  <r>
    <x v="2"/>
    <x v="10"/>
    <n v="51"/>
  </r>
  <r>
    <x v="2"/>
    <x v="11"/>
    <n v="47"/>
  </r>
  <r>
    <x v="2"/>
    <x v="12"/>
    <n v="86"/>
  </r>
  <r>
    <x v="2"/>
    <x v="13"/>
    <n v="70"/>
  </r>
  <r>
    <x v="3"/>
    <x v="0"/>
    <n v="90"/>
  </r>
  <r>
    <x v="3"/>
    <x v="1"/>
    <n v="74"/>
  </r>
  <r>
    <x v="3"/>
    <x v="2"/>
    <n v="50"/>
  </r>
  <r>
    <x v="3"/>
    <x v="3"/>
    <n v="75"/>
  </r>
  <r>
    <x v="3"/>
    <x v="4"/>
    <n v="52"/>
  </r>
  <r>
    <x v="3"/>
    <x v="5"/>
    <n v="62"/>
  </r>
  <r>
    <x v="3"/>
    <x v="6"/>
    <n v="90"/>
  </r>
  <r>
    <x v="3"/>
    <x v="7"/>
    <n v="21"/>
  </r>
  <r>
    <x v="3"/>
    <x v="8"/>
    <n v="47"/>
  </r>
  <r>
    <x v="3"/>
    <x v="9"/>
    <n v="93"/>
  </r>
  <r>
    <x v="3"/>
    <x v="10"/>
    <n v="46"/>
  </r>
  <r>
    <x v="3"/>
    <x v="11"/>
    <n v="10"/>
  </r>
  <r>
    <x v="3"/>
    <x v="12"/>
    <n v="11"/>
  </r>
  <r>
    <x v="3"/>
    <x v="13"/>
    <n v="75"/>
  </r>
  <r>
    <x v="4"/>
    <x v="0"/>
    <n v="88"/>
  </r>
  <r>
    <x v="4"/>
    <x v="1"/>
    <n v="18"/>
  </r>
  <r>
    <x v="4"/>
    <x v="2"/>
    <n v="34"/>
  </r>
  <r>
    <x v="4"/>
    <x v="3"/>
    <n v="92"/>
  </r>
  <r>
    <x v="4"/>
    <x v="4"/>
    <n v="64"/>
  </r>
  <r>
    <x v="4"/>
    <x v="5"/>
    <n v="63"/>
  </r>
  <r>
    <x v="4"/>
    <x v="6"/>
    <n v="78"/>
  </r>
  <r>
    <x v="4"/>
    <x v="7"/>
    <n v="27"/>
  </r>
  <r>
    <x v="4"/>
    <x v="8"/>
    <n v="64"/>
  </r>
  <r>
    <x v="4"/>
    <x v="9"/>
    <n v="37"/>
  </r>
  <r>
    <x v="4"/>
    <x v="10"/>
    <n v="24"/>
  </r>
  <r>
    <x v="4"/>
    <x v="11"/>
    <n v="18"/>
  </r>
  <r>
    <x v="4"/>
    <x v="12"/>
    <n v="17"/>
  </r>
  <r>
    <x v="4"/>
    <x v="13"/>
    <n v="59"/>
  </r>
  <r>
    <x v="5"/>
    <x v="0"/>
    <n v="32"/>
  </r>
  <r>
    <x v="5"/>
    <x v="1"/>
    <n v="38"/>
  </r>
  <r>
    <x v="5"/>
    <x v="2"/>
    <n v="66"/>
  </r>
  <r>
    <x v="5"/>
    <x v="3"/>
    <n v="42"/>
  </r>
  <r>
    <x v="5"/>
    <x v="4"/>
    <n v="81"/>
  </r>
  <r>
    <x v="5"/>
    <x v="5"/>
    <n v="77"/>
  </r>
  <r>
    <x v="5"/>
    <x v="6"/>
    <n v="42"/>
  </r>
  <r>
    <x v="5"/>
    <x v="7"/>
    <n v="40"/>
  </r>
  <r>
    <x v="5"/>
    <x v="8"/>
    <n v="74"/>
  </r>
  <r>
    <x v="5"/>
    <x v="9"/>
    <n v="35"/>
  </r>
  <r>
    <x v="5"/>
    <x v="10"/>
    <n v="65"/>
  </r>
  <r>
    <x v="5"/>
    <x v="11"/>
    <n v="99"/>
  </r>
  <r>
    <x v="5"/>
    <x v="12"/>
    <n v="51"/>
  </r>
  <r>
    <x v="5"/>
    <x v="13"/>
    <n v="5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0">
  <r>
    <x v="0"/>
    <x v="0"/>
    <x v="0"/>
    <x v="0"/>
    <x v="0"/>
    <n v="10900"/>
    <n v="6980"/>
    <n v="3920"/>
    <x v="0"/>
  </r>
  <r>
    <x v="1"/>
    <x v="1"/>
    <x v="1"/>
    <x v="1"/>
    <x v="1"/>
    <n v="13050"/>
    <n v="10010"/>
    <n v="3040"/>
    <x v="1"/>
  </r>
  <r>
    <x v="2"/>
    <x v="1"/>
    <x v="1"/>
    <x v="2"/>
    <x v="2"/>
    <n v="12300"/>
    <n v="6580"/>
    <n v="5720"/>
    <x v="1"/>
  </r>
  <r>
    <x v="3"/>
    <x v="2"/>
    <x v="0"/>
    <x v="3"/>
    <x v="2"/>
    <n v="10400"/>
    <n v="4720"/>
    <n v="5680"/>
    <x v="2"/>
  </r>
  <r>
    <x v="4"/>
    <x v="0"/>
    <x v="1"/>
    <x v="4"/>
    <x v="3"/>
    <n v="14200"/>
    <n v="8960"/>
    <n v="5240"/>
    <x v="2"/>
  </r>
  <r>
    <x v="5"/>
    <x v="3"/>
    <x v="2"/>
    <x v="0"/>
    <x v="0"/>
    <n v="10450"/>
    <n v="5950"/>
    <n v="4500"/>
    <x v="2"/>
  </r>
  <r>
    <x v="6"/>
    <x v="0"/>
    <x v="2"/>
    <x v="5"/>
    <x v="4"/>
    <n v="12350"/>
    <n v="8730"/>
    <n v="3620"/>
    <x v="2"/>
  </r>
  <r>
    <x v="7"/>
    <x v="3"/>
    <x v="0"/>
    <x v="6"/>
    <x v="5"/>
    <n v="12450"/>
    <n v="9590"/>
    <n v="2860"/>
    <x v="3"/>
  </r>
  <r>
    <x v="8"/>
    <x v="0"/>
    <x v="1"/>
    <x v="7"/>
    <x v="6"/>
    <n v="10450"/>
    <n v="7730"/>
    <n v="2720"/>
    <x v="1"/>
  </r>
  <r>
    <x v="9"/>
    <x v="2"/>
    <x v="1"/>
    <x v="8"/>
    <x v="7"/>
    <n v="11400"/>
    <n v="5720"/>
    <n v="5680"/>
    <x v="0"/>
  </r>
  <r>
    <x v="10"/>
    <x v="1"/>
    <x v="1"/>
    <x v="0"/>
    <x v="1"/>
    <n v="14800"/>
    <n v="12120"/>
    <n v="2680"/>
    <x v="3"/>
  </r>
  <r>
    <x v="11"/>
    <x v="1"/>
    <x v="2"/>
    <x v="9"/>
    <x v="8"/>
    <n v="12300"/>
    <n v="8920"/>
    <n v="3380"/>
    <x v="3"/>
  </r>
  <r>
    <x v="12"/>
    <x v="0"/>
    <x v="3"/>
    <x v="4"/>
    <x v="9"/>
    <n v="11050"/>
    <n v="8990"/>
    <n v="2060"/>
    <x v="1"/>
  </r>
  <r>
    <x v="13"/>
    <x v="1"/>
    <x v="3"/>
    <x v="8"/>
    <x v="10"/>
    <n v="12550"/>
    <n v="10190"/>
    <n v="2360"/>
    <x v="3"/>
  </r>
  <r>
    <x v="14"/>
    <x v="3"/>
    <x v="0"/>
    <x v="3"/>
    <x v="0"/>
    <n v="11400"/>
    <n v="7980"/>
    <n v="3420"/>
    <x v="1"/>
  </r>
  <r>
    <x v="15"/>
    <x v="0"/>
    <x v="3"/>
    <x v="1"/>
    <x v="1"/>
    <n v="13800"/>
    <n v="8500"/>
    <n v="5300"/>
    <x v="0"/>
  </r>
  <r>
    <x v="16"/>
    <x v="4"/>
    <x v="3"/>
    <x v="9"/>
    <x v="8"/>
    <n v="12350"/>
    <n v="8370"/>
    <n v="3980"/>
    <x v="1"/>
  </r>
  <r>
    <x v="17"/>
    <x v="2"/>
    <x v="3"/>
    <x v="0"/>
    <x v="6"/>
    <n v="10000"/>
    <n v="7760"/>
    <n v="2240"/>
    <x v="3"/>
  </r>
  <r>
    <x v="18"/>
    <x v="0"/>
    <x v="3"/>
    <x v="10"/>
    <x v="10"/>
    <n v="11050"/>
    <n v="6550"/>
    <n v="4500"/>
    <x v="2"/>
  </r>
  <r>
    <x v="19"/>
    <x v="1"/>
    <x v="1"/>
    <x v="6"/>
    <x v="4"/>
    <n v="10400"/>
    <n v="7460"/>
    <n v="2940"/>
    <x v="2"/>
  </r>
  <r>
    <x v="20"/>
    <x v="3"/>
    <x v="0"/>
    <x v="9"/>
    <x v="9"/>
    <n v="12250"/>
    <n v="8930"/>
    <n v="3320"/>
    <x v="3"/>
  </r>
  <r>
    <x v="21"/>
    <x v="1"/>
    <x v="0"/>
    <x v="7"/>
    <x v="5"/>
    <n v="12050"/>
    <n v="7270"/>
    <n v="4780"/>
    <x v="0"/>
  </r>
  <r>
    <x v="22"/>
    <x v="2"/>
    <x v="1"/>
    <x v="8"/>
    <x v="8"/>
    <n v="12500"/>
    <n v="9140"/>
    <n v="3360"/>
    <x v="1"/>
  </r>
  <r>
    <x v="23"/>
    <x v="0"/>
    <x v="0"/>
    <x v="11"/>
    <x v="8"/>
    <n v="14650"/>
    <n v="10270"/>
    <n v="4380"/>
    <x v="0"/>
  </r>
  <r>
    <x v="24"/>
    <x v="1"/>
    <x v="3"/>
    <x v="2"/>
    <x v="8"/>
    <n v="11700"/>
    <n v="5920"/>
    <n v="5780"/>
    <x v="0"/>
  </r>
  <r>
    <x v="25"/>
    <x v="2"/>
    <x v="2"/>
    <x v="2"/>
    <x v="3"/>
    <n v="11850"/>
    <n v="6790"/>
    <n v="5060"/>
    <x v="2"/>
  </r>
  <r>
    <x v="26"/>
    <x v="0"/>
    <x v="3"/>
    <x v="3"/>
    <x v="7"/>
    <n v="11800"/>
    <n v="9260"/>
    <n v="2540"/>
    <x v="0"/>
  </r>
  <r>
    <x v="27"/>
    <x v="1"/>
    <x v="2"/>
    <x v="7"/>
    <x v="1"/>
    <n v="14600"/>
    <n v="9600"/>
    <n v="5000"/>
    <x v="1"/>
  </r>
  <r>
    <x v="28"/>
    <x v="2"/>
    <x v="3"/>
    <x v="0"/>
    <x v="10"/>
    <n v="14750"/>
    <n v="9290"/>
    <n v="5460"/>
    <x v="2"/>
  </r>
  <r>
    <x v="29"/>
    <x v="0"/>
    <x v="3"/>
    <x v="0"/>
    <x v="6"/>
    <n v="11150"/>
    <n v="6290"/>
    <n v="4860"/>
    <x v="1"/>
  </r>
  <r>
    <x v="30"/>
    <x v="2"/>
    <x v="1"/>
    <x v="2"/>
    <x v="3"/>
    <n v="12750"/>
    <n v="7110"/>
    <n v="5640"/>
    <x v="2"/>
  </r>
  <r>
    <x v="31"/>
    <x v="2"/>
    <x v="1"/>
    <x v="6"/>
    <x v="3"/>
    <n v="11950"/>
    <n v="9590"/>
    <n v="2360"/>
    <x v="0"/>
  </r>
  <r>
    <x v="32"/>
    <x v="2"/>
    <x v="3"/>
    <x v="5"/>
    <x v="5"/>
    <n v="10700"/>
    <n v="6180"/>
    <n v="4520"/>
    <x v="3"/>
  </r>
  <r>
    <x v="33"/>
    <x v="3"/>
    <x v="1"/>
    <x v="11"/>
    <x v="6"/>
    <n v="14850"/>
    <n v="9430"/>
    <n v="5420"/>
    <x v="3"/>
  </r>
  <r>
    <x v="34"/>
    <x v="3"/>
    <x v="1"/>
    <x v="3"/>
    <x v="3"/>
    <n v="10400"/>
    <n v="6380"/>
    <n v="4020"/>
    <x v="0"/>
  </r>
  <r>
    <x v="35"/>
    <x v="1"/>
    <x v="2"/>
    <x v="6"/>
    <x v="4"/>
    <n v="11250"/>
    <n v="5750"/>
    <n v="5500"/>
    <x v="3"/>
  </r>
  <r>
    <x v="36"/>
    <x v="3"/>
    <x v="2"/>
    <x v="11"/>
    <x v="4"/>
    <n v="13300"/>
    <n v="7980"/>
    <n v="5320"/>
    <x v="1"/>
  </r>
  <r>
    <x v="37"/>
    <x v="0"/>
    <x v="0"/>
    <x v="5"/>
    <x v="1"/>
    <n v="12600"/>
    <n v="7040"/>
    <n v="5560"/>
    <x v="3"/>
  </r>
  <r>
    <x v="38"/>
    <x v="1"/>
    <x v="2"/>
    <x v="11"/>
    <x v="1"/>
    <n v="13550"/>
    <n v="10150"/>
    <n v="3400"/>
    <x v="3"/>
  </r>
  <r>
    <x v="39"/>
    <x v="2"/>
    <x v="1"/>
    <x v="3"/>
    <x v="4"/>
    <n v="12700"/>
    <n v="7980"/>
    <n v="4720"/>
    <x v="1"/>
  </r>
  <r>
    <x v="40"/>
    <x v="0"/>
    <x v="0"/>
    <x v="8"/>
    <x v="2"/>
    <n v="13650"/>
    <n v="8310"/>
    <n v="5340"/>
    <x v="3"/>
  </r>
  <r>
    <x v="41"/>
    <x v="0"/>
    <x v="0"/>
    <x v="9"/>
    <x v="6"/>
    <n v="13600"/>
    <n v="8100"/>
    <n v="5500"/>
    <x v="3"/>
  </r>
  <r>
    <x v="42"/>
    <x v="2"/>
    <x v="3"/>
    <x v="0"/>
    <x v="11"/>
    <n v="11800"/>
    <n v="9380"/>
    <n v="2420"/>
    <x v="0"/>
  </r>
  <r>
    <x v="43"/>
    <x v="1"/>
    <x v="2"/>
    <x v="4"/>
    <x v="2"/>
    <n v="13800"/>
    <n v="8340"/>
    <n v="5460"/>
    <x v="0"/>
  </r>
  <r>
    <x v="44"/>
    <x v="1"/>
    <x v="2"/>
    <x v="8"/>
    <x v="0"/>
    <n v="14550"/>
    <n v="10390"/>
    <n v="4160"/>
    <x v="0"/>
  </r>
  <r>
    <x v="45"/>
    <x v="0"/>
    <x v="3"/>
    <x v="2"/>
    <x v="0"/>
    <n v="14350"/>
    <n v="11690"/>
    <n v="2660"/>
    <x v="2"/>
  </r>
  <r>
    <x v="46"/>
    <x v="2"/>
    <x v="2"/>
    <x v="10"/>
    <x v="4"/>
    <n v="11450"/>
    <n v="7350"/>
    <n v="4100"/>
    <x v="3"/>
  </r>
  <r>
    <x v="47"/>
    <x v="0"/>
    <x v="0"/>
    <x v="10"/>
    <x v="0"/>
    <n v="14350"/>
    <n v="9450"/>
    <n v="4900"/>
    <x v="3"/>
  </r>
  <r>
    <x v="48"/>
    <x v="2"/>
    <x v="3"/>
    <x v="2"/>
    <x v="8"/>
    <n v="10500"/>
    <n v="7940"/>
    <n v="2560"/>
    <x v="0"/>
  </r>
  <r>
    <x v="49"/>
    <x v="3"/>
    <x v="2"/>
    <x v="9"/>
    <x v="0"/>
    <n v="10000"/>
    <n v="7640"/>
    <n v="2360"/>
    <x v="3"/>
  </r>
  <r>
    <x v="50"/>
    <x v="0"/>
    <x v="0"/>
    <x v="8"/>
    <x v="5"/>
    <n v="13750"/>
    <n v="8250"/>
    <n v="5500"/>
    <x v="0"/>
  </r>
  <r>
    <x v="51"/>
    <x v="1"/>
    <x v="2"/>
    <x v="6"/>
    <x v="7"/>
    <n v="13800"/>
    <n v="8920"/>
    <n v="4880"/>
    <x v="3"/>
  </r>
  <r>
    <x v="52"/>
    <x v="0"/>
    <x v="0"/>
    <x v="1"/>
    <x v="9"/>
    <n v="11250"/>
    <n v="6290"/>
    <n v="4960"/>
    <x v="1"/>
  </r>
  <r>
    <x v="53"/>
    <x v="3"/>
    <x v="1"/>
    <x v="9"/>
    <x v="6"/>
    <n v="13550"/>
    <n v="10390"/>
    <n v="3160"/>
    <x v="3"/>
  </r>
  <r>
    <x v="54"/>
    <x v="1"/>
    <x v="1"/>
    <x v="6"/>
    <x v="9"/>
    <n v="10500"/>
    <n v="6260"/>
    <n v="4240"/>
    <x v="2"/>
  </r>
  <r>
    <x v="7"/>
    <x v="3"/>
    <x v="0"/>
    <x v="0"/>
    <x v="3"/>
    <n v="10500"/>
    <n v="8000"/>
    <n v="2500"/>
    <x v="0"/>
  </r>
  <r>
    <x v="55"/>
    <x v="2"/>
    <x v="2"/>
    <x v="5"/>
    <x v="6"/>
    <n v="11500"/>
    <n v="8720"/>
    <n v="2780"/>
    <x v="0"/>
  </r>
  <r>
    <x v="56"/>
    <x v="1"/>
    <x v="0"/>
    <x v="1"/>
    <x v="9"/>
    <n v="10050"/>
    <n v="4410"/>
    <n v="5640"/>
    <x v="0"/>
  </r>
  <r>
    <x v="57"/>
    <x v="4"/>
    <x v="3"/>
    <x v="2"/>
    <x v="11"/>
    <n v="13550"/>
    <n v="9010"/>
    <n v="4540"/>
    <x v="1"/>
  </r>
  <r>
    <x v="58"/>
    <x v="2"/>
    <x v="3"/>
    <x v="6"/>
    <x v="8"/>
    <n v="14750"/>
    <n v="11870"/>
    <n v="2880"/>
    <x v="2"/>
  </r>
  <r>
    <x v="59"/>
    <x v="2"/>
    <x v="2"/>
    <x v="11"/>
    <x v="3"/>
    <n v="12500"/>
    <n v="9700"/>
    <n v="2800"/>
    <x v="2"/>
  </r>
  <r>
    <x v="60"/>
    <x v="1"/>
    <x v="2"/>
    <x v="5"/>
    <x v="8"/>
    <n v="11000"/>
    <n v="7260"/>
    <n v="3740"/>
    <x v="0"/>
  </r>
  <r>
    <x v="61"/>
    <x v="3"/>
    <x v="0"/>
    <x v="5"/>
    <x v="7"/>
    <n v="11650"/>
    <n v="6610"/>
    <n v="5040"/>
    <x v="1"/>
  </r>
  <r>
    <x v="62"/>
    <x v="2"/>
    <x v="3"/>
    <x v="4"/>
    <x v="10"/>
    <n v="12950"/>
    <n v="8270"/>
    <n v="4680"/>
    <x v="0"/>
  </r>
  <r>
    <x v="63"/>
    <x v="1"/>
    <x v="0"/>
    <x v="3"/>
    <x v="9"/>
    <n v="12900"/>
    <n v="9180"/>
    <n v="3720"/>
    <x v="0"/>
  </r>
  <r>
    <x v="64"/>
    <x v="1"/>
    <x v="1"/>
    <x v="4"/>
    <x v="0"/>
    <n v="14700"/>
    <n v="12600"/>
    <n v="2100"/>
    <x v="1"/>
  </r>
  <r>
    <x v="65"/>
    <x v="0"/>
    <x v="0"/>
    <x v="9"/>
    <x v="1"/>
    <n v="11350"/>
    <n v="6530"/>
    <n v="4820"/>
    <x v="0"/>
  </r>
  <r>
    <x v="66"/>
    <x v="2"/>
    <x v="2"/>
    <x v="2"/>
    <x v="0"/>
    <n v="13400"/>
    <n v="9660"/>
    <n v="3740"/>
    <x v="2"/>
  </r>
  <r>
    <x v="67"/>
    <x v="0"/>
    <x v="1"/>
    <x v="4"/>
    <x v="10"/>
    <n v="10300"/>
    <n v="4880"/>
    <n v="5420"/>
    <x v="3"/>
  </r>
  <r>
    <x v="68"/>
    <x v="4"/>
    <x v="3"/>
    <x v="2"/>
    <x v="8"/>
    <n v="13550"/>
    <n v="11370"/>
    <n v="2180"/>
    <x v="0"/>
  </r>
  <r>
    <x v="69"/>
    <x v="0"/>
    <x v="0"/>
    <x v="10"/>
    <x v="9"/>
    <n v="14500"/>
    <n v="9040"/>
    <n v="5460"/>
    <x v="3"/>
  </r>
  <r>
    <x v="70"/>
    <x v="2"/>
    <x v="1"/>
    <x v="11"/>
    <x v="5"/>
    <n v="14300"/>
    <n v="11540"/>
    <n v="2760"/>
    <x v="2"/>
  </r>
  <r>
    <x v="71"/>
    <x v="0"/>
    <x v="2"/>
    <x v="8"/>
    <x v="6"/>
    <n v="10000"/>
    <n v="6220"/>
    <n v="3780"/>
    <x v="0"/>
  </r>
  <r>
    <x v="72"/>
    <x v="3"/>
    <x v="1"/>
    <x v="3"/>
    <x v="3"/>
    <n v="13550"/>
    <n v="8550"/>
    <n v="5000"/>
    <x v="0"/>
  </r>
  <r>
    <x v="73"/>
    <x v="1"/>
    <x v="3"/>
    <x v="11"/>
    <x v="3"/>
    <n v="14500"/>
    <n v="10920"/>
    <n v="3580"/>
    <x v="0"/>
  </r>
  <r>
    <x v="74"/>
    <x v="1"/>
    <x v="0"/>
    <x v="6"/>
    <x v="11"/>
    <n v="13650"/>
    <n v="11470"/>
    <n v="2180"/>
    <x v="0"/>
  </r>
  <r>
    <x v="75"/>
    <x v="0"/>
    <x v="1"/>
    <x v="9"/>
    <x v="10"/>
    <n v="12700"/>
    <n v="7040"/>
    <n v="5660"/>
    <x v="1"/>
  </r>
  <r>
    <x v="76"/>
    <x v="2"/>
    <x v="0"/>
    <x v="6"/>
    <x v="0"/>
    <n v="14450"/>
    <n v="10790"/>
    <n v="3660"/>
    <x v="2"/>
  </r>
  <r>
    <x v="77"/>
    <x v="1"/>
    <x v="2"/>
    <x v="1"/>
    <x v="6"/>
    <n v="12400"/>
    <n v="6720"/>
    <n v="5680"/>
    <x v="1"/>
  </r>
  <r>
    <x v="78"/>
    <x v="3"/>
    <x v="1"/>
    <x v="9"/>
    <x v="0"/>
    <n v="14850"/>
    <n v="11530"/>
    <n v="3320"/>
    <x v="1"/>
  </r>
  <r>
    <x v="79"/>
    <x v="4"/>
    <x v="3"/>
    <x v="11"/>
    <x v="10"/>
    <n v="14750"/>
    <n v="11550"/>
    <n v="3200"/>
    <x v="3"/>
  </r>
  <r>
    <x v="80"/>
    <x v="3"/>
    <x v="0"/>
    <x v="2"/>
    <x v="9"/>
    <n v="11900"/>
    <n v="8440"/>
    <n v="3460"/>
    <x v="1"/>
  </r>
  <r>
    <x v="81"/>
    <x v="0"/>
    <x v="3"/>
    <x v="7"/>
    <x v="3"/>
    <n v="13750"/>
    <n v="11670"/>
    <n v="2080"/>
    <x v="1"/>
  </r>
  <r>
    <x v="82"/>
    <x v="3"/>
    <x v="0"/>
    <x v="9"/>
    <x v="6"/>
    <n v="11200"/>
    <n v="5560"/>
    <n v="5640"/>
    <x v="0"/>
  </r>
  <r>
    <x v="83"/>
    <x v="2"/>
    <x v="0"/>
    <x v="10"/>
    <x v="0"/>
    <n v="12450"/>
    <n v="8070"/>
    <n v="4380"/>
    <x v="1"/>
  </r>
  <r>
    <x v="84"/>
    <x v="1"/>
    <x v="2"/>
    <x v="7"/>
    <x v="6"/>
    <n v="14550"/>
    <n v="11770"/>
    <n v="2780"/>
    <x v="2"/>
  </r>
  <r>
    <x v="85"/>
    <x v="3"/>
    <x v="0"/>
    <x v="8"/>
    <x v="7"/>
    <n v="12450"/>
    <n v="10350"/>
    <n v="2100"/>
    <x v="2"/>
  </r>
  <r>
    <x v="86"/>
    <x v="2"/>
    <x v="3"/>
    <x v="0"/>
    <x v="10"/>
    <n v="11650"/>
    <n v="8690"/>
    <n v="2960"/>
    <x v="3"/>
  </r>
  <r>
    <x v="87"/>
    <x v="0"/>
    <x v="0"/>
    <x v="7"/>
    <x v="7"/>
    <n v="15000"/>
    <n v="12880"/>
    <n v="2120"/>
    <x v="0"/>
  </r>
  <r>
    <x v="88"/>
    <x v="1"/>
    <x v="0"/>
    <x v="10"/>
    <x v="11"/>
    <n v="10000"/>
    <n v="7460"/>
    <n v="2540"/>
    <x v="3"/>
  </r>
  <r>
    <x v="89"/>
    <x v="0"/>
    <x v="2"/>
    <x v="7"/>
    <x v="11"/>
    <n v="13650"/>
    <n v="8550"/>
    <n v="5100"/>
    <x v="1"/>
  </r>
  <r>
    <x v="90"/>
    <x v="2"/>
    <x v="0"/>
    <x v="2"/>
    <x v="9"/>
    <n v="11850"/>
    <n v="6690"/>
    <n v="5160"/>
    <x v="3"/>
  </r>
  <r>
    <x v="91"/>
    <x v="4"/>
    <x v="3"/>
    <x v="11"/>
    <x v="3"/>
    <n v="13150"/>
    <n v="7930"/>
    <n v="5220"/>
    <x v="0"/>
  </r>
  <r>
    <x v="92"/>
    <x v="0"/>
    <x v="3"/>
    <x v="11"/>
    <x v="10"/>
    <n v="12600"/>
    <n v="9860"/>
    <n v="2740"/>
    <x v="0"/>
  </r>
  <r>
    <x v="93"/>
    <x v="1"/>
    <x v="3"/>
    <x v="8"/>
    <x v="2"/>
    <n v="15000"/>
    <n v="10760"/>
    <n v="4240"/>
    <x v="2"/>
  </r>
  <r>
    <x v="94"/>
    <x v="2"/>
    <x v="1"/>
    <x v="2"/>
    <x v="1"/>
    <n v="10850"/>
    <n v="8110"/>
    <n v="2740"/>
    <x v="3"/>
  </r>
  <r>
    <x v="79"/>
    <x v="4"/>
    <x v="3"/>
    <x v="2"/>
    <x v="7"/>
    <n v="15000"/>
    <n v="9720"/>
    <n v="5280"/>
    <x v="1"/>
  </r>
  <r>
    <x v="95"/>
    <x v="2"/>
    <x v="2"/>
    <x v="1"/>
    <x v="0"/>
    <n v="11900"/>
    <n v="6680"/>
    <n v="5220"/>
    <x v="3"/>
  </r>
  <r>
    <x v="96"/>
    <x v="2"/>
    <x v="3"/>
    <x v="6"/>
    <x v="11"/>
    <n v="11600"/>
    <n v="7820"/>
    <n v="3780"/>
    <x v="1"/>
  </r>
  <r>
    <x v="97"/>
    <x v="2"/>
    <x v="2"/>
    <x v="4"/>
    <x v="7"/>
    <n v="12500"/>
    <n v="10080"/>
    <n v="2420"/>
    <x v="3"/>
  </r>
  <r>
    <x v="98"/>
    <x v="2"/>
    <x v="3"/>
    <x v="9"/>
    <x v="9"/>
    <n v="15000"/>
    <n v="10580"/>
    <n v="4420"/>
    <x v="2"/>
  </r>
  <r>
    <x v="99"/>
    <x v="0"/>
    <x v="3"/>
    <x v="4"/>
    <x v="2"/>
    <n v="13650"/>
    <n v="10350"/>
    <n v="3300"/>
    <x v="2"/>
  </r>
  <r>
    <x v="100"/>
    <x v="4"/>
    <x v="3"/>
    <x v="7"/>
    <x v="7"/>
    <n v="13750"/>
    <n v="10590"/>
    <n v="3160"/>
    <x v="2"/>
  </r>
  <r>
    <x v="101"/>
    <x v="0"/>
    <x v="1"/>
    <x v="10"/>
    <x v="4"/>
    <n v="11900"/>
    <n v="7200"/>
    <n v="4700"/>
    <x v="1"/>
  </r>
  <r>
    <x v="102"/>
    <x v="0"/>
    <x v="3"/>
    <x v="11"/>
    <x v="11"/>
    <n v="10600"/>
    <n v="6560"/>
    <n v="4040"/>
    <x v="1"/>
  </r>
  <r>
    <x v="103"/>
    <x v="0"/>
    <x v="2"/>
    <x v="9"/>
    <x v="0"/>
    <n v="13850"/>
    <n v="8430"/>
    <n v="5420"/>
    <x v="1"/>
  </r>
  <r>
    <x v="104"/>
    <x v="1"/>
    <x v="0"/>
    <x v="0"/>
    <x v="0"/>
    <n v="11500"/>
    <n v="7720"/>
    <n v="3780"/>
    <x v="0"/>
  </r>
  <r>
    <x v="105"/>
    <x v="3"/>
    <x v="2"/>
    <x v="1"/>
    <x v="10"/>
    <n v="12450"/>
    <n v="10430"/>
    <n v="2020"/>
    <x v="1"/>
  </r>
  <r>
    <x v="106"/>
    <x v="1"/>
    <x v="3"/>
    <x v="8"/>
    <x v="5"/>
    <n v="12950"/>
    <n v="10150"/>
    <n v="2800"/>
    <x v="2"/>
  </r>
  <r>
    <x v="107"/>
    <x v="1"/>
    <x v="0"/>
    <x v="7"/>
    <x v="8"/>
    <n v="13400"/>
    <n v="9120"/>
    <n v="4280"/>
    <x v="0"/>
  </r>
  <r>
    <x v="108"/>
    <x v="3"/>
    <x v="0"/>
    <x v="0"/>
    <x v="6"/>
    <n v="11100"/>
    <n v="7780"/>
    <n v="3320"/>
    <x v="1"/>
  </r>
  <r>
    <x v="109"/>
    <x v="2"/>
    <x v="0"/>
    <x v="9"/>
    <x v="9"/>
    <n v="10600"/>
    <n v="5160"/>
    <n v="5440"/>
    <x v="2"/>
  </r>
  <r>
    <x v="110"/>
    <x v="0"/>
    <x v="3"/>
    <x v="1"/>
    <x v="7"/>
    <n v="11150"/>
    <n v="7150"/>
    <n v="4000"/>
    <x v="3"/>
  </r>
  <r>
    <x v="111"/>
    <x v="0"/>
    <x v="3"/>
    <x v="10"/>
    <x v="5"/>
    <n v="13200"/>
    <n v="9440"/>
    <n v="3760"/>
    <x v="0"/>
  </r>
  <r>
    <x v="112"/>
    <x v="2"/>
    <x v="1"/>
    <x v="4"/>
    <x v="6"/>
    <n v="12700"/>
    <n v="10360"/>
    <n v="2340"/>
    <x v="0"/>
  </r>
  <r>
    <x v="113"/>
    <x v="1"/>
    <x v="3"/>
    <x v="11"/>
    <x v="11"/>
    <n v="14700"/>
    <n v="10040"/>
    <n v="4660"/>
    <x v="2"/>
  </r>
  <r>
    <x v="114"/>
    <x v="0"/>
    <x v="2"/>
    <x v="9"/>
    <x v="5"/>
    <n v="14000"/>
    <n v="11580"/>
    <n v="2420"/>
    <x v="3"/>
  </r>
  <r>
    <x v="115"/>
    <x v="1"/>
    <x v="3"/>
    <x v="4"/>
    <x v="6"/>
    <n v="13350"/>
    <n v="9830"/>
    <n v="3520"/>
    <x v="0"/>
  </r>
  <r>
    <x v="105"/>
    <x v="3"/>
    <x v="2"/>
    <x v="10"/>
    <x v="2"/>
    <n v="13300"/>
    <n v="7760"/>
    <n v="5540"/>
    <x v="2"/>
  </r>
  <r>
    <x v="116"/>
    <x v="1"/>
    <x v="1"/>
    <x v="10"/>
    <x v="6"/>
    <n v="13050"/>
    <n v="8110"/>
    <n v="4940"/>
    <x v="2"/>
  </r>
  <r>
    <x v="117"/>
    <x v="1"/>
    <x v="0"/>
    <x v="8"/>
    <x v="2"/>
    <n v="11700"/>
    <n v="7180"/>
    <n v="4520"/>
    <x v="3"/>
  </r>
  <r>
    <x v="118"/>
    <x v="3"/>
    <x v="0"/>
    <x v="0"/>
    <x v="0"/>
    <n v="14350"/>
    <n v="9470"/>
    <n v="4880"/>
    <x v="2"/>
  </r>
  <r>
    <x v="119"/>
    <x v="0"/>
    <x v="1"/>
    <x v="5"/>
    <x v="9"/>
    <n v="14750"/>
    <n v="9470"/>
    <n v="5280"/>
    <x v="2"/>
  </r>
  <r>
    <x v="120"/>
    <x v="3"/>
    <x v="1"/>
    <x v="4"/>
    <x v="11"/>
    <n v="14750"/>
    <n v="12190"/>
    <n v="2560"/>
    <x v="0"/>
  </r>
  <r>
    <x v="121"/>
    <x v="3"/>
    <x v="2"/>
    <x v="11"/>
    <x v="6"/>
    <n v="12750"/>
    <n v="10350"/>
    <n v="2400"/>
    <x v="0"/>
  </r>
  <r>
    <x v="122"/>
    <x v="3"/>
    <x v="0"/>
    <x v="6"/>
    <x v="0"/>
    <n v="12300"/>
    <n v="8000"/>
    <n v="4300"/>
    <x v="1"/>
  </r>
  <r>
    <x v="123"/>
    <x v="3"/>
    <x v="1"/>
    <x v="3"/>
    <x v="6"/>
    <n v="12000"/>
    <n v="9900"/>
    <n v="2100"/>
    <x v="1"/>
  </r>
  <r>
    <x v="124"/>
    <x v="1"/>
    <x v="2"/>
    <x v="1"/>
    <x v="7"/>
    <n v="11050"/>
    <n v="8690"/>
    <n v="2360"/>
    <x v="0"/>
  </r>
  <r>
    <x v="125"/>
    <x v="3"/>
    <x v="0"/>
    <x v="2"/>
    <x v="2"/>
    <n v="13250"/>
    <n v="8750"/>
    <n v="4500"/>
    <x v="2"/>
  </r>
  <r>
    <x v="126"/>
    <x v="1"/>
    <x v="1"/>
    <x v="3"/>
    <x v="0"/>
    <n v="10100"/>
    <n v="6460"/>
    <n v="3640"/>
    <x v="1"/>
  </r>
  <r>
    <x v="127"/>
    <x v="3"/>
    <x v="1"/>
    <x v="8"/>
    <x v="11"/>
    <n v="13300"/>
    <n v="10960"/>
    <n v="2340"/>
    <x v="3"/>
  </r>
  <r>
    <x v="128"/>
    <x v="2"/>
    <x v="2"/>
    <x v="10"/>
    <x v="10"/>
    <n v="12900"/>
    <n v="8360"/>
    <n v="4540"/>
    <x v="0"/>
  </r>
  <r>
    <x v="129"/>
    <x v="0"/>
    <x v="3"/>
    <x v="6"/>
    <x v="10"/>
    <n v="11900"/>
    <n v="7280"/>
    <n v="4620"/>
    <x v="3"/>
  </r>
  <r>
    <x v="130"/>
    <x v="0"/>
    <x v="1"/>
    <x v="5"/>
    <x v="2"/>
    <n v="14650"/>
    <n v="11410"/>
    <n v="3240"/>
    <x v="0"/>
  </r>
  <r>
    <x v="131"/>
    <x v="1"/>
    <x v="2"/>
    <x v="5"/>
    <x v="2"/>
    <n v="12900"/>
    <n v="8280"/>
    <n v="4620"/>
    <x v="1"/>
  </r>
  <r>
    <x v="132"/>
    <x v="1"/>
    <x v="3"/>
    <x v="9"/>
    <x v="6"/>
    <n v="11950"/>
    <n v="8630"/>
    <n v="3320"/>
    <x v="2"/>
  </r>
  <r>
    <x v="133"/>
    <x v="0"/>
    <x v="2"/>
    <x v="0"/>
    <x v="8"/>
    <n v="10900"/>
    <n v="5940"/>
    <n v="4960"/>
    <x v="2"/>
  </r>
  <r>
    <x v="134"/>
    <x v="0"/>
    <x v="0"/>
    <x v="10"/>
    <x v="10"/>
    <n v="10900"/>
    <n v="8220"/>
    <n v="2680"/>
    <x v="1"/>
  </r>
  <r>
    <x v="135"/>
    <x v="1"/>
    <x v="3"/>
    <x v="2"/>
    <x v="8"/>
    <n v="13850"/>
    <n v="9390"/>
    <n v="4460"/>
    <x v="1"/>
  </r>
  <r>
    <x v="136"/>
    <x v="3"/>
    <x v="1"/>
    <x v="2"/>
    <x v="5"/>
    <n v="13500"/>
    <n v="11220"/>
    <n v="2280"/>
    <x v="3"/>
  </r>
  <r>
    <x v="110"/>
    <x v="0"/>
    <x v="3"/>
    <x v="4"/>
    <x v="6"/>
    <n v="12100"/>
    <n v="9160"/>
    <n v="2940"/>
    <x v="3"/>
  </r>
  <r>
    <x v="137"/>
    <x v="0"/>
    <x v="0"/>
    <x v="2"/>
    <x v="9"/>
    <n v="11200"/>
    <n v="8820"/>
    <n v="2380"/>
    <x v="2"/>
  </r>
  <r>
    <x v="138"/>
    <x v="2"/>
    <x v="2"/>
    <x v="6"/>
    <x v="8"/>
    <n v="10100"/>
    <n v="4400"/>
    <n v="5700"/>
    <x v="1"/>
  </r>
  <r>
    <x v="133"/>
    <x v="0"/>
    <x v="2"/>
    <x v="10"/>
    <x v="0"/>
    <n v="13200"/>
    <n v="9100"/>
    <n v="4100"/>
    <x v="3"/>
  </r>
  <r>
    <x v="139"/>
    <x v="3"/>
    <x v="2"/>
    <x v="8"/>
    <x v="11"/>
    <n v="14950"/>
    <n v="9730"/>
    <n v="5220"/>
    <x v="3"/>
  </r>
  <r>
    <x v="140"/>
    <x v="1"/>
    <x v="0"/>
    <x v="0"/>
    <x v="9"/>
    <n v="10400"/>
    <n v="6640"/>
    <n v="3760"/>
    <x v="0"/>
  </r>
  <r>
    <x v="141"/>
    <x v="2"/>
    <x v="2"/>
    <x v="6"/>
    <x v="10"/>
    <n v="11950"/>
    <n v="9670"/>
    <n v="2280"/>
    <x v="0"/>
  </r>
  <r>
    <x v="142"/>
    <x v="2"/>
    <x v="2"/>
    <x v="3"/>
    <x v="5"/>
    <n v="12450"/>
    <n v="8470"/>
    <n v="3980"/>
    <x v="3"/>
  </r>
  <r>
    <x v="123"/>
    <x v="3"/>
    <x v="1"/>
    <x v="6"/>
    <x v="11"/>
    <n v="10100"/>
    <n v="5340"/>
    <n v="4760"/>
    <x v="0"/>
  </r>
  <r>
    <x v="143"/>
    <x v="4"/>
    <x v="3"/>
    <x v="6"/>
    <x v="4"/>
    <n v="10700"/>
    <n v="6160"/>
    <n v="4540"/>
    <x v="2"/>
  </r>
  <r>
    <x v="144"/>
    <x v="0"/>
    <x v="2"/>
    <x v="0"/>
    <x v="0"/>
    <n v="11850"/>
    <n v="7370"/>
    <n v="4480"/>
    <x v="2"/>
  </r>
  <r>
    <x v="145"/>
    <x v="2"/>
    <x v="0"/>
    <x v="11"/>
    <x v="1"/>
    <n v="12750"/>
    <n v="9890"/>
    <n v="2860"/>
    <x v="3"/>
  </r>
  <r>
    <x v="146"/>
    <x v="3"/>
    <x v="2"/>
    <x v="3"/>
    <x v="3"/>
    <n v="13250"/>
    <n v="9330"/>
    <n v="3920"/>
    <x v="0"/>
  </r>
  <r>
    <x v="147"/>
    <x v="3"/>
    <x v="0"/>
    <x v="10"/>
    <x v="5"/>
    <n v="13950"/>
    <n v="9430"/>
    <n v="4520"/>
    <x v="3"/>
  </r>
  <r>
    <x v="148"/>
    <x v="2"/>
    <x v="0"/>
    <x v="9"/>
    <x v="7"/>
    <n v="14050"/>
    <n v="10490"/>
    <n v="3560"/>
    <x v="0"/>
  </r>
  <r>
    <x v="149"/>
    <x v="0"/>
    <x v="2"/>
    <x v="10"/>
    <x v="0"/>
    <n v="10850"/>
    <n v="5330"/>
    <n v="5520"/>
    <x v="0"/>
  </r>
  <r>
    <x v="150"/>
    <x v="1"/>
    <x v="2"/>
    <x v="0"/>
    <x v="9"/>
    <n v="12900"/>
    <n v="8360"/>
    <n v="4540"/>
    <x v="0"/>
  </r>
  <r>
    <x v="151"/>
    <x v="1"/>
    <x v="3"/>
    <x v="1"/>
    <x v="7"/>
    <n v="10650"/>
    <n v="4930"/>
    <n v="5720"/>
    <x v="1"/>
  </r>
  <r>
    <x v="152"/>
    <x v="3"/>
    <x v="2"/>
    <x v="9"/>
    <x v="5"/>
    <n v="13050"/>
    <n v="9390"/>
    <n v="3660"/>
    <x v="3"/>
  </r>
  <r>
    <x v="153"/>
    <x v="1"/>
    <x v="2"/>
    <x v="3"/>
    <x v="1"/>
    <n v="10000"/>
    <n v="5820"/>
    <n v="4180"/>
    <x v="1"/>
  </r>
  <r>
    <x v="154"/>
    <x v="2"/>
    <x v="0"/>
    <x v="0"/>
    <x v="5"/>
    <n v="14850"/>
    <n v="12210"/>
    <n v="2640"/>
    <x v="0"/>
  </r>
  <r>
    <x v="155"/>
    <x v="1"/>
    <x v="2"/>
    <x v="3"/>
    <x v="9"/>
    <n v="13150"/>
    <n v="7410"/>
    <n v="5740"/>
    <x v="1"/>
  </r>
  <r>
    <x v="156"/>
    <x v="2"/>
    <x v="2"/>
    <x v="3"/>
    <x v="9"/>
    <n v="12050"/>
    <n v="7650"/>
    <n v="4400"/>
    <x v="1"/>
  </r>
  <r>
    <x v="157"/>
    <x v="1"/>
    <x v="2"/>
    <x v="6"/>
    <x v="10"/>
    <n v="12900"/>
    <n v="7800"/>
    <n v="5100"/>
    <x v="1"/>
  </r>
  <r>
    <x v="158"/>
    <x v="1"/>
    <x v="0"/>
    <x v="6"/>
    <x v="0"/>
    <n v="14550"/>
    <n v="9570"/>
    <n v="4980"/>
    <x v="1"/>
  </r>
  <r>
    <x v="159"/>
    <x v="0"/>
    <x v="0"/>
    <x v="2"/>
    <x v="8"/>
    <n v="14600"/>
    <n v="11580"/>
    <n v="3020"/>
    <x v="1"/>
  </r>
  <r>
    <x v="159"/>
    <x v="0"/>
    <x v="0"/>
    <x v="2"/>
    <x v="6"/>
    <n v="12700"/>
    <n v="9580"/>
    <n v="3120"/>
    <x v="1"/>
  </r>
  <r>
    <x v="160"/>
    <x v="2"/>
    <x v="2"/>
    <x v="1"/>
    <x v="11"/>
    <n v="10400"/>
    <n v="6020"/>
    <n v="4380"/>
    <x v="1"/>
  </r>
  <r>
    <x v="161"/>
    <x v="3"/>
    <x v="2"/>
    <x v="5"/>
    <x v="6"/>
    <n v="12600"/>
    <n v="10100"/>
    <n v="2500"/>
    <x v="1"/>
  </r>
  <r>
    <x v="162"/>
    <x v="3"/>
    <x v="0"/>
    <x v="9"/>
    <x v="7"/>
    <n v="13350"/>
    <n v="9990"/>
    <n v="3360"/>
    <x v="0"/>
  </r>
  <r>
    <x v="163"/>
    <x v="1"/>
    <x v="3"/>
    <x v="7"/>
    <x v="0"/>
    <n v="11500"/>
    <n v="8280"/>
    <n v="3220"/>
    <x v="0"/>
  </r>
  <r>
    <x v="164"/>
    <x v="0"/>
    <x v="3"/>
    <x v="6"/>
    <x v="6"/>
    <n v="14350"/>
    <n v="12010"/>
    <n v="2340"/>
    <x v="1"/>
  </r>
  <r>
    <x v="165"/>
    <x v="2"/>
    <x v="2"/>
    <x v="2"/>
    <x v="4"/>
    <n v="11000"/>
    <n v="6420"/>
    <n v="4580"/>
    <x v="1"/>
  </r>
  <r>
    <x v="166"/>
    <x v="1"/>
    <x v="3"/>
    <x v="1"/>
    <x v="8"/>
    <n v="14500"/>
    <n v="10320"/>
    <n v="4180"/>
    <x v="0"/>
  </r>
  <r>
    <x v="46"/>
    <x v="2"/>
    <x v="2"/>
    <x v="10"/>
    <x v="3"/>
    <n v="12050"/>
    <n v="9250"/>
    <n v="2800"/>
    <x v="2"/>
  </r>
  <r>
    <x v="167"/>
    <x v="1"/>
    <x v="3"/>
    <x v="1"/>
    <x v="0"/>
    <n v="11050"/>
    <n v="7930"/>
    <n v="3120"/>
    <x v="1"/>
  </r>
  <r>
    <x v="168"/>
    <x v="0"/>
    <x v="2"/>
    <x v="8"/>
    <x v="3"/>
    <n v="14600"/>
    <n v="10920"/>
    <n v="3680"/>
    <x v="2"/>
  </r>
  <r>
    <x v="169"/>
    <x v="3"/>
    <x v="2"/>
    <x v="10"/>
    <x v="0"/>
    <n v="14150"/>
    <n v="8450"/>
    <n v="5700"/>
    <x v="2"/>
  </r>
  <r>
    <x v="47"/>
    <x v="0"/>
    <x v="0"/>
    <x v="7"/>
    <x v="2"/>
    <n v="10600"/>
    <n v="5060"/>
    <n v="5540"/>
    <x v="2"/>
  </r>
  <r>
    <x v="170"/>
    <x v="1"/>
    <x v="3"/>
    <x v="9"/>
    <x v="11"/>
    <n v="12250"/>
    <n v="6970"/>
    <n v="5280"/>
    <x v="1"/>
  </r>
  <r>
    <x v="171"/>
    <x v="3"/>
    <x v="2"/>
    <x v="9"/>
    <x v="2"/>
    <n v="12400"/>
    <n v="9820"/>
    <n v="2580"/>
    <x v="1"/>
  </r>
  <r>
    <x v="66"/>
    <x v="2"/>
    <x v="2"/>
    <x v="7"/>
    <x v="2"/>
    <n v="12450"/>
    <n v="6650"/>
    <n v="5800"/>
    <x v="2"/>
  </r>
  <r>
    <x v="172"/>
    <x v="0"/>
    <x v="3"/>
    <x v="4"/>
    <x v="1"/>
    <n v="10800"/>
    <n v="7100"/>
    <n v="3700"/>
    <x v="3"/>
  </r>
  <r>
    <x v="173"/>
    <x v="2"/>
    <x v="3"/>
    <x v="6"/>
    <x v="10"/>
    <n v="12700"/>
    <n v="7840"/>
    <n v="4860"/>
    <x v="1"/>
  </r>
  <r>
    <x v="174"/>
    <x v="2"/>
    <x v="3"/>
    <x v="4"/>
    <x v="7"/>
    <n v="11500"/>
    <n v="6300"/>
    <n v="5200"/>
    <x v="3"/>
  </r>
  <r>
    <x v="175"/>
    <x v="3"/>
    <x v="2"/>
    <x v="2"/>
    <x v="10"/>
    <n v="14300"/>
    <n v="9720"/>
    <n v="4580"/>
    <x v="3"/>
  </r>
  <r>
    <x v="176"/>
    <x v="0"/>
    <x v="1"/>
    <x v="4"/>
    <x v="10"/>
    <n v="11650"/>
    <n v="8830"/>
    <n v="2820"/>
    <x v="0"/>
  </r>
  <r>
    <x v="177"/>
    <x v="1"/>
    <x v="0"/>
    <x v="5"/>
    <x v="4"/>
    <n v="13400"/>
    <n v="10060"/>
    <n v="3340"/>
    <x v="3"/>
  </r>
  <r>
    <x v="178"/>
    <x v="2"/>
    <x v="3"/>
    <x v="1"/>
    <x v="0"/>
    <n v="14000"/>
    <n v="11800"/>
    <n v="2200"/>
    <x v="2"/>
  </r>
  <r>
    <x v="179"/>
    <x v="0"/>
    <x v="2"/>
    <x v="2"/>
    <x v="7"/>
    <n v="10600"/>
    <n v="5920"/>
    <n v="4680"/>
    <x v="0"/>
  </r>
  <r>
    <x v="124"/>
    <x v="1"/>
    <x v="2"/>
    <x v="3"/>
    <x v="6"/>
    <n v="14150"/>
    <n v="11050"/>
    <n v="3100"/>
    <x v="3"/>
  </r>
  <r>
    <x v="180"/>
    <x v="4"/>
    <x v="3"/>
    <x v="6"/>
    <x v="0"/>
    <n v="12950"/>
    <n v="9210"/>
    <n v="3740"/>
    <x v="1"/>
  </r>
  <r>
    <x v="181"/>
    <x v="0"/>
    <x v="0"/>
    <x v="2"/>
    <x v="7"/>
    <n v="12150"/>
    <n v="7070"/>
    <n v="5080"/>
    <x v="1"/>
  </r>
  <r>
    <x v="182"/>
    <x v="0"/>
    <x v="3"/>
    <x v="11"/>
    <x v="3"/>
    <n v="11750"/>
    <n v="8210"/>
    <n v="3540"/>
    <x v="2"/>
  </r>
  <r>
    <x v="171"/>
    <x v="3"/>
    <x v="2"/>
    <x v="11"/>
    <x v="7"/>
    <n v="13850"/>
    <n v="8810"/>
    <n v="5040"/>
    <x v="1"/>
  </r>
  <r>
    <x v="111"/>
    <x v="0"/>
    <x v="3"/>
    <x v="2"/>
    <x v="9"/>
    <n v="10550"/>
    <n v="7850"/>
    <n v="2700"/>
    <x v="3"/>
  </r>
  <r>
    <x v="183"/>
    <x v="2"/>
    <x v="0"/>
    <x v="6"/>
    <x v="11"/>
    <n v="10150"/>
    <n v="6750"/>
    <n v="3400"/>
    <x v="0"/>
  </r>
  <r>
    <x v="184"/>
    <x v="3"/>
    <x v="1"/>
    <x v="0"/>
    <x v="2"/>
    <n v="10600"/>
    <n v="8180"/>
    <n v="2420"/>
    <x v="0"/>
  </r>
  <r>
    <x v="142"/>
    <x v="2"/>
    <x v="2"/>
    <x v="0"/>
    <x v="5"/>
    <n v="14450"/>
    <n v="9630"/>
    <n v="4820"/>
    <x v="0"/>
  </r>
  <r>
    <x v="185"/>
    <x v="1"/>
    <x v="0"/>
    <x v="1"/>
    <x v="3"/>
    <n v="12050"/>
    <n v="9770"/>
    <n v="2280"/>
    <x v="2"/>
  </r>
  <r>
    <x v="186"/>
    <x v="4"/>
    <x v="3"/>
    <x v="11"/>
    <x v="8"/>
    <n v="10150"/>
    <n v="7950"/>
    <n v="2200"/>
    <x v="3"/>
  </r>
  <r>
    <x v="187"/>
    <x v="1"/>
    <x v="3"/>
    <x v="7"/>
    <x v="8"/>
    <n v="11900"/>
    <n v="8500"/>
    <n v="3400"/>
    <x v="2"/>
  </r>
  <r>
    <x v="188"/>
    <x v="0"/>
    <x v="1"/>
    <x v="8"/>
    <x v="1"/>
    <n v="14550"/>
    <n v="9030"/>
    <n v="5520"/>
    <x v="2"/>
  </r>
  <r>
    <x v="189"/>
    <x v="3"/>
    <x v="0"/>
    <x v="10"/>
    <x v="6"/>
    <n v="13900"/>
    <n v="8600"/>
    <n v="5300"/>
    <x v="2"/>
  </r>
  <r>
    <x v="190"/>
    <x v="0"/>
    <x v="1"/>
    <x v="0"/>
    <x v="3"/>
    <n v="10400"/>
    <n v="6140"/>
    <n v="4260"/>
    <x v="2"/>
  </r>
  <r>
    <x v="191"/>
    <x v="4"/>
    <x v="3"/>
    <x v="1"/>
    <x v="11"/>
    <n v="11500"/>
    <n v="8880"/>
    <n v="2620"/>
    <x v="0"/>
  </r>
  <r>
    <x v="192"/>
    <x v="2"/>
    <x v="2"/>
    <x v="0"/>
    <x v="0"/>
    <n v="10050"/>
    <n v="5790"/>
    <n v="4260"/>
    <x v="0"/>
  </r>
  <r>
    <x v="193"/>
    <x v="0"/>
    <x v="0"/>
    <x v="4"/>
    <x v="3"/>
    <n v="12700"/>
    <n v="10600"/>
    <n v="2100"/>
    <x v="0"/>
  </r>
  <r>
    <x v="194"/>
    <x v="2"/>
    <x v="0"/>
    <x v="8"/>
    <x v="1"/>
    <n v="11100"/>
    <n v="7320"/>
    <n v="3780"/>
    <x v="2"/>
  </r>
  <r>
    <x v="195"/>
    <x v="1"/>
    <x v="3"/>
    <x v="7"/>
    <x v="1"/>
    <n v="13350"/>
    <n v="7750"/>
    <n v="5600"/>
    <x v="3"/>
  </r>
  <r>
    <x v="196"/>
    <x v="2"/>
    <x v="1"/>
    <x v="7"/>
    <x v="6"/>
    <n v="14150"/>
    <n v="12050"/>
    <n v="2100"/>
    <x v="2"/>
  </r>
  <r>
    <x v="197"/>
    <x v="2"/>
    <x v="1"/>
    <x v="5"/>
    <x v="9"/>
    <n v="11750"/>
    <n v="7070"/>
    <n v="4680"/>
    <x v="3"/>
  </r>
  <r>
    <x v="198"/>
    <x v="3"/>
    <x v="2"/>
    <x v="4"/>
    <x v="6"/>
    <n v="14800"/>
    <n v="10880"/>
    <n v="3920"/>
    <x v="3"/>
  </r>
  <r>
    <x v="199"/>
    <x v="2"/>
    <x v="1"/>
    <x v="4"/>
    <x v="2"/>
    <n v="12400"/>
    <n v="9860"/>
    <n v="2540"/>
    <x v="2"/>
  </r>
  <r>
    <x v="200"/>
    <x v="3"/>
    <x v="0"/>
    <x v="5"/>
    <x v="8"/>
    <n v="11950"/>
    <n v="6470"/>
    <n v="5480"/>
    <x v="2"/>
  </r>
  <r>
    <x v="201"/>
    <x v="0"/>
    <x v="2"/>
    <x v="2"/>
    <x v="5"/>
    <n v="14100"/>
    <n v="8780"/>
    <n v="5320"/>
    <x v="2"/>
  </r>
  <r>
    <x v="202"/>
    <x v="1"/>
    <x v="1"/>
    <x v="3"/>
    <x v="2"/>
    <n v="13750"/>
    <n v="9410"/>
    <n v="4340"/>
    <x v="3"/>
  </r>
  <r>
    <x v="203"/>
    <x v="1"/>
    <x v="3"/>
    <x v="8"/>
    <x v="10"/>
    <n v="14150"/>
    <n v="11270"/>
    <n v="2880"/>
    <x v="1"/>
  </r>
  <r>
    <x v="204"/>
    <x v="0"/>
    <x v="2"/>
    <x v="10"/>
    <x v="8"/>
    <n v="13400"/>
    <n v="9820"/>
    <n v="3580"/>
    <x v="2"/>
  </r>
  <r>
    <x v="170"/>
    <x v="1"/>
    <x v="3"/>
    <x v="5"/>
    <x v="3"/>
    <n v="14150"/>
    <n v="9030"/>
    <n v="5120"/>
    <x v="1"/>
  </r>
  <r>
    <x v="187"/>
    <x v="1"/>
    <x v="3"/>
    <x v="2"/>
    <x v="8"/>
    <n v="11800"/>
    <n v="8720"/>
    <n v="3080"/>
    <x v="2"/>
  </r>
  <r>
    <x v="205"/>
    <x v="1"/>
    <x v="1"/>
    <x v="5"/>
    <x v="7"/>
    <n v="12400"/>
    <n v="10180"/>
    <n v="2220"/>
    <x v="2"/>
  </r>
  <r>
    <x v="132"/>
    <x v="1"/>
    <x v="3"/>
    <x v="0"/>
    <x v="10"/>
    <n v="11050"/>
    <n v="7310"/>
    <n v="3740"/>
    <x v="3"/>
  </r>
  <r>
    <x v="206"/>
    <x v="2"/>
    <x v="1"/>
    <x v="7"/>
    <x v="6"/>
    <n v="11900"/>
    <n v="8960"/>
    <n v="2940"/>
    <x v="1"/>
  </r>
  <r>
    <x v="207"/>
    <x v="1"/>
    <x v="1"/>
    <x v="3"/>
    <x v="2"/>
    <n v="11000"/>
    <n v="5260"/>
    <n v="5740"/>
    <x v="0"/>
  </r>
  <r>
    <x v="208"/>
    <x v="1"/>
    <x v="0"/>
    <x v="11"/>
    <x v="7"/>
    <n v="14150"/>
    <n v="12010"/>
    <n v="2140"/>
    <x v="0"/>
  </r>
  <r>
    <x v="209"/>
    <x v="0"/>
    <x v="3"/>
    <x v="0"/>
    <x v="9"/>
    <n v="10600"/>
    <n v="8280"/>
    <n v="2320"/>
    <x v="3"/>
  </r>
  <r>
    <x v="210"/>
    <x v="1"/>
    <x v="2"/>
    <x v="5"/>
    <x v="10"/>
    <n v="11050"/>
    <n v="7810"/>
    <n v="3240"/>
    <x v="0"/>
  </r>
  <r>
    <x v="211"/>
    <x v="1"/>
    <x v="3"/>
    <x v="11"/>
    <x v="11"/>
    <n v="11200"/>
    <n v="7780"/>
    <n v="3420"/>
    <x v="2"/>
  </r>
  <r>
    <x v="212"/>
    <x v="2"/>
    <x v="1"/>
    <x v="0"/>
    <x v="8"/>
    <n v="14850"/>
    <n v="11290"/>
    <n v="3560"/>
    <x v="1"/>
  </r>
  <r>
    <x v="213"/>
    <x v="1"/>
    <x v="2"/>
    <x v="2"/>
    <x v="10"/>
    <n v="10850"/>
    <n v="8750"/>
    <n v="2100"/>
    <x v="2"/>
  </r>
  <r>
    <x v="214"/>
    <x v="2"/>
    <x v="2"/>
    <x v="10"/>
    <x v="11"/>
    <n v="12400"/>
    <n v="9360"/>
    <n v="3040"/>
    <x v="2"/>
  </r>
  <r>
    <x v="215"/>
    <x v="3"/>
    <x v="2"/>
    <x v="0"/>
    <x v="1"/>
    <n v="13350"/>
    <n v="8610"/>
    <n v="4740"/>
    <x v="3"/>
  </r>
  <r>
    <x v="216"/>
    <x v="2"/>
    <x v="0"/>
    <x v="4"/>
    <x v="2"/>
    <n v="10950"/>
    <n v="7350"/>
    <n v="3600"/>
    <x v="1"/>
  </r>
  <r>
    <x v="217"/>
    <x v="1"/>
    <x v="0"/>
    <x v="9"/>
    <x v="11"/>
    <n v="10100"/>
    <n v="7420"/>
    <n v="2680"/>
    <x v="3"/>
  </r>
  <r>
    <x v="218"/>
    <x v="0"/>
    <x v="3"/>
    <x v="6"/>
    <x v="2"/>
    <n v="11400"/>
    <n v="8460"/>
    <n v="2940"/>
    <x v="0"/>
  </r>
  <r>
    <x v="219"/>
    <x v="4"/>
    <x v="3"/>
    <x v="8"/>
    <x v="1"/>
    <n v="12400"/>
    <n v="9880"/>
    <n v="2520"/>
    <x v="2"/>
  </r>
  <r>
    <x v="220"/>
    <x v="1"/>
    <x v="0"/>
    <x v="9"/>
    <x v="9"/>
    <n v="10150"/>
    <n v="6130"/>
    <n v="4020"/>
    <x v="1"/>
  </r>
  <r>
    <x v="221"/>
    <x v="1"/>
    <x v="1"/>
    <x v="8"/>
    <x v="11"/>
    <n v="11050"/>
    <n v="8690"/>
    <n v="2360"/>
    <x v="3"/>
  </r>
  <r>
    <x v="222"/>
    <x v="2"/>
    <x v="1"/>
    <x v="6"/>
    <x v="4"/>
    <n v="14200"/>
    <n v="8480"/>
    <n v="5720"/>
    <x v="2"/>
  </r>
  <r>
    <x v="223"/>
    <x v="0"/>
    <x v="0"/>
    <x v="11"/>
    <x v="9"/>
    <n v="11750"/>
    <n v="9710"/>
    <n v="2040"/>
    <x v="2"/>
  </r>
  <r>
    <x v="224"/>
    <x v="0"/>
    <x v="0"/>
    <x v="5"/>
    <x v="10"/>
    <n v="13150"/>
    <n v="8750"/>
    <n v="4400"/>
    <x v="0"/>
  </r>
  <r>
    <x v="225"/>
    <x v="2"/>
    <x v="2"/>
    <x v="2"/>
    <x v="6"/>
    <n v="14000"/>
    <n v="10060"/>
    <n v="3940"/>
    <x v="0"/>
  </r>
  <r>
    <x v="226"/>
    <x v="2"/>
    <x v="3"/>
    <x v="5"/>
    <x v="5"/>
    <n v="11550"/>
    <n v="8830"/>
    <n v="2720"/>
    <x v="3"/>
  </r>
  <r>
    <x v="227"/>
    <x v="1"/>
    <x v="3"/>
    <x v="4"/>
    <x v="6"/>
    <n v="14700"/>
    <n v="9940"/>
    <n v="4760"/>
    <x v="1"/>
  </r>
  <r>
    <x v="228"/>
    <x v="0"/>
    <x v="3"/>
    <x v="9"/>
    <x v="7"/>
    <n v="10150"/>
    <n v="7750"/>
    <n v="2400"/>
    <x v="1"/>
  </r>
  <r>
    <x v="229"/>
    <x v="3"/>
    <x v="1"/>
    <x v="2"/>
    <x v="1"/>
    <n v="13100"/>
    <n v="9900"/>
    <n v="3200"/>
    <x v="3"/>
  </r>
  <r>
    <x v="230"/>
    <x v="3"/>
    <x v="1"/>
    <x v="4"/>
    <x v="10"/>
    <n v="10850"/>
    <n v="5630"/>
    <n v="5220"/>
    <x v="1"/>
  </r>
  <r>
    <x v="231"/>
    <x v="3"/>
    <x v="0"/>
    <x v="6"/>
    <x v="10"/>
    <n v="11150"/>
    <n v="6090"/>
    <n v="5060"/>
    <x v="1"/>
  </r>
  <r>
    <x v="232"/>
    <x v="3"/>
    <x v="0"/>
    <x v="10"/>
    <x v="10"/>
    <n v="12150"/>
    <n v="9950"/>
    <n v="2200"/>
    <x v="0"/>
  </r>
  <r>
    <x v="96"/>
    <x v="2"/>
    <x v="3"/>
    <x v="4"/>
    <x v="11"/>
    <n v="13600"/>
    <n v="11540"/>
    <n v="2060"/>
    <x v="0"/>
  </r>
  <r>
    <x v="233"/>
    <x v="0"/>
    <x v="2"/>
    <x v="10"/>
    <x v="11"/>
    <n v="14300"/>
    <n v="11080"/>
    <n v="3220"/>
    <x v="0"/>
  </r>
  <r>
    <x v="234"/>
    <x v="1"/>
    <x v="3"/>
    <x v="6"/>
    <x v="9"/>
    <n v="14800"/>
    <n v="11980"/>
    <n v="2820"/>
    <x v="3"/>
  </r>
  <r>
    <x v="235"/>
    <x v="1"/>
    <x v="0"/>
    <x v="3"/>
    <x v="6"/>
    <n v="14750"/>
    <n v="11130"/>
    <n v="3620"/>
    <x v="2"/>
  </r>
  <r>
    <x v="236"/>
    <x v="2"/>
    <x v="1"/>
    <x v="8"/>
    <x v="9"/>
    <n v="12550"/>
    <n v="8450"/>
    <n v="4100"/>
    <x v="0"/>
  </r>
  <r>
    <x v="237"/>
    <x v="1"/>
    <x v="3"/>
    <x v="2"/>
    <x v="8"/>
    <n v="12300"/>
    <n v="9740"/>
    <n v="2560"/>
    <x v="1"/>
  </r>
  <r>
    <x v="238"/>
    <x v="0"/>
    <x v="1"/>
    <x v="8"/>
    <x v="8"/>
    <n v="11150"/>
    <n v="5830"/>
    <n v="5320"/>
    <x v="3"/>
  </r>
  <r>
    <x v="239"/>
    <x v="2"/>
    <x v="3"/>
    <x v="4"/>
    <x v="2"/>
    <n v="11650"/>
    <n v="8410"/>
    <n v="3240"/>
    <x v="3"/>
  </r>
  <r>
    <x v="118"/>
    <x v="3"/>
    <x v="0"/>
    <x v="10"/>
    <x v="4"/>
    <n v="14500"/>
    <n v="9800"/>
    <n v="4700"/>
    <x v="2"/>
  </r>
  <r>
    <x v="240"/>
    <x v="2"/>
    <x v="2"/>
    <x v="8"/>
    <x v="9"/>
    <n v="14350"/>
    <n v="9590"/>
    <n v="4760"/>
    <x v="3"/>
  </r>
  <r>
    <x v="134"/>
    <x v="0"/>
    <x v="0"/>
    <x v="3"/>
    <x v="8"/>
    <n v="10550"/>
    <n v="5130"/>
    <n v="5420"/>
    <x v="1"/>
  </r>
  <r>
    <x v="241"/>
    <x v="0"/>
    <x v="0"/>
    <x v="7"/>
    <x v="0"/>
    <n v="12050"/>
    <n v="7330"/>
    <n v="4720"/>
    <x v="2"/>
  </r>
  <r>
    <x v="242"/>
    <x v="4"/>
    <x v="3"/>
    <x v="3"/>
    <x v="4"/>
    <n v="12800"/>
    <n v="9860"/>
    <n v="2940"/>
    <x v="0"/>
  </r>
  <r>
    <x v="243"/>
    <x v="1"/>
    <x v="3"/>
    <x v="6"/>
    <x v="8"/>
    <n v="14400"/>
    <n v="9060"/>
    <n v="5340"/>
    <x v="0"/>
  </r>
  <r>
    <x v="244"/>
    <x v="0"/>
    <x v="3"/>
    <x v="9"/>
    <x v="4"/>
    <n v="11850"/>
    <n v="7490"/>
    <n v="4360"/>
    <x v="1"/>
  </r>
  <r>
    <x v="181"/>
    <x v="0"/>
    <x v="0"/>
    <x v="7"/>
    <x v="2"/>
    <n v="12050"/>
    <n v="7170"/>
    <n v="4880"/>
    <x v="1"/>
  </r>
  <r>
    <x v="245"/>
    <x v="2"/>
    <x v="0"/>
    <x v="9"/>
    <x v="5"/>
    <n v="11350"/>
    <n v="8750"/>
    <n v="2600"/>
    <x v="0"/>
  </r>
  <r>
    <x v="246"/>
    <x v="1"/>
    <x v="2"/>
    <x v="7"/>
    <x v="3"/>
    <n v="14650"/>
    <n v="10230"/>
    <n v="4420"/>
    <x v="1"/>
  </r>
  <r>
    <x v="247"/>
    <x v="2"/>
    <x v="0"/>
    <x v="10"/>
    <x v="7"/>
    <n v="12250"/>
    <n v="7490"/>
    <n v="4760"/>
    <x v="2"/>
  </r>
  <r>
    <x v="109"/>
    <x v="2"/>
    <x v="0"/>
    <x v="1"/>
    <x v="4"/>
    <n v="11300"/>
    <n v="9280"/>
    <n v="2020"/>
    <x v="1"/>
  </r>
  <r>
    <x v="248"/>
    <x v="2"/>
    <x v="1"/>
    <x v="6"/>
    <x v="6"/>
    <n v="12750"/>
    <n v="9910"/>
    <n v="2840"/>
    <x v="0"/>
  </r>
  <r>
    <x v="249"/>
    <x v="1"/>
    <x v="3"/>
    <x v="2"/>
    <x v="6"/>
    <n v="13150"/>
    <n v="10750"/>
    <n v="2400"/>
    <x v="0"/>
  </r>
  <r>
    <x v="250"/>
    <x v="0"/>
    <x v="3"/>
    <x v="3"/>
    <x v="0"/>
    <n v="14800"/>
    <n v="12540"/>
    <n v="2260"/>
    <x v="1"/>
  </r>
  <r>
    <x v="109"/>
    <x v="2"/>
    <x v="0"/>
    <x v="9"/>
    <x v="4"/>
    <n v="11750"/>
    <n v="8570"/>
    <n v="3180"/>
    <x v="3"/>
  </r>
  <r>
    <x v="251"/>
    <x v="0"/>
    <x v="0"/>
    <x v="9"/>
    <x v="10"/>
    <n v="14550"/>
    <n v="10130"/>
    <n v="4420"/>
    <x v="0"/>
  </r>
  <r>
    <x v="252"/>
    <x v="2"/>
    <x v="3"/>
    <x v="3"/>
    <x v="10"/>
    <n v="11550"/>
    <n v="6750"/>
    <n v="4800"/>
    <x v="3"/>
  </r>
  <r>
    <x v="253"/>
    <x v="2"/>
    <x v="0"/>
    <x v="2"/>
    <x v="5"/>
    <n v="11050"/>
    <n v="8030"/>
    <n v="3020"/>
    <x v="0"/>
  </r>
  <r>
    <x v="254"/>
    <x v="4"/>
    <x v="3"/>
    <x v="7"/>
    <x v="2"/>
    <n v="13400"/>
    <n v="9160"/>
    <n v="4240"/>
    <x v="2"/>
  </r>
  <r>
    <x v="255"/>
    <x v="1"/>
    <x v="1"/>
    <x v="4"/>
    <x v="7"/>
    <n v="12450"/>
    <n v="9550"/>
    <n v="2900"/>
    <x v="2"/>
  </r>
  <r>
    <x v="256"/>
    <x v="1"/>
    <x v="2"/>
    <x v="2"/>
    <x v="10"/>
    <n v="10850"/>
    <n v="8610"/>
    <n v="2240"/>
    <x v="2"/>
  </r>
  <r>
    <x v="257"/>
    <x v="1"/>
    <x v="2"/>
    <x v="6"/>
    <x v="4"/>
    <n v="12550"/>
    <n v="10370"/>
    <n v="2180"/>
    <x v="0"/>
  </r>
  <r>
    <x v="258"/>
    <x v="3"/>
    <x v="0"/>
    <x v="1"/>
    <x v="5"/>
    <n v="13850"/>
    <n v="8270"/>
    <n v="5580"/>
    <x v="2"/>
  </r>
  <r>
    <x v="248"/>
    <x v="2"/>
    <x v="1"/>
    <x v="5"/>
    <x v="1"/>
    <n v="12400"/>
    <n v="9780"/>
    <n v="2620"/>
    <x v="3"/>
  </r>
  <r>
    <x v="259"/>
    <x v="3"/>
    <x v="1"/>
    <x v="5"/>
    <x v="6"/>
    <n v="11750"/>
    <n v="9570"/>
    <n v="2180"/>
    <x v="3"/>
  </r>
  <r>
    <x v="260"/>
    <x v="1"/>
    <x v="1"/>
    <x v="6"/>
    <x v="5"/>
    <n v="11450"/>
    <n v="7650"/>
    <n v="3800"/>
    <x v="3"/>
  </r>
  <r>
    <x v="261"/>
    <x v="2"/>
    <x v="0"/>
    <x v="10"/>
    <x v="10"/>
    <n v="13600"/>
    <n v="10480"/>
    <n v="3120"/>
    <x v="0"/>
  </r>
  <r>
    <x v="262"/>
    <x v="3"/>
    <x v="1"/>
    <x v="6"/>
    <x v="1"/>
    <n v="13650"/>
    <n v="8270"/>
    <n v="5380"/>
    <x v="0"/>
  </r>
  <r>
    <x v="101"/>
    <x v="0"/>
    <x v="1"/>
    <x v="8"/>
    <x v="1"/>
    <n v="12850"/>
    <n v="10130"/>
    <n v="2720"/>
    <x v="1"/>
  </r>
  <r>
    <x v="263"/>
    <x v="1"/>
    <x v="0"/>
    <x v="9"/>
    <x v="7"/>
    <n v="10350"/>
    <n v="7690"/>
    <n v="2660"/>
    <x v="3"/>
  </r>
  <r>
    <x v="127"/>
    <x v="3"/>
    <x v="1"/>
    <x v="0"/>
    <x v="6"/>
    <n v="12850"/>
    <n v="7130"/>
    <n v="5720"/>
    <x v="1"/>
  </r>
  <r>
    <x v="264"/>
    <x v="3"/>
    <x v="0"/>
    <x v="9"/>
    <x v="9"/>
    <n v="10800"/>
    <n v="8740"/>
    <n v="2060"/>
    <x v="0"/>
  </r>
  <r>
    <x v="265"/>
    <x v="2"/>
    <x v="1"/>
    <x v="1"/>
    <x v="7"/>
    <n v="12950"/>
    <n v="8250"/>
    <n v="4700"/>
    <x v="3"/>
  </r>
  <r>
    <x v="266"/>
    <x v="3"/>
    <x v="0"/>
    <x v="5"/>
    <x v="3"/>
    <n v="10150"/>
    <n v="4850"/>
    <n v="5300"/>
    <x v="1"/>
  </r>
  <r>
    <x v="267"/>
    <x v="3"/>
    <x v="1"/>
    <x v="11"/>
    <x v="8"/>
    <n v="10650"/>
    <n v="5650"/>
    <n v="5000"/>
    <x v="3"/>
  </r>
  <r>
    <x v="268"/>
    <x v="3"/>
    <x v="2"/>
    <x v="6"/>
    <x v="6"/>
    <n v="10900"/>
    <n v="6440"/>
    <n v="4460"/>
    <x v="2"/>
  </r>
  <r>
    <x v="269"/>
    <x v="4"/>
    <x v="3"/>
    <x v="0"/>
    <x v="1"/>
    <n v="11050"/>
    <n v="6770"/>
    <n v="4280"/>
    <x v="2"/>
  </r>
  <r>
    <x v="270"/>
    <x v="0"/>
    <x v="1"/>
    <x v="9"/>
    <x v="1"/>
    <n v="13600"/>
    <n v="9580"/>
    <n v="4020"/>
    <x v="1"/>
  </r>
  <r>
    <x v="190"/>
    <x v="0"/>
    <x v="1"/>
    <x v="6"/>
    <x v="5"/>
    <n v="11600"/>
    <n v="9080"/>
    <n v="2520"/>
    <x v="2"/>
  </r>
  <r>
    <x v="271"/>
    <x v="1"/>
    <x v="1"/>
    <x v="4"/>
    <x v="6"/>
    <n v="13750"/>
    <n v="9410"/>
    <n v="4340"/>
    <x v="3"/>
  </r>
  <r>
    <x v="272"/>
    <x v="2"/>
    <x v="3"/>
    <x v="8"/>
    <x v="9"/>
    <n v="14500"/>
    <n v="10220"/>
    <n v="4280"/>
    <x v="2"/>
  </r>
  <r>
    <x v="273"/>
    <x v="0"/>
    <x v="3"/>
    <x v="1"/>
    <x v="5"/>
    <n v="14950"/>
    <n v="11830"/>
    <n v="3120"/>
    <x v="3"/>
  </r>
  <r>
    <x v="274"/>
    <x v="1"/>
    <x v="3"/>
    <x v="5"/>
    <x v="5"/>
    <n v="13600"/>
    <n v="10020"/>
    <n v="3580"/>
    <x v="3"/>
  </r>
  <r>
    <x v="240"/>
    <x v="2"/>
    <x v="2"/>
    <x v="10"/>
    <x v="11"/>
    <n v="11850"/>
    <n v="6410"/>
    <n v="5440"/>
    <x v="3"/>
  </r>
  <r>
    <x v="62"/>
    <x v="2"/>
    <x v="3"/>
    <x v="4"/>
    <x v="1"/>
    <n v="10250"/>
    <n v="5810"/>
    <n v="4440"/>
    <x v="0"/>
  </r>
  <r>
    <x v="275"/>
    <x v="2"/>
    <x v="1"/>
    <x v="0"/>
    <x v="3"/>
    <n v="11900"/>
    <n v="6440"/>
    <n v="5460"/>
    <x v="1"/>
  </r>
  <r>
    <x v="276"/>
    <x v="0"/>
    <x v="3"/>
    <x v="0"/>
    <x v="11"/>
    <n v="13150"/>
    <n v="9070"/>
    <n v="4080"/>
    <x v="3"/>
  </r>
  <r>
    <x v="277"/>
    <x v="4"/>
    <x v="3"/>
    <x v="11"/>
    <x v="11"/>
    <n v="13350"/>
    <n v="9190"/>
    <n v="4160"/>
    <x v="0"/>
  </r>
  <r>
    <x v="186"/>
    <x v="4"/>
    <x v="3"/>
    <x v="6"/>
    <x v="2"/>
    <n v="12100"/>
    <n v="8460"/>
    <n v="3640"/>
    <x v="0"/>
  </r>
  <r>
    <x v="278"/>
    <x v="2"/>
    <x v="2"/>
    <x v="10"/>
    <x v="4"/>
    <n v="11300"/>
    <n v="7520"/>
    <n v="3780"/>
    <x v="1"/>
  </r>
  <r>
    <x v="279"/>
    <x v="1"/>
    <x v="1"/>
    <x v="11"/>
    <x v="5"/>
    <n v="12050"/>
    <n v="7750"/>
    <n v="4300"/>
    <x v="1"/>
  </r>
  <r>
    <x v="280"/>
    <x v="2"/>
    <x v="2"/>
    <x v="11"/>
    <x v="5"/>
    <n v="15000"/>
    <n v="9620"/>
    <n v="5380"/>
    <x v="3"/>
  </r>
  <r>
    <x v="281"/>
    <x v="1"/>
    <x v="1"/>
    <x v="1"/>
    <x v="9"/>
    <n v="14500"/>
    <n v="9520"/>
    <n v="4980"/>
    <x v="1"/>
  </r>
  <r>
    <x v="282"/>
    <x v="0"/>
    <x v="1"/>
    <x v="3"/>
    <x v="9"/>
    <n v="13200"/>
    <n v="7620"/>
    <n v="5580"/>
    <x v="0"/>
  </r>
  <r>
    <x v="283"/>
    <x v="1"/>
    <x v="0"/>
    <x v="4"/>
    <x v="2"/>
    <n v="14550"/>
    <n v="11270"/>
    <n v="3280"/>
    <x v="1"/>
  </r>
  <r>
    <x v="284"/>
    <x v="2"/>
    <x v="0"/>
    <x v="4"/>
    <x v="9"/>
    <n v="10650"/>
    <n v="6070"/>
    <n v="4580"/>
    <x v="0"/>
  </r>
  <r>
    <x v="285"/>
    <x v="0"/>
    <x v="3"/>
    <x v="8"/>
    <x v="6"/>
    <n v="13050"/>
    <n v="10270"/>
    <n v="2780"/>
    <x v="2"/>
  </r>
  <r>
    <x v="286"/>
    <x v="3"/>
    <x v="0"/>
    <x v="2"/>
    <x v="0"/>
    <n v="13500"/>
    <n v="8680"/>
    <n v="4820"/>
    <x v="3"/>
  </r>
  <r>
    <x v="287"/>
    <x v="1"/>
    <x v="1"/>
    <x v="3"/>
    <x v="2"/>
    <n v="11800"/>
    <n v="9780"/>
    <n v="2020"/>
    <x v="0"/>
  </r>
  <r>
    <x v="288"/>
    <x v="0"/>
    <x v="0"/>
    <x v="10"/>
    <x v="3"/>
    <n v="14700"/>
    <n v="10760"/>
    <n v="3940"/>
    <x v="1"/>
  </r>
  <r>
    <x v="289"/>
    <x v="2"/>
    <x v="1"/>
    <x v="10"/>
    <x v="10"/>
    <n v="12300"/>
    <n v="7600"/>
    <n v="4700"/>
    <x v="1"/>
  </r>
  <r>
    <x v="290"/>
    <x v="0"/>
    <x v="0"/>
    <x v="5"/>
    <x v="4"/>
    <n v="13150"/>
    <n v="9870"/>
    <n v="3280"/>
    <x v="2"/>
  </r>
  <r>
    <x v="291"/>
    <x v="0"/>
    <x v="1"/>
    <x v="8"/>
    <x v="11"/>
    <n v="10250"/>
    <n v="4590"/>
    <n v="5660"/>
    <x v="0"/>
  </r>
  <r>
    <x v="292"/>
    <x v="0"/>
    <x v="2"/>
    <x v="6"/>
    <x v="11"/>
    <n v="12300"/>
    <n v="8880"/>
    <n v="3420"/>
    <x v="0"/>
  </r>
  <r>
    <x v="293"/>
    <x v="0"/>
    <x v="1"/>
    <x v="10"/>
    <x v="8"/>
    <n v="14700"/>
    <n v="9020"/>
    <n v="5680"/>
    <x v="2"/>
  </r>
  <r>
    <x v="294"/>
    <x v="2"/>
    <x v="1"/>
    <x v="11"/>
    <x v="3"/>
    <n v="14350"/>
    <n v="9250"/>
    <n v="5100"/>
    <x v="1"/>
  </r>
  <r>
    <x v="295"/>
    <x v="0"/>
    <x v="0"/>
    <x v="7"/>
    <x v="10"/>
    <n v="12950"/>
    <n v="8510"/>
    <n v="4440"/>
    <x v="1"/>
  </r>
  <r>
    <x v="296"/>
    <x v="3"/>
    <x v="1"/>
    <x v="5"/>
    <x v="4"/>
    <n v="13700"/>
    <n v="11180"/>
    <n v="2520"/>
    <x v="2"/>
  </r>
  <r>
    <x v="297"/>
    <x v="1"/>
    <x v="1"/>
    <x v="11"/>
    <x v="5"/>
    <n v="13550"/>
    <n v="8550"/>
    <n v="5000"/>
    <x v="3"/>
  </r>
  <r>
    <x v="298"/>
    <x v="3"/>
    <x v="0"/>
    <x v="6"/>
    <x v="2"/>
    <n v="11500"/>
    <n v="6960"/>
    <n v="4540"/>
    <x v="2"/>
  </r>
  <r>
    <x v="131"/>
    <x v="1"/>
    <x v="2"/>
    <x v="5"/>
    <x v="10"/>
    <n v="11550"/>
    <n v="6450"/>
    <n v="5100"/>
    <x v="0"/>
  </r>
  <r>
    <x v="299"/>
    <x v="2"/>
    <x v="3"/>
    <x v="9"/>
    <x v="3"/>
    <n v="13850"/>
    <n v="8790"/>
    <n v="5060"/>
    <x v="3"/>
  </r>
  <r>
    <x v="125"/>
    <x v="3"/>
    <x v="0"/>
    <x v="11"/>
    <x v="2"/>
    <n v="14500"/>
    <n v="9280"/>
    <n v="5220"/>
    <x v="0"/>
  </r>
  <r>
    <x v="300"/>
    <x v="2"/>
    <x v="2"/>
    <x v="9"/>
    <x v="10"/>
    <n v="13250"/>
    <n v="9190"/>
    <n v="4060"/>
    <x v="2"/>
  </r>
  <r>
    <x v="143"/>
    <x v="4"/>
    <x v="3"/>
    <x v="0"/>
    <x v="1"/>
    <n v="10850"/>
    <n v="8630"/>
    <n v="2220"/>
    <x v="2"/>
  </r>
  <r>
    <x v="301"/>
    <x v="3"/>
    <x v="2"/>
    <x v="5"/>
    <x v="5"/>
    <n v="10050"/>
    <n v="5750"/>
    <n v="4300"/>
    <x v="3"/>
  </r>
  <r>
    <x v="302"/>
    <x v="0"/>
    <x v="3"/>
    <x v="7"/>
    <x v="10"/>
    <n v="13600"/>
    <n v="8320"/>
    <n v="5280"/>
    <x v="2"/>
  </r>
  <r>
    <x v="303"/>
    <x v="0"/>
    <x v="0"/>
    <x v="6"/>
    <x v="9"/>
    <n v="12300"/>
    <n v="10180"/>
    <n v="2120"/>
    <x v="2"/>
  </r>
  <r>
    <x v="304"/>
    <x v="2"/>
    <x v="2"/>
    <x v="1"/>
    <x v="0"/>
    <n v="14750"/>
    <n v="10570"/>
    <n v="4180"/>
    <x v="1"/>
  </r>
  <r>
    <x v="305"/>
    <x v="2"/>
    <x v="3"/>
    <x v="8"/>
    <x v="10"/>
    <n v="11950"/>
    <n v="7050"/>
    <n v="4900"/>
    <x v="1"/>
  </r>
  <r>
    <x v="306"/>
    <x v="1"/>
    <x v="1"/>
    <x v="8"/>
    <x v="6"/>
    <n v="12600"/>
    <n v="9680"/>
    <n v="2920"/>
    <x v="3"/>
  </r>
  <r>
    <x v="307"/>
    <x v="3"/>
    <x v="0"/>
    <x v="4"/>
    <x v="0"/>
    <n v="12650"/>
    <n v="8690"/>
    <n v="3960"/>
    <x v="0"/>
  </r>
  <r>
    <x v="308"/>
    <x v="2"/>
    <x v="0"/>
    <x v="11"/>
    <x v="11"/>
    <n v="11800"/>
    <n v="7580"/>
    <n v="4220"/>
    <x v="2"/>
  </r>
  <r>
    <x v="309"/>
    <x v="3"/>
    <x v="0"/>
    <x v="10"/>
    <x v="5"/>
    <n v="13050"/>
    <n v="9490"/>
    <n v="3560"/>
    <x v="0"/>
  </r>
  <r>
    <x v="310"/>
    <x v="2"/>
    <x v="1"/>
    <x v="9"/>
    <x v="9"/>
    <n v="11550"/>
    <n v="8170"/>
    <n v="3380"/>
    <x v="3"/>
  </r>
  <r>
    <x v="311"/>
    <x v="2"/>
    <x v="3"/>
    <x v="6"/>
    <x v="10"/>
    <n v="14200"/>
    <n v="10280"/>
    <n v="3920"/>
    <x v="0"/>
  </r>
  <r>
    <x v="312"/>
    <x v="1"/>
    <x v="1"/>
    <x v="6"/>
    <x v="1"/>
    <n v="11650"/>
    <n v="8390"/>
    <n v="3260"/>
    <x v="3"/>
  </r>
  <r>
    <x v="313"/>
    <x v="2"/>
    <x v="0"/>
    <x v="5"/>
    <x v="9"/>
    <n v="10200"/>
    <n v="5600"/>
    <n v="4600"/>
    <x v="3"/>
  </r>
  <r>
    <x v="314"/>
    <x v="0"/>
    <x v="1"/>
    <x v="6"/>
    <x v="1"/>
    <n v="15000"/>
    <n v="11920"/>
    <n v="3080"/>
    <x v="3"/>
  </r>
  <r>
    <x v="315"/>
    <x v="0"/>
    <x v="2"/>
    <x v="9"/>
    <x v="3"/>
    <n v="12400"/>
    <n v="6900"/>
    <n v="5500"/>
    <x v="2"/>
  </r>
  <r>
    <x v="316"/>
    <x v="2"/>
    <x v="2"/>
    <x v="1"/>
    <x v="4"/>
    <n v="11400"/>
    <n v="6280"/>
    <n v="5120"/>
    <x v="3"/>
  </r>
  <r>
    <x v="317"/>
    <x v="2"/>
    <x v="0"/>
    <x v="3"/>
    <x v="4"/>
    <n v="12800"/>
    <n v="9480"/>
    <n v="3320"/>
    <x v="1"/>
  </r>
  <r>
    <x v="318"/>
    <x v="2"/>
    <x v="1"/>
    <x v="8"/>
    <x v="8"/>
    <n v="10600"/>
    <n v="5540"/>
    <n v="5060"/>
    <x v="1"/>
  </r>
  <r>
    <x v="294"/>
    <x v="2"/>
    <x v="1"/>
    <x v="9"/>
    <x v="9"/>
    <n v="12850"/>
    <n v="9970"/>
    <n v="2880"/>
    <x v="3"/>
  </r>
  <r>
    <x v="319"/>
    <x v="3"/>
    <x v="2"/>
    <x v="0"/>
    <x v="2"/>
    <n v="13900"/>
    <n v="9660"/>
    <n v="4240"/>
    <x v="3"/>
  </r>
  <r>
    <x v="320"/>
    <x v="1"/>
    <x v="1"/>
    <x v="4"/>
    <x v="10"/>
    <n v="14650"/>
    <n v="9610"/>
    <n v="5040"/>
    <x v="0"/>
  </r>
  <r>
    <x v="76"/>
    <x v="2"/>
    <x v="0"/>
    <x v="0"/>
    <x v="2"/>
    <n v="13700"/>
    <n v="9660"/>
    <n v="4040"/>
    <x v="0"/>
  </r>
  <r>
    <x v="321"/>
    <x v="0"/>
    <x v="2"/>
    <x v="1"/>
    <x v="7"/>
    <n v="14600"/>
    <n v="9320"/>
    <n v="5280"/>
    <x v="0"/>
  </r>
  <r>
    <x v="7"/>
    <x v="3"/>
    <x v="0"/>
    <x v="6"/>
    <x v="1"/>
    <n v="11400"/>
    <n v="7720"/>
    <n v="3680"/>
    <x v="3"/>
  </r>
  <r>
    <x v="322"/>
    <x v="2"/>
    <x v="3"/>
    <x v="0"/>
    <x v="4"/>
    <n v="10050"/>
    <n v="6350"/>
    <n v="3700"/>
    <x v="2"/>
  </r>
  <r>
    <x v="323"/>
    <x v="0"/>
    <x v="1"/>
    <x v="4"/>
    <x v="9"/>
    <n v="10950"/>
    <n v="5350"/>
    <n v="5600"/>
    <x v="3"/>
  </r>
  <r>
    <x v="262"/>
    <x v="3"/>
    <x v="1"/>
    <x v="10"/>
    <x v="4"/>
    <n v="12300"/>
    <n v="9880"/>
    <n v="2420"/>
    <x v="2"/>
  </r>
  <r>
    <x v="324"/>
    <x v="2"/>
    <x v="2"/>
    <x v="1"/>
    <x v="0"/>
    <n v="10100"/>
    <n v="7020"/>
    <n v="3080"/>
    <x v="0"/>
  </r>
  <r>
    <x v="325"/>
    <x v="0"/>
    <x v="3"/>
    <x v="8"/>
    <x v="0"/>
    <n v="13750"/>
    <n v="10410"/>
    <n v="3340"/>
    <x v="1"/>
  </r>
  <r>
    <x v="326"/>
    <x v="1"/>
    <x v="0"/>
    <x v="5"/>
    <x v="1"/>
    <n v="14900"/>
    <n v="10260"/>
    <n v="4640"/>
    <x v="1"/>
  </r>
  <r>
    <x v="129"/>
    <x v="0"/>
    <x v="3"/>
    <x v="7"/>
    <x v="10"/>
    <n v="13300"/>
    <n v="9520"/>
    <n v="3780"/>
    <x v="3"/>
  </r>
  <r>
    <x v="327"/>
    <x v="1"/>
    <x v="1"/>
    <x v="0"/>
    <x v="1"/>
    <n v="13100"/>
    <n v="11040"/>
    <n v="2060"/>
    <x v="2"/>
  </r>
  <r>
    <x v="167"/>
    <x v="1"/>
    <x v="3"/>
    <x v="3"/>
    <x v="9"/>
    <n v="10800"/>
    <n v="8140"/>
    <n v="2660"/>
    <x v="1"/>
  </r>
  <r>
    <x v="328"/>
    <x v="2"/>
    <x v="3"/>
    <x v="9"/>
    <x v="1"/>
    <n v="10450"/>
    <n v="7330"/>
    <n v="3120"/>
    <x v="0"/>
  </r>
  <r>
    <x v="329"/>
    <x v="3"/>
    <x v="0"/>
    <x v="8"/>
    <x v="4"/>
    <n v="14750"/>
    <n v="12630"/>
    <n v="2120"/>
    <x v="3"/>
  </r>
  <r>
    <x v="330"/>
    <x v="4"/>
    <x v="3"/>
    <x v="7"/>
    <x v="9"/>
    <n v="14700"/>
    <n v="11520"/>
    <n v="3180"/>
    <x v="0"/>
  </r>
  <r>
    <x v="331"/>
    <x v="2"/>
    <x v="3"/>
    <x v="10"/>
    <x v="4"/>
    <n v="14700"/>
    <n v="10940"/>
    <n v="3760"/>
    <x v="1"/>
  </r>
  <r>
    <x v="332"/>
    <x v="1"/>
    <x v="3"/>
    <x v="2"/>
    <x v="6"/>
    <n v="12850"/>
    <n v="7470"/>
    <n v="5380"/>
    <x v="3"/>
  </r>
  <r>
    <x v="311"/>
    <x v="2"/>
    <x v="3"/>
    <x v="3"/>
    <x v="0"/>
    <n v="11300"/>
    <n v="5960"/>
    <n v="5340"/>
    <x v="2"/>
  </r>
  <r>
    <x v="333"/>
    <x v="2"/>
    <x v="2"/>
    <x v="7"/>
    <x v="8"/>
    <n v="12100"/>
    <n v="7560"/>
    <n v="4540"/>
    <x v="1"/>
  </r>
  <r>
    <x v="153"/>
    <x v="1"/>
    <x v="2"/>
    <x v="2"/>
    <x v="5"/>
    <n v="13600"/>
    <n v="11140"/>
    <n v="2460"/>
    <x v="2"/>
  </r>
  <r>
    <x v="334"/>
    <x v="3"/>
    <x v="2"/>
    <x v="1"/>
    <x v="2"/>
    <n v="10100"/>
    <n v="7380"/>
    <n v="2720"/>
    <x v="3"/>
  </r>
  <r>
    <x v="335"/>
    <x v="1"/>
    <x v="2"/>
    <x v="7"/>
    <x v="2"/>
    <n v="13750"/>
    <n v="9150"/>
    <n v="4600"/>
    <x v="2"/>
  </r>
  <r>
    <x v="321"/>
    <x v="0"/>
    <x v="2"/>
    <x v="5"/>
    <x v="10"/>
    <n v="10150"/>
    <n v="6590"/>
    <n v="3560"/>
    <x v="2"/>
  </r>
  <r>
    <x v="252"/>
    <x v="2"/>
    <x v="3"/>
    <x v="1"/>
    <x v="3"/>
    <n v="13100"/>
    <n v="11060"/>
    <n v="2040"/>
    <x v="2"/>
  </r>
  <r>
    <x v="257"/>
    <x v="1"/>
    <x v="2"/>
    <x v="8"/>
    <x v="0"/>
    <n v="10300"/>
    <n v="6260"/>
    <n v="4040"/>
    <x v="1"/>
  </r>
  <r>
    <x v="336"/>
    <x v="0"/>
    <x v="2"/>
    <x v="4"/>
    <x v="6"/>
    <n v="11600"/>
    <n v="9540"/>
    <n v="2060"/>
    <x v="0"/>
  </r>
  <r>
    <x v="337"/>
    <x v="3"/>
    <x v="0"/>
    <x v="11"/>
    <x v="3"/>
    <n v="12400"/>
    <n v="8380"/>
    <n v="4020"/>
    <x v="2"/>
  </r>
  <r>
    <x v="338"/>
    <x v="1"/>
    <x v="1"/>
    <x v="5"/>
    <x v="3"/>
    <n v="14900"/>
    <n v="12080"/>
    <n v="2820"/>
    <x v="2"/>
  </r>
  <r>
    <x v="339"/>
    <x v="2"/>
    <x v="3"/>
    <x v="3"/>
    <x v="6"/>
    <n v="10300"/>
    <n v="5700"/>
    <n v="4600"/>
    <x v="2"/>
  </r>
  <r>
    <x v="189"/>
    <x v="3"/>
    <x v="0"/>
    <x v="1"/>
    <x v="3"/>
    <n v="13450"/>
    <n v="10310"/>
    <n v="3140"/>
    <x v="1"/>
  </r>
  <r>
    <x v="340"/>
    <x v="1"/>
    <x v="3"/>
    <x v="0"/>
    <x v="4"/>
    <n v="13900"/>
    <n v="10880"/>
    <n v="3020"/>
    <x v="0"/>
  </r>
  <r>
    <x v="36"/>
    <x v="3"/>
    <x v="2"/>
    <x v="8"/>
    <x v="6"/>
    <n v="10600"/>
    <n v="6520"/>
    <n v="4080"/>
    <x v="2"/>
  </r>
  <r>
    <x v="341"/>
    <x v="2"/>
    <x v="1"/>
    <x v="5"/>
    <x v="5"/>
    <n v="13350"/>
    <n v="8910"/>
    <n v="4440"/>
    <x v="3"/>
  </r>
  <r>
    <x v="311"/>
    <x v="2"/>
    <x v="3"/>
    <x v="9"/>
    <x v="10"/>
    <n v="11500"/>
    <n v="9080"/>
    <n v="2420"/>
    <x v="0"/>
  </r>
  <r>
    <x v="342"/>
    <x v="1"/>
    <x v="0"/>
    <x v="9"/>
    <x v="5"/>
    <n v="12650"/>
    <n v="8490"/>
    <n v="4160"/>
    <x v="3"/>
  </r>
  <r>
    <x v="319"/>
    <x v="3"/>
    <x v="2"/>
    <x v="5"/>
    <x v="11"/>
    <n v="10050"/>
    <n v="6070"/>
    <n v="3980"/>
    <x v="0"/>
  </r>
  <r>
    <x v="343"/>
    <x v="1"/>
    <x v="2"/>
    <x v="10"/>
    <x v="1"/>
    <n v="14000"/>
    <n v="10000"/>
    <n v="4000"/>
    <x v="1"/>
  </r>
  <r>
    <x v="344"/>
    <x v="3"/>
    <x v="2"/>
    <x v="0"/>
    <x v="10"/>
    <n v="13300"/>
    <n v="9780"/>
    <n v="3520"/>
    <x v="2"/>
  </r>
  <r>
    <x v="62"/>
    <x v="2"/>
    <x v="3"/>
    <x v="0"/>
    <x v="8"/>
    <n v="14650"/>
    <n v="10030"/>
    <n v="4620"/>
    <x v="1"/>
  </r>
  <r>
    <x v="345"/>
    <x v="0"/>
    <x v="1"/>
    <x v="4"/>
    <x v="5"/>
    <n v="10100"/>
    <n v="6720"/>
    <n v="3380"/>
    <x v="1"/>
  </r>
  <r>
    <x v="34"/>
    <x v="3"/>
    <x v="1"/>
    <x v="0"/>
    <x v="11"/>
    <n v="10500"/>
    <n v="7700"/>
    <n v="2800"/>
    <x v="2"/>
  </r>
  <r>
    <x v="346"/>
    <x v="0"/>
    <x v="2"/>
    <x v="11"/>
    <x v="4"/>
    <n v="10550"/>
    <n v="8450"/>
    <n v="2100"/>
    <x v="0"/>
  </r>
  <r>
    <x v="347"/>
    <x v="0"/>
    <x v="0"/>
    <x v="10"/>
    <x v="1"/>
    <n v="13750"/>
    <n v="9250"/>
    <n v="4500"/>
    <x v="1"/>
  </r>
  <r>
    <x v="292"/>
    <x v="0"/>
    <x v="2"/>
    <x v="10"/>
    <x v="9"/>
    <n v="10400"/>
    <n v="6860"/>
    <n v="3540"/>
    <x v="0"/>
  </r>
  <r>
    <x v="348"/>
    <x v="3"/>
    <x v="2"/>
    <x v="3"/>
    <x v="8"/>
    <n v="13750"/>
    <n v="11690"/>
    <n v="2060"/>
    <x v="0"/>
  </r>
  <r>
    <x v="349"/>
    <x v="4"/>
    <x v="3"/>
    <x v="10"/>
    <x v="0"/>
    <n v="14300"/>
    <n v="11440"/>
    <n v="2860"/>
    <x v="1"/>
  </r>
  <r>
    <x v="350"/>
    <x v="3"/>
    <x v="0"/>
    <x v="1"/>
    <x v="8"/>
    <n v="10750"/>
    <n v="6150"/>
    <n v="4600"/>
    <x v="3"/>
  </r>
  <r>
    <x v="351"/>
    <x v="0"/>
    <x v="0"/>
    <x v="11"/>
    <x v="7"/>
    <n v="13000"/>
    <n v="7900"/>
    <n v="5100"/>
    <x v="2"/>
  </r>
  <r>
    <x v="352"/>
    <x v="2"/>
    <x v="3"/>
    <x v="8"/>
    <x v="2"/>
    <n v="11450"/>
    <n v="8750"/>
    <n v="2700"/>
    <x v="3"/>
  </r>
  <r>
    <x v="353"/>
    <x v="0"/>
    <x v="1"/>
    <x v="1"/>
    <x v="6"/>
    <n v="12600"/>
    <n v="8700"/>
    <n v="3900"/>
    <x v="3"/>
  </r>
  <r>
    <x v="354"/>
    <x v="0"/>
    <x v="1"/>
    <x v="7"/>
    <x v="3"/>
    <n v="11750"/>
    <n v="7470"/>
    <n v="4280"/>
    <x v="1"/>
  </r>
  <r>
    <x v="355"/>
    <x v="3"/>
    <x v="0"/>
    <x v="9"/>
    <x v="3"/>
    <n v="14200"/>
    <n v="8880"/>
    <n v="5320"/>
    <x v="0"/>
  </r>
  <r>
    <x v="356"/>
    <x v="2"/>
    <x v="2"/>
    <x v="1"/>
    <x v="0"/>
    <n v="10150"/>
    <n v="7450"/>
    <n v="2700"/>
    <x v="2"/>
  </r>
  <r>
    <x v="357"/>
    <x v="4"/>
    <x v="3"/>
    <x v="6"/>
    <x v="9"/>
    <n v="13350"/>
    <n v="10590"/>
    <n v="2760"/>
    <x v="0"/>
  </r>
  <r>
    <x v="358"/>
    <x v="0"/>
    <x v="2"/>
    <x v="8"/>
    <x v="6"/>
    <n v="13600"/>
    <n v="9280"/>
    <n v="4320"/>
    <x v="2"/>
  </r>
  <r>
    <x v="160"/>
    <x v="2"/>
    <x v="2"/>
    <x v="0"/>
    <x v="8"/>
    <n v="10600"/>
    <n v="8180"/>
    <n v="2420"/>
    <x v="0"/>
  </r>
  <r>
    <x v="308"/>
    <x v="2"/>
    <x v="0"/>
    <x v="1"/>
    <x v="8"/>
    <n v="12050"/>
    <n v="9830"/>
    <n v="2220"/>
    <x v="0"/>
  </r>
  <r>
    <x v="359"/>
    <x v="0"/>
    <x v="1"/>
    <x v="7"/>
    <x v="11"/>
    <n v="14300"/>
    <n v="10380"/>
    <n v="3920"/>
    <x v="1"/>
  </r>
  <r>
    <x v="360"/>
    <x v="3"/>
    <x v="1"/>
    <x v="5"/>
    <x v="6"/>
    <n v="14450"/>
    <n v="9650"/>
    <n v="4800"/>
    <x v="2"/>
  </r>
  <r>
    <x v="361"/>
    <x v="2"/>
    <x v="3"/>
    <x v="9"/>
    <x v="4"/>
    <n v="11350"/>
    <n v="9050"/>
    <n v="2300"/>
    <x v="3"/>
  </r>
  <r>
    <x v="362"/>
    <x v="1"/>
    <x v="2"/>
    <x v="8"/>
    <x v="11"/>
    <n v="13700"/>
    <n v="9720"/>
    <n v="3980"/>
    <x v="0"/>
  </r>
  <r>
    <x v="355"/>
    <x v="3"/>
    <x v="0"/>
    <x v="5"/>
    <x v="3"/>
    <n v="10350"/>
    <n v="7750"/>
    <n v="2600"/>
    <x v="3"/>
  </r>
  <r>
    <x v="360"/>
    <x v="3"/>
    <x v="1"/>
    <x v="5"/>
    <x v="10"/>
    <n v="14250"/>
    <n v="11430"/>
    <n v="2820"/>
    <x v="0"/>
  </r>
  <r>
    <x v="363"/>
    <x v="2"/>
    <x v="2"/>
    <x v="8"/>
    <x v="3"/>
    <n v="13300"/>
    <n v="7760"/>
    <n v="5540"/>
    <x v="2"/>
  </r>
  <r>
    <x v="364"/>
    <x v="1"/>
    <x v="2"/>
    <x v="10"/>
    <x v="2"/>
    <n v="14800"/>
    <n v="9000"/>
    <n v="5800"/>
    <x v="3"/>
  </r>
  <r>
    <x v="365"/>
    <x v="2"/>
    <x v="3"/>
    <x v="7"/>
    <x v="2"/>
    <n v="14950"/>
    <n v="9210"/>
    <n v="5740"/>
    <x v="2"/>
  </r>
  <r>
    <x v="366"/>
    <x v="1"/>
    <x v="3"/>
    <x v="2"/>
    <x v="2"/>
    <n v="12300"/>
    <n v="8640"/>
    <n v="3660"/>
    <x v="2"/>
  </r>
  <r>
    <x v="367"/>
    <x v="0"/>
    <x v="0"/>
    <x v="8"/>
    <x v="8"/>
    <n v="11850"/>
    <n v="9390"/>
    <n v="2460"/>
    <x v="3"/>
  </r>
  <r>
    <x v="368"/>
    <x v="1"/>
    <x v="0"/>
    <x v="1"/>
    <x v="4"/>
    <n v="12350"/>
    <n v="9730"/>
    <n v="2620"/>
    <x v="3"/>
  </r>
  <r>
    <x v="369"/>
    <x v="0"/>
    <x v="3"/>
    <x v="7"/>
    <x v="5"/>
    <n v="10550"/>
    <n v="7470"/>
    <n v="3080"/>
    <x v="0"/>
  </r>
  <r>
    <x v="370"/>
    <x v="2"/>
    <x v="0"/>
    <x v="0"/>
    <x v="0"/>
    <n v="14700"/>
    <n v="10140"/>
    <n v="4560"/>
    <x v="2"/>
  </r>
  <r>
    <x v="163"/>
    <x v="1"/>
    <x v="3"/>
    <x v="4"/>
    <x v="7"/>
    <n v="11450"/>
    <n v="7650"/>
    <n v="3800"/>
    <x v="0"/>
  </r>
  <r>
    <x v="371"/>
    <x v="4"/>
    <x v="3"/>
    <x v="1"/>
    <x v="11"/>
    <n v="14500"/>
    <n v="9240"/>
    <n v="5260"/>
    <x v="2"/>
  </r>
  <r>
    <x v="372"/>
    <x v="1"/>
    <x v="0"/>
    <x v="8"/>
    <x v="10"/>
    <n v="12000"/>
    <n v="8360"/>
    <n v="3640"/>
    <x v="0"/>
  </r>
  <r>
    <x v="322"/>
    <x v="2"/>
    <x v="3"/>
    <x v="3"/>
    <x v="4"/>
    <n v="14500"/>
    <n v="8780"/>
    <n v="5720"/>
    <x v="1"/>
  </r>
  <r>
    <x v="373"/>
    <x v="1"/>
    <x v="2"/>
    <x v="8"/>
    <x v="10"/>
    <n v="12150"/>
    <n v="8930"/>
    <n v="3220"/>
    <x v="1"/>
  </r>
  <r>
    <x v="374"/>
    <x v="1"/>
    <x v="3"/>
    <x v="9"/>
    <x v="11"/>
    <n v="12100"/>
    <n v="9800"/>
    <n v="2300"/>
    <x v="1"/>
  </r>
  <r>
    <x v="375"/>
    <x v="1"/>
    <x v="0"/>
    <x v="0"/>
    <x v="8"/>
    <n v="11700"/>
    <n v="8860"/>
    <n v="2840"/>
    <x v="0"/>
  </r>
  <r>
    <x v="376"/>
    <x v="2"/>
    <x v="0"/>
    <x v="7"/>
    <x v="5"/>
    <n v="12700"/>
    <n v="10600"/>
    <n v="2100"/>
    <x v="1"/>
  </r>
  <r>
    <x v="377"/>
    <x v="0"/>
    <x v="2"/>
    <x v="3"/>
    <x v="5"/>
    <n v="10700"/>
    <n v="8620"/>
    <n v="2080"/>
    <x v="0"/>
  </r>
  <r>
    <x v="378"/>
    <x v="0"/>
    <x v="2"/>
    <x v="7"/>
    <x v="2"/>
    <n v="13350"/>
    <n v="10450"/>
    <n v="2900"/>
    <x v="1"/>
  </r>
  <r>
    <x v="379"/>
    <x v="3"/>
    <x v="2"/>
    <x v="5"/>
    <x v="7"/>
    <n v="11300"/>
    <n v="8600"/>
    <n v="2700"/>
    <x v="0"/>
  </r>
  <r>
    <x v="203"/>
    <x v="1"/>
    <x v="3"/>
    <x v="7"/>
    <x v="4"/>
    <n v="12350"/>
    <n v="6930"/>
    <n v="5420"/>
    <x v="2"/>
  </r>
  <r>
    <x v="380"/>
    <x v="3"/>
    <x v="2"/>
    <x v="8"/>
    <x v="4"/>
    <n v="12200"/>
    <n v="9040"/>
    <n v="3160"/>
    <x v="2"/>
  </r>
  <r>
    <x v="381"/>
    <x v="3"/>
    <x v="1"/>
    <x v="2"/>
    <x v="8"/>
    <n v="12550"/>
    <n v="8910"/>
    <n v="3640"/>
    <x v="2"/>
  </r>
  <r>
    <x v="382"/>
    <x v="4"/>
    <x v="3"/>
    <x v="6"/>
    <x v="1"/>
    <n v="10100"/>
    <n v="7320"/>
    <n v="2780"/>
    <x v="1"/>
  </r>
  <r>
    <x v="383"/>
    <x v="0"/>
    <x v="1"/>
    <x v="2"/>
    <x v="6"/>
    <n v="14150"/>
    <n v="10850"/>
    <n v="3300"/>
    <x v="3"/>
  </r>
  <r>
    <x v="286"/>
    <x v="3"/>
    <x v="0"/>
    <x v="11"/>
    <x v="5"/>
    <n v="12950"/>
    <n v="10770"/>
    <n v="2180"/>
    <x v="1"/>
  </r>
  <r>
    <x v="384"/>
    <x v="3"/>
    <x v="1"/>
    <x v="0"/>
    <x v="0"/>
    <n v="13800"/>
    <n v="10640"/>
    <n v="3160"/>
    <x v="3"/>
  </r>
  <r>
    <x v="385"/>
    <x v="4"/>
    <x v="3"/>
    <x v="3"/>
    <x v="7"/>
    <n v="11800"/>
    <n v="7680"/>
    <n v="4120"/>
    <x v="2"/>
  </r>
  <r>
    <x v="241"/>
    <x v="0"/>
    <x v="0"/>
    <x v="3"/>
    <x v="2"/>
    <n v="10900"/>
    <n v="8340"/>
    <n v="2560"/>
    <x v="3"/>
  </r>
  <r>
    <x v="386"/>
    <x v="0"/>
    <x v="1"/>
    <x v="9"/>
    <x v="7"/>
    <n v="13450"/>
    <n v="10850"/>
    <n v="2600"/>
    <x v="1"/>
  </r>
  <r>
    <x v="29"/>
    <x v="0"/>
    <x v="3"/>
    <x v="5"/>
    <x v="9"/>
    <n v="10600"/>
    <n v="6720"/>
    <n v="3880"/>
    <x v="2"/>
  </r>
  <r>
    <x v="387"/>
    <x v="2"/>
    <x v="0"/>
    <x v="4"/>
    <x v="4"/>
    <n v="14750"/>
    <n v="12450"/>
    <n v="2300"/>
    <x v="3"/>
  </r>
  <r>
    <x v="388"/>
    <x v="0"/>
    <x v="2"/>
    <x v="9"/>
    <x v="5"/>
    <n v="12800"/>
    <n v="8600"/>
    <n v="4200"/>
    <x v="3"/>
  </r>
  <r>
    <x v="389"/>
    <x v="1"/>
    <x v="3"/>
    <x v="10"/>
    <x v="2"/>
    <n v="12400"/>
    <n v="7420"/>
    <n v="4980"/>
    <x v="0"/>
  </r>
  <r>
    <x v="390"/>
    <x v="0"/>
    <x v="3"/>
    <x v="9"/>
    <x v="2"/>
    <n v="13600"/>
    <n v="8780"/>
    <n v="4820"/>
    <x v="3"/>
  </r>
  <r>
    <x v="391"/>
    <x v="3"/>
    <x v="0"/>
    <x v="11"/>
    <x v="4"/>
    <n v="11250"/>
    <n v="7470"/>
    <n v="3780"/>
    <x v="1"/>
  </r>
  <r>
    <x v="270"/>
    <x v="0"/>
    <x v="1"/>
    <x v="3"/>
    <x v="3"/>
    <n v="11900"/>
    <n v="9200"/>
    <n v="2700"/>
    <x v="0"/>
  </r>
  <r>
    <x v="361"/>
    <x v="2"/>
    <x v="3"/>
    <x v="1"/>
    <x v="11"/>
    <n v="11750"/>
    <n v="6130"/>
    <n v="5620"/>
    <x v="0"/>
  </r>
  <r>
    <x v="392"/>
    <x v="3"/>
    <x v="2"/>
    <x v="8"/>
    <x v="2"/>
    <n v="12100"/>
    <n v="10020"/>
    <n v="2080"/>
    <x v="1"/>
  </r>
  <r>
    <x v="393"/>
    <x v="2"/>
    <x v="3"/>
    <x v="5"/>
    <x v="6"/>
    <n v="13850"/>
    <n v="8730"/>
    <n v="5120"/>
    <x v="2"/>
  </r>
  <r>
    <x v="394"/>
    <x v="2"/>
    <x v="1"/>
    <x v="10"/>
    <x v="8"/>
    <n v="10000"/>
    <n v="6700"/>
    <n v="3300"/>
    <x v="2"/>
  </r>
  <r>
    <x v="262"/>
    <x v="3"/>
    <x v="1"/>
    <x v="2"/>
    <x v="9"/>
    <n v="13800"/>
    <n v="10280"/>
    <n v="3520"/>
    <x v="3"/>
  </r>
  <r>
    <x v="395"/>
    <x v="1"/>
    <x v="1"/>
    <x v="6"/>
    <x v="5"/>
    <n v="10450"/>
    <n v="5850"/>
    <n v="4600"/>
    <x v="1"/>
  </r>
  <r>
    <x v="396"/>
    <x v="1"/>
    <x v="1"/>
    <x v="10"/>
    <x v="8"/>
    <n v="12700"/>
    <n v="7620"/>
    <n v="5080"/>
    <x v="2"/>
  </r>
  <r>
    <x v="397"/>
    <x v="2"/>
    <x v="1"/>
    <x v="5"/>
    <x v="3"/>
    <n v="13950"/>
    <n v="11170"/>
    <n v="2780"/>
    <x v="1"/>
  </r>
  <r>
    <x v="398"/>
    <x v="3"/>
    <x v="1"/>
    <x v="5"/>
    <x v="10"/>
    <n v="11850"/>
    <n v="8230"/>
    <n v="3620"/>
    <x v="2"/>
  </r>
  <r>
    <x v="85"/>
    <x v="3"/>
    <x v="0"/>
    <x v="4"/>
    <x v="7"/>
    <n v="14300"/>
    <n v="11860"/>
    <n v="2440"/>
    <x v="3"/>
  </r>
  <r>
    <x v="399"/>
    <x v="0"/>
    <x v="1"/>
    <x v="9"/>
    <x v="11"/>
    <n v="12750"/>
    <n v="7230"/>
    <n v="5520"/>
    <x v="1"/>
  </r>
  <r>
    <x v="69"/>
    <x v="0"/>
    <x v="0"/>
    <x v="3"/>
    <x v="0"/>
    <n v="10450"/>
    <n v="8350"/>
    <n v="2100"/>
    <x v="1"/>
  </r>
  <r>
    <x v="400"/>
    <x v="2"/>
    <x v="1"/>
    <x v="2"/>
    <x v="11"/>
    <n v="13850"/>
    <n v="10290"/>
    <n v="3560"/>
    <x v="0"/>
  </r>
  <r>
    <x v="401"/>
    <x v="2"/>
    <x v="3"/>
    <x v="6"/>
    <x v="10"/>
    <n v="12100"/>
    <n v="6580"/>
    <n v="5520"/>
    <x v="1"/>
  </r>
  <r>
    <x v="402"/>
    <x v="2"/>
    <x v="2"/>
    <x v="7"/>
    <x v="7"/>
    <n v="14900"/>
    <n v="9420"/>
    <n v="5480"/>
    <x v="3"/>
  </r>
  <r>
    <x v="403"/>
    <x v="0"/>
    <x v="1"/>
    <x v="9"/>
    <x v="7"/>
    <n v="11350"/>
    <n v="6010"/>
    <n v="5340"/>
    <x v="3"/>
  </r>
  <r>
    <x v="404"/>
    <x v="0"/>
    <x v="0"/>
    <x v="9"/>
    <x v="7"/>
    <n v="10050"/>
    <n v="7330"/>
    <n v="2720"/>
    <x v="2"/>
  </r>
  <r>
    <x v="405"/>
    <x v="2"/>
    <x v="0"/>
    <x v="1"/>
    <x v="6"/>
    <n v="12100"/>
    <n v="8560"/>
    <n v="3540"/>
    <x v="1"/>
  </r>
  <r>
    <x v="406"/>
    <x v="3"/>
    <x v="0"/>
    <x v="7"/>
    <x v="3"/>
    <n v="10850"/>
    <n v="5730"/>
    <n v="5120"/>
    <x v="0"/>
  </r>
  <r>
    <x v="188"/>
    <x v="0"/>
    <x v="1"/>
    <x v="1"/>
    <x v="0"/>
    <n v="14650"/>
    <n v="12290"/>
    <n v="2360"/>
    <x v="0"/>
  </r>
  <r>
    <x v="33"/>
    <x v="3"/>
    <x v="1"/>
    <x v="1"/>
    <x v="1"/>
    <n v="11400"/>
    <n v="7140"/>
    <n v="4260"/>
    <x v="3"/>
  </r>
  <r>
    <x v="251"/>
    <x v="0"/>
    <x v="0"/>
    <x v="10"/>
    <x v="5"/>
    <n v="14000"/>
    <n v="11360"/>
    <n v="2640"/>
    <x v="1"/>
  </r>
  <r>
    <x v="407"/>
    <x v="1"/>
    <x v="1"/>
    <x v="2"/>
    <x v="1"/>
    <n v="10200"/>
    <n v="5220"/>
    <n v="4980"/>
    <x v="3"/>
  </r>
  <r>
    <x v="408"/>
    <x v="1"/>
    <x v="1"/>
    <x v="4"/>
    <x v="8"/>
    <n v="10500"/>
    <n v="4860"/>
    <n v="5640"/>
    <x v="1"/>
  </r>
  <r>
    <x v="409"/>
    <x v="3"/>
    <x v="1"/>
    <x v="1"/>
    <x v="4"/>
    <n v="12850"/>
    <n v="7270"/>
    <n v="5580"/>
    <x v="3"/>
  </r>
  <r>
    <x v="410"/>
    <x v="2"/>
    <x v="2"/>
    <x v="9"/>
    <x v="2"/>
    <n v="14500"/>
    <n v="9800"/>
    <n v="4700"/>
    <x v="0"/>
  </r>
  <r>
    <x v="411"/>
    <x v="2"/>
    <x v="3"/>
    <x v="7"/>
    <x v="8"/>
    <n v="12400"/>
    <n v="7320"/>
    <n v="5080"/>
    <x v="3"/>
  </r>
  <r>
    <x v="371"/>
    <x v="4"/>
    <x v="3"/>
    <x v="10"/>
    <x v="3"/>
    <n v="13450"/>
    <n v="7850"/>
    <n v="5600"/>
    <x v="1"/>
  </r>
  <r>
    <x v="412"/>
    <x v="3"/>
    <x v="2"/>
    <x v="0"/>
    <x v="8"/>
    <n v="12750"/>
    <n v="10110"/>
    <n v="2640"/>
    <x v="3"/>
  </r>
  <r>
    <x v="413"/>
    <x v="3"/>
    <x v="0"/>
    <x v="4"/>
    <x v="9"/>
    <n v="11000"/>
    <n v="7300"/>
    <n v="3700"/>
    <x v="1"/>
  </r>
  <r>
    <x v="414"/>
    <x v="0"/>
    <x v="1"/>
    <x v="10"/>
    <x v="0"/>
    <n v="11200"/>
    <n v="6780"/>
    <n v="4420"/>
    <x v="0"/>
  </r>
  <r>
    <x v="358"/>
    <x v="0"/>
    <x v="2"/>
    <x v="10"/>
    <x v="1"/>
    <n v="13900"/>
    <n v="10100"/>
    <n v="3800"/>
    <x v="1"/>
  </r>
  <r>
    <x v="24"/>
    <x v="1"/>
    <x v="3"/>
    <x v="3"/>
    <x v="10"/>
    <n v="14200"/>
    <n v="11740"/>
    <n v="2460"/>
    <x v="3"/>
  </r>
  <r>
    <x v="213"/>
    <x v="1"/>
    <x v="2"/>
    <x v="2"/>
    <x v="0"/>
    <n v="14100"/>
    <n v="10280"/>
    <n v="3820"/>
    <x v="2"/>
  </r>
  <r>
    <x v="415"/>
    <x v="3"/>
    <x v="2"/>
    <x v="4"/>
    <x v="11"/>
    <n v="14150"/>
    <n v="9610"/>
    <n v="4540"/>
    <x v="2"/>
  </r>
  <r>
    <x v="416"/>
    <x v="2"/>
    <x v="2"/>
    <x v="9"/>
    <x v="7"/>
    <n v="12200"/>
    <n v="6720"/>
    <n v="5480"/>
    <x v="3"/>
  </r>
  <r>
    <x v="417"/>
    <x v="3"/>
    <x v="2"/>
    <x v="2"/>
    <x v="4"/>
    <n v="14300"/>
    <n v="9180"/>
    <n v="5120"/>
    <x v="3"/>
  </r>
  <r>
    <x v="418"/>
    <x v="1"/>
    <x v="0"/>
    <x v="2"/>
    <x v="8"/>
    <n v="10700"/>
    <n v="4900"/>
    <n v="5800"/>
    <x v="2"/>
  </r>
  <r>
    <x v="84"/>
    <x v="1"/>
    <x v="2"/>
    <x v="5"/>
    <x v="10"/>
    <n v="13200"/>
    <n v="11140"/>
    <n v="2060"/>
    <x v="1"/>
  </r>
  <r>
    <x v="419"/>
    <x v="1"/>
    <x v="1"/>
    <x v="2"/>
    <x v="11"/>
    <n v="11950"/>
    <n v="9010"/>
    <n v="2940"/>
    <x v="2"/>
  </r>
  <r>
    <x v="420"/>
    <x v="2"/>
    <x v="3"/>
    <x v="2"/>
    <x v="5"/>
    <n v="14450"/>
    <n v="10590"/>
    <n v="3860"/>
    <x v="2"/>
  </r>
  <r>
    <x v="421"/>
    <x v="0"/>
    <x v="0"/>
    <x v="0"/>
    <x v="2"/>
    <n v="13750"/>
    <n v="8450"/>
    <n v="5300"/>
    <x v="2"/>
  </r>
  <r>
    <x v="422"/>
    <x v="1"/>
    <x v="3"/>
    <x v="8"/>
    <x v="9"/>
    <n v="11800"/>
    <n v="6760"/>
    <n v="5040"/>
    <x v="0"/>
  </r>
  <r>
    <x v="423"/>
    <x v="0"/>
    <x v="0"/>
    <x v="4"/>
    <x v="10"/>
    <n v="14550"/>
    <n v="9870"/>
    <n v="4680"/>
    <x v="2"/>
  </r>
  <r>
    <x v="424"/>
    <x v="1"/>
    <x v="1"/>
    <x v="7"/>
    <x v="8"/>
    <n v="14900"/>
    <n v="9120"/>
    <n v="5780"/>
    <x v="3"/>
  </r>
  <r>
    <x v="425"/>
    <x v="0"/>
    <x v="0"/>
    <x v="2"/>
    <x v="9"/>
    <n v="13300"/>
    <n v="7620"/>
    <n v="5680"/>
    <x v="1"/>
  </r>
  <r>
    <x v="426"/>
    <x v="2"/>
    <x v="3"/>
    <x v="11"/>
    <x v="3"/>
    <n v="11250"/>
    <n v="6370"/>
    <n v="4880"/>
    <x v="0"/>
  </r>
  <r>
    <x v="427"/>
    <x v="3"/>
    <x v="0"/>
    <x v="4"/>
    <x v="1"/>
    <n v="13000"/>
    <n v="7540"/>
    <n v="5460"/>
    <x v="0"/>
  </r>
  <r>
    <x v="428"/>
    <x v="0"/>
    <x v="2"/>
    <x v="9"/>
    <x v="8"/>
    <n v="11400"/>
    <n v="7900"/>
    <n v="3500"/>
    <x v="1"/>
  </r>
  <r>
    <x v="429"/>
    <x v="1"/>
    <x v="1"/>
    <x v="0"/>
    <x v="4"/>
    <n v="13650"/>
    <n v="8370"/>
    <n v="5280"/>
    <x v="0"/>
  </r>
  <r>
    <x v="333"/>
    <x v="2"/>
    <x v="2"/>
    <x v="8"/>
    <x v="5"/>
    <n v="14950"/>
    <n v="10890"/>
    <n v="4060"/>
    <x v="3"/>
  </r>
  <r>
    <x v="430"/>
    <x v="2"/>
    <x v="0"/>
    <x v="6"/>
    <x v="10"/>
    <n v="14850"/>
    <n v="10570"/>
    <n v="4280"/>
    <x v="3"/>
  </r>
  <r>
    <x v="431"/>
    <x v="0"/>
    <x v="3"/>
    <x v="4"/>
    <x v="10"/>
    <n v="11500"/>
    <n v="9340"/>
    <n v="2160"/>
    <x v="2"/>
  </r>
  <r>
    <x v="11"/>
    <x v="1"/>
    <x v="2"/>
    <x v="4"/>
    <x v="5"/>
    <n v="12650"/>
    <n v="7830"/>
    <n v="4820"/>
    <x v="1"/>
  </r>
  <r>
    <x v="432"/>
    <x v="3"/>
    <x v="2"/>
    <x v="4"/>
    <x v="6"/>
    <n v="14950"/>
    <n v="11430"/>
    <n v="3520"/>
    <x v="3"/>
  </r>
  <r>
    <x v="433"/>
    <x v="0"/>
    <x v="1"/>
    <x v="5"/>
    <x v="9"/>
    <n v="12500"/>
    <n v="7440"/>
    <n v="5060"/>
    <x v="3"/>
  </r>
  <r>
    <x v="342"/>
    <x v="1"/>
    <x v="0"/>
    <x v="3"/>
    <x v="0"/>
    <n v="12150"/>
    <n v="8310"/>
    <n v="3840"/>
    <x v="0"/>
  </r>
  <r>
    <x v="434"/>
    <x v="2"/>
    <x v="2"/>
    <x v="11"/>
    <x v="2"/>
    <n v="10400"/>
    <n v="8400"/>
    <n v="2000"/>
    <x v="1"/>
  </r>
  <r>
    <x v="435"/>
    <x v="2"/>
    <x v="2"/>
    <x v="11"/>
    <x v="7"/>
    <n v="13000"/>
    <n v="7720"/>
    <n v="5280"/>
    <x v="2"/>
  </r>
  <r>
    <x v="211"/>
    <x v="1"/>
    <x v="3"/>
    <x v="1"/>
    <x v="7"/>
    <n v="13500"/>
    <n v="9840"/>
    <n v="3660"/>
    <x v="3"/>
  </r>
  <r>
    <x v="190"/>
    <x v="0"/>
    <x v="1"/>
    <x v="0"/>
    <x v="9"/>
    <n v="11500"/>
    <n v="7860"/>
    <n v="3640"/>
    <x v="3"/>
  </r>
  <r>
    <x v="436"/>
    <x v="0"/>
    <x v="1"/>
    <x v="4"/>
    <x v="3"/>
    <n v="11250"/>
    <n v="6030"/>
    <n v="5220"/>
    <x v="0"/>
  </r>
  <r>
    <x v="437"/>
    <x v="2"/>
    <x v="1"/>
    <x v="3"/>
    <x v="6"/>
    <n v="13150"/>
    <n v="10970"/>
    <n v="2180"/>
    <x v="0"/>
  </r>
  <r>
    <x v="27"/>
    <x v="1"/>
    <x v="2"/>
    <x v="0"/>
    <x v="4"/>
    <n v="13450"/>
    <n v="10270"/>
    <n v="3180"/>
    <x v="2"/>
  </r>
  <r>
    <x v="438"/>
    <x v="3"/>
    <x v="2"/>
    <x v="11"/>
    <x v="11"/>
    <n v="10450"/>
    <n v="8410"/>
    <n v="2040"/>
    <x v="0"/>
  </r>
  <r>
    <x v="37"/>
    <x v="0"/>
    <x v="0"/>
    <x v="2"/>
    <x v="10"/>
    <n v="12250"/>
    <n v="7710"/>
    <n v="4540"/>
    <x v="2"/>
  </r>
  <r>
    <x v="439"/>
    <x v="3"/>
    <x v="1"/>
    <x v="8"/>
    <x v="9"/>
    <n v="13600"/>
    <n v="7840"/>
    <n v="5760"/>
    <x v="0"/>
  </r>
  <r>
    <x v="440"/>
    <x v="1"/>
    <x v="2"/>
    <x v="3"/>
    <x v="1"/>
    <n v="13850"/>
    <n v="9710"/>
    <n v="4140"/>
    <x v="0"/>
  </r>
  <r>
    <x v="223"/>
    <x v="0"/>
    <x v="0"/>
    <x v="7"/>
    <x v="6"/>
    <n v="13700"/>
    <n v="8000"/>
    <n v="5700"/>
    <x v="3"/>
  </r>
  <r>
    <x v="441"/>
    <x v="2"/>
    <x v="1"/>
    <x v="10"/>
    <x v="4"/>
    <n v="13450"/>
    <n v="8630"/>
    <n v="4820"/>
    <x v="2"/>
  </r>
  <r>
    <x v="442"/>
    <x v="2"/>
    <x v="1"/>
    <x v="7"/>
    <x v="9"/>
    <n v="12050"/>
    <n v="7210"/>
    <n v="4840"/>
    <x v="1"/>
  </r>
  <r>
    <x v="443"/>
    <x v="2"/>
    <x v="2"/>
    <x v="8"/>
    <x v="0"/>
    <n v="10850"/>
    <n v="5330"/>
    <n v="5520"/>
    <x v="2"/>
  </r>
  <r>
    <x v="444"/>
    <x v="3"/>
    <x v="1"/>
    <x v="7"/>
    <x v="7"/>
    <n v="11650"/>
    <n v="6350"/>
    <n v="5300"/>
    <x v="2"/>
  </r>
  <r>
    <x v="445"/>
    <x v="2"/>
    <x v="2"/>
    <x v="10"/>
    <x v="6"/>
    <n v="12050"/>
    <n v="8330"/>
    <n v="3720"/>
    <x v="0"/>
  </r>
  <r>
    <x v="446"/>
    <x v="2"/>
    <x v="1"/>
    <x v="5"/>
    <x v="5"/>
    <n v="10250"/>
    <n v="4910"/>
    <n v="5340"/>
    <x v="0"/>
  </r>
  <r>
    <x v="438"/>
    <x v="3"/>
    <x v="2"/>
    <x v="8"/>
    <x v="8"/>
    <n v="13100"/>
    <n v="8580"/>
    <n v="4520"/>
    <x v="3"/>
  </r>
  <r>
    <x v="447"/>
    <x v="3"/>
    <x v="0"/>
    <x v="4"/>
    <x v="1"/>
    <n v="14300"/>
    <n v="9080"/>
    <n v="5220"/>
    <x v="1"/>
  </r>
  <r>
    <x v="448"/>
    <x v="4"/>
    <x v="3"/>
    <x v="2"/>
    <x v="5"/>
    <n v="14250"/>
    <n v="11270"/>
    <n v="2980"/>
    <x v="2"/>
  </r>
  <r>
    <x v="267"/>
    <x v="3"/>
    <x v="1"/>
    <x v="8"/>
    <x v="4"/>
    <n v="14800"/>
    <n v="11220"/>
    <n v="3580"/>
    <x v="1"/>
  </r>
  <r>
    <x v="449"/>
    <x v="3"/>
    <x v="0"/>
    <x v="3"/>
    <x v="8"/>
    <n v="12300"/>
    <n v="9840"/>
    <n v="2460"/>
    <x v="3"/>
  </r>
  <r>
    <x v="435"/>
    <x v="2"/>
    <x v="2"/>
    <x v="2"/>
    <x v="8"/>
    <n v="10150"/>
    <n v="7250"/>
    <n v="2900"/>
    <x v="1"/>
  </r>
  <r>
    <x v="450"/>
    <x v="2"/>
    <x v="2"/>
    <x v="0"/>
    <x v="9"/>
    <n v="13150"/>
    <n v="10410"/>
    <n v="2740"/>
    <x v="2"/>
  </r>
  <r>
    <x v="451"/>
    <x v="4"/>
    <x v="3"/>
    <x v="9"/>
    <x v="1"/>
    <n v="13500"/>
    <n v="11420"/>
    <n v="2080"/>
    <x v="1"/>
  </r>
  <r>
    <x v="452"/>
    <x v="4"/>
    <x v="3"/>
    <x v="0"/>
    <x v="11"/>
    <n v="12500"/>
    <n v="7300"/>
    <n v="5200"/>
    <x v="1"/>
  </r>
  <r>
    <x v="399"/>
    <x v="0"/>
    <x v="1"/>
    <x v="9"/>
    <x v="6"/>
    <n v="14150"/>
    <n v="9730"/>
    <n v="4420"/>
    <x v="0"/>
  </r>
  <r>
    <x v="453"/>
    <x v="2"/>
    <x v="3"/>
    <x v="10"/>
    <x v="2"/>
    <n v="14100"/>
    <n v="10300"/>
    <n v="3800"/>
    <x v="1"/>
  </r>
  <r>
    <x v="454"/>
    <x v="0"/>
    <x v="0"/>
    <x v="3"/>
    <x v="0"/>
    <n v="14950"/>
    <n v="9770"/>
    <n v="5180"/>
    <x v="1"/>
  </r>
  <r>
    <x v="52"/>
    <x v="0"/>
    <x v="0"/>
    <x v="7"/>
    <x v="3"/>
    <n v="13450"/>
    <n v="11210"/>
    <n v="2240"/>
    <x v="0"/>
  </r>
  <r>
    <x v="455"/>
    <x v="2"/>
    <x v="3"/>
    <x v="9"/>
    <x v="1"/>
    <n v="10600"/>
    <n v="7120"/>
    <n v="3480"/>
    <x v="1"/>
  </r>
  <r>
    <x v="30"/>
    <x v="2"/>
    <x v="1"/>
    <x v="11"/>
    <x v="9"/>
    <n v="11600"/>
    <n v="6580"/>
    <n v="5020"/>
    <x v="3"/>
  </r>
  <r>
    <x v="417"/>
    <x v="3"/>
    <x v="2"/>
    <x v="4"/>
    <x v="8"/>
    <n v="12450"/>
    <n v="9750"/>
    <n v="2700"/>
    <x v="0"/>
  </r>
  <r>
    <x v="456"/>
    <x v="3"/>
    <x v="1"/>
    <x v="8"/>
    <x v="5"/>
    <n v="11350"/>
    <n v="7830"/>
    <n v="3520"/>
    <x v="1"/>
  </r>
  <r>
    <x v="457"/>
    <x v="3"/>
    <x v="1"/>
    <x v="10"/>
    <x v="8"/>
    <n v="11750"/>
    <n v="6990"/>
    <n v="4760"/>
    <x v="2"/>
  </r>
  <r>
    <x v="458"/>
    <x v="0"/>
    <x v="0"/>
    <x v="3"/>
    <x v="10"/>
    <n v="11900"/>
    <n v="6400"/>
    <n v="5500"/>
    <x v="1"/>
  </r>
  <r>
    <x v="459"/>
    <x v="3"/>
    <x v="2"/>
    <x v="10"/>
    <x v="1"/>
    <n v="13550"/>
    <n v="10030"/>
    <n v="3520"/>
    <x v="0"/>
  </r>
  <r>
    <x v="460"/>
    <x v="2"/>
    <x v="0"/>
    <x v="2"/>
    <x v="2"/>
    <n v="12700"/>
    <n v="8700"/>
    <n v="4000"/>
    <x v="2"/>
  </r>
  <r>
    <x v="461"/>
    <x v="0"/>
    <x v="3"/>
    <x v="6"/>
    <x v="4"/>
    <n v="12050"/>
    <n v="6410"/>
    <n v="5640"/>
    <x v="2"/>
  </r>
  <r>
    <x v="462"/>
    <x v="0"/>
    <x v="2"/>
    <x v="3"/>
    <x v="1"/>
    <n v="11950"/>
    <n v="9830"/>
    <n v="2120"/>
    <x v="2"/>
  </r>
  <r>
    <x v="235"/>
    <x v="1"/>
    <x v="0"/>
    <x v="8"/>
    <x v="5"/>
    <n v="12900"/>
    <n v="10160"/>
    <n v="2740"/>
    <x v="1"/>
  </r>
  <r>
    <x v="463"/>
    <x v="0"/>
    <x v="3"/>
    <x v="8"/>
    <x v="9"/>
    <n v="10900"/>
    <n v="7520"/>
    <n v="3380"/>
    <x v="0"/>
  </r>
  <r>
    <x v="464"/>
    <x v="1"/>
    <x v="2"/>
    <x v="10"/>
    <x v="10"/>
    <n v="13000"/>
    <n v="11000"/>
    <n v="2000"/>
    <x v="3"/>
  </r>
  <r>
    <x v="465"/>
    <x v="2"/>
    <x v="3"/>
    <x v="9"/>
    <x v="6"/>
    <n v="12950"/>
    <n v="9270"/>
    <n v="3680"/>
    <x v="2"/>
  </r>
  <r>
    <x v="466"/>
    <x v="2"/>
    <x v="0"/>
    <x v="8"/>
    <x v="10"/>
    <n v="14100"/>
    <n v="12000"/>
    <n v="2100"/>
    <x v="0"/>
  </r>
  <r>
    <x v="467"/>
    <x v="2"/>
    <x v="0"/>
    <x v="0"/>
    <x v="7"/>
    <n v="13300"/>
    <n v="9840"/>
    <n v="3460"/>
    <x v="0"/>
  </r>
  <r>
    <x v="468"/>
    <x v="2"/>
    <x v="3"/>
    <x v="6"/>
    <x v="5"/>
    <n v="11000"/>
    <n v="8120"/>
    <n v="2880"/>
    <x v="3"/>
  </r>
  <r>
    <x v="469"/>
    <x v="1"/>
    <x v="3"/>
    <x v="3"/>
    <x v="2"/>
    <n v="12300"/>
    <n v="10260"/>
    <n v="2040"/>
    <x v="3"/>
  </r>
  <r>
    <x v="282"/>
    <x v="0"/>
    <x v="1"/>
    <x v="4"/>
    <x v="3"/>
    <n v="11850"/>
    <n v="8630"/>
    <n v="3220"/>
    <x v="3"/>
  </r>
  <r>
    <x v="470"/>
    <x v="3"/>
    <x v="1"/>
    <x v="0"/>
    <x v="11"/>
    <n v="14550"/>
    <n v="11750"/>
    <n v="2800"/>
    <x v="2"/>
  </r>
  <r>
    <x v="471"/>
    <x v="3"/>
    <x v="1"/>
    <x v="0"/>
    <x v="0"/>
    <n v="14950"/>
    <n v="9330"/>
    <n v="5620"/>
    <x v="1"/>
  </r>
  <r>
    <x v="384"/>
    <x v="3"/>
    <x v="1"/>
    <x v="8"/>
    <x v="9"/>
    <n v="12100"/>
    <n v="8100"/>
    <n v="4000"/>
    <x v="3"/>
  </r>
  <r>
    <x v="472"/>
    <x v="4"/>
    <x v="3"/>
    <x v="9"/>
    <x v="4"/>
    <n v="14400"/>
    <n v="9740"/>
    <n v="4660"/>
    <x v="2"/>
  </r>
  <r>
    <x v="175"/>
    <x v="3"/>
    <x v="2"/>
    <x v="0"/>
    <x v="4"/>
    <n v="14050"/>
    <n v="11790"/>
    <n v="2260"/>
    <x v="3"/>
  </r>
  <r>
    <x v="134"/>
    <x v="0"/>
    <x v="0"/>
    <x v="7"/>
    <x v="7"/>
    <n v="11100"/>
    <n v="7740"/>
    <n v="3360"/>
    <x v="1"/>
  </r>
  <r>
    <x v="448"/>
    <x v="4"/>
    <x v="3"/>
    <x v="3"/>
    <x v="11"/>
    <n v="13050"/>
    <n v="7830"/>
    <n v="5220"/>
    <x v="0"/>
  </r>
  <r>
    <x v="473"/>
    <x v="0"/>
    <x v="1"/>
    <x v="9"/>
    <x v="8"/>
    <n v="10500"/>
    <n v="5800"/>
    <n v="4700"/>
    <x v="2"/>
  </r>
  <r>
    <x v="66"/>
    <x v="2"/>
    <x v="2"/>
    <x v="11"/>
    <x v="1"/>
    <n v="12400"/>
    <n v="9900"/>
    <n v="2500"/>
    <x v="3"/>
  </r>
  <r>
    <x v="474"/>
    <x v="4"/>
    <x v="3"/>
    <x v="10"/>
    <x v="7"/>
    <n v="12550"/>
    <n v="7910"/>
    <n v="4640"/>
    <x v="0"/>
  </r>
  <r>
    <x v="475"/>
    <x v="0"/>
    <x v="0"/>
    <x v="8"/>
    <x v="2"/>
    <n v="13050"/>
    <n v="10690"/>
    <n v="2360"/>
    <x v="1"/>
  </r>
  <r>
    <x v="476"/>
    <x v="2"/>
    <x v="0"/>
    <x v="6"/>
    <x v="4"/>
    <n v="10300"/>
    <n v="6800"/>
    <n v="3500"/>
    <x v="0"/>
  </r>
  <r>
    <x v="477"/>
    <x v="2"/>
    <x v="3"/>
    <x v="1"/>
    <x v="0"/>
    <n v="10750"/>
    <n v="8210"/>
    <n v="2540"/>
    <x v="3"/>
  </r>
  <r>
    <x v="478"/>
    <x v="2"/>
    <x v="3"/>
    <x v="1"/>
    <x v="1"/>
    <n v="10100"/>
    <n v="7800"/>
    <n v="2300"/>
    <x v="1"/>
  </r>
  <r>
    <x v="479"/>
    <x v="0"/>
    <x v="2"/>
    <x v="11"/>
    <x v="11"/>
    <n v="10200"/>
    <n v="5780"/>
    <n v="4420"/>
    <x v="0"/>
  </r>
  <r>
    <x v="444"/>
    <x v="3"/>
    <x v="1"/>
    <x v="0"/>
    <x v="11"/>
    <n v="10400"/>
    <n v="6980"/>
    <n v="3420"/>
    <x v="3"/>
  </r>
  <r>
    <x v="480"/>
    <x v="2"/>
    <x v="0"/>
    <x v="4"/>
    <x v="2"/>
    <n v="11400"/>
    <n v="8900"/>
    <n v="2500"/>
    <x v="1"/>
  </r>
  <r>
    <x v="245"/>
    <x v="2"/>
    <x v="0"/>
    <x v="5"/>
    <x v="6"/>
    <n v="14500"/>
    <n v="11680"/>
    <n v="2820"/>
    <x v="2"/>
  </r>
  <r>
    <x v="481"/>
    <x v="1"/>
    <x v="1"/>
    <x v="2"/>
    <x v="9"/>
    <n v="12850"/>
    <n v="7230"/>
    <n v="5620"/>
    <x v="0"/>
  </r>
  <r>
    <x v="482"/>
    <x v="0"/>
    <x v="3"/>
    <x v="8"/>
    <x v="7"/>
    <n v="11000"/>
    <n v="7420"/>
    <n v="3580"/>
    <x v="2"/>
  </r>
  <r>
    <x v="483"/>
    <x v="3"/>
    <x v="0"/>
    <x v="6"/>
    <x v="8"/>
    <n v="10300"/>
    <n v="5840"/>
    <n v="4460"/>
    <x v="2"/>
  </r>
  <r>
    <x v="48"/>
    <x v="2"/>
    <x v="3"/>
    <x v="6"/>
    <x v="9"/>
    <n v="13600"/>
    <n v="10540"/>
    <n v="3060"/>
    <x v="2"/>
  </r>
  <r>
    <x v="484"/>
    <x v="2"/>
    <x v="0"/>
    <x v="1"/>
    <x v="5"/>
    <n v="11200"/>
    <n v="7720"/>
    <n v="3480"/>
    <x v="3"/>
  </r>
  <r>
    <x v="485"/>
    <x v="0"/>
    <x v="3"/>
    <x v="2"/>
    <x v="5"/>
    <n v="12850"/>
    <n v="10130"/>
    <n v="2720"/>
    <x v="3"/>
  </r>
  <r>
    <x v="486"/>
    <x v="0"/>
    <x v="1"/>
    <x v="9"/>
    <x v="6"/>
    <n v="14000"/>
    <n v="12000"/>
    <n v="2000"/>
    <x v="1"/>
  </r>
  <r>
    <x v="487"/>
    <x v="1"/>
    <x v="1"/>
    <x v="8"/>
    <x v="3"/>
    <n v="13750"/>
    <n v="11530"/>
    <n v="2220"/>
    <x v="3"/>
  </r>
  <r>
    <x v="488"/>
    <x v="2"/>
    <x v="1"/>
    <x v="3"/>
    <x v="0"/>
    <n v="14600"/>
    <n v="9880"/>
    <n v="4720"/>
    <x v="0"/>
  </r>
  <r>
    <x v="153"/>
    <x v="1"/>
    <x v="2"/>
    <x v="2"/>
    <x v="11"/>
    <n v="13550"/>
    <n v="10590"/>
    <n v="2960"/>
    <x v="3"/>
  </r>
  <r>
    <x v="489"/>
    <x v="2"/>
    <x v="2"/>
    <x v="5"/>
    <x v="0"/>
    <n v="14200"/>
    <n v="10820"/>
    <n v="338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0A5ABB-D4FF-4BCC-BAF4-8E69F384B877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/>
  <pivotFields count="15">
    <pivotField showAll="0"/>
    <pivotField axis="axisRow" dataField="1" showAll="0">
      <items count="6">
        <item x="4"/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31-Jan-22" fld="1" baseField="0" baseItem="0"/>
  </dataField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5C8C7-901B-40D0-B1B8-0A38A4B22379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P11" firstHeaderRow="1" firstDataRow="2" firstDataCol="1"/>
  <pivotFields count="3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Value" fld="2" baseField="0" baseItem="0"/>
  </dataField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07D01-DC83-4509-B0B2-C0BA6ABCE8DE}" name="PivotTable14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E233" firstHeaderRow="0" firstDataRow="1" firstDataCol="3"/>
  <pivotFields count="5"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3">
    <field x="4"/>
    <field x="2"/>
    <field x="3"/>
  </rowFields>
  <rowItems count="230">
    <i>
      <x/>
      <x/>
      <x/>
    </i>
    <i r="2">
      <x v="1"/>
    </i>
    <i r="2">
      <x v="2"/>
    </i>
    <i t="default" r="1">
      <x/>
    </i>
    <i r="1">
      <x v="1"/>
      <x/>
    </i>
    <i r="2">
      <x v="3"/>
    </i>
    <i r="2">
      <x v="1"/>
    </i>
    <i r="2">
      <x v="2"/>
    </i>
    <i t="default" r="1">
      <x v="1"/>
    </i>
    <i r="1">
      <x v="2"/>
      <x/>
    </i>
    <i r="2">
      <x v="3"/>
    </i>
    <i r="2">
      <x v="1"/>
    </i>
    <i r="2">
      <x v="2"/>
    </i>
    <i t="default" r="1">
      <x v="2"/>
    </i>
    <i r="1">
      <x v="3"/>
      <x/>
    </i>
    <i r="2">
      <x v="3"/>
    </i>
    <i r="2">
      <x v="1"/>
    </i>
    <i r="2">
      <x v="2"/>
    </i>
    <i t="default" r="1">
      <x v="3"/>
    </i>
    <i r="1">
      <x v="4"/>
      <x/>
    </i>
    <i r="2">
      <x v="1"/>
    </i>
    <i r="2">
      <x v="2"/>
    </i>
    <i t="default" r="1">
      <x v="4"/>
    </i>
    <i r="1">
      <x v="5"/>
      <x/>
    </i>
    <i r="2">
      <x v="3"/>
    </i>
    <i r="2">
      <x v="1"/>
    </i>
    <i r="2">
      <x v="2"/>
    </i>
    <i t="default" r="1">
      <x v="5"/>
    </i>
    <i r="1">
      <x v="6"/>
      <x/>
    </i>
    <i r="2">
      <x v="3"/>
    </i>
    <i r="2">
      <x v="1"/>
    </i>
    <i r="2">
      <x v="2"/>
    </i>
    <i t="default" r="1">
      <x v="6"/>
    </i>
    <i r="1">
      <x v="7"/>
      <x/>
    </i>
    <i r="2">
      <x v="3"/>
    </i>
    <i r="2">
      <x v="1"/>
    </i>
    <i r="2">
      <x v="2"/>
    </i>
    <i t="default" r="1">
      <x v="7"/>
    </i>
    <i r="1">
      <x v="8"/>
      <x/>
    </i>
    <i r="2">
      <x v="3"/>
    </i>
    <i r="2">
      <x v="1"/>
    </i>
    <i r="2">
      <x v="2"/>
    </i>
    <i t="default" r="1">
      <x v="8"/>
    </i>
    <i r="1">
      <x v="9"/>
      <x/>
    </i>
    <i r="2">
      <x v="3"/>
    </i>
    <i r="2">
      <x v="1"/>
    </i>
    <i r="2">
      <x v="2"/>
    </i>
    <i t="default" r="1">
      <x v="9"/>
    </i>
    <i r="1">
      <x v="10"/>
      <x/>
    </i>
    <i r="2">
      <x v="3"/>
    </i>
    <i r="2">
      <x v="1"/>
    </i>
    <i r="2">
      <x v="2"/>
    </i>
    <i t="default" r="1">
      <x v="10"/>
    </i>
    <i r="1">
      <x v="11"/>
      <x/>
    </i>
    <i r="2">
      <x v="3"/>
    </i>
    <i r="2">
      <x v="1"/>
    </i>
    <i r="2">
      <x v="2"/>
    </i>
    <i t="default" r="1">
      <x v="11"/>
    </i>
    <i>
      <x v="1"/>
      <x/>
      <x/>
    </i>
    <i r="2">
      <x v="3"/>
    </i>
    <i r="2">
      <x v="1"/>
    </i>
    <i r="2">
      <x v="2"/>
    </i>
    <i t="default" r="1">
      <x/>
    </i>
    <i r="1">
      <x v="1"/>
      <x/>
    </i>
    <i r="2">
      <x v="3"/>
    </i>
    <i r="2">
      <x v="1"/>
    </i>
    <i r="2">
      <x v="2"/>
    </i>
    <i t="default" r="1">
      <x v="1"/>
    </i>
    <i r="1">
      <x v="2"/>
      <x/>
    </i>
    <i r="2">
      <x v="3"/>
    </i>
    <i r="2">
      <x v="1"/>
    </i>
    <i r="2">
      <x v="2"/>
    </i>
    <i t="default" r="1">
      <x v="2"/>
    </i>
    <i r="1">
      <x v="3"/>
      <x/>
    </i>
    <i r="2">
      <x v="3"/>
    </i>
    <i r="2">
      <x v="1"/>
    </i>
    <i r="2">
      <x v="2"/>
    </i>
    <i t="default" r="1">
      <x v="3"/>
    </i>
    <i r="1">
      <x v="4"/>
      <x/>
    </i>
    <i r="2">
      <x v="3"/>
    </i>
    <i r="2">
      <x v="1"/>
    </i>
    <i r="2">
      <x v="2"/>
    </i>
    <i t="default" r="1">
      <x v="4"/>
    </i>
    <i r="1">
      <x v="5"/>
      <x/>
    </i>
    <i r="2">
      <x v="3"/>
    </i>
    <i r="2">
      <x v="1"/>
    </i>
    <i r="2">
      <x v="2"/>
    </i>
    <i t="default" r="1">
      <x v="5"/>
    </i>
    <i r="1">
      <x v="6"/>
      <x v="3"/>
    </i>
    <i r="2">
      <x v="1"/>
    </i>
    <i r="2">
      <x v="2"/>
    </i>
    <i t="default" r="1">
      <x v="6"/>
    </i>
    <i r="1">
      <x v="7"/>
      <x/>
    </i>
    <i r="2">
      <x v="3"/>
    </i>
    <i r="2">
      <x v="1"/>
    </i>
    <i r="2">
      <x v="2"/>
    </i>
    <i t="default" r="1">
      <x v="7"/>
    </i>
    <i r="1">
      <x v="8"/>
      <x/>
    </i>
    <i r="2">
      <x v="3"/>
    </i>
    <i r="2">
      <x v="1"/>
    </i>
    <i r="2">
      <x v="2"/>
    </i>
    <i t="default" r="1">
      <x v="8"/>
    </i>
    <i r="1">
      <x v="9"/>
      <x/>
    </i>
    <i r="2">
      <x v="1"/>
    </i>
    <i r="2">
      <x v="2"/>
    </i>
    <i t="default" r="1">
      <x v="9"/>
    </i>
    <i r="1">
      <x v="10"/>
      <x/>
    </i>
    <i r="2">
      <x v="3"/>
    </i>
    <i r="2">
      <x v="1"/>
    </i>
    <i r="2">
      <x v="2"/>
    </i>
    <i t="default" r="1">
      <x v="10"/>
    </i>
    <i r="1">
      <x v="11"/>
      <x v="3"/>
    </i>
    <i r="2">
      <x v="1"/>
    </i>
    <i r="2">
      <x v="2"/>
    </i>
    <i t="default" r="1">
      <x v="11"/>
    </i>
    <i>
      <x v="2"/>
      <x/>
      <x/>
    </i>
    <i r="2">
      <x v="3"/>
    </i>
    <i r="2">
      <x v="1"/>
    </i>
    <i r="2">
      <x v="2"/>
    </i>
    <i t="default" r="1">
      <x/>
    </i>
    <i r="1">
      <x v="1"/>
      <x/>
    </i>
    <i r="2">
      <x v="3"/>
    </i>
    <i r="2">
      <x v="1"/>
    </i>
    <i r="2">
      <x v="2"/>
    </i>
    <i t="default" r="1">
      <x v="1"/>
    </i>
    <i r="1">
      <x v="2"/>
      <x/>
    </i>
    <i r="2">
      <x v="3"/>
    </i>
    <i r="2">
      <x v="1"/>
    </i>
    <i r="2">
      <x v="2"/>
    </i>
    <i t="default" r="1">
      <x v="2"/>
    </i>
    <i r="1">
      <x v="3"/>
      <x/>
    </i>
    <i r="2">
      <x v="3"/>
    </i>
    <i r="2">
      <x v="1"/>
    </i>
    <i r="2">
      <x v="2"/>
    </i>
    <i t="default" r="1">
      <x v="3"/>
    </i>
    <i r="1">
      <x v="4"/>
      <x/>
    </i>
    <i r="2">
      <x v="3"/>
    </i>
    <i r="2">
      <x v="1"/>
    </i>
    <i r="2">
      <x v="2"/>
    </i>
    <i t="default" r="1">
      <x v="4"/>
    </i>
    <i r="1">
      <x v="5"/>
      <x v="3"/>
    </i>
    <i r="2">
      <x v="1"/>
    </i>
    <i t="default" r="1">
      <x v="5"/>
    </i>
    <i r="1">
      <x v="6"/>
      <x/>
    </i>
    <i r="2">
      <x v="3"/>
    </i>
    <i r="2">
      <x v="1"/>
    </i>
    <i r="2">
      <x v="2"/>
    </i>
    <i t="default" r="1">
      <x v="6"/>
    </i>
    <i r="1">
      <x v="7"/>
      <x/>
    </i>
    <i r="2">
      <x v="3"/>
    </i>
    <i r="2">
      <x v="1"/>
    </i>
    <i r="2">
      <x v="2"/>
    </i>
    <i t="default" r="1">
      <x v="7"/>
    </i>
    <i r="1">
      <x v="8"/>
      <x/>
    </i>
    <i r="2">
      <x v="3"/>
    </i>
    <i r="2">
      <x v="1"/>
    </i>
    <i r="2">
      <x v="2"/>
    </i>
    <i t="default" r="1">
      <x v="8"/>
    </i>
    <i r="1">
      <x v="9"/>
      <x/>
    </i>
    <i r="2">
      <x v="3"/>
    </i>
    <i r="2">
      <x v="1"/>
    </i>
    <i r="2">
      <x v="2"/>
    </i>
    <i t="default" r="1">
      <x v="9"/>
    </i>
    <i r="1">
      <x v="10"/>
      <x/>
    </i>
    <i r="2">
      <x v="1"/>
    </i>
    <i r="2">
      <x v="2"/>
    </i>
    <i t="default" r="1">
      <x v="10"/>
    </i>
    <i r="1">
      <x v="11"/>
      <x/>
    </i>
    <i r="2">
      <x v="1"/>
    </i>
    <i r="2">
      <x v="2"/>
    </i>
    <i t="default" r="1">
      <x v="11"/>
    </i>
    <i>
      <x v="3"/>
      <x/>
      <x v="3"/>
    </i>
    <i r="2">
      <x v="1"/>
    </i>
    <i r="2">
      <x v="2"/>
    </i>
    <i t="default" r="1">
      <x/>
    </i>
    <i r="1">
      <x v="1"/>
      <x/>
    </i>
    <i r="2">
      <x v="3"/>
    </i>
    <i r="2">
      <x v="1"/>
    </i>
    <i r="2">
      <x v="2"/>
    </i>
    <i t="default" r="1">
      <x v="1"/>
    </i>
    <i r="1">
      <x v="2"/>
      <x/>
    </i>
    <i r="2">
      <x v="3"/>
    </i>
    <i r="2">
      <x v="1"/>
    </i>
    <i r="2">
      <x v="2"/>
    </i>
    <i t="default" r="1">
      <x v="2"/>
    </i>
    <i r="1">
      <x v="3"/>
      <x/>
    </i>
    <i r="2">
      <x v="3"/>
    </i>
    <i r="2">
      <x v="1"/>
    </i>
    <i r="2">
      <x v="2"/>
    </i>
    <i t="default" r="1">
      <x v="3"/>
    </i>
    <i r="1">
      <x v="4"/>
      <x/>
    </i>
    <i r="2">
      <x v="3"/>
    </i>
    <i r="2">
      <x v="1"/>
    </i>
    <i r="2">
      <x v="2"/>
    </i>
    <i t="default" r="1">
      <x v="4"/>
    </i>
    <i r="1">
      <x v="5"/>
      <x/>
    </i>
    <i r="2">
      <x v="3"/>
    </i>
    <i r="2">
      <x v="2"/>
    </i>
    <i t="default" r="1">
      <x v="5"/>
    </i>
    <i r="1">
      <x v="6"/>
      <x/>
    </i>
    <i r="2">
      <x v="3"/>
    </i>
    <i r="2">
      <x v="1"/>
    </i>
    <i r="2">
      <x v="2"/>
    </i>
    <i t="default" r="1">
      <x v="6"/>
    </i>
    <i r="1">
      <x v="7"/>
      <x/>
    </i>
    <i r="2">
      <x v="3"/>
    </i>
    <i r="2">
      <x v="1"/>
    </i>
    <i r="2">
      <x v="2"/>
    </i>
    <i t="default" r="1">
      <x v="7"/>
    </i>
    <i r="1">
      <x v="8"/>
      <x/>
    </i>
    <i r="2">
      <x v="3"/>
    </i>
    <i r="2">
      <x v="1"/>
    </i>
    <i r="2">
      <x v="2"/>
    </i>
    <i t="default" r="1">
      <x v="8"/>
    </i>
    <i r="1">
      <x v="9"/>
      <x/>
    </i>
    <i r="2">
      <x v="3"/>
    </i>
    <i r="2">
      <x v="1"/>
    </i>
    <i r="2">
      <x v="2"/>
    </i>
    <i t="default" r="1">
      <x v="9"/>
    </i>
    <i r="1">
      <x v="10"/>
      <x/>
    </i>
    <i r="2">
      <x v="3"/>
    </i>
    <i r="2">
      <x v="1"/>
    </i>
    <i r="2">
      <x v="2"/>
    </i>
    <i t="default" r="1">
      <x v="10"/>
    </i>
    <i r="1">
      <x v="11"/>
      <x/>
    </i>
    <i r="2">
      <x v="3"/>
    </i>
    <i r="2">
      <x v="1"/>
    </i>
    <i r="2">
      <x v="2"/>
    </i>
    <i t="default"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mount" fld="0" baseField="0" baseItem="0"/>
    <dataField name="Count of Sales Rep" fld="1" subtotal="count" baseField="0" baseItem="0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3" showRowHeaders="1" showColHeaders="1" showRowStripes="0" showColStripes="0" showLastColumn="1"/>
  <rowHierarchiesUsage count="3">
    <rowHierarchyUsage hierarchyUsage="9"/>
    <rowHierarchyUsage hierarchyUsage="4"/>
    <rowHierarchyUsage hierarchyUsage="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T-Tricks.xlsm!Data"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3F5308-39E0-45DC-9634-2B3885DAEF34}" name="PivotTable2" cacheId="21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A3:D43" firstHeaderRow="0" firstDataRow="1" firstDataCol="2" rowPageCount="1" colPageCount="1"/>
  <pivotFields count="15">
    <pivotField name="Month" axis="axisRow"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0"/>
  </rowFields>
  <rowItems count="40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1"/>
    </i>
    <i>
      <x v="2"/>
      <x v="1"/>
    </i>
    <i r="1">
      <x v="3"/>
    </i>
    <i r="1">
      <x v="8"/>
    </i>
    <i r="1">
      <x v="11"/>
    </i>
    <i r="1">
      <x v="12"/>
    </i>
    <i t="default">
      <x v="2"/>
    </i>
    <i>
      <x v="3"/>
      <x v="2"/>
    </i>
    <i r="1">
      <x v="3"/>
    </i>
    <i r="1">
      <x v="5"/>
    </i>
    <i r="1">
      <x v="6"/>
    </i>
    <i r="1">
      <x v="7"/>
    </i>
    <i r="1">
      <x v="9"/>
    </i>
    <i r="1">
      <x v="11"/>
    </i>
    <i r="1">
      <x v="12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10"/>
    </i>
    <i r="1">
      <x v="11"/>
    </i>
    <i r="1">
      <x v="12"/>
    </i>
    <i t="default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2" hier="-1"/>
  </pageFields>
  <dataFields count="2">
    <dataField name="Revenue" fld="5" baseField="0" baseItem="0"/>
    <dataField name="YTD Revenue" fld="5" showDataAs="runTotal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2F3B2E-A960-4C2E-8222-3A7F1DAA617F}" name="PivotTable2" cacheId="21" applyNumberFormats="0" applyBorderFormats="0" applyFontFormats="0" applyPatternFormats="0" applyAlignmentFormats="0" applyWidthHeightFormats="1" dataCaption="Values" updatedVersion="8" minRefreshableVersion="3" showDrill="0" itemPrintTitles="1" createdVersion="8" indent="0" compact="0" compactData="0" multipleFieldFilters="0">
  <location ref="A3:D64" firstHeaderRow="1" firstDataRow="1" firstDataCol="3"/>
  <pivotFields count="15">
    <pivotField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0"/>
    <field x="14"/>
    <field x="4"/>
  </rowFields>
  <rowItems count="61">
    <i>
      <x v="1"/>
      <x/>
      <x/>
    </i>
    <i r="2">
      <x v="1"/>
    </i>
    <i r="2">
      <x v="2"/>
    </i>
    <i r="2">
      <x v="3"/>
    </i>
    <i r="2">
      <x v="4"/>
    </i>
    <i r="2">
      <x v="5"/>
    </i>
    <i t="default" r="1">
      <x/>
    </i>
    <i r="1">
      <x v="1"/>
      <x v="6"/>
    </i>
    <i r="2">
      <x v="7"/>
    </i>
    <i r="2">
      <x v="8"/>
    </i>
    <i r="2">
      <x v="9"/>
    </i>
    <i r="2">
      <x v="10"/>
    </i>
    <i r="2">
      <x v="11"/>
    </i>
    <i t="default" r="1">
      <x v="1"/>
    </i>
    <i t="default">
      <x v="1"/>
    </i>
    <i>
      <x v="2"/>
      <x/>
      <x/>
    </i>
    <i r="2">
      <x v="1"/>
    </i>
    <i r="2">
      <x v="2"/>
    </i>
    <i r="2">
      <x v="3"/>
    </i>
    <i r="2">
      <x v="4"/>
    </i>
    <i r="2">
      <x v="5"/>
    </i>
    <i t="default" r="1">
      <x/>
    </i>
    <i r="1">
      <x v="1"/>
      <x v="6"/>
    </i>
    <i r="2">
      <x v="7"/>
    </i>
    <i r="2">
      <x v="8"/>
    </i>
    <i r="2">
      <x v="9"/>
    </i>
    <i r="2">
      <x v="10"/>
    </i>
    <i r="2">
      <x v="11"/>
    </i>
    <i t="default" r="1">
      <x v="1"/>
    </i>
    <i t="default">
      <x v="2"/>
    </i>
    <i>
      <x v="3"/>
      <x/>
      <x/>
    </i>
    <i r="2">
      <x v="1"/>
    </i>
    <i r="2">
      <x v="2"/>
    </i>
    <i r="2">
      <x v="3"/>
    </i>
    <i r="2">
      <x v="4"/>
    </i>
    <i r="2">
      <x v="5"/>
    </i>
    <i t="default" r="1">
      <x/>
    </i>
    <i r="1">
      <x v="1"/>
      <x v="6"/>
    </i>
    <i r="2">
      <x v="7"/>
    </i>
    <i r="2">
      <x v="8"/>
    </i>
    <i r="2">
      <x v="9"/>
    </i>
    <i r="2">
      <x v="10"/>
    </i>
    <i r="2">
      <x v="11"/>
    </i>
    <i t="default" r="1">
      <x v="1"/>
    </i>
    <i t="default">
      <x v="3"/>
    </i>
    <i>
      <x v="4"/>
      <x/>
      <x/>
    </i>
    <i r="2">
      <x v="1"/>
    </i>
    <i r="2">
      <x v="2"/>
    </i>
    <i r="2">
      <x v="3"/>
    </i>
    <i r="2">
      <x v="4"/>
    </i>
    <i r="2">
      <x v="5"/>
    </i>
    <i t="default" r="1">
      <x/>
    </i>
    <i r="1">
      <x v="1"/>
      <x v="6"/>
    </i>
    <i r="2">
      <x v="7"/>
    </i>
    <i r="2">
      <x v="8"/>
    </i>
    <i r="2">
      <x v="9"/>
    </i>
    <i r="2">
      <x v="10"/>
    </i>
    <i r="2">
      <x v="11"/>
    </i>
    <i t="default" r="1">
      <x v="1"/>
    </i>
    <i t="default">
      <x v="4"/>
    </i>
    <i t="grand">
      <x/>
    </i>
  </rowItems>
  <colItems count="1">
    <i/>
  </colItems>
  <dataFields count="1">
    <dataField name="Revenue" fld="5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E34A47-D889-4EF9-852B-536088C7CA64}" name="PivotTable2" cacheId="21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A3:C16" firstHeaderRow="1" firstDataRow="1" firstDataCol="2"/>
  <pivotFields count="15">
    <pivotField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Teams" compact="0" outline="0" subtotalTop="0" showAll="0">
      <items count="3">
        <item n="Team A" x="0"/>
        <item n="Team B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ustomer Category" axis="axisRow" compact="0" outline="0" subtotalTop="0" showAll="0">
      <items count="3">
        <item n="Big Customers" x="0"/>
        <item n="Small Customers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14"/>
  </rowFields>
  <rowItems count="13"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r="1">
      <x v="1"/>
    </i>
    <i t="default">
      <x v="4"/>
    </i>
    <i t="grand">
      <x/>
    </i>
  </rowItems>
  <colItems count="1">
    <i/>
  </colItems>
  <dataFields count="1">
    <dataField name="Revenue" fld="5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FE2C4-94AD-473F-B37E-192ABF8F3507}" name="PivotTable2" cacheId="21" dataOnRows="1" applyNumberFormats="0" applyBorderFormats="0" applyFontFormats="0" applyPatternFormats="0" applyAlignmentFormats="0" applyWidthHeightFormats="1" dataCaption="P&amp;L" updatedVersion="8" minRefreshableVersion="3" showDrill="0" useAutoFormatting="1" itemPrintTitles="1" createdVersion="8" indent="0" compact="0" compactData="0" multipleFieldFilters="0">
  <location ref="A3:C18" firstHeaderRow="1" firstDataRow="1" firstDataCol="2" rowPageCount="1" colPageCount="1"/>
  <pivotFields count="15">
    <pivotField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Teams" compact="0" outline="0" subtotalTop="0" showAll="0">
      <items count="3">
        <item n="Team A" x="0"/>
        <item n="Team B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3">
        <item n="Big Customers" x="0"/>
        <item n="Small Customers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4"/>
    <field x="-2"/>
  </rowFields>
  <rowItems count="15">
    <i>
      <x/>
      <x/>
    </i>
    <i r="1" i="1">
      <x v="1"/>
    </i>
    <i r="1" i="2">
      <x v="2"/>
    </i>
    <i r="1" i="3">
      <x v="3"/>
    </i>
    <i r="1" i="4">
      <x v="4"/>
    </i>
    <i>
      <x v="1"/>
      <x/>
    </i>
    <i r="1" i="1">
      <x v="1"/>
    </i>
    <i r="1" i="2">
      <x v="2"/>
    </i>
    <i r="1" i="3">
      <x v="3"/>
    </i>
    <i r="1" i="4">
      <x v="4"/>
    </i>
    <i t="grand">
      <x/>
    </i>
    <i t="grand" i="1">
      <x/>
    </i>
    <i t="grand" i="2">
      <x/>
    </i>
    <i t="grand" i="3">
      <x/>
    </i>
    <i t="grand" i="4">
      <x/>
    </i>
  </rowItems>
  <colItems count="1">
    <i/>
  </colItems>
  <pageFields count="1">
    <pageField fld="10" item="3" hier="-1"/>
  </pageFields>
  <dataFields count="5">
    <dataField name="Total Rev" fld="5" baseField="0" baseItem="0"/>
    <dataField name="Total Cost" fld="6" baseField="0" baseItem="0"/>
    <dataField name="Cost Pct" fld="12" baseField="9" baseItem="0" numFmtId="10"/>
    <dataField name="Total Profit" fld="7" baseField="0" baseItem="0"/>
    <dataField name="Profit Pct" fld="13" baseField="9" baseItem="0" numFmtId="1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E287F-B006-4628-B595-1A76E559F5FA}" name="PivotTable2" cacheId="21" applyNumberFormats="0" applyBorderFormats="0" applyFontFormats="0" applyPatternFormats="0" applyAlignmentFormats="0" applyWidthHeightFormats="1" dataCaption="P&amp;L" updatedVersion="8" minRefreshableVersion="3" showDrill="0" useAutoFormatting="1" itemPrintTitles="1" createdVersion="8" indent="0" compact="0" compactData="0" multipleFieldFilters="0">
  <location ref="A3:C25" firstHeaderRow="1" firstDataRow="1" firstDataCol="2"/>
  <pivotFields count="15">
    <pivotField name="Month"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6">
        <item x="4"/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5">
        <item x="1"/>
        <item x="2"/>
        <item x="0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Teams" compact="0" outline="0" subtotalTop="0" showAll="0">
      <items count="3">
        <item n="Team A" x="0"/>
        <item n="Team B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2">
    <i>
      <x/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t="default">
      <x v="3"/>
    </i>
    <i>
      <x v="4"/>
      <x/>
    </i>
    <i r="1">
      <x v="1"/>
    </i>
    <i r="1">
      <x v="2"/>
    </i>
    <i t="default">
      <x v="4"/>
    </i>
    <i t="grand">
      <x/>
    </i>
  </rowItems>
  <colItems count="1">
    <i/>
  </colItems>
  <dataFields count="1">
    <dataField name="Total Rev" fld="5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BF2E81-6B40-45D2-84D2-DC688024A6F9}" name="PivotTable2" cacheId="21" applyNumberFormats="0" applyBorderFormats="0" applyFontFormats="0" applyPatternFormats="0" applyAlignmentFormats="0" applyWidthHeightFormats="1" dataCaption="P&amp;L" updatedVersion="8" minRefreshableVersion="3" showDrill="0" useAutoFormatting="1" itemPrintTitles="1" createdVersion="8" indent="0" compact="0" compactData="0" multipleFieldFilters="0">
  <location ref="A3:E237" firstHeaderRow="0" firstDataRow="1" firstDataCol="3"/>
  <pivotFields count="15">
    <pivotField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0"/>
        <item x="3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Teams" compact="0" outline="0" subtotalTop="0" showAll="0">
      <items count="3">
        <item n="Team A" x="0"/>
        <item n="Team B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0"/>
    <field x="4"/>
    <field x="8"/>
  </rowFields>
  <rowItems count="234">
    <i>
      <x v="1"/>
      <x/>
      <x/>
    </i>
    <i r="2">
      <x v="2"/>
    </i>
    <i r="2">
      <x v="3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t="default" r="1">
      <x v="2"/>
    </i>
    <i r="1"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2"/>
    </i>
    <i r="2">
      <x v="3"/>
    </i>
    <i t="default" r="1">
      <x v="4"/>
    </i>
    <i r="1">
      <x v="5"/>
      <x/>
    </i>
    <i r="2">
      <x v="1"/>
    </i>
    <i r="2">
      <x v="2"/>
    </i>
    <i r="2">
      <x v="3"/>
    </i>
    <i t="default" r="1">
      <x v="5"/>
    </i>
    <i r="1">
      <x v="6"/>
      <x/>
    </i>
    <i r="2">
      <x v="1"/>
    </i>
    <i r="2">
      <x v="2"/>
    </i>
    <i r="2">
      <x v="3"/>
    </i>
    <i t="default" r="1">
      <x v="6"/>
    </i>
    <i r="1">
      <x v="7"/>
      <x/>
    </i>
    <i r="2">
      <x v="1"/>
    </i>
    <i r="2">
      <x v="2"/>
    </i>
    <i r="2">
      <x v="3"/>
    </i>
    <i t="default" r="1">
      <x v="7"/>
    </i>
    <i r="1">
      <x v="8"/>
      <x/>
    </i>
    <i r="2">
      <x v="1"/>
    </i>
    <i r="2">
      <x v="2"/>
    </i>
    <i r="2">
      <x v="3"/>
    </i>
    <i t="default" r="1">
      <x v="8"/>
    </i>
    <i r="1">
      <x v="9"/>
      <x/>
    </i>
    <i r="2">
      <x v="1"/>
    </i>
    <i r="2">
      <x v="2"/>
    </i>
    <i r="2">
      <x v="3"/>
    </i>
    <i t="default" r="1">
      <x v="9"/>
    </i>
    <i r="1">
      <x v="10"/>
      <x/>
    </i>
    <i r="2">
      <x v="1"/>
    </i>
    <i r="2">
      <x v="2"/>
    </i>
    <i r="2">
      <x v="3"/>
    </i>
    <i t="default" r="1">
      <x v="10"/>
    </i>
    <i r="1">
      <x v="11"/>
      <x/>
    </i>
    <i r="2">
      <x v="1"/>
    </i>
    <i r="2">
      <x v="2"/>
    </i>
    <i r="2">
      <x v="3"/>
    </i>
    <i t="default" r="1">
      <x v="11"/>
    </i>
    <i t="default">
      <x v="1"/>
    </i>
    <i>
      <x v="2"/>
      <x/>
      <x/>
    </i>
    <i r="2">
      <x v="1"/>
    </i>
    <i r="2">
      <x v="2"/>
    </i>
    <i r="2">
      <x v="3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t="default" r="1">
      <x v="2"/>
    </i>
    <i r="1"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1"/>
    </i>
    <i r="2">
      <x v="2"/>
    </i>
    <i r="2">
      <x v="3"/>
    </i>
    <i t="default" r="1">
      <x v="4"/>
    </i>
    <i r="1">
      <x v="5"/>
      <x/>
    </i>
    <i r="2">
      <x v="1"/>
    </i>
    <i r="2">
      <x v="2"/>
    </i>
    <i r="2">
      <x v="3"/>
    </i>
    <i t="default" r="1">
      <x v="5"/>
    </i>
    <i r="1">
      <x v="6"/>
      <x v="1"/>
    </i>
    <i r="2">
      <x v="2"/>
    </i>
    <i r="2">
      <x v="3"/>
    </i>
    <i t="default" r="1">
      <x v="6"/>
    </i>
    <i r="1">
      <x v="7"/>
      <x/>
    </i>
    <i r="2">
      <x v="1"/>
    </i>
    <i r="2">
      <x v="2"/>
    </i>
    <i r="2">
      <x v="3"/>
    </i>
    <i t="default" r="1">
      <x v="7"/>
    </i>
    <i r="1">
      <x v="8"/>
      <x/>
    </i>
    <i r="2">
      <x v="1"/>
    </i>
    <i r="2">
      <x v="2"/>
    </i>
    <i r="2">
      <x v="3"/>
    </i>
    <i t="default" r="1">
      <x v="8"/>
    </i>
    <i r="1">
      <x v="9"/>
      <x/>
    </i>
    <i r="2">
      <x v="2"/>
    </i>
    <i r="2">
      <x v="3"/>
    </i>
    <i t="default" r="1">
      <x v="9"/>
    </i>
    <i r="1">
      <x v="10"/>
      <x/>
    </i>
    <i r="2">
      <x v="1"/>
    </i>
    <i r="2">
      <x v="2"/>
    </i>
    <i r="2">
      <x v="3"/>
    </i>
    <i t="default" r="1">
      <x v="10"/>
    </i>
    <i r="1">
      <x v="11"/>
      <x v="1"/>
    </i>
    <i r="2">
      <x v="2"/>
    </i>
    <i r="2">
      <x v="3"/>
    </i>
    <i t="default" r="1">
      <x v="11"/>
    </i>
    <i t="default">
      <x v="2"/>
    </i>
    <i>
      <x v="3"/>
      <x/>
      <x/>
    </i>
    <i r="2">
      <x v="1"/>
    </i>
    <i r="2">
      <x v="2"/>
    </i>
    <i r="2">
      <x v="3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t="default" r="1">
      <x v="2"/>
    </i>
    <i r="1"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1"/>
    </i>
    <i r="2">
      <x v="2"/>
    </i>
    <i r="2">
      <x v="3"/>
    </i>
    <i t="default" r="1">
      <x v="4"/>
    </i>
    <i r="1">
      <x v="5"/>
      <x v="1"/>
    </i>
    <i r="2">
      <x v="2"/>
    </i>
    <i t="default" r="1">
      <x v="5"/>
    </i>
    <i r="1">
      <x v="6"/>
      <x/>
    </i>
    <i r="2">
      <x v="1"/>
    </i>
    <i r="2">
      <x v="2"/>
    </i>
    <i r="2">
      <x v="3"/>
    </i>
    <i t="default" r="1">
      <x v="6"/>
    </i>
    <i r="1">
      <x v="7"/>
      <x/>
    </i>
    <i r="2">
      <x v="1"/>
    </i>
    <i r="2">
      <x v="2"/>
    </i>
    <i r="2">
      <x v="3"/>
    </i>
    <i t="default" r="1">
      <x v="7"/>
    </i>
    <i r="1">
      <x v="8"/>
      <x/>
    </i>
    <i r="2">
      <x v="1"/>
    </i>
    <i r="2">
      <x v="2"/>
    </i>
    <i r="2">
      <x v="3"/>
    </i>
    <i t="default" r="1">
      <x v="8"/>
    </i>
    <i r="1">
      <x v="9"/>
      <x/>
    </i>
    <i r="2">
      <x v="1"/>
    </i>
    <i r="2">
      <x v="2"/>
    </i>
    <i r="2">
      <x v="3"/>
    </i>
    <i t="default" r="1">
      <x v="9"/>
    </i>
    <i r="1">
      <x v="10"/>
      <x/>
    </i>
    <i r="2">
      <x v="2"/>
    </i>
    <i r="2">
      <x v="3"/>
    </i>
    <i t="default" r="1">
      <x v="10"/>
    </i>
    <i r="1">
      <x v="11"/>
      <x/>
    </i>
    <i r="2">
      <x v="2"/>
    </i>
    <i r="2">
      <x v="3"/>
    </i>
    <i t="default" r="1">
      <x v="11"/>
    </i>
    <i t="default">
      <x v="3"/>
    </i>
    <i>
      <x v="4"/>
      <x/>
      <x v="1"/>
    </i>
    <i r="2">
      <x v="2"/>
    </i>
    <i r="2">
      <x v="3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t="default" r="1">
      <x v="2"/>
    </i>
    <i r="1"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1"/>
    </i>
    <i r="2">
      <x v="2"/>
    </i>
    <i r="2">
      <x v="3"/>
    </i>
    <i t="default" r="1">
      <x v="4"/>
    </i>
    <i r="1">
      <x v="5"/>
      <x/>
    </i>
    <i r="2">
      <x v="1"/>
    </i>
    <i r="2">
      <x v="3"/>
    </i>
    <i t="default" r="1">
      <x v="5"/>
    </i>
    <i r="1">
      <x v="6"/>
      <x/>
    </i>
    <i r="2">
      <x v="1"/>
    </i>
    <i r="2">
      <x v="2"/>
    </i>
    <i r="2">
      <x v="3"/>
    </i>
    <i t="default" r="1">
      <x v="6"/>
    </i>
    <i r="1">
      <x v="7"/>
      <x/>
    </i>
    <i r="2">
      <x v="1"/>
    </i>
    <i r="2">
      <x v="2"/>
    </i>
    <i r="2">
      <x v="3"/>
    </i>
    <i t="default" r="1">
      <x v="7"/>
    </i>
    <i r="1">
      <x v="8"/>
      <x/>
    </i>
    <i r="2">
      <x v="1"/>
    </i>
    <i r="2">
      <x v="2"/>
    </i>
    <i r="2">
      <x v="3"/>
    </i>
    <i t="default" r="1">
      <x v="8"/>
    </i>
    <i r="1">
      <x v="9"/>
      <x/>
    </i>
    <i r="2">
      <x v="1"/>
    </i>
    <i r="2">
      <x v="2"/>
    </i>
    <i r="2">
      <x v="3"/>
    </i>
    <i t="default" r="1">
      <x v="9"/>
    </i>
    <i r="1">
      <x v="10"/>
      <x/>
    </i>
    <i r="2">
      <x v="1"/>
    </i>
    <i r="2">
      <x v="2"/>
    </i>
    <i r="2">
      <x v="3"/>
    </i>
    <i t="default" r="1">
      <x v="10"/>
    </i>
    <i r="1">
      <x v="11"/>
      <x/>
    </i>
    <i r="2">
      <x v="1"/>
    </i>
    <i r="2">
      <x v="2"/>
    </i>
    <i r="2">
      <x v="3"/>
    </i>
    <i t="default" r="1">
      <x v="11"/>
    </i>
    <i t="default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Rev" fld="5" baseField="0" baseItem="0"/>
    <dataField name="Count of Sales Rep" fld="3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C9E4A-6E45-4487-9115-5BBCF8CA100D}" name="PivotTable2" cacheId="21" dataOnRows="1" applyNumberFormats="0" applyBorderFormats="0" applyFontFormats="0" applyPatternFormats="0" applyAlignmentFormats="0" applyWidthHeightFormats="1" dataCaption="P&amp;L" updatedVersion="8" minRefreshableVersion="3" showDrill="0" useAutoFormatting="1" colGrandTotals="0" itemPrintTitles="1" createdVersion="8" indent="0" compact="0" compactData="0" multipleFieldFilters="0">
  <location ref="A3:F30" firstHeaderRow="1" firstDataRow="2" firstDataCol="2"/>
  <pivotFields count="15">
    <pivotField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/>
    <pivotField compact="0" outline="0" subtotalTop="0" showAll="0"/>
    <pivotField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</pivotField>
    <pivotField axis="axisRow"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</pivotField>
    <pivotField dataField="1" compact="0" outline="0" showAll="0"/>
    <pivotField compact="0" outline="0" subtotalTop="0" showAll="0"/>
    <pivotField compact="0" outline="0" showAll="0"/>
    <pivotField compact="0" outline="0" showAll="0"/>
    <pivotField compact="0" outline="0" subtotalTop="0" showAll="0">
      <items count="7">
        <item x="0"/>
        <item x="1"/>
        <item x="2"/>
        <item x="3"/>
        <item x="4"/>
        <item x="5"/>
        <item t="default"/>
      </items>
    </pivotField>
    <pivotField axis="axisCol" compact="0" outline="0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name="Teams" compact="0" outline="0" subtotalTop="0" showAll="0">
      <items count="3">
        <item n="Team A" x="0"/>
        <item n="Team B" x="1"/>
        <item t="default"/>
      </items>
    </pivotField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showAll="0">
      <items count="3">
        <item x="0"/>
        <item x="1"/>
        <item t="default"/>
      </items>
    </pivotField>
  </pivotFields>
  <rowFields count="2">
    <field x="4"/>
    <field x="-2"/>
  </rowFields>
  <rowItems count="26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 t="grand">
      <x/>
    </i>
    <i t="grand" i="1">
      <x/>
    </i>
  </rowItems>
  <colFields count="1">
    <field x="10"/>
  </colFields>
  <colItems count="4">
    <i>
      <x v="1"/>
    </i>
    <i>
      <x v="2"/>
    </i>
    <i>
      <x v="3"/>
    </i>
    <i>
      <x v="4"/>
    </i>
  </colItems>
  <dataFields count="2">
    <dataField name="Total Rev" fld="5" baseField="0" baseItem="0"/>
    <dataField name="YoY%" fld="5" showDataAs="percentDiff" baseField="10" baseItem="1048828" numFmtId="10"/>
  </dataField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71590-EA74-4984-A4F8-C818F66118F7}" name="PivotTable2" cacheId="21" dataOnRows="1" applyNumberFormats="0" applyBorderFormats="0" applyFontFormats="0" applyPatternFormats="0" applyAlignmentFormats="0" applyWidthHeightFormats="1" dataCaption="P&amp;L" updatedVersion="8" minRefreshableVersion="3" showDrill="0" useAutoFormatting="1" colGrandTotals="0" itemPrintTitles="1" createdVersion="8" indent="0" compact="0" compactData="0" multipleFieldFilters="0">
  <location ref="A3:F30" firstHeaderRow="1" firstDataRow="2" firstDataCol="2"/>
  <pivotFields count="15">
    <pivotField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/>
    <pivotField compact="0" outline="0" subtotalTop="0" showAll="0"/>
    <pivotField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</pivotField>
    <pivotField axis="axisRow"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</pivotField>
    <pivotField dataField="1" compact="0" outline="0" showAll="0"/>
    <pivotField compact="0" outline="0" subtotalTop="0" showAll="0"/>
    <pivotField compact="0" outline="0" showAll="0"/>
    <pivotField compact="0" outline="0" showAll="0"/>
    <pivotField compact="0" outline="0" subtotalTop="0" showAll="0">
      <items count="7">
        <item x="0"/>
        <item x="1"/>
        <item x="2"/>
        <item x="3"/>
        <item x="4"/>
        <item x="5"/>
        <item t="default"/>
      </items>
    </pivotField>
    <pivotField axis="axisCol" compact="0" outline="0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name="Teams" compact="0" outline="0" subtotalTop="0" showAll="0">
      <items count="3">
        <item n="Team A" x="0"/>
        <item n="Team B" x="1"/>
        <item t="default"/>
      </items>
    </pivotField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showAll="0">
      <items count="3">
        <item x="0"/>
        <item x="1"/>
        <item t="default"/>
      </items>
    </pivotField>
  </pivotFields>
  <rowFields count="2">
    <field x="4"/>
    <field x="-2"/>
  </rowFields>
  <rowItems count="26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 t="grand">
      <x/>
    </i>
    <i t="grand" i="1">
      <x/>
    </i>
  </rowItems>
  <colFields count="1">
    <field x="10"/>
  </colFields>
  <colItems count="4">
    <i>
      <x v="1"/>
    </i>
    <i>
      <x v="2"/>
    </i>
    <i>
      <x v="3"/>
    </i>
    <i>
      <x v="4"/>
    </i>
  </colItems>
  <dataFields count="2">
    <dataField name="Total Rev" fld="5" baseField="0" baseItem="0"/>
    <dataField name="YoY%" fld="5" showDataAs="percentDiff" baseField="10" baseItem="1048828" numFmtId="10"/>
  </dataField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7DE37D-1DDC-4A3F-A74E-16870D939B64}" name="PivotTable2" cacheId="21" dataOnRows="1" applyNumberFormats="0" applyBorderFormats="0" applyFontFormats="0" applyPatternFormats="0" applyAlignmentFormats="0" applyWidthHeightFormats="1" dataCaption="P&amp;L" updatedVersion="8" minRefreshableVersion="3" showDrill="0" useAutoFormatting="1" colGrandTotals="0" itemPrintTitles="1" mergeItem="1" createdVersion="8" indent="0" compact="0" compactData="0" multipleFieldFilters="0">
  <location ref="A3:C63" firstHeaderRow="1" firstDataRow="1" firstDataCol="2"/>
  <pivotFields count="15">
    <pivotField compact="0" numFmtId="15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ubtotalTop="0" showAll="0" defaultSubtotal="0">
      <items count="5">
        <item x="4"/>
        <item x="0"/>
        <item x="1"/>
        <item x="2"/>
        <item x="3"/>
      </items>
    </pivotField>
    <pivotField compact="0" outline="0" subtotalTop="0" showAll="0"/>
    <pivotField compact="0" outline="0" showAll="0">
      <items count="13">
        <item x="8"/>
        <item x="10"/>
        <item x="9"/>
        <item x="6"/>
        <item x="3"/>
        <item x="11"/>
        <item x="7"/>
        <item x="4"/>
        <item x="2"/>
        <item x="5"/>
        <item x="0"/>
        <item x="1"/>
        <item t="default"/>
      </items>
    </pivotField>
    <pivotField axis="axisRow" compact="0" outline="0" showAll="0">
      <items count="13">
        <item x="4"/>
        <item x="7"/>
        <item x="10"/>
        <item x="9"/>
        <item x="11"/>
        <item x="1"/>
        <item x="6"/>
        <item x="5"/>
        <item x="2"/>
        <item x="0"/>
        <item x="8"/>
        <item x="3"/>
        <item t="default"/>
      </items>
    </pivotField>
    <pivotField dataField="1" compact="0" outline="0" showAll="0"/>
    <pivotField compact="0" outline="0" subtotalTop="0" showAll="0"/>
    <pivotField compact="0" outline="0" showAll="0"/>
    <pivotField compact="0" outline="0" showAll="0"/>
    <pivotField compact="0" outline="0" subtotalTop="0" showAll="0">
      <items count="7">
        <item x="0"/>
        <item x="1"/>
        <item x="2"/>
        <item x="3"/>
        <item x="4"/>
        <item x="5"/>
        <item t="default"/>
      </items>
    </pivotField>
    <pivotField compact="0" outline="0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name="Teams" compact="0" outline="0" subtotalTop="0" showAll="0">
      <items count="3">
        <item n="Team A" x="0"/>
        <item n="Team B" x="1"/>
        <item t="default"/>
      </items>
    </pivotField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showAll="0">
      <items count="3">
        <item x="0"/>
        <item x="1"/>
        <item t="default"/>
      </items>
    </pivotField>
  </pivotFields>
  <rowFields count="2">
    <field x="1"/>
    <field x="4"/>
  </rowFields>
  <rowItems count="60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Items count="1">
    <i/>
  </colItems>
  <dataFields count="1">
    <dataField name="Revenue" fld="5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A1:I591" totalsRowShown="0" headerRowDxfId="12" dataDxfId="11" tableBorderDxfId="10">
  <tableColumns count="9">
    <tableColumn id="1" xr3:uid="{00000000-0010-0000-0000-000001000000}" name="Date" dataDxfId="9"/>
    <tableColumn id="8" xr3:uid="{1CEF44ED-AC39-404F-AEB4-7D1A2F909AD9}" name="FY" dataDxfId="0">
      <calculatedColumnFormula>IF(MONTH(Data[[#This Row],[Date]])&gt;3,YEAR(Data[[#This Row],[Date]])&amp;"-"&amp;YEAR(Data[[#This Row],[Date]])+1,YEAR(Data[[#This Row],[Date]])-1&amp;"-"&amp;YEAR(Data[[#This Row],[Date]]))</calculatedColumnFormula>
    </tableColumn>
    <tableColumn id="9" xr3:uid="{9BF5672B-AD3B-46C9-A327-DCB7698994E9}" name="FQ" dataDxfId="1">
      <calculatedColumnFormula>"Q"&amp;CEILING(MONTH(EDATE(Data[[#This Row],[Date]],-3)),3)/3</calculatedColumnFormula>
    </tableColumn>
    <tableColumn id="2" xr3:uid="{00000000-0010-0000-0000-000002000000}" name="Sales Rep" dataDxfId="8"/>
    <tableColumn id="3" xr3:uid="{00000000-0010-0000-0000-000003000000}" name="Customer" dataDxfId="7"/>
    <tableColumn id="4" xr3:uid="{00000000-0010-0000-0000-000004000000}" name="Amount" dataDxfId="6"/>
    <tableColumn id="7" xr3:uid="{D037DE46-C573-4A4E-9D94-8E62D8DEB1ED}" name="Cost" dataDxfId="5">
      <calculatedColumnFormula>Data[[#This Row],[Amount]]-Data[[#This Row],[Profit]]</calculatedColumnFormula>
    </tableColumn>
    <tableColumn id="5" xr3:uid="{00000000-0010-0000-0000-000005000000}" name="Profit" dataDxfId="4"/>
    <tableColumn id="6" xr3:uid="{00000000-0010-0000-0000-000006000000}" name="Region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D507A8-22E2-4B87-809B-4C328ADFAF80}" name="Table2" displayName="Table2" ref="A1:C85" totalsRowShown="0">
  <autoFilter ref="A1:C85" xr:uid="{C8D507A8-22E2-4B87-809B-4C328ADFAF80}"/>
  <tableColumns count="3">
    <tableColumn id="1" xr3:uid="{5DC8140A-F34E-41E0-9E02-0D09AC94A31B}" name="Prod"/>
    <tableColumn id="2" xr3:uid="{7B9D24B6-4A6C-44FE-A4CB-321A6F6304DE}" name="Month" dataDxfId="2"/>
    <tableColumn id="3" xr3:uid="{FE7E2FFD-03D7-4A21-BAE5-5B5E42B5CB08}" name="Uni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91"/>
  <sheetViews>
    <sheetView zoomScale="250" zoomScaleNormal="250" workbookViewId="0">
      <selection activeCell="C4" sqref="C4"/>
    </sheetView>
  </sheetViews>
  <sheetFormatPr defaultRowHeight="12" x14ac:dyDescent="0.2"/>
  <cols>
    <col min="1" max="1" width="11" bestFit="1" customWidth="1"/>
    <col min="2" max="3" width="11" customWidth="1"/>
    <col min="4" max="4" width="12.1640625" bestFit="1" customWidth="1"/>
    <col min="5" max="5" width="19.1640625" bestFit="1" customWidth="1"/>
    <col min="6" max="6" width="13.6640625" bestFit="1" customWidth="1"/>
    <col min="7" max="8" width="13.6640625" customWidth="1"/>
    <col min="9" max="9" width="11.33203125" bestFit="1" customWidth="1"/>
    <col min="10" max="10" width="12.33203125" bestFit="1" customWidth="1"/>
  </cols>
  <sheetData>
    <row r="1" spans="1:9" ht="12.75" x14ac:dyDescent="0.2">
      <c r="A1" s="1" t="s">
        <v>0</v>
      </c>
      <c r="B1" s="1" t="s">
        <v>115</v>
      </c>
      <c r="C1" s="1" t="s">
        <v>116</v>
      </c>
      <c r="D1" s="1" t="s">
        <v>1</v>
      </c>
      <c r="E1" s="1" t="s">
        <v>2</v>
      </c>
      <c r="F1" s="2" t="s">
        <v>3</v>
      </c>
      <c r="G1" s="2" t="s">
        <v>70</v>
      </c>
      <c r="H1" s="2" t="s">
        <v>4</v>
      </c>
      <c r="I1" s="2" t="s">
        <v>5</v>
      </c>
    </row>
    <row r="2" spans="1:9" ht="12.75" x14ac:dyDescent="0.2">
      <c r="A2" s="3">
        <v>38713</v>
      </c>
      <c r="B2" s="3" t="str">
        <f>IF(MONTH(Data[[#This Row],[Date]])&gt;3,YEAR(Data[[#This Row],[Date]])&amp;"-"&amp;YEAR(Data[[#This Row],[Date]])+1,YEAR(Data[[#This Row],[Date]])-1&amp;"-"&amp;YEAR(Data[[#This Row],[Date]]))</f>
        <v>2005-2006</v>
      </c>
      <c r="C2" s="3" t="str">
        <f>"Q"&amp;CEILING(MONTH(EDATE(Data[[#This Row],[Date]],-3)),3)/3</f>
        <v>Q3</v>
      </c>
      <c r="D2" s="4" t="s">
        <v>6</v>
      </c>
      <c r="E2" s="4" t="s">
        <v>7</v>
      </c>
      <c r="F2" s="5">
        <v>10900</v>
      </c>
      <c r="G2" s="5">
        <f>Data[[#This Row],[Amount]]-Data[[#This Row],[Profit]]</f>
        <v>6980</v>
      </c>
      <c r="H2" s="5">
        <v>3920</v>
      </c>
      <c r="I2" s="5" t="s">
        <v>8</v>
      </c>
    </row>
    <row r="3" spans="1:9" ht="12.75" x14ac:dyDescent="0.2">
      <c r="A3" s="3">
        <v>38827</v>
      </c>
      <c r="B3" s="3" t="str">
        <f>IF(MONTH(Data[[#This Row],[Date]])&gt;3,YEAR(Data[[#This Row],[Date]])&amp;"-"&amp;YEAR(Data[[#This Row],[Date]])+1,YEAR(Data[[#This Row],[Date]])-1&amp;"-"&amp;YEAR(Data[[#This Row],[Date]]))</f>
        <v>2006-2007</v>
      </c>
      <c r="C3" s="3" t="str">
        <f>"Q"&amp;CEILING(MONTH(EDATE(Data[[#This Row],[Date]],-3)),3)/3</f>
        <v>Q1</v>
      </c>
      <c r="D3" s="4" t="s">
        <v>9</v>
      </c>
      <c r="E3" s="4" t="s">
        <v>10</v>
      </c>
      <c r="F3" s="5">
        <v>13050</v>
      </c>
      <c r="G3" s="5">
        <f>Data[[#This Row],[Amount]]-Data[[#This Row],[Profit]]</f>
        <v>10010</v>
      </c>
      <c r="H3" s="5">
        <v>3040</v>
      </c>
      <c r="I3" s="5" t="s">
        <v>11</v>
      </c>
    </row>
    <row r="4" spans="1:9" ht="12.75" x14ac:dyDescent="0.2">
      <c r="A4" s="3">
        <v>38861</v>
      </c>
      <c r="B4" s="3" t="str">
        <f>IF(MONTH(Data[[#This Row],[Date]])&gt;3,YEAR(Data[[#This Row],[Date]])&amp;"-"&amp;YEAR(Data[[#This Row],[Date]])+1,YEAR(Data[[#This Row],[Date]])-1&amp;"-"&amp;YEAR(Data[[#This Row],[Date]]))</f>
        <v>2006-2007</v>
      </c>
      <c r="C4" s="3" t="str">
        <f>"Q"&amp;CEILING(MONTH(EDATE(Data[[#This Row],[Date]],-3)),3)/3</f>
        <v>Q1</v>
      </c>
      <c r="D4" s="4" t="s">
        <v>12</v>
      </c>
      <c r="E4" s="4" t="s">
        <v>13</v>
      </c>
      <c r="F4" s="5">
        <v>12300</v>
      </c>
      <c r="G4" s="5">
        <f>Data[[#This Row],[Amount]]-Data[[#This Row],[Profit]]</f>
        <v>6580</v>
      </c>
      <c r="H4" s="5">
        <v>5720</v>
      </c>
      <c r="I4" s="5" t="s">
        <v>11</v>
      </c>
    </row>
    <row r="5" spans="1:9" ht="12.75" x14ac:dyDescent="0.2">
      <c r="A5" s="3">
        <v>39405</v>
      </c>
      <c r="B5" s="3" t="str">
        <f>IF(MONTH(Data[[#This Row],[Date]])&gt;3,YEAR(Data[[#This Row],[Date]])&amp;"-"&amp;YEAR(Data[[#This Row],[Date]])+1,YEAR(Data[[#This Row],[Date]])-1&amp;"-"&amp;YEAR(Data[[#This Row],[Date]]))</f>
        <v>2007-2008</v>
      </c>
      <c r="C5" s="3" t="str">
        <f>"Q"&amp;CEILING(MONTH(EDATE(Data[[#This Row],[Date]],-3)),3)/3</f>
        <v>Q3</v>
      </c>
      <c r="D5" s="4" t="s">
        <v>14</v>
      </c>
      <c r="E5" s="4" t="s">
        <v>13</v>
      </c>
      <c r="F5" s="5">
        <v>10400</v>
      </c>
      <c r="G5" s="5">
        <f>Data[[#This Row],[Amount]]-Data[[#This Row],[Profit]]</f>
        <v>4720</v>
      </c>
      <c r="H5" s="5">
        <v>5680</v>
      </c>
      <c r="I5" s="5" t="s">
        <v>15</v>
      </c>
    </row>
    <row r="6" spans="1:9" ht="12.75" x14ac:dyDescent="0.2">
      <c r="A6" s="3">
        <v>38528</v>
      </c>
      <c r="B6" s="3" t="str">
        <f>IF(MONTH(Data[[#This Row],[Date]])&gt;3,YEAR(Data[[#This Row],[Date]])&amp;"-"&amp;YEAR(Data[[#This Row],[Date]])+1,YEAR(Data[[#This Row],[Date]])-1&amp;"-"&amp;YEAR(Data[[#This Row],[Date]]))</f>
        <v>2005-2006</v>
      </c>
      <c r="C6" s="3" t="str">
        <f>"Q"&amp;CEILING(MONTH(EDATE(Data[[#This Row],[Date]],-3)),3)/3</f>
        <v>Q1</v>
      </c>
      <c r="D6" s="4" t="s">
        <v>16</v>
      </c>
      <c r="E6" s="4" t="s">
        <v>17</v>
      </c>
      <c r="F6" s="5">
        <v>14200</v>
      </c>
      <c r="G6" s="5">
        <f>Data[[#This Row],[Amount]]-Data[[#This Row],[Profit]]</f>
        <v>8960</v>
      </c>
      <c r="H6" s="5">
        <v>5240</v>
      </c>
      <c r="I6" s="5" t="s">
        <v>15</v>
      </c>
    </row>
    <row r="7" spans="1:9" ht="12.75" x14ac:dyDescent="0.2">
      <c r="A7" s="3">
        <v>39705</v>
      </c>
      <c r="B7" s="3" t="str">
        <f>IF(MONTH(Data[[#This Row],[Date]])&gt;3,YEAR(Data[[#This Row],[Date]])&amp;"-"&amp;YEAR(Data[[#This Row],[Date]])+1,YEAR(Data[[#This Row],[Date]])-1&amp;"-"&amp;YEAR(Data[[#This Row],[Date]]))</f>
        <v>2008-2009</v>
      </c>
      <c r="C7" s="3" t="str">
        <f>"Q"&amp;CEILING(MONTH(EDATE(Data[[#This Row],[Date]],-3)),3)/3</f>
        <v>Q2</v>
      </c>
      <c r="D7" s="4" t="s">
        <v>6</v>
      </c>
      <c r="E7" s="4" t="s">
        <v>7</v>
      </c>
      <c r="F7" s="5">
        <v>10450</v>
      </c>
      <c r="G7" s="5">
        <f>Data[[#This Row],[Amount]]-Data[[#This Row],[Profit]]</f>
        <v>5950</v>
      </c>
      <c r="H7" s="5">
        <v>4500</v>
      </c>
      <c r="I7" s="5" t="s">
        <v>15</v>
      </c>
    </row>
    <row r="8" spans="1:9" ht="12.75" x14ac:dyDescent="0.2">
      <c r="A8" s="3">
        <v>38614</v>
      </c>
      <c r="B8" s="3" t="str">
        <f>IF(MONTH(Data[[#This Row],[Date]])&gt;3,YEAR(Data[[#This Row],[Date]])&amp;"-"&amp;YEAR(Data[[#This Row],[Date]])+1,YEAR(Data[[#This Row],[Date]])-1&amp;"-"&amp;YEAR(Data[[#This Row],[Date]]))</f>
        <v>2005-2006</v>
      </c>
      <c r="C8" s="3" t="str">
        <f>"Q"&amp;CEILING(MONTH(EDATE(Data[[#This Row],[Date]],-3)),3)/3</f>
        <v>Q2</v>
      </c>
      <c r="D8" s="4" t="s">
        <v>18</v>
      </c>
      <c r="E8" s="4" t="s">
        <v>19</v>
      </c>
      <c r="F8" s="5">
        <v>12350</v>
      </c>
      <c r="G8" s="5">
        <f>Data[[#This Row],[Amount]]-Data[[#This Row],[Profit]]</f>
        <v>8730</v>
      </c>
      <c r="H8" s="5">
        <v>3620</v>
      </c>
      <c r="I8" s="5" t="s">
        <v>15</v>
      </c>
    </row>
    <row r="9" spans="1:9" ht="12.75" x14ac:dyDescent="0.2">
      <c r="A9" s="3">
        <v>39764</v>
      </c>
      <c r="B9" s="3" t="str">
        <f>IF(MONTH(Data[[#This Row],[Date]])&gt;3,YEAR(Data[[#This Row],[Date]])&amp;"-"&amp;YEAR(Data[[#This Row],[Date]])+1,YEAR(Data[[#This Row],[Date]])-1&amp;"-"&amp;YEAR(Data[[#This Row],[Date]]))</f>
        <v>2008-2009</v>
      </c>
      <c r="C9" s="3" t="str">
        <f>"Q"&amp;CEILING(MONTH(EDATE(Data[[#This Row],[Date]],-3)),3)/3</f>
        <v>Q3</v>
      </c>
      <c r="D9" s="4" t="s">
        <v>20</v>
      </c>
      <c r="E9" s="4" t="s">
        <v>21</v>
      </c>
      <c r="F9" s="5">
        <v>12450</v>
      </c>
      <c r="G9" s="5">
        <f>Data[[#This Row],[Amount]]-Data[[#This Row],[Profit]]</f>
        <v>9590</v>
      </c>
      <c r="H9" s="5">
        <v>2860</v>
      </c>
      <c r="I9" s="5" t="s">
        <v>22</v>
      </c>
    </row>
    <row r="10" spans="1:9" ht="12.75" x14ac:dyDescent="0.2">
      <c r="A10" s="3">
        <v>38505</v>
      </c>
      <c r="B10" s="3" t="str">
        <f>IF(MONTH(Data[[#This Row],[Date]])&gt;3,YEAR(Data[[#This Row],[Date]])&amp;"-"&amp;YEAR(Data[[#This Row],[Date]])+1,YEAR(Data[[#This Row],[Date]])-1&amp;"-"&amp;YEAR(Data[[#This Row],[Date]]))</f>
        <v>2005-2006</v>
      </c>
      <c r="C10" s="3" t="str">
        <f>"Q"&amp;CEILING(MONTH(EDATE(Data[[#This Row],[Date]],-3)),3)/3</f>
        <v>Q1</v>
      </c>
      <c r="D10" s="4" t="s">
        <v>23</v>
      </c>
      <c r="E10" s="4" t="s">
        <v>24</v>
      </c>
      <c r="F10" s="5">
        <v>10450</v>
      </c>
      <c r="G10" s="5">
        <f>Data[[#This Row],[Amount]]-Data[[#This Row],[Profit]]</f>
        <v>7730</v>
      </c>
      <c r="H10" s="5">
        <v>2720</v>
      </c>
      <c r="I10" s="5" t="s">
        <v>11</v>
      </c>
    </row>
    <row r="11" spans="1:9" ht="12.75" x14ac:dyDescent="0.2">
      <c r="A11" s="3">
        <v>39186</v>
      </c>
      <c r="B11" s="3" t="str">
        <f>IF(MONTH(Data[[#This Row],[Date]])&gt;3,YEAR(Data[[#This Row],[Date]])&amp;"-"&amp;YEAR(Data[[#This Row],[Date]])+1,YEAR(Data[[#This Row],[Date]])-1&amp;"-"&amp;YEAR(Data[[#This Row],[Date]]))</f>
        <v>2007-2008</v>
      </c>
      <c r="C11" s="3" t="str">
        <f>"Q"&amp;CEILING(MONTH(EDATE(Data[[#This Row],[Date]],-3)),3)/3</f>
        <v>Q1</v>
      </c>
      <c r="D11" s="4" t="s">
        <v>25</v>
      </c>
      <c r="E11" s="4" t="s">
        <v>26</v>
      </c>
      <c r="F11" s="5">
        <v>11400</v>
      </c>
      <c r="G11" s="5">
        <f>Data[[#This Row],[Amount]]-Data[[#This Row],[Profit]]</f>
        <v>5720</v>
      </c>
      <c r="H11" s="5">
        <v>5680</v>
      </c>
      <c r="I11" s="5" t="s">
        <v>8</v>
      </c>
    </row>
    <row r="12" spans="1:9" ht="12.75" x14ac:dyDescent="0.2">
      <c r="A12" s="3">
        <v>38835</v>
      </c>
      <c r="B12" s="3" t="str">
        <f>IF(MONTH(Data[[#This Row],[Date]])&gt;3,YEAR(Data[[#This Row],[Date]])&amp;"-"&amp;YEAR(Data[[#This Row],[Date]])+1,YEAR(Data[[#This Row],[Date]])-1&amp;"-"&amp;YEAR(Data[[#This Row],[Date]]))</f>
        <v>2006-2007</v>
      </c>
      <c r="C12" s="3" t="str">
        <f>"Q"&amp;CEILING(MONTH(EDATE(Data[[#This Row],[Date]],-3)),3)/3</f>
        <v>Q1</v>
      </c>
      <c r="D12" s="4" t="s">
        <v>6</v>
      </c>
      <c r="E12" s="4" t="s">
        <v>10</v>
      </c>
      <c r="F12" s="5">
        <v>14800</v>
      </c>
      <c r="G12" s="5">
        <f>Data[[#This Row],[Amount]]-Data[[#This Row],[Profit]]</f>
        <v>12120</v>
      </c>
      <c r="H12" s="5">
        <v>2680</v>
      </c>
      <c r="I12" s="5" t="s">
        <v>22</v>
      </c>
    </row>
    <row r="13" spans="1:9" ht="12.75" x14ac:dyDescent="0.2">
      <c r="A13" s="3">
        <v>38945</v>
      </c>
      <c r="B13" s="3" t="str">
        <f>IF(MONTH(Data[[#This Row],[Date]])&gt;3,YEAR(Data[[#This Row],[Date]])&amp;"-"&amp;YEAR(Data[[#This Row],[Date]])+1,YEAR(Data[[#This Row],[Date]])-1&amp;"-"&amp;YEAR(Data[[#This Row],[Date]]))</f>
        <v>2006-2007</v>
      </c>
      <c r="C13" s="3" t="str">
        <f>"Q"&amp;CEILING(MONTH(EDATE(Data[[#This Row],[Date]],-3)),3)/3</f>
        <v>Q2</v>
      </c>
      <c r="D13" s="4" t="s">
        <v>27</v>
      </c>
      <c r="E13" s="4" t="s">
        <v>28</v>
      </c>
      <c r="F13" s="5">
        <v>12300</v>
      </c>
      <c r="G13" s="5">
        <f>Data[[#This Row],[Amount]]-Data[[#This Row],[Profit]]</f>
        <v>8920</v>
      </c>
      <c r="H13" s="5">
        <v>3380</v>
      </c>
      <c r="I13" s="5" t="s">
        <v>22</v>
      </c>
    </row>
    <row r="14" spans="1:9" ht="12.75" x14ac:dyDescent="0.2">
      <c r="A14" s="3">
        <v>38740</v>
      </c>
      <c r="B14" s="3" t="str">
        <f>IF(MONTH(Data[[#This Row],[Date]])&gt;3,YEAR(Data[[#This Row],[Date]])&amp;"-"&amp;YEAR(Data[[#This Row],[Date]])+1,YEAR(Data[[#This Row],[Date]])-1&amp;"-"&amp;YEAR(Data[[#This Row],[Date]]))</f>
        <v>2005-2006</v>
      </c>
      <c r="C14" s="3" t="str">
        <f>"Q"&amp;CEILING(MONTH(EDATE(Data[[#This Row],[Date]],-3)),3)/3</f>
        <v>Q4</v>
      </c>
      <c r="D14" s="4" t="s">
        <v>16</v>
      </c>
      <c r="E14" s="4" t="s">
        <v>29</v>
      </c>
      <c r="F14" s="5">
        <v>11050</v>
      </c>
      <c r="G14" s="5">
        <f>Data[[#This Row],[Amount]]-Data[[#This Row],[Profit]]</f>
        <v>8990</v>
      </c>
      <c r="H14" s="5">
        <v>2060</v>
      </c>
      <c r="I14" s="5" t="s">
        <v>11</v>
      </c>
    </row>
    <row r="15" spans="1:9" ht="12.75" x14ac:dyDescent="0.2">
      <c r="A15" s="3">
        <v>39135</v>
      </c>
      <c r="B15" s="3" t="str">
        <f>IF(MONTH(Data[[#This Row],[Date]])&gt;3,YEAR(Data[[#This Row],[Date]])&amp;"-"&amp;YEAR(Data[[#This Row],[Date]])+1,YEAR(Data[[#This Row],[Date]])-1&amp;"-"&amp;YEAR(Data[[#This Row],[Date]]))</f>
        <v>2006-2007</v>
      </c>
      <c r="C15" s="3" t="str">
        <f>"Q"&amp;CEILING(MONTH(EDATE(Data[[#This Row],[Date]],-3)),3)/3</f>
        <v>Q4</v>
      </c>
      <c r="D15" s="4" t="s">
        <v>25</v>
      </c>
      <c r="E15" s="4" t="s">
        <v>30</v>
      </c>
      <c r="F15" s="5">
        <v>12550</v>
      </c>
      <c r="G15" s="5">
        <f>Data[[#This Row],[Amount]]-Data[[#This Row],[Profit]]</f>
        <v>10190</v>
      </c>
      <c r="H15" s="5">
        <v>2360</v>
      </c>
      <c r="I15" s="5" t="s">
        <v>22</v>
      </c>
    </row>
    <row r="16" spans="1:9" ht="12.75" x14ac:dyDescent="0.2">
      <c r="A16" s="3">
        <v>39741</v>
      </c>
      <c r="B16" s="3" t="str">
        <f>IF(MONTH(Data[[#This Row],[Date]])&gt;3,YEAR(Data[[#This Row],[Date]])&amp;"-"&amp;YEAR(Data[[#This Row],[Date]])+1,YEAR(Data[[#This Row],[Date]])-1&amp;"-"&amp;YEAR(Data[[#This Row],[Date]]))</f>
        <v>2008-2009</v>
      </c>
      <c r="C16" s="3" t="str">
        <f>"Q"&amp;CEILING(MONTH(EDATE(Data[[#This Row],[Date]],-3)),3)/3</f>
        <v>Q3</v>
      </c>
      <c r="D16" s="4" t="s">
        <v>14</v>
      </c>
      <c r="E16" s="4" t="s">
        <v>7</v>
      </c>
      <c r="F16" s="5">
        <v>11400</v>
      </c>
      <c r="G16" s="5">
        <f>Data[[#This Row],[Amount]]-Data[[#This Row],[Profit]]</f>
        <v>7980</v>
      </c>
      <c r="H16" s="5">
        <v>3420</v>
      </c>
      <c r="I16" s="5" t="s">
        <v>11</v>
      </c>
    </row>
    <row r="17" spans="1:9" ht="12.75" x14ac:dyDescent="0.2">
      <c r="A17" s="3">
        <v>38792</v>
      </c>
      <c r="B17" s="3" t="str">
        <f>IF(MONTH(Data[[#This Row],[Date]])&gt;3,YEAR(Data[[#This Row],[Date]])&amp;"-"&amp;YEAR(Data[[#This Row],[Date]])+1,YEAR(Data[[#This Row],[Date]])-1&amp;"-"&amp;YEAR(Data[[#This Row],[Date]]))</f>
        <v>2005-2006</v>
      </c>
      <c r="C17" s="3" t="str">
        <f>"Q"&amp;CEILING(MONTH(EDATE(Data[[#This Row],[Date]],-3)),3)/3</f>
        <v>Q4</v>
      </c>
      <c r="D17" s="4" t="s">
        <v>9</v>
      </c>
      <c r="E17" s="4" t="s">
        <v>10</v>
      </c>
      <c r="F17" s="5">
        <v>13800</v>
      </c>
      <c r="G17" s="5">
        <f>Data[[#This Row],[Amount]]-Data[[#This Row],[Profit]]</f>
        <v>8500</v>
      </c>
      <c r="H17" s="5">
        <v>5300</v>
      </c>
      <c r="I17" s="5" t="s">
        <v>8</v>
      </c>
    </row>
    <row r="18" spans="1:9" ht="12.75" x14ac:dyDescent="0.2">
      <c r="A18" s="3">
        <v>38381</v>
      </c>
      <c r="B18" s="3" t="str">
        <f>IF(MONTH(Data[[#This Row],[Date]])&gt;3,YEAR(Data[[#This Row],[Date]])&amp;"-"&amp;YEAR(Data[[#This Row],[Date]])+1,YEAR(Data[[#This Row],[Date]])-1&amp;"-"&amp;YEAR(Data[[#This Row],[Date]]))</f>
        <v>2004-2005</v>
      </c>
      <c r="C18" s="3" t="str">
        <f>"Q"&amp;CEILING(MONTH(EDATE(Data[[#This Row],[Date]],-3)),3)/3</f>
        <v>Q4</v>
      </c>
      <c r="D18" s="4" t="s">
        <v>27</v>
      </c>
      <c r="E18" s="4" t="s">
        <v>28</v>
      </c>
      <c r="F18" s="5">
        <v>12350</v>
      </c>
      <c r="G18" s="5">
        <f>Data[[#This Row],[Amount]]-Data[[#This Row],[Profit]]</f>
        <v>8370</v>
      </c>
      <c r="H18" s="5">
        <v>3980</v>
      </c>
      <c r="I18" s="5" t="s">
        <v>11</v>
      </c>
    </row>
    <row r="19" spans="1:9" ht="12.75" x14ac:dyDescent="0.2">
      <c r="A19" s="3">
        <v>39483</v>
      </c>
      <c r="B19" s="3" t="str">
        <f>IF(MONTH(Data[[#This Row],[Date]])&gt;3,YEAR(Data[[#This Row],[Date]])&amp;"-"&amp;YEAR(Data[[#This Row],[Date]])+1,YEAR(Data[[#This Row],[Date]])-1&amp;"-"&amp;YEAR(Data[[#This Row],[Date]]))</f>
        <v>2007-2008</v>
      </c>
      <c r="C19" s="3" t="str">
        <f>"Q"&amp;CEILING(MONTH(EDATE(Data[[#This Row],[Date]],-3)),3)/3</f>
        <v>Q4</v>
      </c>
      <c r="D19" s="4" t="s">
        <v>6</v>
      </c>
      <c r="E19" s="4" t="s">
        <v>24</v>
      </c>
      <c r="F19" s="5">
        <v>10000</v>
      </c>
      <c r="G19" s="5">
        <f>Data[[#This Row],[Amount]]-Data[[#This Row],[Profit]]</f>
        <v>7760</v>
      </c>
      <c r="H19" s="5">
        <v>2240</v>
      </c>
      <c r="I19" s="5" t="s">
        <v>22</v>
      </c>
    </row>
    <row r="20" spans="1:9" ht="12.75" x14ac:dyDescent="0.2">
      <c r="A20" s="3">
        <v>38793</v>
      </c>
      <c r="B20" s="3" t="str">
        <f>IF(MONTH(Data[[#This Row],[Date]])&gt;3,YEAR(Data[[#This Row],[Date]])&amp;"-"&amp;YEAR(Data[[#This Row],[Date]])+1,YEAR(Data[[#This Row],[Date]])-1&amp;"-"&amp;YEAR(Data[[#This Row],[Date]]))</f>
        <v>2005-2006</v>
      </c>
      <c r="C20" s="3" t="str">
        <f>"Q"&amp;CEILING(MONTH(EDATE(Data[[#This Row],[Date]],-3)),3)/3</f>
        <v>Q4</v>
      </c>
      <c r="D20" s="4" t="s">
        <v>31</v>
      </c>
      <c r="E20" s="4" t="s">
        <v>30</v>
      </c>
      <c r="F20" s="5">
        <v>11050</v>
      </c>
      <c r="G20" s="5">
        <f>Data[[#This Row],[Amount]]-Data[[#This Row],[Profit]]</f>
        <v>6550</v>
      </c>
      <c r="H20" s="5">
        <v>4500</v>
      </c>
      <c r="I20" s="5" t="s">
        <v>15</v>
      </c>
    </row>
    <row r="21" spans="1:9" ht="12.75" x14ac:dyDescent="0.2">
      <c r="A21" s="3">
        <v>38888</v>
      </c>
      <c r="B21" s="3" t="str">
        <f>IF(MONTH(Data[[#This Row],[Date]])&gt;3,YEAR(Data[[#This Row],[Date]])&amp;"-"&amp;YEAR(Data[[#This Row],[Date]])+1,YEAR(Data[[#This Row],[Date]])-1&amp;"-"&amp;YEAR(Data[[#This Row],[Date]]))</f>
        <v>2006-2007</v>
      </c>
      <c r="C21" s="3" t="str">
        <f>"Q"&amp;CEILING(MONTH(EDATE(Data[[#This Row],[Date]],-3)),3)/3</f>
        <v>Q1</v>
      </c>
      <c r="D21" s="4" t="s">
        <v>20</v>
      </c>
      <c r="E21" s="4" t="s">
        <v>19</v>
      </c>
      <c r="F21" s="5">
        <v>10400</v>
      </c>
      <c r="G21" s="5">
        <f>Data[[#This Row],[Amount]]-Data[[#This Row],[Profit]]</f>
        <v>7460</v>
      </c>
      <c r="H21" s="5">
        <v>2940</v>
      </c>
      <c r="I21" s="5" t="s">
        <v>15</v>
      </c>
    </row>
    <row r="22" spans="1:9" ht="12.75" x14ac:dyDescent="0.2">
      <c r="A22" s="3">
        <v>39807</v>
      </c>
      <c r="B22" s="3" t="str">
        <f>IF(MONTH(Data[[#This Row],[Date]])&gt;3,YEAR(Data[[#This Row],[Date]])&amp;"-"&amp;YEAR(Data[[#This Row],[Date]])+1,YEAR(Data[[#This Row],[Date]])-1&amp;"-"&amp;YEAR(Data[[#This Row],[Date]]))</f>
        <v>2008-2009</v>
      </c>
      <c r="C22" s="3" t="str">
        <f>"Q"&amp;CEILING(MONTH(EDATE(Data[[#This Row],[Date]],-3)),3)/3</f>
        <v>Q3</v>
      </c>
      <c r="D22" s="4" t="s">
        <v>27</v>
      </c>
      <c r="E22" s="4" t="s">
        <v>29</v>
      </c>
      <c r="F22" s="5">
        <v>12250</v>
      </c>
      <c r="G22" s="5">
        <f>Data[[#This Row],[Amount]]-Data[[#This Row],[Profit]]</f>
        <v>8930</v>
      </c>
      <c r="H22" s="5">
        <v>3320</v>
      </c>
      <c r="I22" s="5" t="s">
        <v>22</v>
      </c>
    </row>
    <row r="23" spans="1:9" ht="12.75" x14ac:dyDescent="0.2">
      <c r="A23" s="3">
        <v>39003</v>
      </c>
      <c r="B23" s="3" t="str">
        <f>IF(MONTH(Data[[#This Row],[Date]])&gt;3,YEAR(Data[[#This Row],[Date]])&amp;"-"&amp;YEAR(Data[[#This Row],[Date]])+1,YEAR(Data[[#This Row],[Date]])-1&amp;"-"&amp;YEAR(Data[[#This Row],[Date]]))</f>
        <v>2006-2007</v>
      </c>
      <c r="C23" s="3" t="str">
        <f>"Q"&amp;CEILING(MONTH(EDATE(Data[[#This Row],[Date]],-3)),3)/3</f>
        <v>Q3</v>
      </c>
      <c r="D23" s="4" t="s">
        <v>23</v>
      </c>
      <c r="E23" s="4" t="s">
        <v>21</v>
      </c>
      <c r="F23" s="5">
        <v>12050</v>
      </c>
      <c r="G23" s="5">
        <f>Data[[#This Row],[Amount]]-Data[[#This Row],[Profit]]</f>
        <v>7270</v>
      </c>
      <c r="H23" s="5">
        <v>4780</v>
      </c>
      <c r="I23" s="5" t="s">
        <v>8</v>
      </c>
    </row>
    <row r="24" spans="1:9" ht="12.75" x14ac:dyDescent="0.2">
      <c r="A24" s="3">
        <v>39210</v>
      </c>
      <c r="B24" s="3" t="str">
        <f>IF(MONTH(Data[[#This Row],[Date]])&gt;3,YEAR(Data[[#This Row],[Date]])&amp;"-"&amp;YEAR(Data[[#This Row],[Date]])+1,YEAR(Data[[#This Row],[Date]])-1&amp;"-"&amp;YEAR(Data[[#This Row],[Date]]))</f>
        <v>2007-2008</v>
      </c>
      <c r="C24" s="3" t="str">
        <f>"Q"&amp;CEILING(MONTH(EDATE(Data[[#This Row],[Date]],-3)),3)/3</f>
        <v>Q1</v>
      </c>
      <c r="D24" s="4" t="s">
        <v>25</v>
      </c>
      <c r="E24" s="4" t="s">
        <v>28</v>
      </c>
      <c r="F24" s="5">
        <v>12500</v>
      </c>
      <c r="G24" s="5">
        <f>Data[[#This Row],[Amount]]-Data[[#This Row],[Profit]]</f>
        <v>9140</v>
      </c>
      <c r="H24" s="5">
        <v>3360</v>
      </c>
      <c r="I24" s="5" t="s">
        <v>11</v>
      </c>
    </row>
    <row r="25" spans="1:9" ht="12.75" x14ac:dyDescent="0.2">
      <c r="A25" s="3">
        <v>38686</v>
      </c>
      <c r="B25" s="3" t="str">
        <f>IF(MONTH(Data[[#This Row],[Date]])&gt;3,YEAR(Data[[#This Row],[Date]])&amp;"-"&amp;YEAR(Data[[#This Row],[Date]])+1,YEAR(Data[[#This Row],[Date]])-1&amp;"-"&amp;YEAR(Data[[#This Row],[Date]]))</f>
        <v>2005-2006</v>
      </c>
      <c r="C25" s="3" t="str">
        <f>"Q"&amp;CEILING(MONTH(EDATE(Data[[#This Row],[Date]],-3)),3)/3</f>
        <v>Q3</v>
      </c>
      <c r="D25" s="4" t="s">
        <v>32</v>
      </c>
      <c r="E25" s="4" t="s">
        <v>28</v>
      </c>
      <c r="F25" s="5">
        <v>14650</v>
      </c>
      <c r="G25" s="5">
        <f>Data[[#This Row],[Amount]]-Data[[#This Row],[Profit]]</f>
        <v>10270</v>
      </c>
      <c r="H25" s="5">
        <v>4380</v>
      </c>
      <c r="I25" s="5" t="s">
        <v>8</v>
      </c>
    </row>
    <row r="26" spans="1:9" ht="12.75" x14ac:dyDescent="0.2">
      <c r="A26" s="3">
        <v>39146</v>
      </c>
      <c r="B26" s="3" t="str">
        <f>IF(MONTH(Data[[#This Row],[Date]])&gt;3,YEAR(Data[[#This Row],[Date]])&amp;"-"&amp;YEAR(Data[[#This Row],[Date]])+1,YEAR(Data[[#This Row],[Date]])-1&amp;"-"&amp;YEAR(Data[[#This Row],[Date]]))</f>
        <v>2006-2007</v>
      </c>
      <c r="C26" s="3" t="str">
        <f>"Q"&amp;CEILING(MONTH(EDATE(Data[[#This Row],[Date]],-3)),3)/3</f>
        <v>Q4</v>
      </c>
      <c r="D26" s="4" t="s">
        <v>12</v>
      </c>
      <c r="E26" s="4" t="s">
        <v>28</v>
      </c>
      <c r="F26" s="5">
        <v>11700</v>
      </c>
      <c r="G26" s="5">
        <f>Data[[#This Row],[Amount]]-Data[[#This Row],[Profit]]</f>
        <v>5920</v>
      </c>
      <c r="H26" s="5">
        <v>5780</v>
      </c>
      <c r="I26" s="5" t="s">
        <v>8</v>
      </c>
    </row>
    <row r="27" spans="1:9" ht="12.75" x14ac:dyDescent="0.2">
      <c r="A27" s="3">
        <v>39339</v>
      </c>
      <c r="B27" s="3" t="str">
        <f>IF(MONTH(Data[[#This Row],[Date]])&gt;3,YEAR(Data[[#This Row],[Date]])&amp;"-"&amp;YEAR(Data[[#This Row],[Date]])+1,YEAR(Data[[#This Row],[Date]])-1&amp;"-"&amp;YEAR(Data[[#This Row],[Date]]))</f>
        <v>2007-2008</v>
      </c>
      <c r="C27" s="3" t="str">
        <f>"Q"&amp;CEILING(MONTH(EDATE(Data[[#This Row],[Date]],-3)),3)/3</f>
        <v>Q2</v>
      </c>
      <c r="D27" s="4" t="s">
        <v>12</v>
      </c>
      <c r="E27" s="4" t="s">
        <v>17</v>
      </c>
      <c r="F27" s="5">
        <v>11850</v>
      </c>
      <c r="G27" s="5">
        <f>Data[[#This Row],[Amount]]-Data[[#This Row],[Profit]]</f>
        <v>6790</v>
      </c>
      <c r="H27" s="5">
        <v>5060</v>
      </c>
      <c r="I27" s="5" t="s">
        <v>15</v>
      </c>
    </row>
    <row r="28" spans="1:9" ht="12.75" x14ac:dyDescent="0.2">
      <c r="A28" s="3">
        <v>38796</v>
      </c>
      <c r="B28" s="3" t="str">
        <f>IF(MONTH(Data[[#This Row],[Date]])&gt;3,YEAR(Data[[#This Row],[Date]])&amp;"-"&amp;YEAR(Data[[#This Row],[Date]])+1,YEAR(Data[[#This Row],[Date]])-1&amp;"-"&amp;YEAR(Data[[#This Row],[Date]]))</f>
        <v>2005-2006</v>
      </c>
      <c r="C28" s="3" t="str">
        <f>"Q"&amp;CEILING(MONTH(EDATE(Data[[#This Row],[Date]],-3)),3)/3</f>
        <v>Q4</v>
      </c>
      <c r="D28" s="4" t="s">
        <v>14</v>
      </c>
      <c r="E28" s="4" t="s">
        <v>26</v>
      </c>
      <c r="F28" s="5">
        <v>11800</v>
      </c>
      <c r="G28" s="5">
        <f>Data[[#This Row],[Amount]]-Data[[#This Row],[Profit]]</f>
        <v>9260</v>
      </c>
      <c r="H28" s="5">
        <v>2540</v>
      </c>
      <c r="I28" s="5" t="s">
        <v>8</v>
      </c>
    </row>
    <row r="29" spans="1:9" ht="12.75" x14ac:dyDescent="0.2">
      <c r="A29" s="3">
        <v>38971</v>
      </c>
      <c r="B29" s="3" t="str">
        <f>IF(MONTH(Data[[#This Row],[Date]])&gt;3,YEAR(Data[[#This Row],[Date]])&amp;"-"&amp;YEAR(Data[[#This Row],[Date]])+1,YEAR(Data[[#This Row],[Date]])-1&amp;"-"&amp;YEAR(Data[[#This Row],[Date]]))</f>
        <v>2006-2007</v>
      </c>
      <c r="C29" s="3" t="str">
        <f>"Q"&amp;CEILING(MONTH(EDATE(Data[[#This Row],[Date]],-3)),3)/3</f>
        <v>Q2</v>
      </c>
      <c r="D29" s="4" t="s">
        <v>23</v>
      </c>
      <c r="E29" s="4" t="s">
        <v>10</v>
      </c>
      <c r="F29" s="5">
        <v>14600</v>
      </c>
      <c r="G29" s="5">
        <f>Data[[#This Row],[Amount]]-Data[[#This Row],[Profit]]</f>
        <v>9600</v>
      </c>
      <c r="H29" s="5">
        <v>5000</v>
      </c>
      <c r="I29" s="5" t="s">
        <v>11</v>
      </c>
    </row>
    <row r="30" spans="1:9" ht="12.75" x14ac:dyDescent="0.2">
      <c r="A30" s="3">
        <v>39485</v>
      </c>
      <c r="B30" s="3" t="str">
        <f>IF(MONTH(Data[[#This Row],[Date]])&gt;3,YEAR(Data[[#This Row],[Date]])&amp;"-"&amp;YEAR(Data[[#This Row],[Date]])+1,YEAR(Data[[#This Row],[Date]])-1&amp;"-"&amp;YEAR(Data[[#This Row],[Date]]))</f>
        <v>2007-2008</v>
      </c>
      <c r="C30" s="3" t="str">
        <f>"Q"&amp;CEILING(MONTH(EDATE(Data[[#This Row],[Date]],-3)),3)/3</f>
        <v>Q4</v>
      </c>
      <c r="D30" s="4" t="s">
        <v>6</v>
      </c>
      <c r="E30" s="4" t="s">
        <v>30</v>
      </c>
      <c r="F30" s="5">
        <v>14750</v>
      </c>
      <c r="G30" s="5">
        <f>Data[[#This Row],[Amount]]-Data[[#This Row],[Profit]]</f>
        <v>9290</v>
      </c>
      <c r="H30" s="5">
        <v>5460</v>
      </c>
      <c r="I30" s="5" t="s">
        <v>15</v>
      </c>
    </row>
    <row r="31" spans="1:9" ht="12.75" x14ac:dyDescent="0.2">
      <c r="A31" s="3">
        <v>38725</v>
      </c>
      <c r="B31" s="3" t="str">
        <f>IF(MONTH(Data[[#This Row],[Date]])&gt;3,YEAR(Data[[#This Row],[Date]])&amp;"-"&amp;YEAR(Data[[#This Row],[Date]])+1,YEAR(Data[[#This Row],[Date]])-1&amp;"-"&amp;YEAR(Data[[#This Row],[Date]]))</f>
        <v>2005-2006</v>
      </c>
      <c r="C31" s="3" t="str">
        <f>"Q"&amp;CEILING(MONTH(EDATE(Data[[#This Row],[Date]],-3)),3)/3</f>
        <v>Q4</v>
      </c>
      <c r="D31" s="4" t="s">
        <v>6</v>
      </c>
      <c r="E31" s="4" t="s">
        <v>24</v>
      </c>
      <c r="F31" s="5">
        <v>11150</v>
      </c>
      <c r="G31" s="5">
        <f>Data[[#This Row],[Amount]]-Data[[#This Row],[Profit]]</f>
        <v>6290</v>
      </c>
      <c r="H31" s="5">
        <v>4860</v>
      </c>
      <c r="I31" s="5" t="s">
        <v>11</v>
      </c>
    </row>
    <row r="32" spans="1:9" ht="12.75" x14ac:dyDescent="0.2">
      <c r="A32" s="3">
        <v>39263</v>
      </c>
      <c r="B32" s="3" t="str">
        <f>IF(MONTH(Data[[#This Row],[Date]])&gt;3,YEAR(Data[[#This Row],[Date]])&amp;"-"&amp;YEAR(Data[[#This Row],[Date]])+1,YEAR(Data[[#This Row],[Date]])-1&amp;"-"&amp;YEAR(Data[[#This Row],[Date]]))</f>
        <v>2007-2008</v>
      </c>
      <c r="C32" s="3" t="str">
        <f>"Q"&amp;CEILING(MONTH(EDATE(Data[[#This Row],[Date]],-3)),3)/3</f>
        <v>Q1</v>
      </c>
      <c r="D32" s="4" t="s">
        <v>12</v>
      </c>
      <c r="E32" s="4" t="s">
        <v>17</v>
      </c>
      <c r="F32" s="5">
        <v>12750</v>
      </c>
      <c r="G32" s="5">
        <f>Data[[#This Row],[Amount]]-Data[[#This Row],[Profit]]</f>
        <v>7110</v>
      </c>
      <c r="H32" s="5">
        <v>5640</v>
      </c>
      <c r="I32" s="5" t="s">
        <v>15</v>
      </c>
    </row>
    <row r="33" spans="1:9" ht="12.75" x14ac:dyDescent="0.2">
      <c r="A33" s="3">
        <v>39212</v>
      </c>
      <c r="B33" s="3" t="str">
        <f>IF(MONTH(Data[[#This Row],[Date]])&gt;3,YEAR(Data[[#This Row],[Date]])&amp;"-"&amp;YEAR(Data[[#This Row],[Date]])+1,YEAR(Data[[#This Row],[Date]])-1&amp;"-"&amp;YEAR(Data[[#This Row],[Date]]))</f>
        <v>2007-2008</v>
      </c>
      <c r="C33" s="3" t="str">
        <f>"Q"&amp;CEILING(MONTH(EDATE(Data[[#This Row],[Date]],-3)),3)/3</f>
        <v>Q1</v>
      </c>
      <c r="D33" s="4" t="s">
        <v>20</v>
      </c>
      <c r="E33" s="4" t="s">
        <v>17</v>
      </c>
      <c r="F33" s="5">
        <v>11950</v>
      </c>
      <c r="G33" s="5">
        <f>Data[[#This Row],[Amount]]-Data[[#This Row],[Profit]]</f>
        <v>9590</v>
      </c>
      <c r="H33" s="5">
        <v>2360</v>
      </c>
      <c r="I33" s="5" t="s">
        <v>8</v>
      </c>
    </row>
    <row r="34" spans="1:9" ht="12.75" x14ac:dyDescent="0.2">
      <c r="A34" s="3">
        <v>39487</v>
      </c>
      <c r="B34" s="3" t="str">
        <f>IF(MONTH(Data[[#This Row],[Date]])&gt;3,YEAR(Data[[#This Row],[Date]])&amp;"-"&amp;YEAR(Data[[#This Row],[Date]])+1,YEAR(Data[[#This Row],[Date]])-1&amp;"-"&amp;YEAR(Data[[#This Row],[Date]]))</f>
        <v>2007-2008</v>
      </c>
      <c r="C34" s="3" t="str">
        <f>"Q"&amp;CEILING(MONTH(EDATE(Data[[#This Row],[Date]],-3)),3)/3</f>
        <v>Q4</v>
      </c>
      <c r="D34" s="4" t="s">
        <v>18</v>
      </c>
      <c r="E34" s="4" t="s">
        <v>21</v>
      </c>
      <c r="F34" s="5">
        <v>10700</v>
      </c>
      <c r="G34" s="5">
        <f>Data[[#This Row],[Amount]]-Data[[#This Row],[Profit]]</f>
        <v>6180</v>
      </c>
      <c r="H34" s="5">
        <v>4520</v>
      </c>
      <c r="I34" s="5" t="s">
        <v>22</v>
      </c>
    </row>
    <row r="35" spans="1:9" ht="12.75" x14ac:dyDescent="0.2">
      <c r="A35" s="3">
        <v>39587</v>
      </c>
      <c r="B35" s="3" t="str">
        <f>IF(MONTH(Data[[#This Row],[Date]])&gt;3,YEAR(Data[[#This Row],[Date]])&amp;"-"&amp;YEAR(Data[[#This Row],[Date]])+1,YEAR(Data[[#This Row],[Date]])-1&amp;"-"&amp;YEAR(Data[[#This Row],[Date]]))</f>
        <v>2008-2009</v>
      </c>
      <c r="C35" s="3" t="str">
        <f>"Q"&amp;CEILING(MONTH(EDATE(Data[[#This Row],[Date]],-3)),3)/3</f>
        <v>Q1</v>
      </c>
      <c r="D35" s="4" t="s">
        <v>32</v>
      </c>
      <c r="E35" s="4" t="s">
        <v>24</v>
      </c>
      <c r="F35" s="5">
        <v>14850</v>
      </c>
      <c r="G35" s="5">
        <f>Data[[#This Row],[Amount]]-Data[[#This Row],[Profit]]</f>
        <v>9430</v>
      </c>
      <c r="H35" s="5">
        <v>5420</v>
      </c>
      <c r="I35" s="5" t="s">
        <v>22</v>
      </c>
    </row>
    <row r="36" spans="1:9" ht="12.75" x14ac:dyDescent="0.2">
      <c r="A36" s="3">
        <v>39584</v>
      </c>
      <c r="B36" s="3" t="str">
        <f>IF(MONTH(Data[[#This Row],[Date]])&gt;3,YEAR(Data[[#This Row],[Date]])&amp;"-"&amp;YEAR(Data[[#This Row],[Date]])+1,YEAR(Data[[#This Row],[Date]])-1&amp;"-"&amp;YEAR(Data[[#This Row],[Date]]))</f>
        <v>2008-2009</v>
      </c>
      <c r="C36" s="3" t="str">
        <f>"Q"&amp;CEILING(MONTH(EDATE(Data[[#This Row],[Date]],-3)),3)/3</f>
        <v>Q1</v>
      </c>
      <c r="D36" s="4" t="s">
        <v>14</v>
      </c>
      <c r="E36" s="4" t="s">
        <v>17</v>
      </c>
      <c r="F36" s="5">
        <v>10400</v>
      </c>
      <c r="G36" s="5">
        <f>Data[[#This Row],[Amount]]-Data[[#This Row],[Profit]]</f>
        <v>6380</v>
      </c>
      <c r="H36" s="5">
        <v>4020</v>
      </c>
      <c r="I36" s="5" t="s">
        <v>8</v>
      </c>
    </row>
    <row r="37" spans="1:9" ht="12.75" x14ac:dyDescent="0.2">
      <c r="A37" s="3">
        <v>38940</v>
      </c>
      <c r="B37" s="3" t="str">
        <f>IF(MONTH(Data[[#This Row],[Date]])&gt;3,YEAR(Data[[#This Row],[Date]])&amp;"-"&amp;YEAR(Data[[#This Row],[Date]])+1,YEAR(Data[[#This Row],[Date]])-1&amp;"-"&amp;YEAR(Data[[#This Row],[Date]]))</f>
        <v>2006-2007</v>
      </c>
      <c r="C37" s="3" t="str">
        <f>"Q"&amp;CEILING(MONTH(EDATE(Data[[#This Row],[Date]],-3)),3)/3</f>
        <v>Q2</v>
      </c>
      <c r="D37" s="4" t="s">
        <v>20</v>
      </c>
      <c r="E37" s="4" t="s">
        <v>19</v>
      </c>
      <c r="F37" s="5">
        <v>11250</v>
      </c>
      <c r="G37" s="5">
        <f>Data[[#This Row],[Amount]]-Data[[#This Row],[Profit]]</f>
        <v>5750</v>
      </c>
      <c r="H37" s="5">
        <v>5500</v>
      </c>
      <c r="I37" s="5" t="s">
        <v>22</v>
      </c>
    </row>
    <row r="38" spans="1:9" ht="12.75" x14ac:dyDescent="0.2">
      <c r="A38" s="3">
        <v>39693</v>
      </c>
      <c r="B38" s="3" t="str">
        <f>IF(MONTH(Data[[#This Row],[Date]])&gt;3,YEAR(Data[[#This Row],[Date]])&amp;"-"&amp;YEAR(Data[[#This Row],[Date]])+1,YEAR(Data[[#This Row],[Date]])-1&amp;"-"&amp;YEAR(Data[[#This Row],[Date]]))</f>
        <v>2008-2009</v>
      </c>
      <c r="C38" s="3" t="str">
        <f>"Q"&amp;CEILING(MONTH(EDATE(Data[[#This Row],[Date]],-3)),3)/3</f>
        <v>Q2</v>
      </c>
      <c r="D38" s="4" t="s">
        <v>32</v>
      </c>
      <c r="E38" s="4" t="s">
        <v>19</v>
      </c>
      <c r="F38" s="5">
        <v>13300</v>
      </c>
      <c r="G38" s="5">
        <f>Data[[#This Row],[Amount]]-Data[[#This Row],[Profit]]</f>
        <v>7980</v>
      </c>
      <c r="H38" s="5">
        <v>5320</v>
      </c>
      <c r="I38" s="5" t="s">
        <v>11</v>
      </c>
    </row>
    <row r="39" spans="1:9" ht="12.75" x14ac:dyDescent="0.2">
      <c r="A39" s="3">
        <v>38717</v>
      </c>
      <c r="B39" s="3" t="str">
        <f>IF(MONTH(Data[[#This Row],[Date]])&gt;3,YEAR(Data[[#This Row],[Date]])&amp;"-"&amp;YEAR(Data[[#This Row],[Date]])+1,YEAR(Data[[#This Row],[Date]])-1&amp;"-"&amp;YEAR(Data[[#This Row],[Date]]))</f>
        <v>2005-2006</v>
      </c>
      <c r="C39" s="3" t="str">
        <f>"Q"&amp;CEILING(MONTH(EDATE(Data[[#This Row],[Date]],-3)),3)/3</f>
        <v>Q3</v>
      </c>
      <c r="D39" s="4" t="s">
        <v>18</v>
      </c>
      <c r="E39" s="4" t="s">
        <v>10</v>
      </c>
      <c r="F39" s="5">
        <v>12600</v>
      </c>
      <c r="G39" s="5">
        <f>Data[[#This Row],[Amount]]-Data[[#This Row],[Profit]]</f>
        <v>7040</v>
      </c>
      <c r="H39" s="5">
        <v>5560</v>
      </c>
      <c r="I39" s="5" t="s">
        <v>22</v>
      </c>
    </row>
    <row r="40" spans="1:9" ht="12.75" x14ac:dyDescent="0.2">
      <c r="A40" s="3">
        <v>38899</v>
      </c>
      <c r="B40" s="3" t="str">
        <f>IF(MONTH(Data[[#This Row],[Date]])&gt;3,YEAR(Data[[#This Row],[Date]])&amp;"-"&amp;YEAR(Data[[#This Row],[Date]])+1,YEAR(Data[[#This Row],[Date]])-1&amp;"-"&amp;YEAR(Data[[#This Row],[Date]]))</f>
        <v>2006-2007</v>
      </c>
      <c r="C40" s="3" t="str">
        <f>"Q"&amp;CEILING(MONTH(EDATE(Data[[#This Row],[Date]],-3)),3)/3</f>
        <v>Q2</v>
      </c>
      <c r="D40" s="4" t="s">
        <v>32</v>
      </c>
      <c r="E40" s="4" t="s">
        <v>10</v>
      </c>
      <c r="F40" s="5">
        <v>13550</v>
      </c>
      <c r="G40" s="5">
        <f>Data[[#This Row],[Amount]]-Data[[#This Row],[Profit]]</f>
        <v>10150</v>
      </c>
      <c r="H40" s="5">
        <v>3400</v>
      </c>
      <c r="I40" s="5" t="s">
        <v>22</v>
      </c>
    </row>
    <row r="41" spans="1:9" ht="12.75" x14ac:dyDescent="0.2">
      <c r="A41" s="3">
        <v>39190</v>
      </c>
      <c r="B41" s="3" t="str">
        <f>IF(MONTH(Data[[#This Row],[Date]])&gt;3,YEAR(Data[[#This Row],[Date]])&amp;"-"&amp;YEAR(Data[[#This Row],[Date]])+1,YEAR(Data[[#This Row],[Date]])-1&amp;"-"&amp;YEAR(Data[[#This Row],[Date]]))</f>
        <v>2007-2008</v>
      </c>
      <c r="C41" s="3" t="str">
        <f>"Q"&amp;CEILING(MONTH(EDATE(Data[[#This Row],[Date]],-3)),3)/3</f>
        <v>Q1</v>
      </c>
      <c r="D41" s="4" t="s">
        <v>14</v>
      </c>
      <c r="E41" s="4" t="s">
        <v>19</v>
      </c>
      <c r="F41" s="5">
        <v>12700</v>
      </c>
      <c r="G41" s="5">
        <f>Data[[#This Row],[Amount]]-Data[[#This Row],[Profit]]</f>
        <v>7980</v>
      </c>
      <c r="H41" s="5">
        <v>4720</v>
      </c>
      <c r="I41" s="5" t="s">
        <v>11</v>
      </c>
    </row>
    <row r="42" spans="1:9" ht="12.75" x14ac:dyDescent="0.2">
      <c r="A42" s="3">
        <v>38630</v>
      </c>
      <c r="B42" s="3" t="str">
        <f>IF(MONTH(Data[[#This Row],[Date]])&gt;3,YEAR(Data[[#This Row],[Date]])&amp;"-"&amp;YEAR(Data[[#This Row],[Date]])+1,YEAR(Data[[#This Row],[Date]])-1&amp;"-"&amp;YEAR(Data[[#This Row],[Date]]))</f>
        <v>2005-2006</v>
      </c>
      <c r="C42" s="3" t="str">
        <f>"Q"&amp;CEILING(MONTH(EDATE(Data[[#This Row],[Date]],-3)),3)/3</f>
        <v>Q3</v>
      </c>
      <c r="D42" s="4" t="s">
        <v>25</v>
      </c>
      <c r="E42" s="4" t="s">
        <v>13</v>
      </c>
      <c r="F42" s="5">
        <v>13650</v>
      </c>
      <c r="G42" s="5">
        <f>Data[[#This Row],[Amount]]-Data[[#This Row],[Profit]]</f>
        <v>8310</v>
      </c>
      <c r="H42" s="5">
        <v>5340</v>
      </c>
      <c r="I42" s="5" t="s">
        <v>22</v>
      </c>
    </row>
    <row r="43" spans="1:9" ht="12.75" x14ac:dyDescent="0.2">
      <c r="A43" s="3">
        <v>38714</v>
      </c>
      <c r="B43" s="3" t="str">
        <f>IF(MONTH(Data[[#This Row],[Date]])&gt;3,YEAR(Data[[#This Row],[Date]])&amp;"-"&amp;YEAR(Data[[#This Row],[Date]])+1,YEAR(Data[[#This Row],[Date]])-1&amp;"-"&amp;YEAR(Data[[#This Row],[Date]]))</f>
        <v>2005-2006</v>
      </c>
      <c r="C43" s="3" t="str">
        <f>"Q"&amp;CEILING(MONTH(EDATE(Data[[#This Row],[Date]],-3)),3)/3</f>
        <v>Q3</v>
      </c>
      <c r="D43" s="4" t="s">
        <v>27</v>
      </c>
      <c r="E43" s="4" t="s">
        <v>24</v>
      </c>
      <c r="F43" s="5">
        <v>13600</v>
      </c>
      <c r="G43" s="5">
        <f>Data[[#This Row],[Amount]]-Data[[#This Row],[Profit]]</f>
        <v>8100</v>
      </c>
      <c r="H43" s="5">
        <v>5500</v>
      </c>
      <c r="I43" s="5" t="s">
        <v>22</v>
      </c>
    </row>
    <row r="44" spans="1:9" ht="12.75" x14ac:dyDescent="0.2">
      <c r="A44" s="3">
        <v>39495</v>
      </c>
      <c r="B44" s="3" t="str">
        <f>IF(MONTH(Data[[#This Row],[Date]])&gt;3,YEAR(Data[[#This Row],[Date]])&amp;"-"&amp;YEAR(Data[[#This Row],[Date]])+1,YEAR(Data[[#This Row],[Date]])-1&amp;"-"&amp;YEAR(Data[[#This Row],[Date]]))</f>
        <v>2007-2008</v>
      </c>
      <c r="C44" s="3" t="str">
        <f>"Q"&amp;CEILING(MONTH(EDATE(Data[[#This Row],[Date]],-3)),3)/3</f>
        <v>Q4</v>
      </c>
      <c r="D44" s="4" t="s">
        <v>6</v>
      </c>
      <c r="E44" s="4" t="s">
        <v>33</v>
      </c>
      <c r="F44" s="5">
        <v>11800</v>
      </c>
      <c r="G44" s="5">
        <f>Data[[#This Row],[Amount]]-Data[[#This Row],[Profit]]</f>
        <v>9380</v>
      </c>
      <c r="H44" s="5">
        <v>2420</v>
      </c>
      <c r="I44" s="5" t="s">
        <v>8</v>
      </c>
    </row>
    <row r="45" spans="1:9" ht="12.75" x14ac:dyDescent="0.2">
      <c r="A45" s="3">
        <v>38915</v>
      </c>
      <c r="B45" s="3" t="str">
        <f>IF(MONTH(Data[[#This Row],[Date]])&gt;3,YEAR(Data[[#This Row],[Date]])&amp;"-"&amp;YEAR(Data[[#This Row],[Date]])+1,YEAR(Data[[#This Row],[Date]])-1&amp;"-"&amp;YEAR(Data[[#This Row],[Date]]))</f>
        <v>2006-2007</v>
      </c>
      <c r="C45" s="3" t="str">
        <f>"Q"&amp;CEILING(MONTH(EDATE(Data[[#This Row],[Date]],-3)),3)/3</f>
        <v>Q2</v>
      </c>
      <c r="D45" s="4" t="s">
        <v>16</v>
      </c>
      <c r="E45" s="4" t="s">
        <v>13</v>
      </c>
      <c r="F45" s="5">
        <v>13800</v>
      </c>
      <c r="G45" s="5">
        <f>Data[[#This Row],[Amount]]-Data[[#This Row],[Profit]]</f>
        <v>8340</v>
      </c>
      <c r="H45" s="5">
        <v>5460</v>
      </c>
      <c r="I45" s="5" t="s">
        <v>8</v>
      </c>
    </row>
    <row r="46" spans="1:9" ht="12.75" x14ac:dyDescent="0.2">
      <c r="A46" s="3">
        <v>38982</v>
      </c>
      <c r="B46" s="3" t="str">
        <f>IF(MONTH(Data[[#This Row],[Date]])&gt;3,YEAR(Data[[#This Row],[Date]])&amp;"-"&amp;YEAR(Data[[#This Row],[Date]])+1,YEAR(Data[[#This Row],[Date]])-1&amp;"-"&amp;YEAR(Data[[#This Row],[Date]]))</f>
        <v>2006-2007</v>
      </c>
      <c r="C46" s="3" t="str">
        <f>"Q"&amp;CEILING(MONTH(EDATE(Data[[#This Row],[Date]],-3)),3)/3</f>
        <v>Q2</v>
      </c>
      <c r="D46" s="4" t="s">
        <v>25</v>
      </c>
      <c r="E46" s="4" t="s">
        <v>7</v>
      </c>
      <c r="F46" s="5">
        <v>14550</v>
      </c>
      <c r="G46" s="5">
        <f>Data[[#This Row],[Amount]]-Data[[#This Row],[Profit]]</f>
        <v>10390</v>
      </c>
      <c r="H46" s="5">
        <v>4160</v>
      </c>
      <c r="I46" s="5" t="s">
        <v>8</v>
      </c>
    </row>
    <row r="47" spans="1:9" ht="12.75" x14ac:dyDescent="0.2">
      <c r="A47" s="3">
        <v>38775</v>
      </c>
      <c r="B47" s="3" t="str">
        <f>IF(MONTH(Data[[#This Row],[Date]])&gt;3,YEAR(Data[[#This Row],[Date]])&amp;"-"&amp;YEAR(Data[[#This Row],[Date]])+1,YEAR(Data[[#This Row],[Date]])-1&amp;"-"&amp;YEAR(Data[[#This Row],[Date]]))</f>
        <v>2005-2006</v>
      </c>
      <c r="C47" s="3" t="str">
        <f>"Q"&amp;CEILING(MONTH(EDATE(Data[[#This Row],[Date]],-3)),3)/3</f>
        <v>Q4</v>
      </c>
      <c r="D47" s="4" t="s">
        <v>12</v>
      </c>
      <c r="E47" s="4" t="s">
        <v>7</v>
      </c>
      <c r="F47" s="5">
        <v>14350</v>
      </c>
      <c r="G47" s="5">
        <f>Data[[#This Row],[Amount]]-Data[[#This Row],[Profit]]</f>
        <v>11690</v>
      </c>
      <c r="H47" s="5">
        <v>2660</v>
      </c>
      <c r="I47" s="5" t="s">
        <v>15</v>
      </c>
    </row>
    <row r="48" spans="1:9" ht="12.75" x14ac:dyDescent="0.2">
      <c r="A48" s="3">
        <v>39331</v>
      </c>
      <c r="B48" s="3" t="str">
        <f>IF(MONTH(Data[[#This Row],[Date]])&gt;3,YEAR(Data[[#This Row],[Date]])&amp;"-"&amp;YEAR(Data[[#This Row],[Date]])+1,YEAR(Data[[#This Row],[Date]])-1&amp;"-"&amp;YEAR(Data[[#This Row],[Date]]))</f>
        <v>2007-2008</v>
      </c>
      <c r="C48" s="3" t="str">
        <f>"Q"&amp;CEILING(MONTH(EDATE(Data[[#This Row],[Date]],-3)),3)/3</f>
        <v>Q2</v>
      </c>
      <c r="D48" s="4" t="s">
        <v>31</v>
      </c>
      <c r="E48" s="4" t="s">
        <v>19</v>
      </c>
      <c r="F48" s="5">
        <v>11450</v>
      </c>
      <c r="G48" s="5">
        <f>Data[[#This Row],[Amount]]-Data[[#This Row],[Profit]]</f>
        <v>7350</v>
      </c>
      <c r="H48" s="5">
        <v>4100</v>
      </c>
      <c r="I48" s="5" t="s">
        <v>22</v>
      </c>
    </row>
    <row r="49" spans="1:9" ht="12.75" x14ac:dyDescent="0.2">
      <c r="A49" s="3">
        <v>38683</v>
      </c>
      <c r="B49" s="3" t="str">
        <f>IF(MONTH(Data[[#This Row],[Date]])&gt;3,YEAR(Data[[#This Row],[Date]])&amp;"-"&amp;YEAR(Data[[#This Row],[Date]])+1,YEAR(Data[[#This Row],[Date]])-1&amp;"-"&amp;YEAR(Data[[#This Row],[Date]]))</f>
        <v>2005-2006</v>
      </c>
      <c r="C49" s="3" t="str">
        <f>"Q"&amp;CEILING(MONTH(EDATE(Data[[#This Row],[Date]],-3)),3)/3</f>
        <v>Q3</v>
      </c>
      <c r="D49" s="4" t="s">
        <v>31</v>
      </c>
      <c r="E49" s="4" t="s">
        <v>7</v>
      </c>
      <c r="F49" s="5">
        <v>14350</v>
      </c>
      <c r="G49" s="5">
        <f>Data[[#This Row],[Amount]]-Data[[#This Row],[Profit]]</f>
        <v>9450</v>
      </c>
      <c r="H49" s="5">
        <v>4900</v>
      </c>
      <c r="I49" s="5" t="s">
        <v>22</v>
      </c>
    </row>
    <row r="50" spans="1:9" ht="12.75" x14ac:dyDescent="0.2">
      <c r="A50" s="3">
        <v>39502</v>
      </c>
      <c r="B50" s="3" t="str">
        <f>IF(MONTH(Data[[#This Row],[Date]])&gt;3,YEAR(Data[[#This Row],[Date]])&amp;"-"&amp;YEAR(Data[[#This Row],[Date]])+1,YEAR(Data[[#This Row],[Date]])-1&amp;"-"&amp;YEAR(Data[[#This Row],[Date]]))</f>
        <v>2007-2008</v>
      </c>
      <c r="C50" s="3" t="str">
        <f>"Q"&amp;CEILING(MONTH(EDATE(Data[[#This Row],[Date]],-3)),3)/3</f>
        <v>Q4</v>
      </c>
      <c r="D50" s="4" t="s">
        <v>12</v>
      </c>
      <c r="E50" s="4" t="s">
        <v>28</v>
      </c>
      <c r="F50" s="5">
        <v>10500</v>
      </c>
      <c r="G50" s="5">
        <f>Data[[#This Row],[Amount]]-Data[[#This Row],[Profit]]</f>
        <v>7940</v>
      </c>
      <c r="H50" s="5">
        <v>2560</v>
      </c>
      <c r="I50" s="5" t="s">
        <v>8</v>
      </c>
    </row>
    <row r="51" spans="1:9" ht="12.75" x14ac:dyDescent="0.2">
      <c r="A51" s="3">
        <v>39654</v>
      </c>
      <c r="B51" s="3" t="str">
        <f>IF(MONTH(Data[[#This Row],[Date]])&gt;3,YEAR(Data[[#This Row],[Date]])&amp;"-"&amp;YEAR(Data[[#This Row],[Date]])+1,YEAR(Data[[#This Row],[Date]])-1&amp;"-"&amp;YEAR(Data[[#This Row],[Date]]))</f>
        <v>2008-2009</v>
      </c>
      <c r="C51" s="3" t="str">
        <f>"Q"&amp;CEILING(MONTH(EDATE(Data[[#This Row],[Date]],-3)),3)/3</f>
        <v>Q2</v>
      </c>
      <c r="D51" s="4" t="s">
        <v>27</v>
      </c>
      <c r="E51" s="4" t="s">
        <v>7</v>
      </c>
      <c r="F51" s="5">
        <v>10000</v>
      </c>
      <c r="G51" s="5">
        <f>Data[[#This Row],[Amount]]-Data[[#This Row],[Profit]]</f>
        <v>7640</v>
      </c>
      <c r="H51" s="5">
        <v>2360</v>
      </c>
      <c r="I51" s="5" t="s">
        <v>22</v>
      </c>
    </row>
    <row r="52" spans="1:9" ht="12.75" x14ac:dyDescent="0.2">
      <c r="A52" s="3">
        <v>38716</v>
      </c>
      <c r="B52" s="3" t="str">
        <f>IF(MONTH(Data[[#This Row],[Date]])&gt;3,YEAR(Data[[#This Row],[Date]])&amp;"-"&amp;YEAR(Data[[#This Row],[Date]])+1,YEAR(Data[[#This Row],[Date]])-1&amp;"-"&amp;YEAR(Data[[#This Row],[Date]]))</f>
        <v>2005-2006</v>
      </c>
      <c r="C52" s="3" t="str">
        <f>"Q"&amp;CEILING(MONTH(EDATE(Data[[#This Row],[Date]],-3)),3)/3</f>
        <v>Q3</v>
      </c>
      <c r="D52" s="4" t="s">
        <v>25</v>
      </c>
      <c r="E52" s="4" t="s">
        <v>21</v>
      </c>
      <c r="F52" s="5">
        <v>13750</v>
      </c>
      <c r="G52" s="5">
        <f>Data[[#This Row],[Amount]]-Data[[#This Row],[Profit]]</f>
        <v>8250</v>
      </c>
      <c r="H52" s="5">
        <v>5500</v>
      </c>
      <c r="I52" s="5" t="s">
        <v>8</v>
      </c>
    </row>
    <row r="53" spans="1:9" ht="12.75" x14ac:dyDescent="0.2">
      <c r="A53" s="3">
        <v>38936</v>
      </c>
      <c r="B53" s="3" t="str">
        <f>IF(MONTH(Data[[#This Row],[Date]])&gt;3,YEAR(Data[[#This Row],[Date]])&amp;"-"&amp;YEAR(Data[[#This Row],[Date]])+1,YEAR(Data[[#This Row],[Date]])-1&amp;"-"&amp;YEAR(Data[[#This Row],[Date]]))</f>
        <v>2006-2007</v>
      </c>
      <c r="C53" s="3" t="str">
        <f>"Q"&amp;CEILING(MONTH(EDATE(Data[[#This Row],[Date]],-3)),3)/3</f>
        <v>Q2</v>
      </c>
      <c r="D53" s="4" t="s">
        <v>20</v>
      </c>
      <c r="E53" s="4" t="s">
        <v>26</v>
      </c>
      <c r="F53" s="5">
        <v>13800</v>
      </c>
      <c r="G53" s="5">
        <f>Data[[#This Row],[Amount]]-Data[[#This Row],[Profit]]</f>
        <v>8920</v>
      </c>
      <c r="H53" s="5">
        <v>4880</v>
      </c>
      <c r="I53" s="5" t="s">
        <v>22</v>
      </c>
    </row>
    <row r="54" spans="1:9" ht="12.75" x14ac:dyDescent="0.2">
      <c r="A54" s="3">
        <v>38627</v>
      </c>
      <c r="B54" s="3" t="str">
        <f>IF(MONTH(Data[[#This Row],[Date]])&gt;3,YEAR(Data[[#This Row],[Date]])&amp;"-"&amp;YEAR(Data[[#This Row],[Date]])+1,YEAR(Data[[#This Row],[Date]])-1&amp;"-"&amp;YEAR(Data[[#This Row],[Date]]))</f>
        <v>2005-2006</v>
      </c>
      <c r="C54" s="3" t="str">
        <f>"Q"&amp;CEILING(MONTH(EDATE(Data[[#This Row],[Date]],-3)),3)/3</f>
        <v>Q3</v>
      </c>
      <c r="D54" s="4" t="s">
        <v>9</v>
      </c>
      <c r="E54" s="4" t="s">
        <v>29</v>
      </c>
      <c r="F54" s="5">
        <v>11250</v>
      </c>
      <c r="G54" s="5">
        <f>Data[[#This Row],[Amount]]-Data[[#This Row],[Profit]]</f>
        <v>6290</v>
      </c>
      <c r="H54" s="5">
        <v>4960</v>
      </c>
      <c r="I54" s="5" t="s">
        <v>11</v>
      </c>
    </row>
    <row r="55" spans="1:9" ht="12.75" x14ac:dyDescent="0.2">
      <c r="A55" s="3">
        <v>39586</v>
      </c>
      <c r="B55" s="3" t="str">
        <f>IF(MONTH(Data[[#This Row],[Date]])&gt;3,YEAR(Data[[#This Row],[Date]])&amp;"-"&amp;YEAR(Data[[#This Row],[Date]])+1,YEAR(Data[[#This Row],[Date]])-1&amp;"-"&amp;YEAR(Data[[#This Row],[Date]]))</f>
        <v>2008-2009</v>
      </c>
      <c r="C55" s="3" t="str">
        <f>"Q"&amp;CEILING(MONTH(EDATE(Data[[#This Row],[Date]],-3)),3)/3</f>
        <v>Q1</v>
      </c>
      <c r="D55" s="4" t="s">
        <v>27</v>
      </c>
      <c r="E55" s="4" t="s">
        <v>24</v>
      </c>
      <c r="F55" s="5">
        <v>13550</v>
      </c>
      <c r="G55" s="5">
        <f>Data[[#This Row],[Amount]]-Data[[#This Row],[Profit]]</f>
        <v>10390</v>
      </c>
      <c r="H55" s="5">
        <v>3160</v>
      </c>
      <c r="I55" s="5" t="s">
        <v>22</v>
      </c>
    </row>
    <row r="56" spans="1:9" ht="12.75" x14ac:dyDescent="0.2">
      <c r="A56" s="3">
        <v>38817</v>
      </c>
      <c r="B56" s="3" t="str">
        <f>IF(MONTH(Data[[#This Row],[Date]])&gt;3,YEAR(Data[[#This Row],[Date]])&amp;"-"&amp;YEAR(Data[[#This Row],[Date]])+1,YEAR(Data[[#This Row],[Date]])-1&amp;"-"&amp;YEAR(Data[[#This Row],[Date]]))</f>
        <v>2006-2007</v>
      </c>
      <c r="C56" s="3" t="str">
        <f>"Q"&amp;CEILING(MONTH(EDATE(Data[[#This Row],[Date]],-3)),3)/3</f>
        <v>Q1</v>
      </c>
      <c r="D56" s="4" t="s">
        <v>20</v>
      </c>
      <c r="E56" s="4" t="s">
        <v>29</v>
      </c>
      <c r="F56" s="5">
        <v>10500</v>
      </c>
      <c r="G56" s="5">
        <f>Data[[#This Row],[Amount]]-Data[[#This Row],[Profit]]</f>
        <v>6260</v>
      </c>
      <c r="H56" s="5">
        <v>4240</v>
      </c>
      <c r="I56" s="5" t="s">
        <v>15</v>
      </c>
    </row>
    <row r="57" spans="1:9" ht="12.75" x14ac:dyDescent="0.2">
      <c r="A57" s="3">
        <v>39764</v>
      </c>
      <c r="B57" s="3" t="str">
        <f>IF(MONTH(Data[[#This Row],[Date]])&gt;3,YEAR(Data[[#This Row],[Date]])&amp;"-"&amp;YEAR(Data[[#This Row],[Date]])+1,YEAR(Data[[#This Row],[Date]])-1&amp;"-"&amp;YEAR(Data[[#This Row],[Date]]))</f>
        <v>2008-2009</v>
      </c>
      <c r="C57" s="3" t="str">
        <f>"Q"&amp;CEILING(MONTH(EDATE(Data[[#This Row],[Date]],-3)),3)/3</f>
        <v>Q3</v>
      </c>
      <c r="D57" s="4" t="s">
        <v>6</v>
      </c>
      <c r="E57" s="4" t="s">
        <v>17</v>
      </c>
      <c r="F57" s="5">
        <v>10500</v>
      </c>
      <c r="G57" s="5">
        <f>Data[[#This Row],[Amount]]-Data[[#This Row],[Profit]]</f>
        <v>8000</v>
      </c>
      <c r="H57" s="5">
        <v>2500</v>
      </c>
      <c r="I57" s="5" t="s">
        <v>8</v>
      </c>
    </row>
    <row r="58" spans="1:9" ht="12.75" x14ac:dyDescent="0.2">
      <c r="A58" s="3">
        <v>39332</v>
      </c>
      <c r="B58" s="3" t="str">
        <f>IF(MONTH(Data[[#This Row],[Date]])&gt;3,YEAR(Data[[#This Row],[Date]])&amp;"-"&amp;YEAR(Data[[#This Row],[Date]])+1,YEAR(Data[[#This Row],[Date]])-1&amp;"-"&amp;YEAR(Data[[#This Row],[Date]]))</f>
        <v>2007-2008</v>
      </c>
      <c r="C58" s="3" t="str">
        <f>"Q"&amp;CEILING(MONTH(EDATE(Data[[#This Row],[Date]],-3)),3)/3</f>
        <v>Q2</v>
      </c>
      <c r="D58" s="4" t="s">
        <v>18</v>
      </c>
      <c r="E58" s="4" t="s">
        <v>24</v>
      </c>
      <c r="F58" s="5">
        <v>11500</v>
      </c>
      <c r="G58" s="5">
        <f>Data[[#This Row],[Amount]]-Data[[#This Row],[Profit]]</f>
        <v>8720</v>
      </c>
      <c r="H58" s="5">
        <v>2780</v>
      </c>
      <c r="I58" s="5" t="s">
        <v>8</v>
      </c>
    </row>
    <row r="59" spans="1:9" ht="12.75" x14ac:dyDescent="0.2">
      <c r="A59" s="3">
        <v>39007</v>
      </c>
      <c r="B59" s="3" t="str">
        <f>IF(MONTH(Data[[#This Row],[Date]])&gt;3,YEAR(Data[[#This Row],[Date]])&amp;"-"&amp;YEAR(Data[[#This Row],[Date]])+1,YEAR(Data[[#This Row],[Date]])-1&amp;"-"&amp;YEAR(Data[[#This Row],[Date]]))</f>
        <v>2006-2007</v>
      </c>
      <c r="C59" s="3" t="str">
        <f>"Q"&amp;CEILING(MONTH(EDATE(Data[[#This Row],[Date]],-3)),3)/3</f>
        <v>Q3</v>
      </c>
      <c r="D59" s="4" t="s">
        <v>9</v>
      </c>
      <c r="E59" s="4" t="s">
        <v>29</v>
      </c>
      <c r="F59" s="5">
        <v>10050</v>
      </c>
      <c r="G59" s="5">
        <f>Data[[#This Row],[Amount]]-Data[[#This Row],[Profit]]</f>
        <v>4410</v>
      </c>
      <c r="H59" s="5">
        <v>5640</v>
      </c>
      <c r="I59" s="5" t="s">
        <v>8</v>
      </c>
    </row>
    <row r="60" spans="1:9" ht="12.75" x14ac:dyDescent="0.2">
      <c r="A60" s="3">
        <v>38423</v>
      </c>
      <c r="B60" s="3" t="str">
        <f>IF(MONTH(Data[[#This Row],[Date]])&gt;3,YEAR(Data[[#This Row],[Date]])&amp;"-"&amp;YEAR(Data[[#This Row],[Date]])+1,YEAR(Data[[#This Row],[Date]])-1&amp;"-"&amp;YEAR(Data[[#This Row],[Date]]))</f>
        <v>2004-2005</v>
      </c>
      <c r="C60" s="3" t="str">
        <f>"Q"&amp;CEILING(MONTH(EDATE(Data[[#This Row],[Date]],-3)),3)/3</f>
        <v>Q4</v>
      </c>
      <c r="D60" s="4" t="s">
        <v>12</v>
      </c>
      <c r="E60" s="4" t="s">
        <v>33</v>
      </c>
      <c r="F60" s="5">
        <v>13550</v>
      </c>
      <c r="G60" s="5">
        <f>Data[[#This Row],[Amount]]-Data[[#This Row],[Profit]]</f>
        <v>9010</v>
      </c>
      <c r="H60" s="5">
        <v>4540</v>
      </c>
      <c r="I60" s="5" t="s">
        <v>11</v>
      </c>
    </row>
    <row r="61" spans="1:9" ht="12.75" x14ac:dyDescent="0.2">
      <c r="A61" s="3">
        <v>39517</v>
      </c>
      <c r="B61" s="3" t="str">
        <f>IF(MONTH(Data[[#This Row],[Date]])&gt;3,YEAR(Data[[#This Row],[Date]])&amp;"-"&amp;YEAR(Data[[#This Row],[Date]])+1,YEAR(Data[[#This Row],[Date]])-1&amp;"-"&amp;YEAR(Data[[#This Row],[Date]]))</f>
        <v>2007-2008</v>
      </c>
      <c r="C61" s="3" t="str">
        <f>"Q"&amp;CEILING(MONTH(EDATE(Data[[#This Row],[Date]],-3)),3)/3</f>
        <v>Q4</v>
      </c>
      <c r="D61" s="4" t="s">
        <v>20</v>
      </c>
      <c r="E61" s="4" t="s">
        <v>28</v>
      </c>
      <c r="F61" s="5">
        <v>14750</v>
      </c>
      <c r="G61" s="5">
        <f>Data[[#This Row],[Amount]]-Data[[#This Row],[Profit]]</f>
        <v>11870</v>
      </c>
      <c r="H61" s="5">
        <v>2880</v>
      </c>
      <c r="I61" s="5" t="s">
        <v>15</v>
      </c>
    </row>
    <row r="62" spans="1:9" ht="12.75" x14ac:dyDescent="0.2">
      <c r="A62" s="3">
        <v>39336</v>
      </c>
      <c r="B62" s="3" t="str">
        <f>IF(MONTH(Data[[#This Row],[Date]])&gt;3,YEAR(Data[[#This Row],[Date]])&amp;"-"&amp;YEAR(Data[[#This Row],[Date]])+1,YEAR(Data[[#This Row],[Date]])-1&amp;"-"&amp;YEAR(Data[[#This Row],[Date]]))</f>
        <v>2007-2008</v>
      </c>
      <c r="C62" s="3" t="str">
        <f>"Q"&amp;CEILING(MONTH(EDATE(Data[[#This Row],[Date]],-3)),3)/3</f>
        <v>Q2</v>
      </c>
      <c r="D62" s="4" t="s">
        <v>32</v>
      </c>
      <c r="E62" s="4" t="s">
        <v>17</v>
      </c>
      <c r="F62" s="5">
        <v>12500</v>
      </c>
      <c r="G62" s="5">
        <f>Data[[#This Row],[Amount]]-Data[[#This Row],[Profit]]</f>
        <v>9700</v>
      </c>
      <c r="H62" s="5">
        <v>2800</v>
      </c>
      <c r="I62" s="5" t="s">
        <v>15</v>
      </c>
    </row>
    <row r="63" spans="1:9" ht="12.75" x14ac:dyDescent="0.2">
      <c r="A63" s="3">
        <v>38902</v>
      </c>
      <c r="B63" s="3" t="str">
        <f>IF(MONTH(Data[[#This Row],[Date]])&gt;3,YEAR(Data[[#This Row],[Date]])&amp;"-"&amp;YEAR(Data[[#This Row],[Date]])+1,YEAR(Data[[#This Row],[Date]])-1&amp;"-"&amp;YEAR(Data[[#This Row],[Date]]))</f>
        <v>2006-2007</v>
      </c>
      <c r="C63" s="3" t="str">
        <f>"Q"&amp;CEILING(MONTH(EDATE(Data[[#This Row],[Date]],-3)),3)/3</f>
        <v>Q2</v>
      </c>
      <c r="D63" s="4" t="s">
        <v>18</v>
      </c>
      <c r="E63" s="4" t="s">
        <v>28</v>
      </c>
      <c r="F63" s="5">
        <v>11000</v>
      </c>
      <c r="G63" s="5">
        <f>Data[[#This Row],[Amount]]-Data[[#This Row],[Profit]]</f>
        <v>7260</v>
      </c>
      <c r="H63" s="5">
        <v>3740</v>
      </c>
      <c r="I63" s="5" t="s">
        <v>8</v>
      </c>
    </row>
    <row r="64" spans="1:9" ht="12.75" x14ac:dyDescent="0.2">
      <c r="A64" s="3">
        <v>39767</v>
      </c>
      <c r="B64" s="3" t="str">
        <f>IF(MONTH(Data[[#This Row],[Date]])&gt;3,YEAR(Data[[#This Row],[Date]])&amp;"-"&amp;YEAR(Data[[#This Row],[Date]])+1,YEAR(Data[[#This Row],[Date]])-1&amp;"-"&amp;YEAR(Data[[#This Row],[Date]]))</f>
        <v>2008-2009</v>
      </c>
      <c r="C64" s="3" t="str">
        <f>"Q"&amp;CEILING(MONTH(EDATE(Data[[#This Row],[Date]],-3)),3)/3</f>
        <v>Q3</v>
      </c>
      <c r="D64" s="4" t="s">
        <v>18</v>
      </c>
      <c r="E64" s="4" t="s">
        <v>26</v>
      </c>
      <c r="F64" s="5">
        <v>11650</v>
      </c>
      <c r="G64" s="5">
        <f>Data[[#This Row],[Amount]]-Data[[#This Row],[Profit]]</f>
        <v>6610</v>
      </c>
      <c r="H64" s="5">
        <v>5040</v>
      </c>
      <c r="I64" s="5" t="s">
        <v>11</v>
      </c>
    </row>
    <row r="65" spans="1:9" ht="12.75" x14ac:dyDescent="0.2">
      <c r="A65" s="3">
        <v>39478</v>
      </c>
      <c r="B65" s="3" t="str">
        <f>IF(MONTH(Data[[#This Row],[Date]])&gt;3,YEAR(Data[[#This Row],[Date]])&amp;"-"&amp;YEAR(Data[[#This Row],[Date]])+1,YEAR(Data[[#This Row],[Date]])-1&amp;"-"&amp;YEAR(Data[[#This Row],[Date]]))</f>
        <v>2007-2008</v>
      </c>
      <c r="C65" s="3" t="str">
        <f>"Q"&amp;CEILING(MONTH(EDATE(Data[[#This Row],[Date]],-3)),3)/3</f>
        <v>Q4</v>
      </c>
      <c r="D65" s="4" t="s">
        <v>16</v>
      </c>
      <c r="E65" s="4" t="s">
        <v>30</v>
      </c>
      <c r="F65" s="5">
        <v>12950</v>
      </c>
      <c r="G65" s="5">
        <f>Data[[#This Row],[Amount]]-Data[[#This Row],[Profit]]</f>
        <v>8270</v>
      </c>
      <c r="H65" s="5">
        <v>4680</v>
      </c>
      <c r="I65" s="5" t="s">
        <v>8</v>
      </c>
    </row>
    <row r="66" spans="1:9" ht="12.75" x14ac:dyDescent="0.2">
      <c r="A66" s="3">
        <v>39012</v>
      </c>
      <c r="B66" s="3" t="str">
        <f>IF(MONTH(Data[[#This Row],[Date]])&gt;3,YEAR(Data[[#This Row],[Date]])&amp;"-"&amp;YEAR(Data[[#This Row],[Date]])+1,YEAR(Data[[#This Row],[Date]])-1&amp;"-"&amp;YEAR(Data[[#This Row],[Date]]))</f>
        <v>2006-2007</v>
      </c>
      <c r="C66" s="3" t="str">
        <f>"Q"&amp;CEILING(MONTH(EDATE(Data[[#This Row],[Date]],-3)),3)/3</f>
        <v>Q3</v>
      </c>
      <c r="D66" s="4" t="s">
        <v>14</v>
      </c>
      <c r="E66" s="4" t="s">
        <v>29</v>
      </c>
      <c r="F66" s="5">
        <v>12900</v>
      </c>
      <c r="G66" s="5">
        <f>Data[[#This Row],[Amount]]-Data[[#This Row],[Profit]]</f>
        <v>9180</v>
      </c>
      <c r="H66" s="5">
        <v>3720</v>
      </c>
      <c r="I66" s="5" t="s">
        <v>8</v>
      </c>
    </row>
    <row r="67" spans="1:9" ht="12.75" x14ac:dyDescent="0.2">
      <c r="A67" s="3">
        <v>38843</v>
      </c>
      <c r="B67" s="3" t="str">
        <f>IF(MONTH(Data[[#This Row],[Date]])&gt;3,YEAR(Data[[#This Row],[Date]])&amp;"-"&amp;YEAR(Data[[#This Row],[Date]])+1,YEAR(Data[[#This Row],[Date]])-1&amp;"-"&amp;YEAR(Data[[#This Row],[Date]]))</f>
        <v>2006-2007</v>
      </c>
      <c r="C67" s="3" t="str">
        <f>"Q"&amp;CEILING(MONTH(EDATE(Data[[#This Row],[Date]],-3)),3)/3</f>
        <v>Q1</v>
      </c>
      <c r="D67" s="4" t="s">
        <v>16</v>
      </c>
      <c r="E67" s="4" t="s">
        <v>7</v>
      </c>
      <c r="F67" s="5">
        <v>14700</v>
      </c>
      <c r="G67" s="5">
        <f>Data[[#This Row],[Amount]]-Data[[#This Row],[Profit]]</f>
        <v>12600</v>
      </c>
      <c r="H67" s="5">
        <v>2100</v>
      </c>
      <c r="I67" s="5" t="s">
        <v>11</v>
      </c>
    </row>
    <row r="68" spans="1:9" ht="12.75" x14ac:dyDescent="0.2">
      <c r="A68" s="3">
        <v>38653</v>
      </c>
      <c r="B68" s="3" t="str">
        <f>IF(MONTH(Data[[#This Row],[Date]])&gt;3,YEAR(Data[[#This Row],[Date]])&amp;"-"&amp;YEAR(Data[[#This Row],[Date]])+1,YEAR(Data[[#This Row],[Date]])-1&amp;"-"&amp;YEAR(Data[[#This Row],[Date]]))</f>
        <v>2005-2006</v>
      </c>
      <c r="C68" s="3" t="str">
        <f>"Q"&amp;CEILING(MONTH(EDATE(Data[[#This Row],[Date]],-3)),3)/3</f>
        <v>Q3</v>
      </c>
      <c r="D68" s="4" t="s">
        <v>27</v>
      </c>
      <c r="E68" s="4" t="s">
        <v>10</v>
      </c>
      <c r="F68" s="5">
        <v>11350</v>
      </c>
      <c r="G68" s="5">
        <f>Data[[#This Row],[Amount]]-Data[[#This Row],[Profit]]</f>
        <v>6530</v>
      </c>
      <c r="H68" s="5">
        <v>4820</v>
      </c>
      <c r="I68" s="5" t="s">
        <v>8</v>
      </c>
    </row>
    <row r="69" spans="1:9" ht="12.75" x14ac:dyDescent="0.2">
      <c r="A69" s="3">
        <v>39300</v>
      </c>
      <c r="B69" s="3" t="str">
        <f>IF(MONTH(Data[[#This Row],[Date]])&gt;3,YEAR(Data[[#This Row],[Date]])&amp;"-"&amp;YEAR(Data[[#This Row],[Date]])+1,YEAR(Data[[#This Row],[Date]])-1&amp;"-"&amp;YEAR(Data[[#This Row],[Date]]))</f>
        <v>2007-2008</v>
      </c>
      <c r="C69" s="3" t="str">
        <f>"Q"&amp;CEILING(MONTH(EDATE(Data[[#This Row],[Date]],-3)),3)/3</f>
        <v>Q2</v>
      </c>
      <c r="D69" s="4" t="s">
        <v>12</v>
      </c>
      <c r="E69" s="4" t="s">
        <v>7</v>
      </c>
      <c r="F69" s="5">
        <v>13400</v>
      </c>
      <c r="G69" s="5">
        <f>Data[[#This Row],[Amount]]-Data[[#This Row],[Profit]]</f>
        <v>9660</v>
      </c>
      <c r="H69" s="5">
        <v>3740</v>
      </c>
      <c r="I69" s="5" t="s">
        <v>15</v>
      </c>
    </row>
    <row r="70" spans="1:9" ht="12.75" x14ac:dyDescent="0.2">
      <c r="A70" s="3">
        <v>38519</v>
      </c>
      <c r="B70" s="3" t="str">
        <f>IF(MONTH(Data[[#This Row],[Date]])&gt;3,YEAR(Data[[#This Row],[Date]])&amp;"-"&amp;YEAR(Data[[#This Row],[Date]])+1,YEAR(Data[[#This Row],[Date]])-1&amp;"-"&amp;YEAR(Data[[#This Row],[Date]]))</f>
        <v>2005-2006</v>
      </c>
      <c r="C70" s="3" t="str">
        <f>"Q"&amp;CEILING(MONTH(EDATE(Data[[#This Row],[Date]],-3)),3)/3</f>
        <v>Q1</v>
      </c>
      <c r="D70" s="4" t="s">
        <v>16</v>
      </c>
      <c r="E70" s="4" t="s">
        <v>30</v>
      </c>
      <c r="F70" s="5">
        <v>10300</v>
      </c>
      <c r="G70" s="5">
        <f>Data[[#This Row],[Amount]]-Data[[#This Row],[Profit]]</f>
        <v>4880</v>
      </c>
      <c r="H70" s="5">
        <v>5420</v>
      </c>
      <c r="I70" s="5" t="s">
        <v>22</v>
      </c>
    </row>
    <row r="71" spans="1:9" ht="12.75" x14ac:dyDescent="0.2">
      <c r="A71" s="3">
        <v>38361</v>
      </c>
      <c r="B71" s="3" t="str">
        <f>IF(MONTH(Data[[#This Row],[Date]])&gt;3,YEAR(Data[[#This Row],[Date]])&amp;"-"&amp;YEAR(Data[[#This Row],[Date]])+1,YEAR(Data[[#This Row],[Date]])-1&amp;"-"&amp;YEAR(Data[[#This Row],[Date]]))</f>
        <v>2004-2005</v>
      </c>
      <c r="C71" s="3" t="str">
        <f>"Q"&amp;CEILING(MONTH(EDATE(Data[[#This Row],[Date]],-3)),3)/3</f>
        <v>Q4</v>
      </c>
      <c r="D71" s="4" t="s">
        <v>12</v>
      </c>
      <c r="E71" s="4" t="s">
        <v>28</v>
      </c>
      <c r="F71" s="5">
        <v>13550</v>
      </c>
      <c r="G71" s="5">
        <f>Data[[#This Row],[Amount]]-Data[[#This Row],[Profit]]</f>
        <v>11370</v>
      </c>
      <c r="H71" s="5">
        <v>2180</v>
      </c>
      <c r="I71" s="5" t="s">
        <v>8</v>
      </c>
    </row>
    <row r="72" spans="1:9" ht="12.75" x14ac:dyDescent="0.2">
      <c r="A72" s="3">
        <v>38628</v>
      </c>
      <c r="B72" s="3" t="str">
        <f>IF(MONTH(Data[[#This Row],[Date]])&gt;3,YEAR(Data[[#This Row],[Date]])&amp;"-"&amp;YEAR(Data[[#This Row],[Date]])+1,YEAR(Data[[#This Row],[Date]])-1&amp;"-"&amp;YEAR(Data[[#This Row],[Date]]))</f>
        <v>2005-2006</v>
      </c>
      <c r="C72" s="3" t="str">
        <f>"Q"&amp;CEILING(MONTH(EDATE(Data[[#This Row],[Date]],-3)),3)/3</f>
        <v>Q3</v>
      </c>
      <c r="D72" s="4" t="s">
        <v>31</v>
      </c>
      <c r="E72" s="4" t="s">
        <v>29</v>
      </c>
      <c r="F72" s="5">
        <v>14500</v>
      </c>
      <c r="G72" s="5">
        <f>Data[[#This Row],[Amount]]-Data[[#This Row],[Profit]]</f>
        <v>9040</v>
      </c>
      <c r="H72" s="5">
        <v>5460</v>
      </c>
      <c r="I72" s="5" t="s">
        <v>22</v>
      </c>
    </row>
    <row r="73" spans="1:9" ht="12.75" x14ac:dyDescent="0.2">
      <c r="A73" s="3">
        <v>39246</v>
      </c>
      <c r="B73" s="3" t="str">
        <f>IF(MONTH(Data[[#This Row],[Date]])&gt;3,YEAR(Data[[#This Row],[Date]])&amp;"-"&amp;YEAR(Data[[#This Row],[Date]])+1,YEAR(Data[[#This Row],[Date]])-1&amp;"-"&amp;YEAR(Data[[#This Row],[Date]]))</f>
        <v>2007-2008</v>
      </c>
      <c r="C73" s="3" t="str">
        <f>"Q"&amp;CEILING(MONTH(EDATE(Data[[#This Row],[Date]],-3)),3)/3</f>
        <v>Q1</v>
      </c>
      <c r="D73" s="4" t="s">
        <v>32</v>
      </c>
      <c r="E73" s="4" t="s">
        <v>21</v>
      </c>
      <c r="F73" s="5">
        <v>14300</v>
      </c>
      <c r="G73" s="5">
        <f>Data[[#This Row],[Amount]]-Data[[#This Row],[Profit]]</f>
        <v>11540</v>
      </c>
      <c r="H73" s="5">
        <v>2760</v>
      </c>
      <c r="I73" s="5" t="s">
        <v>15</v>
      </c>
    </row>
    <row r="74" spans="1:9" ht="12.75" x14ac:dyDescent="0.2">
      <c r="A74" s="3">
        <v>38573</v>
      </c>
      <c r="B74" s="3" t="str">
        <f>IF(MONTH(Data[[#This Row],[Date]])&gt;3,YEAR(Data[[#This Row],[Date]])&amp;"-"&amp;YEAR(Data[[#This Row],[Date]])+1,YEAR(Data[[#This Row],[Date]])-1&amp;"-"&amp;YEAR(Data[[#This Row],[Date]]))</f>
        <v>2005-2006</v>
      </c>
      <c r="C74" s="3" t="str">
        <f>"Q"&amp;CEILING(MONTH(EDATE(Data[[#This Row],[Date]],-3)),3)/3</f>
        <v>Q2</v>
      </c>
      <c r="D74" s="4" t="s">
        <v>25</v>
      </c>
      <c r="E74" s="4" t="s">
        <v>24</v>
      </c>
      <c r="F74" s="5">
        <v>10000</v>
      </c>
      <c r="G74" s="5">
        <f>Data[[#This Row],[Amount]]-Data[[#This Row],[Profit]]</f>
        <v>6220</v>
      </c>
      <c r="H74" s="5">
        <v>3780</v>
      </c>
      <c r="I74" s="5" t="s">
        <v>8</v>
      </c>
    </row>
    <row r="75" spans="1:9" ht="12.75" x14ac:dyDescent="0.2">
      <c r="A75" s="3">
        <v>39629</v>
      </c>
      <c r="B75" s="3" t="str">
        <f>IF(MONTH(Data[[#This Row],[Date]])&gt;3,YEAR(Data[[#This Row],[Date]])&amp;"-"&amp;YEAR(Data[[#This Row],[Date]])+1,YEAR(Data[[#This Row],[Date]])-1&amp;"-"&amp;YEAR(Data[[#This Row],[Date]]))</f>
        <v>2008-2009</v>
      </c>
      <c r="C75" s="3" t="str">
        <f>"Q"&amp;CEILING(MONTH(EDATE(Data[[#This Row],[Date]],-3)),3)/3</f>
        <v>Q1</v>
      </c>
      <c r="D75" s="4" t="s">
        <v>14</v>
      </c>
      <c r="E75" s="4" t="s">
        <v>17</v>
      </c>
      <c r="F75" s="5">
        <v>13550</v>
      </c>
      <c r="G75" s="5">
        <f>Data[[#This Row],[Amount]]-Data[[#This Row],[Profit]]</f>
        <v>8550</v>
      </c>
      <c r="H75" s="5">
        <v>5000</v>
      </c>
      <c r="I75" s="5" t="s">
        <v>8</v>
      </c>
    </row>
    <row r="76" spans="1:9" ht="12.75" x14ac:dyDescent="0.2">
      <c r="A76" s="3">
        <v>39109</v>
      </c>
      <c r="B76" s="3" t="str">
        <f>IF(MONTH(Data[[#This Row],[Date]])&gt;3,YEAR(Data[[#This Row],[Date]])&amp;"-"&amp;YEAR(Data[[#This Row],[Date]])+1,YEAR(Data[[#This Row],[Date]])-1&amp;"-"&amp;YEAR(Data[[#This Row],[Date]]))</f>
        <v>2006-2007</v>
      </c>
      <c r="C76" s="3" t="str">
        <f>"Q"&amp;CEILING(MONTH(EDATE(Data[[#This Row],[Date]],-3)),3)/3</f>
        <v>Q4</v>
      </c>
      <c r="D76" s="4" t="s">
        <v>32</v>
      </c>
      <c r="E76" s="4" t="s">
        <v>17</v>
      </c>
      <c r="F76" s="5">
        <v>14500</v>
      </c>
      <c r="G76" s="5">
        <f>Data[[#This Row],[Amount]]-Data[[#This Row],[Profit]]</f>
        <v>10920</v>
      </c>
      <c r="H76" s="5">
        <v>3580</v>
      </c>
      <c r="I76" s="5" t="s">
        <v>8</v>
      </c>
    </row>
    <row r="77" spans="1:9" ht="12.75" x14ac:dyDescent="0.2">
      <c r="A77" s="3">
        <v>39065</v>
      </c>
      <c r="B77" s="3" t="str">
        <f>IF(MONTH(Data[[#This Row],[Date]])&gt;3,YEAR(Data[[#This Row],[Date]])&amp;"-"&amp;YEAR(Data[[#This Row],[Date]])+1,YEAR(Data[[#This Row],[Date]])-1&amp;"-"&amp;YEAR(Data[[#This Row],[Date]]))</f>
        <v>2006-2007</v>
      </c>
      <c r="C77" s="3" t="str">
        <f>"Q"&amp;CEILING(MONTH(EDATE(Data[[#This Row],[Date]],-3)),3)/3</f>
        <v>Q3</v>
      </c>
      <c r="D77" s="4" t="s">
        <v>20</v>
      </c>
      <c r="E77" s="4" t="s">
        <v>33</v>
      </c>
      <c r="F77" s="5">
        <v>13650</v>
      </c>
      <c r="G77" s="5">
        <f>Data[[#This Row],[Amount]]-Data[[#This Row],[Profit]]</f>
        <v>11470</v>
      </c>
      <c r="H77" s="5">
        <v>2180</v>
      </c>
      <c r="I77" s="5" t="s">
        <v>8</v>
      </c>
    </row>
    <row r="78" spans="1:9" ht="12.75" x14ac:dyDescent="0.2">
      <c r="A78" s="3">
        <v>38458</v>
      </c>
      <c r="B78" s="3" t="str">
        <f>IF(MONTH(Data[[#This Row],[Date]])&gt;3,YEAR(Data[[#This Row],[Date]])&amp;"-"&amp;YEAR(Data[[#This Row],[Date]])+1,YEAR(Data[[#This Row],[Date]])-1&amp;"-"&amp;YEAR(Data[[#This Row],[Date]]))</f>
        <v>2005-2006</v>
      </c>
      <c r="C78" s="3" t="str">
        <f>"Q"&amp;CEILING(MONTH(EDATE(Data[[#This Row],[Date]],-3)),3)/3</f>
        <v>Q1</v>
      </c>
      <c r="D78" s="4" t="s">
        <v>27</v>
      </c>
      <c r="E78" s="4" t="s">
        <v>30</v>
      </c>
      <c r="F78" s="5">
        <v>12700</v>
      </c>
      <c r="G78" s="5">
        <f>Data[[#This Row],[Amount]]-Data[[#This Row],[Profit]]</f>
        <v>7040</v>
      </c>
      <c r="H78" s="5">
        <v>5660</v>
      </c>
      <c r="I78" s="5" t="s">
        <v>11</v>
      </c>
    </row>
    <row r="79" spans="1:9" ht="12.75" x14ac:dyDescent="0.2">
      <c r="A79" s="3">
        <v>39398</v>
      </c>
      <c r="B79" s="3" t="str">
        <f>IF(MONTH(Data[[#This Row],[Date]])&gt;3,YEAR(Data[[#This Row],[Date]])&amp;"-"&amp;YEAR(Data[[#This Row],[Date]])+1,YEAR(Data[[#This Row],[Date]])-1&amp;"-"&amp;YEAR(Data[[#This Row],[Date]]))</f>
        <v>2007-2008</v>
      </c>
      <c r="C79" s="3" t="str">
        <f>"Q"&amp;CEILING(MONTH(EDATE(Data[[#This Row],[Date]],-3)),3)/3</f>
        <v>Q3</v>
      </c>
      <c r="D79" s="4" t="s">
        <v>20</v>
      </c>
      <c r="E79" s="4" t="s">
        <v>7</v>
      </c>
      <c r="F79" s="5">
        <v>14450</v>
      </c>
      <c r="G79" s="5">
        <f>Data[[#This Row],[Amount]]-Data[[#This Row],[Profit]]</f>
        <v>10790</v>
      </c>
      <c r="H79" s="5">
        <v>3660</v>
      </c>
      <c r="I79" s="5" t="s">
        <v>15</v>
      </c>
    </row>
    <row r="80" spans="1:9" ht="12.75" x14ac:dyDescent="0.2">
      <c r="A80" s="3">
        <v>38961</v>
      </c>
      <c r="B80" s="3" t="str">
        <f>IF(MONTH(Data[[#This Row],[Date]])&gt;3,YEAR(Data[[#This Row],[Date]])&amp;"-"&amp;YEAR(Data[[#This Row],[Date]])+1,YEAR(Data[[#This Row],[Date]])-1&amp;"-"&amp;YEAR(Data[[#This Row],[Date]]))</f>
        <v>2006-2007</v>
      </c>
      <c r="C80" s="3" t="str">
        <f>"Q"&amp;CEILING(MONTH(EDATE(Data[[#This Row],[Date]],-3)),3)/3</f>
        <v>Q2</v>
      </c>
      <c r="D80" s="4" t="s">
        <v>9</v>
      </c>
      <c r="E80" s="4" t="s">
        <v>24</v>
      </c>
      <c r="F80" s="5">
        <v>12400</v>
      </c>
      <c r="G80" s="5">
        <f>Data[[#This Row],[Amount]]-Data[[#This Row],[Profit]]</f>
        <v>6720</v>
      </c>
      <c r="H80" s="5">
        <v>5680</v>
      </c>
      <c r="I80" s="5" t="s">
        <v>11</v>
      </c>
    </row>
    <row r="81" spans="1:9" ht="12.75" x14ac:dyDescent="0.2">
      <c r="A81" s="3">
        <v>39553</v>
      </c>
      <c r="B81" s="3" t="str">
        <f>IF(MONTH(Data[[#This Row],[Date]])&gt;3,YEAR(Data[[#This Row],[Date]])&amp;"-"&amp;YEAR(Data[[#This Row],[Date]])+1,YEAR(Data[[#This Row],[Date]])-1&amp;"-"&amp;YEAR(Data[[#This Row],[Date]]))</f>
        <v>2008-2009</v>
      </c>
      <c r="C81" s="3" t="str">
        <f>"Q"&amp;CEILING(MONTH(EDATE(Data[[#This Row],[Date]],-3)),3)/3</f>
        <v>Q1</v>
      </c>
      <c r="D81" s="4" t="s">
        <v>27</v>
      </c>
      <c r="E81" s="4" t="s">
        <v>7</v>
      </c>
      <c r="F81" s="5">
        <v>14850</v>
      </c>
      <c r="G81" s="5">
        <f>Data[[#This Row],[Amount]]-Data[[#This Row],[Profit]]</f>
        <v>11530</v>
      </c>
      <c r="H81" s="5">
        <v>3320</v>
      </c>
      <c r="I81" s="5" t="s">
        <v>11</v>
      </c>
    </row>
    <row r="82" spans="1:9" ht="12.75" x14ac:dyDescent="0.2">
      <c r="A82" s="3">
        <v>38358</v>
      </c>
      <c r="B82" s="3" t="str">
        <f>IF(MONTH(Data[[#This Row],[Date]])&gt;3,YEAR(Data[[#This Row],[Date]])&amp;"-"&amp;YEAR(Data[[#This Row],[Date]])+1,YEAR(Data[[#This Row],[Date]])-1&amp;"-"&amp;YEAR(Data[[#This Row],[Date]]))</f>
        <v>2004-2005</v>
      </c>
      <c r="C82" s="3" t="str">
        <f>"Q"&amp;CEILING(MONTH(EDATE(Data[[#This Row],[Date]],-3)),3)/3</f>
        <v>Q4</v>
      </c>
      <c r="D82" s="4" t="s">
        <v>32</v>
      </c>
      <c r="E82" s="4" t="s">
        <v>30</v>
      </c>
      <c r="F82" s="5">
        <v>14750</v>
      </c>
      <c r="G82" s="5">
        <f>Data[[#This Row],[Amount]]-Data[[#This Row],[Profit]]</f>
        <v>11550</v>
      </c>
      <c r="H82" s="5">
        <v>3200</v>
      </c>
      <c r="I82" s="5" t="s">
        <v>22</v>
      </c>
    </row>
    <row r="83" spans="1:9" ht="12.75" x14ac:dyDescent="0.2">
      <c r="A83" s="3">
        <v>39768</v>
      </c>
      <c r="B83" s="3" t="str">
        <f>IF(MONTH(Data[[#This Row],[Date]])&gt;3,YEAR(Data[[#This Row],[Date]])&amp;"-"&amp;YEAR(Data[[#This Row],[Date]])+1,YEAR(Data[[#This Row],[Date]])-1&amp;"-"&amp;YEAR(Data[[#This Row],[Date]]))</f>
        <v>2008-2009</v>
      </c>
      <c r="C83" s="3" t="str">
        <f>"Q"&amp;CEILING(MONTH(EDATE(Data[[#This Row],[Date]],-3)),3)/3</f>
        <v>Q3</v>
      </c>
      <c r="D83" s="4" t="s">
        <v>12</v>
      </c>
      <c r="E83" s="4" t="s">
        <v>29</v>
      </c>
      <c r="F83" s="5">
        <v>11900</v>
      </c>
      <c r="G83" s="5">
        <f>Data[[#This Row],[Amount]]-Data[[#This Row],[Profit]]</f>
        <v>8440</v>
      </c>
      <c r="H83" s="5">
        <v>3460</v>
      </c>
      <c r="I83" s="5" t="s">
        <v>11</v>
      </c>
    </row>
    <row r="84" spans="1:9" ht="12.75" x14ac:dyDescent="0.2">
      <c r="A84" s="3">
        <v>38770</v>
      </c>
      <c r="B84" s="3" t="str">
        <f>IF(MONTH(Data[[#This Row],[Date]])&gt;3,YEAR(Data[[#This Row],[Date]])&amp;"-"&amp;YEAR(Data[[#This Row],[Date]])+1,YEAR(Data[[#This Row],[Date]])-1&amp;"-"&amp;YEAR(Data[[#This Row],[Date]]))</f>
        <v>2005-2006</v>
      </c>
      <c r="C84" s="3" t="str">
        <f>"Q"&amp;CEILING(MONTH(EDATE(Data[[#This Row],[Date]],-3)),3)/3</f>
        <v>Q4</v>
      </c>
      <c r="D84" s="4" t="s">
        <v>23</v>
      </c>
      <c r="E84" s="4" t="s">
        <v>17</v>
      </c>
      <c r="F84" s="5">
        <v>13750</v>
      </c>
      <c r="G84" s="5">
        <f>Data[[#This Row],[Amount]]-Data[[#This Row],[Profit]]</f>
        <v>11670</v>
      </c>
      <c r="H84" s="5">
        <v>2080</v>
      </c>
      <c r="I84" s="5" t="s">
        <v>11</v>
      </c>
    </row>
    <row r="85" spans="1:9" ht="12.75" x14ac:dyDescent="0.2">
      <c r="A85" s="3">
        <v>39738</v>
      </c>
      <c r="B85" s="3" t="str">
        <f>IF(MONTH(Data[[#This Row],[Date]])&gt;3,YEAR(Data[[#This Row],[Date]])&amp;"-"&amp;YEAR(Data[[#This Row],[Date]])+1,YEAR(Data[[#This Row],[Date]])-1&amp;"-"&amp;YEAR(Data[[#This Row],[Date]]))</f>
        <v>2008-2009</v>
      </c>
      <c r="C85" s="3" t="str">
        <f>"Q"&amp;CEILING(MONTH(EDATE(Data[[#This Row],[Date]],-3)),3)/3</f>
        <v>Q3</v>
      </c>
      <c r="D85" s="4" t="s">
        <v>27</v>
      </c>
      <c r="E85" s="4" t="s">
        <v>24</v>
      </c>
      <c r="F85" s="5">
        <v>11200</v>
      </c>
      <c r="G85" s="5">
        <f>Data[[#This Row],[Amount]]-Data[[#This Row],[Profit]]</f>
        <v>5560</v>
      </c>
      <c r="H85" s="5">
        <v>5640</v>
      </c>
      <c r="I85" s="5" t="s">
        <v>8</v>
      </c>
    </row>
    <row r="86" spans="1:9" ht="12.75" x14ac:dyDescent="0.2">
      <c r="A86" s="3">
        <v>39410</v>
      </c>
      <c r="B86" s="3" t="str">
        <f>IF(MONTH(Data[[#This Row],[Date]])&gt;3,YEAR(Data[[#This Row],[Date]])&amp;"-"&amp;YEAR(Data[[#This Row],[Date]])+1,YEAR(Data[[#This Row],[Date]])-1&amp;"-"&amp;YEAR(Data[[#This Row],[Date]]))</f>
        <v>2007-2008</v>
      </c>
      <c r="C86" s="3" t="str">
        <f>"Q"&amp;CEILING(MONTH(EDATE(Data[[#This Row],[Date]],-3)),3)/3</f>
        <v>Q3</v>
      </c>
      <c r="D86" s="4" t="s">
        <v>31</v>
      </c>
      <c r="E86" s="4" t="s">
        <v>7</v>
      </c>
      <c r="F86" s="5">
        <v>12450</v>
      </c>
      <c r="G86" s="5">
        <f>Data[[#This Row],[Amount]]-Data[[#This Row],[Profit]]</f>
        <v>8070</v>
      </c>
      <c r="H86" s="5">
        <v>4380</v>
      </c>
      <c r="I86" s="5" t="s">
        <v>11</v>
      </c>
    </row>
    <row r="87" spans="1:9" ht="12.75" x14ac:dyDescent="0.2">
      <c r="A87" s="3">
        <v>38921</v>
      </c>
      <c r="B87" s="3" t="str">
        <f>IF(MONTH(Data[[#This Row],[Date]])&gt;3,YEAR(Data[[#This Row],[Date]])&amp;"-"&amp;YEAR(Data[[#This Row],[Date]])+1,YEAR(Data[[#This Row],[Date]])-1&amp;"-"&amp;YEAR(Data[[#This Row],[Date]]))</f>
        <v>2006-2007</v>
      </c>
      <c r="C87" s="3" t="str">
        <f>"Q"&amp;CEILING(MONTH(EDATE(Data[[#This Row],[Date]],-3)),3)/3</f>
        <v>Q2</v>
      </c>
      <c r="D87" s="4" t="s">
        <v>23</v>
      </c>
      <c r="E87" s="4" t="s">
        <v>24</v>
      </c>
      <c r="F87" s="5">
        <v>14550</v>
      </c>
      <c r="G87" s="5">
        <f>Data[[#This Row],[Amount]]-Data[[#This Row],[Profit]]</f>
        <v>11770</v>
      </c>
      <c r="H87" s="5">
        <v>2780</v>
      </c>
      <c r="I87" s="5" t="s">
        <v>15</v>
      </c>
    </row>
    <row r="88" spans="1:9" ht="12.75" x14ac:dyDescent="0.2">
      <c r="A88" s="3">
        <v>39728</v>
      </c>
      <c r="B88" s="3" t="str">
        <f>IF(MONTH(Data[[#This Row],[Date]])&gt;3,YEAR(Data[[#This Row],[Date]])&amp;"-"&amp;YEAR(Data[[#This Row],[Date]])+1,YEAR(Data[[#This Row],[Date]])-1&amp;"-"&amp;YEAR(Data[[#This Row],[Date]]))</f>
        <v>2008-2009</v>
      </c>
      <c r="C88" s="3" t="str">
        <f>"Q"&amp;CEILING(MONTH(EDATE(Data[[#This Row],[Date]],-3)),3)/3</f>
        <v>Q3</v>
      </c>
      <c r="D88" s="4" t="s">
        <v>25</v>
      </c>
      <c r="E88" s="4" t="s">
        <v>26</v>
      </c>
      <c r="F88" s="5">
        <v>12450</v>
      </c>
      <c r="G88" s="5">
        <f>Data[[#This Row],[Amount]]-Data[[#This Row],[Profit]]</f>
        <v>10350</v>
      </c>
      <c r="H88" s="5">
        <v>2100</v>
      </c>
      <c r="I88" s="5" t="s">
        <v>15</v>
      </c>
    </row>
    <row r="89" spans="1:9" ht="12.75" x14ac:dyDescent="0.2">
      <c r="A89" s="3">
        <v>39499</v>
      </c>
      <c r="B89" s="3" t="str">
        <f>IF(MONTH(Data[[#This Row],[Date]])&gt;3,YEAR(Data[[#This Row],[Date]])&amp;"-"&amp;YEAR(Data[[#This Row],[Date]])+1,YEAR(Data[[#This Row],[Date]])-1&amp;"-"&amp;YEAR(Data[[#This Row],[Date]]))</f>
        <v>2007-2008</v>
      </c>
      <c r="C89" s="3" t="str">
        <f>"Q"&amp;CEILING(MONTH(EDATE(Data[[#This Row],[Date]],-3)),3)/3</f>
        <v>Q4</v>
      </c>
      <c r="D89" s="4" t="s">
        <v>6</v>
      </c>
      <c r="E89" s="4" t="s">
        <v>30</v>
      </c>
      <c r="F89" s="5">
        <v>11650</v>
      </c>
      <c r="G89" s="5">
        <f>Data[[#This Row],[Amount]]-Data[[#This Row],[Profit]]</f>
        <v>8690</v>
      </c>
      <c r="H89" s="5">
        <v>2960</v>
      </c>
      <c r="I89" s="5" t="s">
        <v>22</v>
      </c>
    </row>
    <row r="90" spans="1:9" ht="12.75" x14ac:dyDescent="0.2">
      <c r="A90" s="3">
        <v>38694</v>
      </c>
      <c r="B90" s="3" t="str">
        <f>IF(MONTH(Data[[#This Row],[Date]])&gt;3,YEAR(Data[[#This Row],[Date]])&amp;"-"&amp;YEAR(Data[[#This Row],[Date]])+1,YEAR(Data[[#This Row],[Date]])-1&amp;"-"&amp;YEAR(Data[[#This Row],[Date]]))</f>
        <v>2005-2006</v>
      </c>
      <c r="C90" s="3" t="str">
        <f>"Q"&amp;CEILING(MONTH(EDATE(Data[[#This Row],[Date]],-3)),3)/3</f>
        <v>Q3</v>
      </c>
      <c r="D90" s="4" t="s">
        <v>23</v>
      </c>
      <c r="E90" s="4" t="s">
        <v>26</v>
      </c>
      <c r="F90" s="5">
        <v>15000</v>
      </c>
      <c r="G90" s="5">
        <f>Data[[#This Row],[Amount]]-Data[[#This Row],[Profit]]</f>
        <v>12880</v>
      </c>
      <c r="H90" s="5">
        <v>2120</v>
      </c>
      <c r="I90" s="5" t="s">
        <v>8</v>
      </c>
    </row>
    <row r="91" spans="1:9" ht="12.75" x14ac:dyDescent="0.2">
      <c r="A91" s="3">
        <v>39030</v>
      </c>
      <c r="B91" s="3" t="str">
        <f>IF(MONTH(Data[[#This Row],[Date]])&gt;3,YEAR(Data[[#This Row],[Date]])&amp;"-"&amp;YEAR(Data[[#This Row],[Date]])+1,YEAR(Data[[#This Row],[Date]])-1&amp;"-"&amp;YEAR(Data[[#This Row],[Date]]))</f>
        <v>2006-2007</v>
      </c>
      <c r="C91" s="3" t="str">
        <f>"Q"&amp;CEILING(MONTH(EDATE(Data[[#This Row],[Date]],-3)),3)/3</f>
        <v>Q3</v>
      </c>
      <c r="D91" s="4" t="s">
        <v>31</v>
      </c>
      <c r="E91" s="4" t="s">
        <v>33</v>
      </c>
      <c r="F91" s="5">
        <v>10000</v>
      </c>
      <c r="G91" s="5">
        <f>Data[[#This Row],[Amount]]-Data[[#This Row],[Profit]]</f>
        <v>7460</v>
      </c>
      <c r="H91" s="5">
        <v>2540</v>
      </c>
      <c r="I91" s="5" t="s">
        <v>22</v>
      </c>
    </row>
    <row r="92" spans="1:9" ht="12.75" x14ac:dyDescent="0.2">
      <c r="A92" s="3">
        <v>38539</v>
      </c>
      <c r="B92" s="3" t="str">
        <f>IF(MONTH(Data[[#This Row],[Date]])&gt;3,YEAR(Data[[#This Row],[Date]])&amp;"-"&amp;YEAR(Data[[#This Row],[Date]])+1,YEAR(Data[[#This Row],[Date]])-1&amp;"-"&amp;YEAR(Data[[#This Row],[Date]]))</f>
        <v>2005-2006</v>
      </c>
      <c r="C92" s="3" t="str">
        <f>"Q"&amp;CEILING(MONTH(EDATE(Data[[#This Row],[Date]],-3)),3)/3</f>
        <v>Q2</v>
      </c>
      <c r="D92" s="4" t="s">
        <v>23</v>
      </c>
      <c r="E92" s="4" t="s">
        <v>33</v>
      </c>
      <c r="F92" s="5">
        <v>13650</v>
      </c>
      <c r="G92" s="5">
        <f>Data[[#This Row],[Amount]]-Data[[#This Row],[Profit]]</f>
        <v>8550</v>
      </c>
      <c r="H92" s="5">
        <v>5100</v>
      </c>
      <c r="I92" s="5" t="s">
        <v>11</v>
      </c>
    </row>
    <row r="93" spans="1:9" ht="12.75" x14ac:dyDescent="0.2">
      <c r="A93" s="3">
        <v>39386</v>
      </c>
      <c r="B93" s="3" t="str">
        <f>IF(MONTH(Data[[#This Row],[Date]])&gt;3,YEAR(Data[[#This Row],[Date]])&amp;"-"&amp;YEAR(Data[[#This Row],[Date]])+1,YEAR(Data[[#This Row],[Date]])-1&amp;"-"&amp;YEAR(Data[[#This Row],[Date]]))</f>
        <v>2007-2008</v>
      </c>
      <c r="C93" s="3" t="str">
        <f>"Q"&amp;CEILING(MONTH(EDATE(Data[[#This Row],[Date]],-3)),3)/3</f>
        <v>Q3</v>
      </c>
      <c r="D93" s="4" t="s">
        <v>12</v>
      </c>
      <c r="E93" s="4" t="s">
        <v>29</v>
      </c>
      <c r="F93" s="5">
        <v>11850</v>
      </c>
      <c r="G93" s="5">
        <f>Data[[#This Row],[Amount]]-Data[[#This Row],[Profit]]</f>
        <v>6690</v>
      </c>
      <c r="H93" s="5">
        <v>5160</v>
      </c>
      <c r="I93" s="5" t="s">
        <v>22</v>
      </c>
    </row>
    <row r="94" spans="1:9" ht="12.75" x14ac:dyDescent="0.2">
      <c r="A94" s="3">
        <v>38378</v>
      </c>
      <c r="B94" s="3" t="str">
        <f>IF(MONTH(Data[[#This Row],[Date]])&gt;3,YEAR(Data[[#This Row],[Date]])&amp;"-"&amp;YEAR(Data[[#This Row],[Date]])+1,YEAR(Data[[#This Row],[Date]])-1&amp;"-"&amp;YEAR(Data[[#This Row],[Date]]))</f>
        <v>2004-2005</v>
      </c>
      <c r="C94" s="3" t="str">
        <f>"Q"&amp;CEILING(MONTH(EDATE(Data[[#This Row],[Date]],-3)),3)/3</f>
        <v>Q4</v>
      </c>
      <c r="D94" s="4" t="s">
        <v>32</v>
      </c>
      <c r="E94" s="4" t="s">
        <v>17</v>
      </c>
      <c r="F94" s="5">
        <v>13150</v>
      </c>
      <c r="G94" s="5">
        <f>Data[[#This Row],[Amount]]-Data[[#This Row],[Profit]]</f>
        <v>7930</v>
      </c>
      <c r="H94" s="5">
        <v>5220</v>
      </c>
      <c r="I94" s="5" t="s">
        <v>8</v>
      </c>
    </row>
    <row r="95" spans="1:9" ht="12.75" x14ac:dyDescent="0.2">
      <c r="A95" s="3">
        <v>38781</v>
      </c>
      <c r="B95" s="3" t="str">
        <f>IF(MONTH(Data[[#This Row],[Date]])&gt;3,YEAR(Data[[#This Row],[Date]])&amp;"-"&amp;YEAR(Data[[#This Row],[Date]])+1,YEAR(Data[[#This Row],[Date]])-1&amp;"-"&amp;YEAR(Data[[#This Row],[Date]]))</f>
        <v>2005-2006</v>
      </c>
      <c r="C95" s="3" t="str">
        <f>"Q"&amp;CEILING(MONTH(EDATE(Data[[#This Row],[Date]],-3)),3)/3</f>
        <v>Q4</v>
      </c>
      <c r="D95" s="4" t="s">
        <v>32</v>
      </c>
      <c r="E95" s="4" t="s">
        <v>30</v>
      </c>
      <c r="F95" s="5">
        <v>12600</v>
      </c>
      <c r="G95" s="5">
        <f>Data[[#This Row],[Amount]]-Data[[#This Row],[Profit]]</f>
        <v>9860</v>
      </c>
      <c r="H95" s="5">
        <v>2740</v>
      </c>
      <c r="I95" s="5" t="s">
        <v>8</v>
      </c>
    </row>
    <row r="96" spans="1:9" ht="12.75" x14ac:dyDescent="0.2">
      <c r="A96" s="3">
        <v>39156</v>
      </c>
      <c r="B96" s="3" t="str">
        <f>IF(MONTH(Data[[#This Row],[Date]])&gt;3,YEAR(Data[[#This Row],[Date]])&amp;"-"&amp;YEAR(Data[[#This Row],[Date]])+1,YEAR(Data[[#This Row],[Date]])-1&amp;"-"&amp;YEAR(Data[[#This Row],[Date]]))</f>
        <v>2006-2007</v>
      </c>
      <c r="C96" s="3" t="str">
        <f>"Q"&amp;CEILING(MONTH(EDATE(Data[[#This Row],[Date]],-3)),3)/3</f>
        <v>Q4</v>
      </c>
      <c r="D96" s="4" t="s">
        <v>25</v>
      </c>
      <c r="E96" s="4" t="s">
        <v>13</v>
      </c>
      <c r="F96" s="5">
        <v>15000</v>
      </c>
      <c r="G96" s="5">
        <f>Data[[#This Row],[Amount]]-Data[[#This Row],[Profit]]</f>
        <v>10760</v>
      </c>
      <c r="H96" s="5">
        <v>4240</v>
      </c>
      <c r="I96" s="5" t="s">
        <v>15</v>
      </c>
    </row>
    <row r="97" spans="1:9" ht="12.75" x14ac:dyDescent="0.2">
      <c r="A97" s="3">
        <v>39244</v>
      </c>
      <c r="B97" s="3" t="str">
        <f>IF(MONTH(Data[[#This Row],[Date]])&gt;3,YEAR(Data[[#This Row],[Date]])&amp;"-"&amp;YEAR(Data[[#This Row],[Date]])+1,YEAR(Data[[#This Row],[Date]])-1&amp;"-"&amp;YEAR(Data[[#This Row],[Date]]))</f>
        <v>2007-2008</v>
      </c>
      <c r="C97" s="3" t="str">
        <f>"Q"&amp;CEILING(MONTH(EDATE(Data[[#This Row],[Date]],-3)),3)/3</f>
        <v>Q1</v>
      </c>
      <c r="D97" s="4" t="s">
        <v>12</v>
      </c>
      <c r="E97" s="4" t="s">
        <v>10</v>
      </c>
      <c r="F97" s="5">
        <v>10850</v>
      </c>
      <c r="G97" s="5">
        <f>Data[[#This Row],[Amount]]-Data[[#This Row],[Profit]]</f>
        <v>8110</v>
      </c>
      <c r="H97" s="5">
        <v>2740</v>
      </c>
      <c r="I97" s="5" t="s">
        <v>22</v>
      </c>
    </row>
    <row r="98" spans="1:9" ht="12.75" x14ac:dyDescent="0.2">
      <c r="A98" s="3">
        <v>38358</v>
      </c>
      <c r="B98" s="3" t="str">
        <f>IF(MONTH(Data[[#This Row],[Date]])&gt;3,YEAR(Data[[#This Row],[Date]])&amp;"-"&amp;YEAR(Data[[#This Row],[Date]])+1,YEAR(Data[[#This Row],[Date]])-1&amp;"-"&amp;YEAR(Data[[#This Row],[Date]]))</f>
        <v>2004-2005</v>
      </c>
      <c r="C98" s="3" t="str">
        <f>"Q"&amp;CEILING(MONTH(EDATE(Data[[#This Row],[Date]],-3)),3)/3</f>
        <v>Q4</v>
      </c>
      <c r="D98" s="4" t="s">
        <v>12</v>
      </c>
      <c r="E98" s="4" t="s">
        <v>26</v>
      </c>
      <c r="F98" s="5">
        <v>15000</v>
      </c>
      <c r="G98" s="5">
        <f>Data[[#This Row],[Amount]]-Data[[#This Row],[Profit]]</f>
        <v>9720</v>
      </c>
      <c r="H98" s="5">
        <v>5280</v>
      </c>
      <c r="I98" s="5" t="s">
        <v>11</v>
      </c>
    </row>
    <row r="99" spans="1:9" ht="12.75" x14ac:dyDescent="0.2">
      <c r="A99" s="3">
        <v>39309</v>
      </c>
      <c r="B99" s="3" t="str">
        <f>IF(MONTH(Data[[#This Row],[Date]])&gt;3,YEAR(Data[[#This Row],[Date]])&amp;"-"&amp;YEAR(Data[[#This Row],[Date]])+1,YEAR(Data[[#This Row],[Date]])-1&amp;"-"&amp;YEAR(Data[[#This Row],[Date]]))</f>
        <v>2007-2008</v>
      </c>
      <c r="C99" s="3" t="str">
        <f>"Q"&amp;CEILING(MONTH(EDATE(Data[[#This Row],[Date]],-3)),3)/3</f>
        <v>Q2</v>
      </c>
      <c r="D99" s="4" t="s">
        <v>9</v>
      </c>
      <c r="E99" s="4" t="s">
        <v>7</v>
      </c>
      <c r="F99" s="5">
        <v>11900</v>
      </c>
      <c r="G99" s="5">
        <f>Data[[#This Row],[Amount]]-Data[[#This Row],[Profit]]</f>
        <v>6680</v>
      </c>
      <c r="H99" s="5">
        <v>5220</v>
      </c>
      <c r="I99" s="5" t="s">
        <v>22</v>
      </c>
    </row>
    <row r="100" spans="1:9" ht="12.75" x14ac:dyDescent="0.2">
      <c r="A100" s="3">
        <v>39500</v>
      </c>
      <c r="B100" s="3" t="str">
        <f>IF(MONTH(Data[[#This Row],[Date]])&gt;3,YEAR(Data[[#This Row],[Date]])&amp;"-"&amp;YEAR(Data[[#This Row],[Date]])+1,YEAR(Data[[#This Row],[Date]])-1&amp;"-"&amp;YEAR(Data[[#This Row],[Date]]))</f>
        <v>2007-2008</v>
      </c>
      <c r="C100" s="3" t="str">
        <f>"Q"&amp;CEILING(MONTH(EDATE(Data[[#This Row],[Date]],-3)),3)/3</f>
        <v>Q4</v>
      </c>
      <c r="D100" s="4" t="s">
        <v>20</v>
      </c>
      <c r="E100" s="4" t="s">
        <v>33</v>
      </c>
      <c r="F100" s="5">
        <v>11600</v>
      </c>
      <c r="G100" s="5">
        <f>Data[[#This Row],[Amount]]-Data[[#This Row],[Profit]]</f>
        <v>7820</v>
      </c>
      <c r="H100" s="5">
        <v>3780</v>
      </c>
      <c r="I100" s="5" t="s">
        <v>11</v>
      </c>
    </row>
    <row r="101" spans="1:9" ht="12.75" x14ac:dyDescent="0.2">
      <c r="A101" s="3">
        <v>39266</v>
      </c>
      <c r="B101" s="3" t="str">
        <f>IF(MONTH(Data[[#This Row],[Date]])&gt;3,YEAR(Data[[#This Row],[Date]])&amp;"-"&amp;YEAR(Data[[#This Row],[Date]])+1,YEAR(Data[[#This Row],[Date]])-1&amp;"-"&amp;YEAR(Data[[#This Row],[Date]]))</f>
        <v>2007-2008</v>
      </c>
      <c r="C101" s="3" t="str">
        <f>"Q"&amp;CEILING(MONTH(EDATE(Data[[#This Row],[Date]],-3)),3)/3</f>
        <v>Q2</v>
      </c>
      <c r="D101" s="4" t="s">
        <v>16</v>
      </c>
      <c r="E101" s="4" t="s">
        <v>26</v>
      </c>
      <c r="F101" s="5">
        <v>12500</v>
      </c>
      <c r="G101" s="5">
        <f>Data[[#This Row],[Amount]]-Data[[#This Row],[Profit]]</f>
        <v>10080</v>
      </c>
      <c r="H101" s="5">
        <v>2420</v>
      </c>
      <c r="I101" s="5" t="s">
        <v>22</v>
      </c>
    </row>
    <row r="102" spans="1:9" ht="12.75" x14ac:dyDescent="0.2">
      <c r="A102" s="3">
        <v>39482</v>
      </c>
      <c r="B102" s="3" t="str">
        <f>IF(MONTH(Data[[#This Row],[Date]])&gt;3,YEAR(Data[[#This Row],[Date]])&amp;"-"&amp;YEAR(Data[[#This Row],[Date]])+1,YEAR(Data[[#This Row],[Date]])-1&amp;"-"&amp;YEAR(Data[[#This Row],[Date]]))</f>
        <v>2007-2008</v>
      </c>
      <c r="C102" s="3" t="str">
        <f>"Q"&amp;CEILING(MONTH(EDATE(Data[[#This Row],[Date]],-3)),3)/3</f>
        <v>Q4</v>
      </c>
      <c r="D102" s="4" t="s">
        <v>27</v>
      </c>
      <c r="E102" s="4" t="s">
        <v>29</v>
      </c>
      <c r="F102" s="5">
        <v>15000</v>
      </c>
      <c r="G102" s="5">
        <f>Data[[#This Row],[Amount]]-Data[[#This Row],[Profit]]</f>
        <v>10580</v>
      </c>
      <c r="H102" s="5">
        <v>4420</v>
      </c>
      <c r="I102" s="5" t="s">
        <v>15</v>
      </c>
    </row>
    <row r="103" spans="1:9" ht="12.75" x14ac:dyDescent="0.2">
      <c r="A103" s="3">
        <v>38805</v>
      </c>
      <c r="B103" s="3" t="str">
        <f>IF(MONTH(Data[[#This Row],[Date]])&gt;3,YEAR(Data[[#This Row],[Date]])&amp;"-"&amp;YEAR(Data[[#This Row],[Date]])+1,YEAR(Data[[#This Row],[Date]])-1&amp;"-"&amp;YEAR(Data[[#This Row],[Date]]))</f>
        <v>2005-2006</v>
      </c>
      <c r="C103" s="3" t="str">
        <f>"Q"&amp;CEILING(MONTH(EDATE(Data[[#This Row],[Date]],-3)),3)/3</f>
        <v>Q4</v>
      </c>
      <c r="D103" s="4" t="s">
        <v>16</v>
      </c>
      <c r="E103" s="4" t="s">
        <v>13</v>
      </c>
      <c r="F103" s="5">
        <v>13650</v>
      </c>
      <c r="G103" s="5">
        <f>Data[[#This Row],[Amount]]-Data[[#This Row],[Profit]]</f>
        <v>10350</v>
      </c>
      <c r="H103" s="5">
        <v>3300</v>
      </c>
      <c r="I103" s="5" t="s">
        <v>15</v>
      </c>
    </row>
    <row r="104" spans="1:9" ht="12.75" x14ac:dyDescent="0.2">
      <c r="A104" s="3">
        <v>38396</v>
      </c>
      <c r="B104" s="3" t="str">
        <f>IF(MONTH(Data[[#This Row],[Date]])&gt;3,YEAR(Data[[#This Row],[Date]])&amp;"-"&amp;YEAR(Data[[#This Row],[Date]])+1,YEAR(Data[[#This Row],[Date]])-1&amp;"-"&amp;YEAR(Data[[#This Row],[Date]]))</f>
        <v>2004-2005</v>
      </c>
      <c r="C104" s="3" t="str">
        <f>"Q"&amp;CEILING(MONTH(EDATE(Data[[#This Row],[Date]],-3)),3)/3</f>
        <v>Q4</v>
      </c>
      <c r="D104" s="4" t="s">
        <v>23</v>
      </c>
      <c r="E104" s="4" t="s">
        <v>26</v>
      </c>
      <c r="F104" s="5">
        <v>13750</v>
      </c>
      <c r="G104" s="5">
        <f>Data[[#This Row],[Amount]]-Data[[#This Row],[Profit]]</f>
        <v>10590</v>
      </c>
      <c r="H104" s="5">
        <v>3160</v>
      </c>
      <c r="I104" s="5" t="s">
        <v>15</v>
      </c>
    </row>
    <row r="105" spans="1:9" ht="12.75" x14ac:dyDescent="0.2">
      <c r="A105" s="3">
        <v>38509</v>
      </c>
      <c r="B105" s="3" t="str">
        <f>IF(MONTH(Data[[#This Row],[Date]])&gt;3,YEAR(Data[[#This Row],[Date]])&amp;"-"&amp;YEAR(Data[[#This Row],[Date]])+1,YEAR(Data[[#This Row],[Date]])-1&amp;"-"&amp;YEAR(Data[[#This Row],[Date]]))</f>
        <v>2005-2006</v>
      </c>
      <c r="C105" s="3" t="str">
        <f>"Q"&amp;CEILING(MONTH(EDATE(Data[[#This Row],[Date]],-3)),3)/3</f>
        <v>Q1</v>
      </c>
      <c r="D105" s="4" t="s">
        <v>31</v>
      </c>
      <c r="E105" s="4" t="s">
        <v>19</v>
      </c>
      <c r="F105" s="5">
        <v>11900</v>
      </c>
      <c r="G105" s="5">
        <f>Data[[#This Row],[Amount]]-Data[[#This Row],[Profit]]</f>
        <v>7200</v>
      </c>
      <c r="H105" s="5">
        <v>4700</v>
      </c>
      <c r="I105" s="5" t="s">
        <v>11</v>
      </c>
    </row>
    <row r="106" spans="1:9" ht="12.75" x14ac:dyDescent="0.2">
      <c r="A106" s="3">
        <v>38806</v>
      </c>
      <c r="B106" s="3" t="str">
        <f>IF(MONTH(Data[[#This Row],[Date]])&gt;3,YEAR(Data[[#This Row],[Date]])&amp;"-"&amp;YEAR(Data[[#This Row],[Date]])+1,YEAR(Data[[#This Row],[Date]])-1&amp;"-"&amp;YEAR(Data[[#This Row],[Date]]))</f>
        <v>2005-2006</v>
      </c>
      <c r="C106" s="3" t="str">
        <f>"Q"&amp;CEILING(MONTH(EDATE(Data[[#This Row],[Date]],-3)),3)/3</f>
        <v>Q4</v>
      </c>
      <c r="D106" s="4" t="s">
        <v>32</v>
      </c>
      <c r="E106" s="4" t="s">
        <v>33</v>
      </c>
      <c r="F106" s="5">
        <v>10600</v>
      </c>
      <c r="G106" s="5">
        <f>Data[[#This Row],[Amount]]-Data[[#This Row],[Profit]]</f>
        <v>6560</v>
      </c>
      <c r="H106" s="5">
        <v>4040</v>
      </c>
      <c r="I106" s="5" t="s">
        <v>11</v>
      </c>
    </row>
    <row r="107" spans="1:9" ht="12.75" x14ac:dyDescent="0.2">
      <c r="A107" s="3">
        <v>38589</v>
      </c>
      <c r="B107" s="3" t="str">
        <f>IF(MONTH(Data[[#This Row],[Date]])&gt;3,YEAR(Data[[#This Row],[Date]])&amp;"-"&amp;YEAR(Data[[#This Row],[Date]])+1,YEAR(Data[[#This Row],[Date]])-1&amp;"-"&amp;YEAR(Data[[#This Row],[Date]]))</f>
        <v>2005-2006</v>
      </c>
      <c r="C107" s="3" t="str">
        <f>"Q"&amp;CEILING(MONTH(EDATE(Data[[#This Row],[Date]],-3)),3)/3</f>
        <v>Q2</v>
      </c>
      <c r="D107" s="4" t="s">
        <v>27</v>
      </c>
      <c r="E107" s="4" t="s">
        <v>7</v>
      </c>
      <c r="F107" s="5">
        <v>13850</v>
      </c>
      <c r="G107" s="5">
        <f>Data[[#This Row],[Amount]]-Data[[#This Row],[Profit]]</f>
        <v>8430</v>
      </c>
      <c r="H107" s="5">
        <v>5420</v>
      </c>
      <c r="I107" s="5" t="s">
        <v>11</v>
      </c>
    </row>
    <row r="108" spans="1:9" ht="12.75" x14ac:dyDescent="0.2">
      <c r="A108" s="3">
        <v>39048</v>
      </c>
      <c r="B108" s="3" t="str">
        <f>IF(MONTH(Data[[#This Row],[Date]])&gt;3,YEAR(Data[[#This Row],[Date]])&amp;"-"&amp;YEAR(Data[[#This Row],[Date]])+1,YEAR(Data[[#This Row],[Date]])-1&amp;"-"&amp;YEAR(Data[[#This Row],[Date]]))</f>
        <v>2006-2007</v>
      </c>
      <c r="C108" s="3" t="str">
        <f>"Q"&amp;CEILING(MONTH(EDATE(Data[[#This Row],[Date]],-3)),3)/3</f>
        <v>Q3</v>
      </c>
      <c r="D108" s="4" t="s">
        <v>6</v>
      </c>
      <c r="E108" s="4" t="s">
        <v>7</v>
      </c>
      <c r="F108" s="5">
        <v>11500</v>
      </c>
      <c r="G108" s="5">
        <f>Data[[#This Row],[Amount]]-Data[[#This Row],[Profit]]</f>
        <v>7720</v>
      </c>
      <c r="H108" s="5">
        <v>3780</v>
      </c>
      <c r="I108" s="5" t="s">
        <v>8</v>
      </c>
    </row>
    <row r="109" spans="1:9" ht="12.75" x14ac:dyDescent="0.2">
      <c r="A109" s="3">
        <v>39721</v>
      </c>
      <c r="B109" s="3" t="str">
        <f>IF(MONTH(Data[[#This Row],[Date]])&gt;3,YEAR(Data[[#This Row],[Date]])&amp;"-"&amp;YEAR(Data[[#This Row],[Date]])+1,YEAR(Data[[#This Row],[Date]])-1&amp;"-"&amp;YEAR(Data[[#This Row],[Date]]))</f>
        <v>2008-2009</v>
      </c>
      <c r="C109" s="3" t="str">
        <f>"Q"&amp;CEILING(MONTH(EDATE(Data[[#This Row],[Date]],-3)),3)/3</f>
        <v>Q2</v>
      </c>
      <c r="D109" s="4" t="s">
        <v>9</v>
      </c>
      <c r="E109" s="4" t="s">
        <v>30</v>
      </c>
      <c r="F109" s="5">
        <v>12450</v>
      </c>
      <c r="G109" s="5">
        <f>Data[[#This Row],[Amount]]-Data[[#This Row],[Profit]]</f>
        <v>10430</v>
      </c>
      <c r="H109" s="5">
        <v>2020</v>
      </c>
      <c r="I109" s="5" t="s">
        <v>11</v>
      </c>
    </row>
    <row r="110" spans="1:9" ht="12.75" x14ac:dyDescent="0.2">
      <c r="A110" s="3">
        <v>39159</v>
      </c>
      <c r="B110" s="3" t="str">
        <f>IF(MONTH(Data[[#This Row],[Date]])&gt;3,YEAR(Data[[#This Row],[Date]])&amp;"-"&amp;YEAR(Data[[#This Row],[Date]])+1,YEAR(Data[[#This Row],[Date]])-1&amp;"-"&amp;YEAR(Data[[#This Row],[Date]]))</f>
        <v>2006-2007</v>
      </c>
      <c r="C110" s="3" t="str">
        <f>"Q"&amp;CEILING(MONTH(EDATE(Data[[#This Row],[Date]],-3)),3)/3</f>
        <v>Q4</v>
      </c>
      <c r="D110" s="4" t="s">
        <v>25</v>
      </c>
      <c r="E110" s="4" t="s">
        <v>21</v>
      </c>
      <c r="F110" s="5">
        <v>12950</v>
      </c>
      <c r="G110" s="5">
        <f>Data[[#This Row],[Amount]]-Data[[#This Row],[Profit]]</f>
        <v>10150</v>
      </c>
      <c r="H110" s="5">
        <v>2800</v>
      </c>
      <c r="I110" s="5" t="s">
        <v>15</v>
      </c>
    </row>
    <row r="111" spans="1:9" ht="12.75" x14ac:dyDescent="0.2">
      <c r="A111" s="3">
        <v>39037</v>
      </c>
      <c r="B111" s="3" t="str">
        <f>IF(MONTH(Data[[#This Row],[Date]])&gt;3,YEAR(Data[[#This Row],[Date]])&amp;"-"&amp;YEAR(Data[[#This Row],[Date]])+1,YEAR(Data[[#This Row],[Date]])-1&amp;"-"&amp;YEAR(Data[[#This Row],[Date]]))</f>
        <v>2006-2007</v>
      </c>
      <c r="C111" s="3" t="str">
        <f>"Q"&amp;CEILING(MONTH(EDATE(Data[[#This Row],[Date]],-3)),3)/3</f>
        <v>Q3</v>
      </c>
      <c r="D111" s="4" t="s">
        <v>23</v>
      </c>
      <c r="E111" s="4" t="s">
        <v>28</v>
      </c>
      <c r="F111" s="5">
        <v>13400</v>
      </c>
      <c r="G111" s="5">
        <f>Data[[#This Row],[Amount]]-Data[[#This Row],[Profit]]</f>
        <v>9120</v>
      </c>
      <c r="H111" s="5">
        <v>4280</v>
      </c>
      <c r="I111" s="5" t="s">
        <v>8</v>
      </c>
    </row>
    <row r="112" spans="1:9" ht="12.75" x14ac:dyDescent="0.2">
      <c r="A112" s="3">
        <v>39813</v>
      </c>
      <c r="B112" s="3" t="str">
        <f>IF(MONTH(Data[[#This Row],[Date]])&gt;3,YEAR(Data[[#This Row],[Date]])&amp;"-"&amp;YEAR(Data[[#This Row],[Date]])+1,YEAR(Data[[#This Row],[Date]])-1&amp;"-"&amp;YEAR(Data[[#This Row],[Date]]))</f>
        <v>2008-2009</v>
      </c>
      <c r="C112" s="3" t="str">
        <f>"Q"&amp;CEILING(MONTH(EDATE(Data[[#This Row],[Date]],-3)),3)/3</f>
        <v>Q3</v>
      </c>
      <c r="D112" s="4" t="s">
        <v>6</v>
      </c>
      <c r="E112" s="4" t="s">
        <v>24</v>
      </c>
      <c r="F112" s="5">
        <v>11100</v>
      </c>
      <c r="G112" s="5">
        <f>Data[[#This Row],[Amount]]-Data[[#This Row],[Profit]]</f>
        <v>7780</v>
      </c>
      <c r="H112" s="5">
        <v>3320</v>
      </c>
      <c r="I112" s="5" t="s">
        <v>11</v>
      </c>
    </row>
    <row r="113" spans="1:9" ht="12.75" x14ac:dyDescent="0.2">
      <c r="A113" s="3">
        <v>39419</v>
      </c>
      <c r="B113" s="3" t="str">
        <f>IF(MONTH(Data[[#This Row],[Date]])&gt;3,YEAR(Data[[#This Row],[Date]])&amp;"-"&amp;YEAR(Data[[#This Row],[Date]])+1,YEAR(Data[[#This Row],[Date]])-1&amp;"-"&amp;YEAR(Data[[#This Row],[Date]]))</f>
        <v>2007-2008</v>
      </c>
      <c r="C113" s="3" t="str">
        <f>"Q"&amp;CEILING(MONTH(EDATE(Data[[#This Row],[Date]],-3)),3)/3</f>
        <v>Q3</v>
      </c>
      <c r="D113" s="4" t="s">
        <v>27</v>
      </c>
      <c r="E113" s="4" t="s">
        <v>29</v>
      </c>
      <c r="F113" s="5">
        <v>10600</v>
      </c>
      <c r="G113" s="5">
        <f>Data[[#This Row],[Amount]]-Data[[#This Row],[Profit]]</f>
        <v>5160</v>
      </c>
      <c r="H113" s="5">
        <v>5440</v>
      </c>
      <c r="I113" s="5" t="s">
        <v>15</v>
      </c>
    </row>
    <row r="114" spans="1:9" ht="12.75" x14ac:dyDescent="0.2">
      <c r="A114" s="3">
        <v>38790</v>
      </c>
      <c r="B114" s="3" t="str">
        <f>IF(MONTH(Data[[#This Row],[Date]])&gt;3,YEAR(Data[[#This Row],[Date]])&amp;"-"&amp;YEAR(Data[[#This Row],[Date]])+1,YEAR(Data[[#This Row],[Date]])-1&amp;"-"&amp;YEAR(Data[[#This Row],[Date]]))</f>
        <v>2005-2006</v>
      </c>
      <c r="C114" s="3" t="str">
        <f>"Q"&amp;CEILING(MONTH(EDATE(Data[[#This Row],[Date]],-3)),3)/3</f>
        <v>Q4</v>
      </c>
      <c r="D114" s="4" t="s">
        <v>9</v>
      </c>
      <c r="E114" s="4" t="s">
        <v>26</v>
      </c>
      <c r="F114" s="5">
        <v>11150</v>
      </c>
      <c r="G114" s="5">
        <f>Data[[#This Row],[Amount]]-Data[[#This Row],[Profit]]</f>
        <v>7150</v>
      </c>
      <c r="H114" s="5">
        <v>4000</v>
      </c>
      <c r="I114" s="5" t="s">
        <v>22</v>
      </c>
    </row>
    <row r="115" spans="1:9" ht="12.75" x14ac:dyDescent="0.2">
      <c r="A115" s="3">
        <v>38807</v>
      </c>
      <c r="B115" s="3" t="str">
        <f>IF(MONTH(Data[[#This Row],[Date]])&gt;3,YEAR(Data[[#This Row],[Date]])&amp;"-"&amp;YEAR(Data[[#This Row],[Date]])+1,YEAR(Data[[#This Row],[Date]])-1&amp;"-"&amp;YEAR(Data[[#This Row],[Date]]))</f>
        <v>2005-2006</v>
      </c>
      <c r="C115" s="3" t="str">
        <f>"Q"&amp;CEILING(MONTH(EDATE(Data[[#This Row],[Date]],-3)),3)/3</f>
        <v>Q4</v>
      </c>
      <c r="D115" s="4" t="s">
        <v>31</v>
      </c>
      <c r="E115" s="4" t="s">
        <v>21</v>
      </c>
      <c r="F115" s="5">
        <v>13200</v>
      </c>
      <c r="G115" s="5">
        <f>Data[[#This Row],[Amount]]-Data[[#This Row],[Profit]]</f>
        <v>9440</v>
      </c>
      <c r="H115" s="5">
        <v>3760</v>
      </c>
      <c r="I115" s="5" t="s">
        <v>8</v>
      </c>
    </row>
    <row r="116" spans="1:9" ht="12.75" x14ac:dyDescent="0.2">
      <c r="A116" s="3">
        <v>39195</v>
      </c>
      <c r="B116" s="3" t="str">
        <f>IF(MONTH(Data[[#This Row],[Date]])&gt;3,YEAR(Data[[#This Row],[Date]])&amp;"-"&amp;YEAR(Data[[#This Row],[Date]])+1,YEAR(Data[[#This Row],[Date]])-1&amp;"-"&amp;YEAR(Data[[#This Row],[Date]]))</f>
        <v>2007-2008</v>
      </c>
      <c r="C116" s="3" t="str">
        <f>"Q"&amp;CEILING(MONTH(EDATE(Data[[#This Row],[Date]],-3)),3)/3</f>
        <v>Q1</v>
      </c>
      <c r="D116" s="4" t="s">
        <v>16</v>
      </c>
      <c r="E116" s="4" t="s">
        <v>24</v>
      </c>
      <c r="F116" s="5">
        <v>12700</v>
      </c>
      <c r="G116" s="5">
        <f>Data[[#This Row],[Amount]]-Data[[#This Row],[Profit]]</f>
        <v>10360</v>
      </c>
      <c r="H116" s="5">
        <v>2340</v>
      </c>
      <c r="I116" s="5" t="s">
        <v>8</v>
      </c>
    </row>
    <row r="117" spans="1:9" ht="12.75" x14ac:dyDescent="0.2">
      <c r="A117" s="3">
        <v>39092</v>
      </c>
      <c r="B117" s="3" t="str">
        <f>IF(MONTH(Data[[#This Row],[Date]])&gt;3,YEAR(Data[[#This Row],[Date]])&amp;"-"&amp;YEAR(Data[[#This Row],[Date]])+1,YEAR(Data[[#This Row],[Date]])-1&amp;"-"&amp;YEAR(Data[[#This Row],[Date]]))</f>
        <v>2006-2007</v>
      </c>
      <c r="C117" s="3" t="str">
        <f>"Q"&amp;CEILING(MONTH(EDATE(Data[[#This Row],[Date]],-3)),3)/3</f>
        <v>Q4</v>
      </c>
      <c r="D117" s="4" t="s">
        <v>32</v>
      </c>
      <c r="E117" s="4" t="s">
        <v>33</v>
      </c>
      <c r="F117" s="5">
        <v>14700</v>
      </c>
      <c r="G117" s="5">
        <f>Data[[#This Row],[Amount]]-Data[[#This Row],[Profit]]</f>
        <v>10040</v>
      </c>
      <c r="H117" s="5">
        <v>4660</v>
      </c>
      <c r="I117" s="5" t="s">
        <v>15</v>
      </c>
    </row>
    <row r="118" spans="1:9" ht="12.75" x14ac:dyDescent="0.2">
      <c r="A118" s="3">
        <v>38611</v>
      </c>
      <c r="B118" s="3" t="str">
        <f>IF(MONTH(Data[[#This Row],[Date]])&gt;3,YEAR(Data[[#This Row],[Date]])&amp;"-"&amp;YEAR(Data[[#This Row],[Date]])+1,YEAR(Data[[#This Row],[Date]])-1&amp;"-"&amp;YEAR(Data[[#This Row],[Date]]))</f>
        <v>2005-2006</v>
      </c>
      <c r="C118" s="3" t="str">
        <f>"Q"&amp;CEILING(MONTH(EDATE(Data[[#This Row],[Date]],-3)),3)/3</f>
        <v>Q2</v>
      </c>
      <c r="D118" s="4" t="s">
        <v>27</v>
      </c>
      <c r="E118" s="4" t="s">
        <v>21</v>
      </c>
      <c r="F118" s="5">
        <v>14000</v>
      </c>
      <c r="G118" s="5">
        <f>Data[[#This Row],[Amount]]-Data[[#This Row],[Profit]]</f>
        <v>11580</v>
      </c>
      <c r="H118" s="5">
        <v>2420</v>
      </c>
      <c r="I118" s="5" t="s">
        <v>22</v>
      </c>
    </row>
    <row r="119" spans="1:9" ht="12.75" x14ac:dyDescent="0.2">
      <c r="A119" s="3">
        <v>39106</v>
      </c>
      <c r="B119" s="3" t="str">
        <f>IF(MONTH(Data[[#This Row],[Date]])&gt;3,YEAR(Data[[#This Row],[Date]])&amp;"-"&amp;YEAR(Data[[#This Row],[Date]])+1,YEAR(Data[[#This Row],[Date]])-1&amp;"-"&amp;YEAR(Data[[#This Row],[Date]]))</f>
        <v>2006-2007</v>
      </c>
      <c r="C119" s="3" t="str">
        <f>"Q"&amp;CEILING(MONTH(EDATE(Data[[#This Row],[Date]],-3)),3)/3</f>
        <v>Q4</v>
      </c>
      <c r="D119" s="4" t="s">
        <v>16</v>
      </c>
      <c r="E119" s="4" t="s">
        <v>24</v>
      </c>
      <c r="F119" s="5">
        <v>13350</v>
      </c>
      <c r="G119" s="5">
        <f>Data[[#This Row],[Amount]]-Data[[#This Row],[Profit]]</f>
        <v>9830</v>
      </c>
      <c r="H119" s="5">
        <v>3520</v>
      </c>
      <c r="I119" s="5" t="s">
        <v>8</v>
      </c>
    </row>
    <row r="120" spans="1:9" ht="12.75" x14ac:dyDescent="0.2">
      <c r="A120" s="3">
        <v>39721</v>
      </c>
      <c r="B120" s="3" t="str">
        <f>IF(MONTH(Data[[#This Row],[Date]])&gt;3,YEAR(Data[[#This Row],[Date]])&amp;"-"&amp;YEAR(Data[[#This Row],[Date]])+1,YEAR(Data[[#This Row],[Date]])-1&amp;"-"&amp;YEAR(Data[[#This Row],[Date]]))</f>
        <v>2008-2009</v>
      </c>
      <c r="C120" s="3" t="str">
        <f>"Q"&amp;CEILING(MONTH(EDATE(Data[[#This Row],[Date]],-3)),3)/3</f>
        <v>Q2</v>
      </c>
      <c r="D120" s="4" t="s">
        <v>31</v>
      </c>
      <c r="E120" s="4" t="s">
        <v>13</v>
      </c>
      <c r="F120" s="5">
        <v>13300</v>
      </c>
      <c r="G120" s="5">
        <f>Data[[#This Row],[Amount]]-Data[[#This Row],[Profit]]</f>
        <v>7760</v>
      </c>
      <c r="H120" s="5">
        <v>5540</v>
      </c>
      <c r="I120" s="5" t="s">
        <v>15</v>
      </c>
    </row>
    <row r="121" spans="1:9" ht="12.75" x14ac:dyDescent="0.2">
      <c r="A121" s="3">
        <v>38840</v>
      </c>
      <c r="B121" s="3" t="str">
        <f>IF(MONTH(Data[[#This Row],[Date]])&gt;3,YEAR(Data[[#This Row],[Date]])&amp;"-"&amp;YEAR(Data[[#This Row],[Date]])+1,YEAR(Data[[#This Row],[Date]])-1&amp;"-"&amp;YEAR(Data[[#This Row],[Date]]))</f>
        <v>2006-2007</v>
      </c>
      <c r="C121" s="3" t="str">
        <f>"Q"&amp;CEILING(MONTH(EDATE(Data[[#This Row],[Date]],-3)),3)/3</f>
        <v>Q1</v>
      </c>
      <c r="D121" s="4" t="s">
        <v>31</v>
      </c>
      <c r="E121" s="4" t="s">
        <v>24</v>
      </c>
      <c r="F121" s="5">
        <v>13050</v>
      </c>
      <c r="G121" s="5">
        <f>Data[[#This Row],[Amount]]-Data[[#This Row],[Profit]]</f>
        <v>8110</v>
      </c>
      <c r="H121" s="5">
        <v>4940</v>
      </c>
      <c r="I121" s="5" t="s">
        <v>15</v>
      </c>
    </row>
    <row r="122" spans="1:9" ht="12.75" x14ac:dyDescent="0.2">
      <c r="A122" s="3">
        <v>39082</v>
      </c>
      <c r="B122" s="3" t="str">
        <f>IF(MONTH(Data[[#This Row],[Date]])&gt;3,YEAR(Data[[#This Row],[Date]])&amp;"-"&amp;YEAR(Data[[#This Row],[Date]])+1,YEAR(Data[[#This Row],[Date]])-1&amp;"-"&amp;YEAR(Data[[#This Row],[Date]]))</f>
        <v>2006-2007</v>
      </c>
      <c r="C122" s="3" t="str">
        <f>"Q"&amp;CEILING(MONTH(EDATE(Data[[#This Row],[Date]],-3)),3)/3</f>
        <v>Q3</v>
      </c>
      <c r="D122" s="4" t="s">
        <v>25</v>
      </c>
      <c r="E122" s="4" t="s">
        <v>13</v>
      </c>
      <c r="F122" s="5">
        <v>11700</v>
      </c>
      <c r="G122" s="5">
        <f>Data[[#This Row],[Amount]]-Data[[#This Row],[Profit]]</f>
        <v>7180</v>
      </c>
      <c r="H122" s="5">
        <v>4520</v>
      </c>
      <c r="I122" s="5" t="s">
        <v>22</v>
      </c>
    </row>
    <row r="123" spans="1:9" ht="12.75" x14ac:dyDescent="0.2">
      <c r="A123" s="3">
        <v>39734</v>
      </c>
      <c r="B123" s="3" t="str">
        <f>IF(MONTH(Data[[#This Row],[Date]])&gt;3,YEAR(Data[[#This Row],[Date]])&amp;"-"&amp;YEAR(Data[[#This Row],[Date]])+1,YEAR(Data[[#This Row],[Date]])-1&amp;"-"&amp;YEAR(Data[[#This Row],[Date]]))</f>
        <v>2008-2009</v>
      </c>
      <c r="C123" s="3" t="str">
        <f>"Q"&amp;CEILING(MONTH(EDATE(Data[[#This Row],[Date]],-3)),3)/3</f>
        <v>Q3</v>
      </c>
      <c r="D123" s="4" t="s">
        <v>6</v>
      </c>
      <c r="E123" s="4" t="s">
        <v>7</v>
      </c>
      <c r="F123" s="5">
        <v>14350</v>
      </c>
      <c r="G123" s="5">
        <f>Data[[#This Row],[Amount]]-Data[[#This Row],[Profit]]</f>
        <v>9470</v>
      </c>
      <c r="H123" s="5">
        <v>4880</v>
      </c>
      <c r="I123" s="5" t="s">
        <v>15</v>
      </c>
    </row>
    <row r="124" spans="1:9" ht="12.75" x14ac:dyDescent="0.2">
      <c r="A124" s="3">
        <v>38471</v>
      </c>
      <c r="B124" s="3" t="str">
        <f>IF(MONTH(Data[[#This Row],[Date]])&gt;3,YEAR(Data[[#This Row],[Date]])&amp;"-"&amp;YEAR(Data[[#This Row],[Date]])+1,YEAR(Data[[#This Row],[Date]])-1&amp;"-"&amp;YEAR(Data[[#This Row],[Date]]))</f>
        <v>2005-2006</v>
      </c>
      <c r="C124" s="3" t="str">
        <f>"Q"&amp;CEILING(MONTH(EDATE(Data[[#This Row],[Date]],-3)),3)/3</f>
        <v>Q1</v>
      </c>
      <c r="D124" s="4" t="s">
        <v>18</v>
      </c>
      <c r="E124" s="4" t="s">
        <v>29</v>
      </c>
      <c r="F124" s="5">
        <v>14750</v>
      </c>
      <c r="G124" s="5">
        <f>Data[[#This Row],[Amount]]-Data[[#This Row],[Profit]]</f>
        <v>9470</v>
      </c>
      <c r="H124" s="5">
        <v>5280</v>
      </c>
      <c r="I124" s="5" t="s">
        <v>15</v>
      </c>
    </row>
    <row r="125" spans="1:9" ht="12.75" x14ac:dyDescent="0.2">
      <c r="A125" s="3">
        <v>39623</v>
      </c>
      <c r="B125" s="3" t="str">
        <f>IF(MONTH(Data[[#This Row],[Date]])&gt;3,YEAR(Data[[#This Row],[Date]])&amp;"-"&amp;YEAR(Data[[#This Row],[Date]])+1,YEAR(Data[[#This Row],[Date]])-1&amp;"-"&amp;YEAR(Data[[#This Row],[Date]]))</f>
        <v>2008-2009</v>
      </c>
      <c r="C125" s="3" t="str">
        <f>"Q"&amp;CEILING(MONTH(EDATE(Data[[#This Row],[Date]],-3)),3)/3</f>
        <v>Q1</v>
      </c>
      <c r="D125" s="4" t="s">
        <v>16</v>
      </c>
      <c r="E125" s="4" t="s">
        <v>33</v>
      </c>
      <c r="F125" s="5">
        <v>14750</v>
      </c>
      <c r="G125" s="5">
        <f>Data[[#This Row],[Amount]]-Data[[#This Row],[Profit]]</f>
        <v>12190</v>
      </c>
      <c r="H125" s="5">
        <v>2560</v>
      </c>
      <c r="I125" s="5" t="s">
        <v>8</v>
      </c>
    </row>
    <row r="126" spans="1:9" ht="12.75" x14ac:dyDescent="0.2">
      <c r="A126" s="3">
        <v>39711</v>
      </c>
      <c r="B126" s="3" t="str">
        <f>IF(MONTH(Data[[#This Row],[Date]])&gt;3,YEAR(Data[[#This Row],[Date]])&amp;"-"&amp;YEAR(Data[[#This Row],[Date]])+1,YEAR(Data[[#This Row],[Date]])-1&amp;"-"&amp;YEAR(Data[[#This Row],[Date]]))</f>
        <v>2008-2009</v>
      </c>
      <c r="C126" s="3" t="str">
        <f>"Q"&amp;CEILING(MONTH(EDATE(Data[[#This Row],[Date]],-3)),3)/3</f>
        <v>Q2</v>
      </c>
      <c r="D126" s="4" t="s">
        <v>32</v>
      </c>
      <c r="E126" s="4" t="s">
        <v>24</v>
      </c>
      <c r="F126" s="5">
        <v>12750</v>
      </c>
      <c r="G126" s="5">
        <f>Data[[#This Row],[Amount]]-Data[[#This Row],[Profit]]</f>
        <v>10350</v>
      </c>
      <c r="H126" s="5">
        <v>2400</v>
      </c>
      <c r="I126" s="5" t="s">
        <v>8</v>
      </c>
    </row>
    <row r="127" spans="1:9" ht="12.75" x14ac:dyDescent="0.2">
      <c r="A127" s="3">
        <v>39758</v>
      </c>
      <c r="B127" s="3" t="str">
        <f>IF(MONTH(Data[[#This Row],[Date]])&gt;3,YEAR(Data[[#This Row],[Date]])&amp;"-"&amp;YEAR(Data[[#This Row],[Date]])+1,YEAR(Data[[#This Row],[Date]])-1&amp;"-"&amp;YEAR(Data[[#This Row],[Date]]))</f>
        <v>2008-2009</v>
      </c>
      <c r="C127" s="3" t="str">
        <f>"Q"&amp;CEILING(MONTH(EDATE(Data[[#This Row],[Date]],-3)),3)/3</f>
        <v>Q3</v>
      </c>
      <c r="D127" s="4" t="s">
        <v>20</v>
      </c>
      <c r="E127" s="4" t="s">
        <v>7</v>
      </c>
      <c r="F127" s="5">
        <v>12300</v>
      </c>
      <c r="G127" s="5">
        <f>Data[[#This Row],[Amount]]-Data[[#This Row],[Profit]]</f>
        <v>8000</v>
      </c>
      <c r="H127" s="5">
        <v>4300</v>
      </c>
      <c r="I127" s="5" t="s">
        <v>11</v>
      </c>
    </row>
    <row r="128" spans="1:9" ht="12.75" x14ac:dyDescent="0.2">
      <c r="A128" s="3">
        <v>39589</v>
      </c>
      <c r="B128" s="3" t="str">
        <f>IF(MONTH(Data[[#This Row],[Date]])&gt;3,YEAR(Data[[#This Row],[Date]])&amp;"-"&amp;YEAR(Data[[#This Row],[Date]])+1,YEAR(Data[[#This Row],[Date]])-1&amp;"-"&amp;YEAR(Data[[#This Row],[Date]]))</f>
        <v>2008-2009</v>
      </c>
      <c r="C128" s="3" t="str">
        <f>"Q"&amp;CEILING(MONTH(EDATE(Data[[#This Row],[Date]],-3)),3)/3</f>
        <v>Q1</v>
      </c>
      <c r="D128" s="4" t="s">
        <v>14</v>
      </c>
      <c r="E128" s="4" t="s">
        <v>24</v>
      </c>
      <c r="F128" s="5">
        <v>12000</v>
      </c>
      <c r="G128" s="5">
        <f>Data[[#This Row],[Amount]]-Data[[#This Row],[Profit]]</f>
        <v>9900</v>
      </c>
      <c r="H128" s="5">
        <v>2100</v>
      </c>
      <c r="I128" s="5" t="s">
        <v>11</v>
      </c>
    </row>
    <row r="129" spans="1:9" ht="12.75" x14ac:dyDescent="0.2">
      <c r="A129" s="3">
        <v>38920</v>
      </c>
      <c r="B129" s="3" t="str">
        <f>IF(MONTH(Data[[#This Row],[Date]])&gt;3,YEAR(Data[[#This Row],[Date]])&amp;"-"&amp;YEAR(Data[[#This Row],[Date]])+1,YEAR(Data[[#This Row],[Date]])-1&amp;"-"&amp;YEAR(Data[[#This Row],[Date]]))</f>
        <v>2006-2007</v>
      </c>
      <c r="C129" s="3" t="str">
        <f>"Q"&amp;CEILING(MONTH(EDATE(Data[[#This Row],[Date]],-3)),3)/3</f>
        <v>Q2</v>
      </c>
      <c r="D129" s="4" t="s">
        <v>9</v>
      </c>
      <c r="E129" s="4" t="s">
        <v>26</v>
      </c>
      <c r="F129" s="5">
        <v>11050</v>
      </c>
      <c r="G129" s="5">
        <f>Data[[#This Row],[Amount]]-Data[[#This Row],[Profit]]</f>
        <v>8690</v>
      </c>
      <c r="H129" s="5">
        <v>2360</v>
      </c>
      <c r="I129" s="5" t="s">
        <v>8</v>
      </c>
    </row>
    <row r="130" spans="1:9" ht="12.75" x14ac:dyDescent="0.2">
      <c r="A130" s="3">
        <v>39754</v>
      </c>
      <c r="B130" s="3" t="str">
        <f>IF(MONTH(Data[[#This Row],[Date]])&gt;3,YEAR(Data[[#This Row],[Date]])&amp;"-"&amp;YEAR(Data[[#This Row],[Date]])+1,YEAR(Data[[#This Row],[Date]])-1&amp;"-"&amp;YEAR(Data[[#This Row],[Date]]))</f>
        <v>2008-2009</v>
      </c>
      <c r="C130" s="3" t="str">
        <f>"Q"&amp;CEILING(MONTH(EDATE(Data[[#This Row],[Date]],-3)),3)/3</f>
        <v>Q3</v>
      </c>
      <c r="D130" s="4" t="s">
        <v>12</v>
      </c>
      <c r="E130" s="4" t="s">
        <v>13</v>
      </c>
      <c r="F130" s="5">
        <v>13250</v>
      </c>
      <c r="G130" s="5">
        <f>Data[[#This Row],[Amount]]-Data[[#This Row],[Profit]]</f>
        <v>8750</v>
      </c>
      <c r="H130" s="5">
        <v>4500</v>
      </c>
      <c r="I130" s="5" t="s">
        <v>15</v>
      </c>
    </row>
    <row r="131" spans="1:9" ht="12.75" x14ac:dyDescent="0.2">
      <c r="A131" s="3">
        <v>38876</v>
      </c>
      <c r="B131" s="3" t="str">
        <f>IF(MONTH(Data[[#This Row],[Date]])&gt;3,YEAR(Data[[#This Row],[Date]])&amp;"-"&amp;YEAR(Data[[#This Row],[Date]])+1,YEAR(Data[[#This Row],[Date]])-1&amp;"-"&amp;YEAR(Data[[#This Row],[Date]]))</f>
        <v>2006-2007</v>
      </c>
      <c r="C131" s="3" t="str">
        <f>"Q"&amp;CEILING(MONTH(EDATE(Data[[#This Row],[Date]],-3)),3)/3</f>
        <v>Q1</v>
      </c>
      <c r="D131" s="4" t="s">
        <v>14</v>
      </c>
      <c r="E131" s="4" t="s">
        <v>7</v>
      </c>
      <c r="F131" s="5">
        <v>10100</v>
      </c>
      <c r="G131" s="5">
        <f>Data[[#This Row],[Amount]]-Data[[#This Row],[Profit]]</f>
        <v>6460</v>
      </c>
      <c r="H131" s="5">
        <v>3640</v>
      </c>
      <c r="I131" s="5" t="s">
        <v>11</v>
      </c>
    </row>
    <row r="132" spans="1:9" ht="12.75" x14ac:dyDescent="0.2">
      <c r="A132" s="3">
        <v>39612</v>
      </c>
      <c r="B132" s="3" t="str">
        <f>IF(MONTH(Data[[#This Row],[Date]])&gt;3,YEAR(Data[[#This Row],[Date]])&amp;"-"&amp;YEAR(Data[[#This Row],[Date]])+1,YEAR(Data[[#This Row],[Date]])-1&amp;"-"&amp;YEAR(Data[[#This Row],[Date]]))</f>
        <v>2008-2009</v>
      </c>
      <c r="C132" s="3" t="str">
        <f>"Q"&amp;CEILING(MONTH(EDATE(Data[[#This Row],[Date]],-3)),3)/3</f>
        <v>Q1</v>
      </c>
      <c r="D132" s="4" t="s">
        <v>25</v>
      </c>
      <c r="E132" s="4" t="s">
        <v>33</v>
      </c>
      <c r="F132" s="5">
        <v>13300</v>
      </c>
      <c r="G132" s="5">
        <f>Data[[#This Row],[Amount]]-Data[[#This Row],[Profit]]</f>
        <v>10960</v>
      </c>
      <c r="H132" s="5">
        <v>2340</v>
      </c>
      <c r="I132" s="5" t="s">
        <v>22</v>
      </c>
    </row>
    <row r="133" spans="1:9" ht="12.75" x14ac:dyDescent="0.2">
      <c r="A133" s="3">
        <v>39347</v>
      </c>
      <c r="B133" s="3" t="str">
        <f>IF(MONTH(Data[[#This Row],[Date]])&gt;3,YEAR(Data[[#This Row],[Date]])&amp;"-"&amp;YEAR(Data[[#This Row],[Date]])+1,YEAR(Data[[#This Row],[Date]])-1&amp;"-"&amp;YEAR(Data[[#This Row],[Date]]))</f>
        <v>2007-2008</v>
      </c>
      <c r="C133" s="3" t="str">
        <f>"Q"&amp;CEILING(MONTH(EDATE(Data[[#This Row],[Date]],-3)),3)/3</f>
        <v>Q2</v>
      </c>
      <c r="D133" s="4" t="s">
        <v>31</v>
      </c>
      <c r="E133" s="4" t="s">
        <v>30</v>
      </c>
      <c r="F133" s="5">
        <v>12900</v>
      </c>
      <c r="G133" s="5">
        <f>Data[[#This Row],[Amount]]-Data[[#This Row],[Profit]]</f>
        <v>8360</v>
      </c>
      <c r="H133" s="5">
        <v>4540</v>
      </c>
      <c r="I133" s="5" t="s">
        <v>8</v>
      </c>
    </row>
    <row r="134" spans="1:9" ht="12.75" x14ac:dyDescent="0.2">
      <c r="A134" s="3">
        <v>38767</v>
      </c>
      <c r="B134" s="3" t="str">
        <f>IF(MONTH(Data[[#This Row],[Date]])&gt;3,YEAR(Data[[#This Row],[Date]])&amp;"-"&amp;YEAR(Data[[#This Row],[Date]])+1,YEAR(Data[[#This Row],[Date]])-1&amp;"-"&amp;YEAR(Data[[#This Row],[Date]]))</f>
        <v>2005-2006</v>
      </c>
      <c r="C134" s="3" t="str">
        <f>"Q"&amp;CEILING(MONTH(EDATE(Data[[#This Row],[Date]],-3)),3)/3</f>
        <v>Q4</v>
      </c>
      <c r="D134" s="4" t="s">
        <v>20</v>
      </c>
      <c r="E134" s="4" t="s">
        <v>30</v>
      </c>
      <c r="F134" s="5">
        <v>11900</v>
      </c>
      <c r="G134" s="5">
        <f>Data[[#This Row],[Amount]]-Data[[#This Row],[Profit]]</f>
        <v>7280</v>
      </c>
      <c r="H134" s="5">
        <v>4620</v>
      </c>
      <c r="I134" s="5" t="s">
        <v>22</v>
      </c>
    </row>
    <row r="135" spans="1:9" ht="12.75" x14ac:dyDescent="0.2">
      <c r="A135" s="3">
        <v>38452</v>
      </c>
      <c r="B135" s="3" t="str">
        <f>IF(MONTH(Data[[#This Row],[Date]])&gt;3,YEAR(Data[[#This Row],[Date]])&amp;"-"&amp;YEAR(Data[[#This Row],[Date]])+1,YEAR(Data[[#This Row],[Date]])-1&amp;"-"&amp;YEAR(Data[[#This Row],[Date]]))</f>
        <v>2005-2006</v>
      </c>
      <c r="C135" s="3" t="str">
        <f>"Q"&amp;CEILING(MONTH(EDATE(Data[[#This Row],[Date]],-3)),3)/3</f>
        <v>Q1</v>
      </c>
      <c r="D135" s="4" t="s">
        <v>18</v>
      </c>
      <c r="E135" s="4" t="s">
        <v>13</v>
      </c>
      <c r="F135" s="5">
        <v>14650</v>
      </c>
      <c r="G135" s="5">
        <f>Data[[#This Row],[Amount]]-Data[[#This Row],[Profit]]</f>
        <v>11410</v>
      </c>
      <c r="H135" s="5">
        <v>3240</v>
      </c>
      <c r="I135" s="5" t="s">
        <v>8</v>
      </c>
    </row>
    <row r="136" spans="1:9" ht="12.75" x14ac:dyDescent="0.2">
      <c r="A136" s="3">
        <v>38956</v>
      </c>
      <c r="B136" s="3" t="str">
        <f>IF(MONTH(Data[[#This Row],[Date]])&gt;3,YEAR(Data[[#This Row],[Date]])&amp;"-"&amp;YEAR(Data[[#This Row],[Date]])+1,YEAR(Data[[#This Row],[Date]])-1&amp;"-"&amp;YEAR(Data[[#This Row],[Date]]))</f>
        <v>2006-2007</v>
      </c>
      <c r="C136" s="3" t="str">
        <f>"Q"&amp;CEILING(MONTH(EDATE(Data[[#This Row],[Date]],-3)),3)/3</f>
        <v>Q2</v>
      </c>
      <c r="D136" s="4" t="s">
        <v>18</v>
      </c>
      <c r="E136" s="4" t="s">
        <v>13</v>
      </c>
      <c r="F136" s="5">
        <v>12900</v>
      </c>
      <c r="G136" s="5">
        <f>Data[[#This Row],[Amount]]-Data[[#This Row],[Profit]]</f>
        <v>8280</v>
      </c>
      <c r="H136" s="5">
        <v>4620</v>
      </c>
      <c r="I136" s="5" t="s">
        <v>11</v>
      </c>
    </row>
    <row r="137" spans="1:9" ht="12.75" x14ac:dyDescent="0.2">
      <c r="A137" s="3">
        <v>39119</v>
      </c>
      <c r="B137" s="3" t="str">
        <f>IF(MONTH(Data[[#This Row],[Date]])&gt;3,YEAR(Data[[#This Row],[Date]])&amp;"-"&amp;YEAR(Data[[#This Row],[Date]])+1,YEAR(Data[[#This Row],[Date]])-1&amp;"-"&amp;YEAR(Data[[#This Row],[Date]]))</f>
        <v>2006-2007</v>
      </c>
      <c r="C137" s="3" t="str">
        <f>"Q"&amp;CEILING(MONTH(EDATE(Data[[#This Row],[Date]],-3)),3)/3</f>
        <v>Q4</v>
      </c>
      <c r="D137" s="4" t="s">
        <v>27</v>
      </c>
      <c r="E137" s="4" t="s">
        <v>24</v>
      </c>
      <c r="F137" s="5">
        <v>11950</v>
      </c>
      <c r="G137" s="5">
        <f>Data[[#This Row],[Amount]]-Data[[#This Row],[Profit]]</f>
        <v>8630</v>
      </c>
      <c r="H137" s="5">
        <v>3320</v>
      </c>
      <c r="I137" s="5" t="s">
        <v>15</v>
      </c>
    </row>
    <row r="138" spans="1:9" ht="12.75" x14ac:dyDescent="0.2">
      <c r="A138" s="3">
        <v>38594</v>
      </c>
      <c r="B138" s="3" t="str">
        <f>IF(MONTH(Data[[#This Row],[Date]])&gt;3,YEAR(Data[[#This Row],[Date]])&amp;"-"&amp;YEAR(Data[[#This Row],[Date]])+1,YEAR(Data[[#This Row],[Date]])-1&amp;"-"&amp;YEAR(Data[[#This Row],[Date]]))</f>
        <v>2005-2006</v>
      </c>
      <c r="C138" s="3" t="str">
        <f>"Q"&amp;CEILING(MONTH(EDATE(Data[[#This Row],[Date]],-3)),3)/3</f>
        <v>Q2</v>
      </c>
      <c r="D138" s="4" t="s">
        <v>6</v>
      </c>
      <c r="E138" s="4" t="s">
        <v>28</v>
      </c>
      <c r="F138" s="5">
        <v>10900</v>
      </c>
      <c r="G138" s="5">
        <f>Data[[#This Row],[Amount]]-Data[[#This Row],[Profit]]</f>
        <v>5940</v>
      </c>
      <c r="H138" s="5">
        <v>4960</v>
      </c>
      <c r="I138" s="5" t="s">
        <v>15</v>
      </c>
    </row>
    <row r="139" spans="1:9" ht="12.75" x14ac:dyDescent="0.2">
      <c r="A139" s="3">
        <v>38676</v>
      </c>
      <c r="B139" s="3" t="str">
        <f>IF(MONTH(Data[[#This Row],[Date]])&gt;3,YEAR(Data[[#This Row],[Date]])&amp;"-"&amp;YEAR(Data[[#This Row],[Date]])+1,YEAR(Data[[#This Row],[Date]])-1&amp;"-"&amp;YEAR(Data[[#This Row],[Date]]))</f>
        <v>2005-2006</v>
      </c>
      <c r="C139" s="3" t="str">
        <f>"Q"&amp;CEILING(MONTH(EDATE(Data[[#This Row],[Date]],-3)),3)/3</f>
        <v>Q3</v>
      </c>
      <c r="D139" s="4" t="s">
        <v>31</v>
      </c>
      <c r="E139" s="4" t="s">
        <v>30</v>
      </c>
      <c r="F139" s="5">
        <v>10900</v>
      </c>
      <c r="G139" s="5">
        <f>Data[[#This Row],[Amount]]-Data[[#This Row],[Profit]]</f>
        <v>8220</v>
      </c>
      <c r="H139" s="5">
        <v>2680</v>
      </c>
      <c r="I139" s="5" t="s">
        <v>11</v>
      </c>
    </row>
    <row r="140" spans="1:9" ht="12.75" x14ac:dyDescent="0.2">
      <c r="A140" s="3">
        <v>39098</v>
      </c>
      <c r="B140" s="3" t="str">
        <f>IF(MONTH(Data[[#This Row],[Date]])&gt;3,YEAR(Data[[#This Row],[Date]])&amp;"-"&amp;YEAR(Data[[#This Row],[Date]])+1,YEAR(Data[[#This Row],[Date]])-1&amp;"-"&amp;YEAR(Data[[#This Row],[Date]]))</f>
        <v>2006-2007</v>
      </c>
      <c r="C140" s="3" t="str">
        <f>"Q"&amp;CEILING(MONTH(EDATE(Data[[#This Row],[Date]],-3)),3)/3</f>
        <v>Q4</v>
      </c>
      <c r="D140" s="4" t="s">
        <v>12</v>
      </c>
      <c r="E140" s="4" t="s">
        <v>28</v>
      </c>
      <c r="F140" s="5">
        <v>13850</v>
      </c>
      <c r="G140" s="5">
        <f>Data[[#This Row],[Amount]]-Data[[#This Row],[Profit]]</f>
        <v>9390</v>
      </c>
      <c r="H140" s="5">
        <v>4460</v>
      </c>
      <c r="I140" s="5" t="s">
        <v>11</v>
      </c>
    </row>
    <row r="141" spans="1:9" ht="12.75" x14ac:dyDescent="0.2">
      <c r="A141" s="3">
        <v>39595</v>
      </c>
      <c r="B141" s="3" t="str">
        <f>IF(MONTH(Data[[#This Row],[Date]])&gt;3,YEAR(Data[[#This Row],[Date]])&amp;"-"&amp;YEAR(Data[[#This Row],[Date]])+1,YEAR(Data[[#This Row],[Date]])-1&amp;"-"&amp;YEAR(Data[[#This Row],[Date]]))</f>
        <v>2008-2009</v>
      </c>
      <c r="C141" s="3" t="str">
        <f>"Q"&amp;CEILING(MONTH(EDATE(Data[[#This Row],[Date]],-3)),3)/3</f>
        <v>Q1</v>
      </c>
      <c r="D141" s="4" t="s">
        <v>12</v>
      </c>
      <c r="E141" s="4" t="s">
        <v>21</v>
      </c>
      <c r="F141" s="5">
        <v>13500</v>
      </c>
      <c r="G141" s="5">
        <f>Data[[#This Row],[Amount]]-Data[[#This Row],[Profit]]</f>
        <v>11220</v>
      </c>
      <c r="H141" s="5">
        <v>2280</v>
      </c>
      <c r="I141" s="5" t="s">
        <v>22</v>
      </c>
    </row>
    <row r="142" spans="1:9" ht="12.75" x14ac:dyDescent="0.2">
      <c r="A142" s="3">
        <v>38790</v>
      </c>
      <c r="B142" s="3" t="str">
        <f>IF(MONTH(Data[[#This Row],[Date]])&gt;3,YEAR(Data[[#This Row],[Date]])&amp;"-"&amp;YEAR(Data[[#This Row],[Date]])+1,YEAR(Data[[#This Row],[Date]])-1&amp;"-"&amp;YEAR(Data[[#This Row],[Date]]))</f>
        <v>2005-2006</v>
      </c>
      <c r="C142" s="3" t="str">
        <f>"Q"&amp;CEILING(MONTH(EDATE(Data[[#This Row],[Date]],-3)),3)/3</f>
        <v>Q4</v>
      </c>
      <c r="D142" s="4" t="s">
        <v>16</v>
      </c>
      <c r="E142" s="4" t="s">
        <v>24</v>
      </c>
      <c r="F142" s="5">
        <v>12100</v>
      </c>
      <c r="G142" s="5">
        <f>Data[[#This Row],[Amount]]-Data[[#This Row],[Profit]]</f>
        <v>9160</v>
      </c>
      <c r="H142" s="5">
        <v>2940</v>
      </c>
      <c r="I142" s="5" t="s">
        <v>22</v>
      </c>
    </row>
    <row r="143" spans="1:9" ht="12.75" x14ac:dyDescent="0.2">
      <c r="A143" s="3">
        <v>38659</v>
      </c>
      <c r="B143" s="3" t="str">
        <f>IF(MONTH(Data[[#This Row],[Date]])&gt;3,YEAR(Data[[#This Row],[Date]])&amp;"-"&amp;YEAR(Data[[#This Row],[Date]])+1,YEAR(Data[[#This Row],[Date]])-1&amp;"-"&amp;YEAR(Data[[#This Row],[Date]]))</f>
        <v>2005-2006</v>
      </c>
      <c r="C143" s="3" t="str">
        <f>"Q"&amp;CEILING(MONTH(EDATE(Data[[#This Row],[Date]],-3)),3)/3</f>
        <v>Q3</v>
      </c>
      <c r="D143" s="4" t="s">
        <v>12</v>
      </c>
      <c r="E143" s="4" t="s">
        <v>29</v>
      </c>
      <c r="F143" s="5">
        <v>11200</v>
      </c>
      <c r="G143" s="5">
        <f>Data[[#This Row],[Amount]]-Data[[#This Row],[Profit]]</f>
        <v>8820</v>
      </c>
      <c r="H143" s="5">
        <v>2380</v>
      </c>
      <c r="I143" s="5" t="s">
        <v>15</v>
      </c>
    </row>
    <row r="144" spans="1:9" ht="12.75" x14ac:dyDescent="0.2">
      <c r="A144" s="3">
        <v>39313</v>
      </c>
      <c r="B144" s="3" t="str">
        <f>IF(MONTH(Data[[#This Row],[Date]])&gt;3,YEAR(Data[[#This Row],[Date]])&amp;"-"&amp;YEAR(Data[[#This Row],[Date]])+1,YEAR(Data[[#This Row],[Date]])-1&amp;"-"&amp;YEAR(Data[[#This Row],[Date]]))</f>
        <v>2007-2008</v>
      </c>
      <c r="C144" s="3" t="str">
        <f>"Q"&amp;CEILING(MONTH(EDATE(Data[[#This Row],[Date]],-3)),3)/3</f>
        <v>Q2</v>
      </c>
      <c r="D144" s="4" t="s">
        <v>20</v>
      </c>
      <c r="E144" s="4" t="s">
        <v>28</v>
      </c>
      <c r="F144" s="5">
        <v>10100</v>
      </c>
      <c r="G144" s="5">
        <f>Data[[#This Row],[Amount]]-Data[[#This Row],[Profit]]</f>
        <v>4400</v>
      </c>
      <c r="H144" s="5">
        <v>5700</v>
      </c>
      <c r="I144" s="5" t="s">
        <v>11</v>
      </c>
    </row>
    <row r="145" spans="1:9" ht="12.75" x14ac:dyDescent="0.2">
      <c r="A145" s="3">
        <v>38594</v>
      </c>
      <c r="B145" s="3" t="str">
        <f>IF(MONTH(Data[[#This Row],[Date]])&gt;3,YEAR(Data[[#This Row],[Date]])&amp;"-"&amp;YEAR(Data[[#This Row],[Date]])+1,YEAR(Data[[#This Row],[Date]])-1&amp;"-"&amp;YEAR(Data[[#This Row],[Date]]))</f>
        <v>2005-2006</v>
      </c>
      <c r="C145" s="3" t="str">
        <f>"Q"&amp;CEILING(MONTH(EDATE(Data[[#This Row],[Date]],-3)),3)/3</f>
        <v>Q2</v>
      </c>
      <c r="D145" s="4" t="s">
        <v>31</v>
      </c>
      <c r="E145" s="4" t="s">
        <v>7</v>
      </c>
      <c r="F145" s="5">
        <v>13200</v>
      </c>
      <c r="G145" s="5">
        <f>Data[[#This Row],[Amount]]-Data[[#This Row],[Profit]]</f>
        <v>9100</v>
      </c>
      <c r="H145" s="5">
        <v>4100</v>
      </c>
      <c r="I145" s="5" t="s">
        <v>22</v>
      </c>
    </row>
    <row r="146" spans="1:9" ht="12.75" x14ac:dyDescent="0.2">
      <c r="A146" s="3">
        <v>39694</v>
      </c>
      <c r="B146" s="3" t="str">
        <f>IF(MONTH(Data[[#This Row],[Date]])&gt;3,YEAR(Data[[#This Row],[Date]])&amp;"-"&amp;YEAR(Data[[#This Row],[Date]])+1,YEAR(Data[[#This Row],[Date]])-1&amp;"-"&amp;YEAR(Data[[#This Row],[Date]]))</f>
        <v>2008-2009</v>
      </c>
      <c r="C146" s="3" t="str">
        <f>"Q"&amp;CEILING(MONTH(EDATE(Data[[#This Row],[Date]],-3)),3)/3</f>
        <v>Q2</v>
      </c>
      <c r="D146" s="4" t="s">
        <v>25</v>
      </c>
      <c r="E146" s="4" t="s">
        <v>33</v>
      </c>
      <c r="F146" s="5">
        <v>14950</v>
      </c>
      <c r="G146" s="5">
        <f>Data[[#This Row],[Amount]]-Data[[#This Row],[Profit]]</f>
        <v>9730</v>
      </c>
      <c r="H146" s="5">
        <v>5220</v>
      </c>
      <c r="I146" s="5" t="s">
        <v>22</v>
      </c>
    </row>
    <row r="147" spans="1:9" ht="12.75" x14ac:dyDescent="0.2">
      <c r="A147" s="3">
        <v>38998</v>
      </c>
      <c r="B147" s="3" t="str">
        <f>IF(MONTH(Data[[#This Row],[Date]])&gt;3,YEAR(Data[[#This Row],[Date]])&amp;"-"&amp;YEAR(Data[[#This Row],[Date]])+1,YEAR(Data[[#This Row],[Date]])-1&amp;"-"&amp;YEAR(Data[[#This Row],[Date]]))</f>
        <v>2006-2007</v>
      </c>
      <c r="C147" s="3" t="str">
        <f>"Q"&amp;CEILING(MONTH(EDATE(Data[[#This Row],[Date]],-3)),3)/3</f>
        <v>Q3</v>
      </c>
      <c r="D147" s="4" t="s">
        <v>6</v>
      </c>
      <c r="E147" s="4" t="s">
        <v>29</v>
      </c>
      <c r="F147" s="5">
        <v>10400</v>
      </c>
      <c r="G147" s="5">
        <f>Data[[#This Row],[Amount]]-Data[[#This Row],[Profit]]</f>
        <v>6640</v>
      </c>
      <c r="H147" s="5">
        <v>3760</v>
      </c>
      <c r="I147" s="5" t="s">
        <v>8</v>
      </c>
    </row>
    <row r="148" spans="1:9" ht="12.75" x14ac:dyDescent="0.2">
      <c r="A148" s="3">
        <v>39352</v>
      </c>
      <c r="B148" s="3" t="str">
        <f>IF(MONTH(Data[[#This Row],[Date]])&gt;3,YEAR(Data[[#This Row],[Date]])&amp;"-"&amp;YEAR(Data[[#This Row],[Date]])+1,YEAR(Data[[#This Row],[Date]])-1&amp;"-"&amp;YEAR(Data[[#This Row],[Date]]))</f>
        <v>2007-2008</v>
      </c>
      <c r="C148" s="3" t="str">
        <f>"Q"&amp;CEILING(MONTH(EDATE(Data[[#This Row],[Date]],-3)),3)/3</f>
        <v>Q2</v>
      </c>
      <c r="D148" s="4" t="s">
        <v>20</v>
      </c>
      <c r="E148" s="4" t="s">
        <v>30</v>
      </c>
      <c r="F148" s="5">
        <v>11950</v>
      </c>
      <c r="G148" s="5">
        <f>Data[[#This Row],[Amount]]-Data[[#This Row],[Profit]]</f>
        <v>9670</v>
      </c>
      <c r="H148" s="5">
        <v>2280</v>
      </c>
      <c r="I148" s="5" t="s">
        <v>8</v>
      </c>
    </row>
    <row r="149" spans="1:9" ht="12.75" x14ac:dyDescent="0.2">
      <c r="A149" s="3">
        <v>39317</v>
      </c>
      <c r="B149" s="3" t="str">
        <f>IF(MONTH(Data[[#This Row],[Date]])&gt;3,YEAR(Data[[#This Row],[Date]])&amp;"-"&amp;YEAR(Data[[#This Row],[Date]])+1,YEAR(Data[[#This Row],[Date]])-1&amp;"-"&amp;YEAR(Data[[#This Row],[Date]]))</f>
        <v>2007-2008</v>
      </c>
      <c r="C149" s="3" t="str">
        <f>"Q"&amp;CEILING(MONTH(EDATE(Data[[#This Row],[Date]],-3)),3)/3</f>
        <v>Q2</v>
      </c>
      <c r="D149" s="4" t="s">
        <v>14</v>
      </c>
      <c r="E149" s="4" t="s">
        <v>21</v>
      </c>
      <c r="F149" s="5">
        <v>12450</v>
      </c>
      <c r="G149" s="5">
        <f>Data[[#This Row],[Amount]]-Data[[#This Row],[Profit]]</f>
        <v>8470</v>
      </c>
      <c r="H149" s="5">
        <v>3980</v>
      </c>
      <c r="I149" s="5" t="s">
        <v>22</v>
      </c>
    </row>
    <row r="150" spans="1:9" ht="12.75" x14ac:dyDescent="0.2">
      <c r="A150" s="3">
        <v>39589</v>
      </c>
      <c r="B150" s="3" t="str">
        <f>IF(MONTH(Data[[#This Row],[Date]])&gt;3,YEAR(Data[[#This Row],[Date]])&amp;"-"&amp;YEAR(Data[[#This Row],[Date]])+1,YEAR(Data[[#This Row],[Date]])-1&amp;"-"&amp;YEAR(Data[[#This Row],[Date]]))</f>
        <v>2008-2009</v>
      </c>
      <c r="C150" s="3" t="str">
        <f>"Q"&amp;CEILING(MONTH(EDATE(Data[[#This Row],[Date]],-3)),3)/3</f>
        <v>Q1</v>
      </c>
      <c r="D150" s="4" t="s">
        <v>20</v>
      </c>
      <c r="E150" s="4" t="s">
        <v>33</v>
      </c>
      <c r="F150" s="5">
        <v>10100</v>
      </c>
      <c r="G150" s="5">
        <f>Data[[#This Row],[Amount]]-Data[[#This Row],[Profit]]</f>
        <v>5340</v>
      </c>
      <c r="H150" s="5">
        <v>4760</v>
      </c>
      <c r="I150" s="5" t="s">
        <v>8</v>
      </c>
    </row>
    <row r="151" spans="1:9" ht="12.75" x14ac:dyDescent="0.2">
      <c r="A151" s="3">
        <v>38366</v>
      </c>
      <c r="B151" s="3" t="str">
        <f>IF(MONTH(Data[[#This Row],[Date]])&gt;3,YEAR(Data[[#This Row],[Date]])&amp;"-"&amp;YEAR(Data[[#This Row],[Date]])+1,YEAR(Data[[#This Row],[Date]])-1&amp;"-"&amp;YEAR(Data[[#This Row],[Date]]))</f>
        <v>2004-2005</v>
      </c>
      <c r="C151" s="3" t="str">
        <f>"Q"&amp;CEILING(MONTH(EDATE(Data[[#This Row],[Date]],-3)),3)/3</f>
        <v>Q4</v>
      </c>
      <c r="D151" s="4" t="s">
        <v>20</v>
      </c>
      <c r="E151" s="4" t="s">
        <v>19</v>
      </c>
      <c r="F151" s="5">
        <v>10700</v>
      </c>
      <c r="G151" s="5">
        <f>Data[[#This Row],[Amount]]-Data[[#This Row],[Profit]]</f>
        <v>6160</v>
      </c>
      <c r="H151" s="5">
        <v>4540</v>
      </c>
      <c r="I151" s="5" t="s">
        <v>15</v>
      </c>
    </row>
    <row r="152" spans="1:9" ht="12.75" x14ac:dyDescent="0.2">
      <c r="A152" s="3">
        <v>38554</v>
      </c>
      <c r="B152" s="3" t="str">
        <f>IF(MONTH(Data[[#This Row],[Date]])&gt;3,YEAR(Data[[#This Row],[Date]])&amp;"-"&amp;YEAR(Data[[#This Row],[Date]])+1,YEAR(Data[[#This Row],[Date]])-1&amp;"-"&amp;YEAR(Data[[#This Row],[Date]]))</f>
        <v>2005-2006</v>
      </c>
      <c r="C152" s="3" t="str">
        <f>"Q"&amp;CEILING(MONTH(EDATE(Data[[#This Row],[Date]],-3)),3)/3</f>
        <v>Q2</v>
      </c>
      <c r="D152" s="4" t="s">
        <v>6</v>
      </c>
      <c r="E152" s="4" t="s">
        <v>7</v>
      </c>
      <c r="F152" s="5">
        <v>11850</v>
      </c>
      <c r="G152" s="5">
        <f>Data[[#This Row],[Amount]]-Data[[#This Row],[Profit]]</f>
        <v>7370</v>
      </c>
      <c r="H152" s="5">
        <v>4480</v>
      </c>
      <c r="I152" s="5" t="s">
        <v>15</v>
      </c>
    </row>
    <row r="153" spans="1:9" ht="12.75" x14ac:dyDescent="0.2">
      <c r="A153" s="3">
        <v>39370</v>
      </c>
      <c r="B153" s="3" t="str">
        <f>IF(MONTH(Data[[#This Row],[Date]])&gt;3,YEAR(Data[[#This Row],[Date]])&amp;"-"&amp;YEAR(Data[[#This Row],[Date]])+1,YEAR(Data[[#This Row],[Date]])-1&amp;"-"&amp;YEAR(Data[[#This Row],[Date]]))</f>
        <v>2007-2008</v>
      </c>
      <c r="C153" s="3" t="str">
        <f>"Q"&amp;CEILING(MONTH(EDATE(Data[[#This Row],[Date]],-3)),3)/3</f>
        <v>Q3</v>
      </c>
      <c r="D153" s="4" t="s">
        <v>32</v>
      </c>
      <c r="E153" s="4" t="s">
        <v>10</v>
      </c>
      <c r="F153" s="5">
        <v>12750</v>
      </c>
      <c r="G153" s="5">
        <f>Data[[#This Row],[Amount]]-Data[[#This Row],[Profit]]</f>
        <v>9890</v>
      </c>
      <c r="H153" s="5">
        <v>2860</v>
      </c>
      <c r="I153" s="5" t="s">
        <v>22</v>
      </c>
    </row>
    <row r="154" spans="1:9" ht="12.75" x14ac:dyDescent="0.2">
      <c r="A154" s="3">
        <v>39691</v>
      </c>
      <c r="B154" s="3" t="str">
        <f>IF(MONTH(Data[[#This Row],[Date]])&gt;3,YEAR(Data[[#This Row],[Date]])&amp;"-"&amp;YEAR(Data[[#This Row],[Date]])+1,YEAR(Data[[#This Row],[Date]])-1&amp;"-"&amp;YEAR(Data[[#This Row],[Date]]))</f>
        <v>2008-2009</v>
      </c>
      <c r="C154" s="3" t="str">
        <f>"Q"&amp;CEILING(MONTH(EDATE(Data[[#This Row],[Date]],-3)),3)/3</f>
        <v>Q2</v>
      </c>
      <c r="D154" s="4" t="s">
        <v>14</v>
      </c>
      <c r="E154" s="4" t="s">
        <v>17</v>
      </c>
      <c r="F154" s="5">
        <v>13250</v>
      </c>
      <c r="G154" s="5">
        <f>Data[[#This Row],[Amount]]-Data[[#This Row],[Profit]]</f>
        <v>9330</v>
      </c>
      <c r="H154" s="5">
        <v>3920</v>
      </c>
      <c r="I154" s="5" t="s">
        <v>8</v>
      </c>
    </row>
    <row r="155" spans="1:9" ht="12.75" x14ac:dyDescent="0.2">
      <c r="A155" s="3">
        <v>39789</v>
      </c>
      <c r="B155" s="3" t="str">
        <f>IF(MONTH(Data[[#This Row],[Date]])&gt;3,YEAR(Data[[#This Row],[Date]])&amp;"-"&amp;YEAR(Data[[#This Row],[Date]])+1,YEAR(Data[[#This Row],[Date]])-1&amp;"-"&amp;YEAR(Data[[#This Row],[Date]]))</f>
        <v>2008-2009</v>
      </c>
      <c r="C155" s="3" t="str">
        <f>"Q"&amp;CEILING(MONTH(EDATE(Data[[#This Row],[Date]],-3)),3)/3</f>
        <v>Q3</v>
      </c>
      <c r="D155" s="4" t="s">
        <v>31</v>
      </c>
      <c r="E155" s="4" t="s">
        <v>21</v>
      </c>
      <c r="F155" s="5">
        <v>13950</v>
      </c>
      <c r="G155" s="5">
        <f>Data[[#This Row],[Amount]]-Data[[#This Row],[Profit]]</f>
        <v>9430</v>
      </c>
      <c r="H155" s="5">
        <v>4520</v>
      </c>
      <c r="I155" s="5" t="s">
        <v>22</v>
      </c>
    </row>
    <row r="156" spans="1:9" ht="12.75" x14ac:dyDescent="0.2">
      <c r="A156" s="3">
        <v>39402</v>
      </c>
      <c r="B156" s="3" t="str">
        <f>IF(MONTH(Data[[#This Row],[Date]])&gt;3,YEAR(Data[[#This Row],[Date]])&amp;"-"&amp;YEAR(Data[[#This Row],[Date]])+1,YEAR(Data[[#This Row],[Date]])-1&amp;"-"&amp;YEAR(Data[[#This Row],[Date]]))</f>
        <v>2007-2008</v>
      </c>
      <c r="C156" s="3" t="str">
        <f>"Q"&amp;CEILING(MONTH(EDATE(Data[[#This Row],[Date]],-3)),3)/3</f>
        <v>Q3</v>
      </c>
      <c r="D156" s="4" t="s">
        <v>27</v>
      </c>
      <c r="E156" s="4" t="s">
        <v>26</v>
      </c>
      <c r="F156" s="5">
        <v>14050</v>
      </c>
      <c r="G156" s="5">
        <f>Data[[#This Row],[Amount]]-Data[[#This Row],[Profit]]</f>
        <v>10490</v>
      </c>
      <c r="H156" s="5">
        <v>3560</v>
      </c>
      <c r="I156" s="5" t="s">
        <v>8</v>
      </c>
    </row>
    <row r="157" spans="1:9" ht="12.75" x14ac:dyDescent="0.2">
      <c r="A157" s="3">
        <v>38599</v>
      </c>
      <c r="B157" s="3" t="str">
        <f>IF(MONTH(Data[[#This Row],[Date]])&gt;3,YEAR(Data[[#This Row],[Date]])&amp;"-"&amp;YEAR(Data[[#This Row],[Date]])+1,YEAR(Data[[#This Row],[Date]])-1&amp;"-"&amp;YEAR(Data[[#This Row],[Date]]))</f>
        <v>2005-2006</v>
      </c>
      <c r="C157" s="3" t="str">
        <f>"Q"&amp;CEILING(MONTH(EDATE(Data[[#This Row],[Date]],-3)),3)/3</f>
        <v>Q2</v>
      </c>
      <c r="D157" s="4" t="s">
        <v>31</v>
      </c>
      <c r="E157" s="4" t="s">
        <v>7</v>
      </c>
      <c r="F157" s="5">
        <v>10850</v>
      </c>
      <c r="G157" s="5">
        <f>Data[[#This Row],[Amount]]-Data[[#This Row],[Profit]]</f>
        <v>5330</v>
      </c>
      <c r="H157" s="5">
        <v>5520</v>
      </c>
      <c r="I157" s="5" t="s">
        <v>8</v>
      </c>
    </row>
    <row r="158" spans="1:9" ht="12.75" x14ac:dyDescent="0.2">
      <c r="A158" s="3">
        <v>38911</v>
      </c>
      <c r="B158" s="3" t="str">
        <f>IF(MONTH(Data[[#This Row],[Date]])&gt;3,YEAR(Data[[#This Row],[Date]])&amp;"-"&amp;YEAR(Data[[#This Row],[Date]])+1,YEAR(Data[[#This Row],[Date]])-1&amp;"-"&amp;YEAR(Data[[#This Row],[Date]]))</f>
        <v>2006-2007</v>
      </c>
      <c r="C158" s="3" t="str">
        <f>"Q"&amp;CEILING(MONTH(EDATE(Data[[#This Row],[Date]],-3)),3)/3</f>
        <v>Q2</v>
      </c>
      <c r="D158" s="4" t="s">
        <v>6</v>
      </c>
      <c r="E158" s="4" t="s">
        <v>29</v>
      </c>
      <c r="F158" s="5">
        <v>12900</v>
      </c>
      <c r="G158" s="5">
        <f>Data[[#This Row],[Amount]]-Data[[#This Row],[Profit]]</f>
        <v>8360</v>
      </c>
      <c r="H158" s="5">
        <v>4540</v>
      </c>
      <c r="I158" s="5" t="s">
        <v>8</v>
      </c>
    </row>
    <row r="159" spans="1:9" ht="12.75" x14ac:dyDescent="0.2">
      <c r="A159" s="3">
        <v>39163</v>
      </c>
      <c r="B159" s="3" t="str">
        <f>IF(MONTH(Data[[#This Row],[Date]])&gt;3,YEAR(Data[[#This Row],[Date]])&amp;"-"&amp;YEAR(Data[[#This Row],[Date]])+1,YEAR(Data[[#This Row],[Date]])-1&amp;"-"&amp;YEAR(Data[[#This Row],[Date]]))</f>
        <v>2006-2007</v>
      </c>
      <c r="C159" s="3" t="str">
        <f>"Q"&amp;CEILING(MONTH(EDATE(Data[[#This Row],[Date]],-3)),3)/3</f>
        <v>Q4</v>
      </c>
      <c r="D159" s="4" t="s">
        <v>9</v>
      </c>
      <c r="E159" s="4" t="s">
        <v>26</v>
      </c>
      <c r="F159" s="5">
        <v>10650</v>
      </c>
      <c r="G159" s="5">
        <f>Data[[#This Row],[Amount]]-Data[[#This Row],[Profit]]</f>
        <v>4930</v>
      </c>
      <c r="H159" s="5">
        <v>5720</v>
      </c>
      <c r="I159" s="5" t="s">
        <v>11</v>
      </c>
    </row>
    <row r="160" spans="1:9" ht="12.75" x14ac:dyDescent="0.2">
      <c r="A160" s="3">
        <v>39688</v>
      </c>
      <c r="B160" s="3" t="str">
        <f>IF(MONTH(Data[[#This Row],[Date]])&gt;3,YEAR(Data[[#This Row],[Date]])&amp;"-"&amp;YEAR(Data[[#This Row],[Date]])+1,YEAR(Data[[#This Row],[Date]])-1&amp;"-"&amp;YEAR(Data[[#This Row],[Date]]))</f>
        <v>2008-2009</v>
      </c>
      <c r="C160" s="3" t="str">
        <f>"Q"&amp;CEILING(MONTH(EDATE(Data[[#This Row],[Date]],-3)),3)/3</f>
        <v>Q2</v>
      </c>
      <c r="D160" s="4" t="s">
        <v>27</v>
      </c>
      <c r="E160" s="4" t="s">
        <v>21</v>
      </c>
      <c r="F160" s="5">
        <v>13050</v>
      </c>
      <c r="G160" s="5">
        <f>Data[[#This Row],[Amount]]-Data[[#This Row],[Profit]]</f>
        <v>9390</v>
      </c>
      <c r="H160" s="5">
        <v>3660</v>
      </c>
      <c r="I160" s="5" t="s">
        <v>22</v>
      </c>
    </row>
    <row r="161" spans="1:9" ht="12.75" x14ac:dyDescent="0.2">
      <c r="A161" s="3">
        <v>38981</v>
      </c>
      <c r="B161" s="3" t="str">
        <f>IF(MONTH(Data[[#This Row],[Date]])&gt;3,YEAR(Data[[#This Row],[Date]])&amp;"-"&amp;YEAR(Data[[#This Row],[Date]])+1,YEAR(Data[[#This Row],[Date]])-1&amp;"-"&amp;YEAR(Data[[#This Row],[Date]]))</f>
        <v>2006-2007</v>
      </c>
      <c r="C161" s="3" t="str">
        <f>"Q"&amp;CEILING(MONTH(EDATE(Data[[#This Row],[Date]],-3)),3)/3</f>
        <v>Q2</v>
      </c>
      <c r="D161" s="4" t="s">
        <v>14</v>
      </c>
      <c r="E161" s="4" t="s">
        <v>10</v>
      </c>
      <c r="F161" s="5">
        <v>10000</v>
      </c>
      <c r="G161" s="5">
        <f>Data[[#This Row],[Amount]]-Data[[#This Row],[Profit]]</f>
        <v>5820</v>
      </c>
      <c r="H161" s="5">
        <v>4180</v>
      </c>
      <c r="I161" s="5" t="s">
        <v>11</v>
      </c>
    </row>
    <row r="162" spans="1:9" ht="12.75" x14ac:dyDescent="0.2">
      <c r="A162" s="3">
        <v>39430</v>
      </c>
      <c r="B162" s="3" t="str">
        <f>IF(MONTH(Data[[#This Row],[Date]])&gt;3,YEAR(Data[[#This Row],[Date]])&amp;"-"&amp;YEAR(Data[[#This Row],[Date]])+1,YEAR(Data[[#This Row],[Date]])-1&amp;"-"&amp;YEAR(Data[[#This Row],[Date]]))</f>
        <v>2007-2008</v>
      </c>
      <c r="C162" s="3" t="str">
        <f>"Q"&amp;CEILING(MONTH(EDATE(Data[[#This Row],[Date]],-3)),3)/3</f>
        <v>Q3</v>
      </c>
      <c r="D162" s="4" t="s">
        <v>6</v>
      </c>
      <c r="E162" s="4" t="s">
        <v>21</v>
      </c>
      <c r="F162" s="5">
        <v>14850</v>
      </c>
      <c r="G162" s="5">
        <f>Data[[#This Row],[Amount]]-Data[[#This Row],[Profit]]</f>
        <v>12210</v>
      </c>
      <c r="H162" s="5">
        <v>2640</v>
      </c>
      <c r="I162" s="5" t="s">
        <v>8</v>
      </c>
    </row>
    <row r="163" spans="1:9" ht="12.75" x14ac:dyDescent="0.2">
      <c r="A163" s="3">
        <v>38927</v>
      </c>
      <c r="B163" s="3" t="str">
        <f>IF(MONTH(Data[[#This Row],[Date]])&gt;3,YEAR(Data[[#This Row],[Date]])&amp;"-"&amp;YEAR(Data[[#This Row],[Date]])+1,YEAR(Data[[#This Row],[Date]])-1&amp;"-"&amp;YEAR(Data[[#This Row],[Date]]))</f>
        <v>2006-2007</v>
      </c>
      <c r="C163" s="3" t="str">
        <f>"Q"&amp;CEILING(MONTH(EDATE(Data[[#This Row],[Date]],-3)),3)/3</f>
        <v>Q2</v>
      </c>
      <c r="D163" s="4" t="s">
        <v>14</v>
      </c>
      <c r="E163" s="4" t="s">
        <v>29</v>
      </c>
      <c r="F163" s="5">
        <v>13150</v>
      </c>
      <c r="G163" s="5">
        <f>Data[[#This Row],[Amount]]-Data[[#This Row],[Profit]]</f>
        <v>7410</v>
      </c>
      <c r="H163" s="5">
        <v>5740</v>
      </c>
      <c r="I163" s="5" t="s">
        <v>11</v>
      </c>
    </row>
    <row r="164" spans="1:9" ht="12.75" x14ac:dyDescent="0.2">
      <c r="A164" s="3">
        <v>39269</v>
      </c>
      <c r="B164" s="3" t="str">
        <f>IF(MONTH(Data[[#This Row],[Date]])&gt;3,YEAR(Data[[#This Row],[Date]])&amp;"-"&amp;YEAR(Data[[#This Row],[Date]])+1,YEAR(Data[[#This Row],[Date]])-1&amp;"-"&amp;YEAR(Data[[#This Row],[Date]]))</f>
        <v>2007-2008</v>
      </c>
      <c r="C164" s="3" t="str">
        <f>"Q"&amp;CEILING(MONTH(EDATE(Data[[#This Row],[Date]],-3)),3)/3</f>
        <v>Q2</v>
      </c>
      <c r="D164" s="4" t="s">
        <v>14</v>
      </c>
      <c r="E164" s="4" t="s">
        <v>29</v>
      </c>
      <c r="F164" s="5">
        <v>12050</v>
      </c>
      <c r="G164" s="5">
        <f>Data[[#This Row],[Amount]]-Data[[#This Row],[Profit]]</f>
        <v>7650</v>
      </c>
      <c r="H164" s="5">
        <v>4400</v>
      </c>
      <c r="I164" s="5" t="s">
        <v>11</v>
      </c>
    </row>
    <row r="165" spans="1:9" ht="12.75" x14ac:dyDescent="0.2">
      <c r="A165" s="3">
        <v>38949</v>
      </c>
      <c r="B165" s="3" t="str">
        <f>IF(MONTH(Data[[#This Row],[Date]])&gt;3,YEAR(Data[[#This Row],[Date]])&amp;"-"&amp;YEAR(Data[[#This Row],[Date]])+1,YEAR(Data[[#This Row],[Date]])-1&amp;"-"&amp;YEAR(Data[[#This Row],[Date]]))</f>
        <v>2006-2007</v>
      </c>
      <c r="C165" s="3" t="str">
        <f>"Q"&amp;CEILING(MONTH(EDATE(Data[[#This Row],[Date]],-3)),3)/3</f>
        <v>Q2</v>
      </c>
      <c r="D165" s="4" t="s">
        <v>20</v>
      </c>
      <c r="E165" s="4" t="s">
        <v>30</v>
      </c>
      <c r="F165" s="5">
        <v>12900</v>
      </c>
      <c r="G165" s="5">
        <f>Data[[#This Row],[Amount]]-Data[[#This Row],[Profit]]</f>
        <v>7800</v>
      </c>
      <c r="H165" s="5">
        <v>5100</v>
      </c>
      <c r="I165" s="5" t="s">
        <v>11</v>
      </c>
    </row>
    <row r="166" spans="1:9" ht="12.75" x14ac:dyDescent="0.2">
      <c r="A166" s="3">
        <v>39005</v>
      </c>
      <c r="B166" s="3" t="str">
        <f>IF(MONTH(Data[[#This Row],[Date]])&gt;3,YEAR(Data[[#This Row],[Date]])&amp;"-"&amp;YEAR(Data[[#This Row],[Date]])+1,YEAR(Data[[#This Row],[Date]])-1&amp;"-"&amp;YEAR(Data[[#This Row],[Date]]))</f>
        <v>2006-2007</v>
      </c>
      <c r="C166" s="3" t="str">
        <f>"Q"&amp;CEILING(MONTH(EDATE(Data[[#This Row],[Date]],-3)),3)/3</f>
        <v>Q3</v>
      </c>
      <c r="D166" s="4" t="s">
        <v>20</v>
      </c>
      <c r="E166" s="4" t="s">
        <v>7</v>
      </c>
      <c r="F166" s="5">
        <v>14550</v>
      </c>
      <c r="G166" s="5">
        <f>Data[[#This Row],[Amount]]-Data[[#This Row],[Profit]]</f>
        <v>9570</v>
      </c>
      <c r="H166" s="5">
        <v>4980</v>
      </c>
      <c r="I166" s="5" t="s">
        <v>11</v>
      </c>
    </row>
    <row r="167" spans="1:9" ht="12.75" x14ac:dyDescent="0.2">
      <c r="A167" s="3">
        <v>38706</v>
      </c>
      <c r="B167" s="3" t="str">
        <f>IF(MONTH(Data[[#This Row],[Date]])&gt;3,YEAR(Data[[#This Row],[Date]])&amp;"-"&amp;YEAR(Data[[#This Row],[Date]])+1,YEAR(Data[[#This Row],[Date]])-1&amp;"-"&amp;YEAR(Data[[#This Row],[Date]]))</f>
        <v>2005-2006</v>
      </c>
      <c r="C167" s="3" t="str">
        <f>"Q"&amp;CEILING(MONTH(EDATE(Data[[#This Row],[Date]],-3)),3)/3</f>
        <v>Q3</v>
      </c>
      <c r="D167" s="4" t="s">
        <v>12</v>
      </c>
      <c r="E167" s="4" t="s">
        <v>28</v>
      </c>
      <c r="F167" s="5">
        <v>14600</v>
      </c>
      <c r="G167" s="5">
        <f>Data[[#This Row],[Amount]]-Data[[#This Row],[Profit]]</f>
        <v>11580</v>
      </c>
      <c r="H167" s="5">
        <v>3020</v>
      </c>
      <c r="I167" s="5" t="s">
        <v>11</v>
      </c>
    </row>
    <row r="168" spans="1:9" ht="12.75" x14ac:dyDescent="0.2">
      <c r="A168" s="3">
        <v>38706</v>
      </c>
      <c r="B168" s="3" t="str">
        <f>IF(MONTH(Data[[#This Row],[Date]])&gt;3,YEAR(Data[[#This Row],[Date]])&amp;"-"&amp;YEAR(Data[[#This Row],[Date]])+1,YEAR(Data[[#This Row],[Date]])-1&amp;"-"&amp;YEAR(Data[[#This Row],[Date]]))</f>
        <v>2005-2006</v>
      </c>
      <c r="C168" s="3" t="str">
        <f>"Q"&amp;CEILING(MONTH(EDATE(Data[[#This Row],[Date]],-3)),3)/3</f>
        <v>Q3</v>
      </c>
      <c r="D168" s="4" t="s">
        <v>12</v>
      </c>
      <c r="E168" s="4" t="s">
        <v>24</v>
      </c>
      <c r="F168" s="5">
        <v>12700</v>
      </c>
      <c r="G168" s="5">
        <f>Data[[#This Row],[Amount]]-Data[[#This Row],[Profit]]</f>
        <v>9580</v>
      </c>
      <c r="H168" s="5">
        <v>3120</v>
      </c>
      <c r="I168" s="5" t="s">
        <v>11</v>
      </c>
    </row>
    <row r="169" spans="1:9" ht="12.75" x14ac:dyDescent="0.2">
      <c r="A169" s="3">
        <v>39341</v>
      </c>
      <c r="B169" s="3" t="str">
        <f>IF(MONTH(Data[[#This Row],[Date]])&gt;3,YEAR(Data[[#This Row],[Date]])&amp;"-"&amp;YEAR(Data[[#This Row],[Date]])+1,YEAR(Data[[#This Row],[Date]])-1&amp;"-"&amp;YEAR(Data[[#This Row],[Date]]))</f>
        <v>2007-2008</v>
      </c>
      <c r="C169" s="3" t="str">
        <f>"Q"&amp;CEILING(MONTH(EDATE(Data[[#This Row],[Date]],-3)),3)/3</f>
        <v>Q2</v>
      </c>
      <c r="D169" s="4" t="s">
        <v>9</v>
      </c>
      <c r="E169" s="4" t="s">
        <v>33</v>
      </c>
      <c r="F169" s="5">
        <v>10400</v>
      </c>
      <c r="G169" s="5">
        <f>Data[[#This Row],[Amount]]-Data[[#This Row],[Profit]]</f>
        <v>6020</v>
      </c>
      <c r="H169" s="5">
        <v>4380</v>
      </c>
      <c r="I169" s="5" t="s">
        <v>11</v>
      </c>
    </row>
    <row r="170" spans="1:9" ht="12.75" x14ac:dyDescent="0.2">
      <c r="A170" s="3">
        <v>39651</v>
      </c>
      <c r="B170" s="3" t="str">
        <f>IF(MONTH(Data[[#This Row],[Date]])&gt;3,YEAR(Data[[#This Row],[Date]])&amp;"-"&amp;YEAR(Data[[#This Row],[Date]])+1,YEAR(Data[[#This Row],[Date]])-1&amp;"-"&amp;YEAR(Data[[#This Row],[Date]]))</f>
        <v>2008-2009</v>
      </c>
      <c r="C170" s="3" t="str">
        <f>"Q"&amp;CEILING(MONTH(EDATE(Data[[#This Row],[Date]],-3)),3)/3</f>
        <v>Q2</v>
      </c>
      <c r="D170" s="4" t="s">
        <v>18</v>
      </c>
      <c r="E170" s="4" t="s">
        <v>24</v>
      </c>
      <c r="F170" s="5">
        <v>12600</v>
      </c>
      <c r="G170" s="5">
        <f>Data[[#This Row],[Amount]]-Data[[#This Row],[Profit]]</f>
        <v>10100</v>
      </c>
      <c r="H170" s="5">
        <v>2500</v>
      </c>
      <c r="I170" s="5" t="s">
        <v>11</v>
      </c>
    </row>
    <row r="171" spans="1:9" ht="12.75" x14ac:dyDescent="0.2">
      <c r="A171" s="3">
        <v>39783</v>
      </c>
      <c r="B171" s="3" t="str">
        <f>IF(MONTH(Data[[#This Row],[Date]])&gt;3,YEAR(Data[[#This Row],[Date]])&amp;"-"&amp;YEAR(Data[[#This Row],[Date]])+1,YEAR(Data[[#This Row],[Date]])-1&amp;"-"&amp;YEAR(Data[[#This Row],[Date]]))</f>
        <v>2008-2009</v>
      </c>
      <c r="C171" s="3" t="str">
        <f>"Q"&amp;CEILING(MONTH(EDATE(Data[[#This Row],[Date]],-3)),3)/3</f>
        <v>Q3</v>
      </c>
      <c r="D171" s="4" t="s">
        <v>27</v>
      </c>
      <c r="E171" s="4" t="s">
        <v>26</v>
      </c>
      <c r="F171" s="5">
        <v>13350</v>
      </c>
      <c r="G171" s="5">
        <f>Data[[#This Row],[Amount]]-Data[[#This Row],[Profit]]</f>
        <v>9990</v>
      </c>
      <c r="H171" s="5">
        <v>3360</v>
      </c>
      <c r="I171" s="5" t="s">
        <v>8</v>
      </c>
    </row>
    <row r="172" spans="1:9" ht="12.75" x14ac:dyDescent="0.2">
      <c r="A172" s="3">
        <v>39127</v>
      </c>
      <c r="B172" s="3" t="str">
        <f>IF(MONTH(Data[[#This Row],[Date]])&gt;3,YEAR(Data[[#This Row],[Date]])&amp;"-"&amp;YEAR(Data[[#This Row],[Date]])+1,YEAR(Data[[#This Row],[Date]])-1&amp;"-"&amp;YEAR(Data[[#This Row],[Date]]))</f>
        <v>2006-2007</v>
      </c>
      <c r="C172" s="3" t="str">
        <f>"Q"&amp;CEILING(MONTH(EDATE(Data[[#This Row],[Date]],-3)),3)/3</f>
        <v>Q4</v>
      </c>
      <c r="D172" s="4" t="s">
        <v>23</v>
      </c>
      <c r="E172" s="4" t="s">
        <v>7</v>
      </c>
      <c r="F172" s="5">
        <v>11500</v>
      </c>
      <c r="G172" s="5">
        <f>Data[[#This Row],[Amount]]-Data[[#This Row],[Profit]]</f>
        <v>8280</v>
      </c>
      <c r="H172" s="5">
        <v>3220</v>
      </c>
      <c r="I172" s="5" t="s">
        <v>8</v>
      </c>
    </row>
    <row r="173" spans="1:9" ht="12.75" x14ac:dyDescent="0.2">
      <c r="A173" s="3">
        <v>38744</v>
      </c>
      <c r="B173" s="3" t="str">
        <f>IF(MONTH(Data[[#This Row],[Date]])&gt;3,YEAR(Data[[#This Row],[Date]])&amp;"-"&amp;YEAR(Data[[#This Row],[Date]])+1,YEAR(Data[[#This Row],[Date]])-1&amp;"-"&amp;YEAR(Data[[#This Row],[Date]]))</f>
        <v>2005-2006</v>
      </c>
      <c r="C173" s="3" t="str">
        <f>"Q"&amp;CEILING(MONTH(EDATE(Data[[#This Row],[Date]],-3)),3)/3</f>
        <v>Q4</v>
      </c>
      <c r="D173" s="4" t="s">
        <v>20</v>
      </c>
      <c r="E173" s="4" t="s">
        <v>24</v>
      </c>
      <c r="F173" s="5">
        <v>14350</v>
      </c>
      <c r="G173" s="5">
        <f>Data[[#This Row],[Amount]]-Data[[#This Row],[Profit]]</f>
        <v>12010</v>
      </c>
      <c r="H173" s="5">
        <v>2340</v>
      </c>
      <c r="I173" s="5" t="s">
        <v>11</v>
      </c>
    </row>
    <row r="174" spans="1:9" ht="12.75" x14ac:dyDescent="0.2">
      <c r="A174" s="3">
        <v>39319</v>
      </c>
      <c r="B174" s="3" t="str">
        <f>IF(MONTH(Data[[#This Row],[Date]])&gt;3,YEAR(Data[[#This Row],[Date]])&amp;"-"&amp;YEAR(Data[[#This Row],[Date]])+1,YEAR(Data[[#This Row],[Date]])-1&amp;"-"&amp;YEAR(Data[[#This Row],[Date]]))</f>
        <v>2007-2008</v>
      </c>
      <c r="C174" s="3" t="str">
        <f>"Q"&amp;CEILING(MONTH(EDATE(Data[[#This Row],[Date]],-3)),3)/3</f>
        <v>Q2</v>
      </c>
      <c r="D174" s="4" t="s">
        <v>12</v>
      </c>
      <c r="E174" s="4" t="s">
        <v>19</v>
      </c>
      <c r="F174" s="5">
        <v>11000</v>
      </c>
      <c r="G174" s="5">
        <f>Data[[#This Row],[Amount]]-Data[[#This Row],[Profit]]</f>
        <v>6420</v>
      </c>
      <c r="H174" s="5">
        <v>4580</v>
      </c>
      <c r="I174" s="5" t="s">
        <v>11</v>
      </c>
    </row>
    <row r="175" spans="1:9" ht="12.75" x14ac:dyDescent="0.2">
      <c r="A175" s="3">
        <v>39111</v>
      </c>
      <c r="B175" s="3" t="str">
        <f>IF(MONTH(Data[[#This Row],[Date]])&gt;3,YEAR(Data[[#This Row],[Date]])&amp;"-"&amp;YEAR(Data[[#This Row],[Date]])+1,YEAR(Data[[#This Row],[Date]])-1&amp;"-"&amp;YEAR(Data[[#This Row],[Date]]))</f>
        <v>2006-2007</v>
      </c>
      <c r="C175" s="3" t="str">
        <f>"Q"&amp;CEILING(MONTH(EDATE(Data[[#This Row],[Date]],-3)),3)/3</f>
        <v>Q4</v>
      </c>
      <c r="D175" s="4" t="s">
        <v>9</v>
      </c>
      <c r="E175" s="4" t="s">
        <v>28</v>
      </c>
      <c r="F175" s="5">
        <v>14500</v>
      </c>
      <c r="G175" s="5">
        <f>Data[[#This Row],[Amount]]-Data[[#This Row],[Profit]]</f>
        <v>10320</v>
      </c>
      <c r="H175" s="5">
        <v>4180</v>
      </c>
      <c r="I175" s="5" t="s">
        <v>8</v>
      </c>
    </row>
    <row r="176" spans="1:9" ht="12.75" x14ac:dyDescent="0.2">
      <c r="A176" s="3">
        <v>39331</v>
      </c>
      <c r="B176" s="3" t="str">
        <f>IF(MONTH(Data[[#This Row],[Date]])&gt;3,YEAR(Data[[#This Row],[Date]])&amp;"-"&amp;YEAR(Data[[#This Row],[Date]])+1,YEAR(Data[[#This Row],[Date]])-1&amp;"-"&amp;YEAR(Data[[#This Row],[Date]]))</f>
        <v>2007-2008</v>
      </c>
      <c r="C176" s="3" t="str">
        <f>"Q"&amp;CEILING(MONTH(EDATE(Data[[#This Row],[Date]],-3)),3)/3</f>
        <v>Q2</v>
      </c>
      <c r="D176" s="4" t="s">
        <v>31</v>
      </c>
      <c r="E176" s="4" t="s">
        <v>17</v>
      </c>
      <c r="F176" s="5">
        <v>12050</v>
      </c>
      <c r="G176" s="5">
        <f>Data[[#This Row],[Amount]]-Data[[#This Row],[Profit]]</f>
        <v>9250</v>
      </c>
      <c r="H176" s="5">
        <v>2800</v>
      </c>
      <c r="I176" s="5" t="s">
        <v>15</v>
      </c>
    </row>
    <row r="177" spans="1:9" ht="12.75" x14ac:dyDescent="0.2">
      <c r="A177" s="3">
        <v>39130</v>
      </c>
      <c r="B177" s="3" t="str">
        <f>IF(MONTH(Data[[#This Row],[Date]])&gt;3,YEAR(Data[[#This Row],[Date]])&amp;"-"&amp;YEAR(Data[[#This Row],[Date]])+1,YEAR(Data[[#This Row],[Date]])-1&amp;"-"&amp;YEAR(Data[[#This Row],[Date]]))</f>
        <v>2006-2007</v>
      </c>
      <c r="C177" s="3" t="str">
        <f>"Q"&amp;CEILING(MONTH(EDATE(Data[[#This Row],[Date]],-3)),3)/3</f>
        <v>Q4</v>
      </c>
      <c r="D177" s="4" t="s">
        <v>9</v>
      </c>
      <c r="E177" s="4" t="s">
        <v>7</v>
      </c>
      <c r="F177" s="5">
        <v>11050</v>
      </c>
      <c r="G177" s="5">
        <f>Data[[#This Row],[Amount]]-Data[[#This Row],[Profit]]</f>
        <v>7930</v>
      </c>
      <c r="H177" s="5">
        <v>3120</v>
      </c>
      <c r="I177" s="5" t="s">
        <v>11</v>
      </c>
    </row>
    <row r="178" spans="1:9" ht="12.75" x14ac:dyDescent="0.2">
      <c r="A178" s="3">
        <v>38587</v>
      </c>
      <c r="B178" s="3" t="str">
        <f>IF(MONTH(Data[[#This Row],[Date]])&gt;3,YEAR(Data[[#This Row],[Date]])&amp;"-"&amp;YEAR(Data[[#This Row],[Date]])+1,YEAR(Data[[#This Row],[Date]])-1&amp;"-"&amp;YEAR(Data[[#This Row],[Date]]))</f>
        <v>2005-2006</v>
      </c>
      <c r="C178" s="3" t="str">
        <f>"Q"&amp;CEILING(MONTH(EDATE(Data[[#This Row],[Date]],-3)),3)/3</f>
        <v>Q2</v>
      </c>
      <c r="D178" s="4" t="s">
        <v>25</v>
      </c>
      <c r="E178" s="4" t="s">
        <v>17</v>
      </c>
      <c r="F178" s="5">
        <v>14600</v>
      </c>
      <c r="G178" s="5">
        <f>Data[[#This Row],[Amount]]-Data[[#This Row],[Profit]]</f>
        <v>10920</v>
      </c>
      <c r="H178" s="5">
        <v>3680</v>
      </c>
      <c r="I178" s="5" t="s">
        <v>15</v>
      </c>
    </row>
    <row r="179" spans="1:9" ht="12.75" x14ac:dyDescent="0.2">
      <c r="A179" s="3">
        <v>39645</v>
      </c>
      <c r="B179" s="3" t="str">
        <f>IF(MONTH(Data[[#This Row],[Date]])&gt;3,YEAR(Data[[#This Row],[Date]])&amp;"-"&amp;YEAR(Data[[#This Row],[Date]])+1,YEAR(Data[[#This Row],[Date]])-1&amp;"-"&amp;YEAR(Data[[#This Row],[Date]]))</f>
        <v>2008-2009</v>
      </c>
      <c r="C179" s="3" t="str">
        <f>"Q"&amp;CEILING(MONTH(EDATE(Data[[#This Row],[Date]],-3)),3)/3</f>
        <v>Q2</v>
      </c>
      <c r="D179" s="4" t="s">
        <v>31</v>
      </c>
      <c r="E179" s="4" t="s">
        <v>7</v>
      </c>
      <c r="F179" s="5">
        <v>14150</v>
      </c>
      <c r="G179" s="5">
        <f>Data[[#This Row],[Amount]]-Data[[#This Row],[Profit]]</f>
        <v>8450</v>
      </c>
      <c r="H179" s="5">
        <v>5700</v>
      </c>
      <c r="I179" s="5" t="s">
        <v>15</v>
      </c>
    </row>
    <row r="180" spans="1:9" ht="12.75" x14ac:dyDescent="0.2">
      <c r="A180" s="3">
        <v>38683</v>
      </c>
      <c r="B180" s="3" t="str">
        <f>IF(MONTH(Data[[#This Row],[Date]])&gt;3,YEAR(Data[[#This Row],[Date]])&amp;"-"&amp;YEAR(Data[[#This Row],[Date]])+1,YEAR(Data[[#This Row],[Date]])-1&amp;"-"&amp;YEAR(Data[[#This Row],[Date]]))</f>
        <v>2005-2006</v>
      </c>
      <c r="C180" s="3" t="str">
        <f>"Q"&amp;CEILING(MONTH(EDATE(Data[[#This Row],[Date]],-3)),3)/3</f>
        <v>Q3</v>
      </c>
      <c r="D180" s="4" t="s">
        <v>23</v>
      </c>
      <c r="E180" s="4" t="s">
        <v>13</v>
      </c>
      <c r="F180" s="5">
        <v>10600</v>
      </c>
      <c r="G180" s="5">
        <f>Data[[#This Row],[Amount]]-Data[[#This Row],[Profit]]</f>
        <v>5060</v>
      </c>
      <c r="H180" s="5">
        <v>5540</v>
      </c>
      <c r="I180" s="5" t="s">
        <v>15</v>
      </c>
    </row>
    <row r="181" spans="1:9" ht="12.75" x14ac:dyDescent="0.2">
      <c r="A181" s="3">
        <v>39114</v>
      </c>
      <c r="B181" s="3" t="str">
        <f>IF(MONTH(Data[[#This Row],[Date]])&gt;3,YEAR(Data[[#This Row],[Date]])&amp;"-"&amp;YEAR(Data[[#This Row],[Date]])+1,YEAR(Data[[#This Row],[Date]])-1&amp;"-"&amp;YEAR(Data[[#This Row],[Date]]))</f>
        <v>2006-2007</v>
      </c>
      <c r="C181" s="3" t="str">
        <f>"Q"&amp;CEILING(MONTH(EDATE(Data[[#This Row],[Date]],-3)),3)/3</f>
        <v>Q4</v>
      </c>
      <c r="D181" s="4" t="s">
        <v>27</v>
      </c>
      <c r="E181" s="4" t="s">
        <v>33</v>
      </c>
      <c r="F181" s="5">
        <v>12250</v>
      </c>
      <c r="G181" s="5">
        <f>Data[[#This Row],[Amount]]-Data[[#This Row],[Profit]]</f>
        <v>6970</v>
      </c>
      <c r="H181" s="5">
        <v>5280</v>
      </c>
      <c r="I181" s="5" t="s">
        <v>11</v>
      </c>
    </row>
    <row r="182" spans="1:9" ht="12.75" x14ac:dyDescent="0.2">
      <c r="A182" s="3">
        <v>39662</v>
      </c>
      <c r="B182" s="3" t="str">
        <f>IF(MONTH(Data[[#This Row],[Date]])&gt;3,YEAR(Data[[#This Row],[Date]])&amp;"-"&amp;YEAR(Data[[#This Row],[Date]])+1,YEAR(Data[[#This Row],[Date]])-1&amp;"-"&amp;YEAR(Data[[#This Row],[Date]]))</f>
        <v>2008-2009</v>
      </c>
      <c r="C182" s="3" t="str">
        <f>"Q"&amp;CEILING(MONTH(EDATE(Data[[#This Row],[Date]],-3)),3)/3</f>
        <v>Q2</v>
      </c>
      <c r="D182" s="4" t="s">
        <v>27</v>
      </c>
      <c r="E182" s="4" t="s">
        <v>13</v>
      </c>
      <c r="F182" s="5">
        <v>12400</v>
      </c>
      <c r="G182" s="5">
        <f>Data[[#This Row],[Amount]]-Data[[#This Row],[Profit]]</f>
        <v>9820</v>
      </c>
      <c r="H182" s="5">
        <v>2580</v>
      </c>
      <c r="I182" s="5" t="s">
        <v>11</v>
      </c>
    </row>
    <row r="183" spans="1:9" ht="12.75" x14ac:dyDescent="0.2">
      <c r="A183" s="3">
        <v>39300</v>
      </c>
      <c r="B183" s="3" t="str">
        <f>IF(MONTH(Data[[#This Row],[Date]])&gt;3,YEAR(Data[[#This Row],[Date]])&amp;"-"&amp;YEAR(Data[[#This Row],[Date]])+1,YEAR(Data[[#This Row],[Date]])-1&amp;"-"&amp;YEAR(Data[[#This Row],[Date]]))</f>
        <v>2007-2008</v>
      </c>
      <c r="C183" s="3" t="str">
        <f>"Q"&amp;CEILING(MONTH(EDATE(Data[[#This Row],[Date]],-3)),3)/3</f>
        <v>Q2</v>
      </c>
      <c r="D183" s="4" t="s">
        <v>23</v>
      </c>
      <c r="E183" s="4" t="s">
        <v>13</v>
      </c>
      <c r="F183" s="5">
        <v>12450</v>
      </c>
      <c r="G183" s="5">
        <f>Data[[#This Row],[Amount]]-Data[[#This Row],[Profit]]</f>
        <v>6650</v>
      </c>
      <c r="H183" s="5">
        <v>5800</v>
      </c>
      <c r="I183" s="5" t="s">
        <v>15</v>
      </c>
    </row>
    <row r="184" spans="1:9" ht="12.75" x14ac:dyDescent="0.2">
      <c r="A184" s="3">
        <v>38741</v>
      </c>
      <c r="B184" s="3" t="str">
        <f>IF(MONTH(Data[[#This Row],[Date]])&gt;3,YEAR(Data[[#This Row],[Date]])&amp;"-"&amp;YEAR(Data[[#This Row],[Date]])+1,YEAR(Data[[#This Row],[Date]])-1&amp;"-"&amp;YEAR(Data[[#This Row],[Date]]))</f>
        <v>2005-2006</v>
      </c>
      <c r="C184" s="3" t="str">
        <f>"Q"&amp;CEILING(MONTH(EDATE(Data[[#This Row],[Date]],-3)),3)/3</f>
        <v>Q4</v>
      </c>
      <c r="D184" s="4" t="s">
        <v>16</v>
      </c>
      <c r="E184" s="4" t="s">
        <v>10</v>
      </c>
      <c r="F184" s="5">
        <v>10800</v>
      </c>
      <c r="G184" s="5">
        <f>Data[[#This Row],[Amount]]-Data[[#This Row],[Profit]]</f>
        <v>7100</v>
      </c>
      <c r="H184" s="5">
        <v>3700</v>
      </c>
      <c r="I184" s="5" t="s">
        <v>22</v>
      </c>
    </row>
    <row r="185" spans="1:9" ht="12.75" x14ac:dyDescent="0.2">
      <c r="A185" s="3">
        <v>39479</v>
      </c>
      <c r="B185" s="3" t="str">
        <f>IF(MONTH(Data[[#This Row],[Date]])&gt;3,YEAR(Data[[#This Row],[Date]])&amp;"-"&amp;YEAR(Data[[#This Row],[Date]])+1,YEAR(Data[[#This Row],[Date]])-1&amp;"-"&amp;YEAR(Data[[#This Row],[Date]]))</f>
        <v>2007-2008</v>
      </c>
      <c r="C185" s="3" t="str">
        <f>"Q"&amp;CEILING(MONTH(EDATE(Data[[#This Row],[Date]],-3)),3)/3</f>
        <v>Q4</v>
      </c>
      <c r="D185" s="4" t="s">
        <v>20</v>
      </c>
      <c r="E185" s="4" t="s">
        <v>30</v>
      </c>
      <c r="F185" s="5">
        <v>12700</v>
      </c>
      <c r="G185" s="5">
        <f>Data[[#This Row],[Amount]]-Data[[#This Row],[Profit]]</f>
        <v>7840</v>
      </c>
      <c r="H185" s="5">
        <v>4860</v>
      </c>
      <c r="I185" s="5" t="s">
        <v>11</v>
      </c>
    </row>
    <row r="186" spans="1:9" ht="12.75" x14ac:dyDescent="0.2">
      <c r="A186" s="3">
        <v>39470</v>
      </c>
      <c r="B186" s="3" t="str">
        <f>IF(MONTH(Data[[#This Row],[Date]])&gt;3,YEAR(Data[[#This Row],[Date]])&amp;"-"&amp;YEAR(Data[[#This Row],[Date]])+1,YEAR(Data[[#This Row],[Date]])-1&amp;"-"&amp;YEAR(Data[[#This Row],[Date]]))</f>
        <v>2007-2008</v>
      </c>
      <c r="C186" s="3" t="str">
        <f>"Q"&amp;CEILING(MONTH(EDATE(Data[[#This Row],[Date]],-3)),3)/3</f>
        <v>Q4</v>
      </c>
      <c r="D186" s="4" t="s">
        <v>16</v>
      </c>
      <c r="E186" s="4" t="s">
        <v>26</v>
      </c>
      <c r="F186" s="5">
        <v>11500</v>
      </c>
      <c r="G186" s="5">
        <f>Data[[#This Row],[Amount]]-Data[[#This Row],[Profit]]</f>
        <v>6300</v>
      </c>
      <c r="H186" s="5">
        <v>5200</v>
      </c>
      <c r="I186" s="5" t="s">
        <v>22</v>
      </c>
    </row>
    <row r="187" spans="1:9" ht="12.75" x14ac:dyDescent="0.2">
      <c r="A187" s="3">
        <v>39644</v>
      </c>
      <c r="B187" s="3" t="str">
        <f>IF(MONTH(Data[[#This Row],[Date]])&gt;3,YEAR(Data[[#This Row],[Date]])&amp;"-"&amp;YEAR(Data[[#This Row],[Date]])+1,YEAR(Data[[#This Row],[Date]])-1&amp;"-"&amp;YEAR(Data[[#This Row],[Date]]))</f>
        <v>2008-2009</v>
      </c>
      <c r="C187" s="3" t="str">
        <f>"Q"&amp;CEILING(MONTH(EDATE(Data[[#This Row],[Date]],-3)),3)/3</f>
        <v>Q2</v>
      </c>
      <c r="D187" s="4" t="s">
        <v>12</v>
      </c>
      <c r="E187" s="4" t="s">
        <v>30</v>
      </c>
      <c r="F187" s="5">
        <v>14300</v>
      </c>
      <c r="G187" s="5">
        <f>Data[[#This Row],[Amount]]-Data[[#This Row],[Profit]]</f>
        <v>9720</v>
      </c>
      <c r="H187" s="5">
        <v>4580</v>
      </c>
      <c r="I187" s="5" t="s">
        <v>22</v>
      </c>
    </row>
    <row r="188" spans="1:9" ht="12.75" x14ac:dyDescent="0.2">
      <c r="A188" s="3">
        <v>38480</v>
      </c>
      <c r="B188" s="3" t="str">
        <f>IF(MONTH(Data[[#This Row],[Date]])&gt;3,YEAR(Data[[#This Row],[Date]])&amp;"-"&amp;YEAR(Data[[#This Row],[Date]])+1,YEAR(Data[[#This Row],[Date]])-1&amp;"-"&amp;YEAR(Data[[#This Row],[Date]]))</f>
        <v>2005-2006</v>
      </c>
      <c r="C188" s="3" t="str">
        <f>"Q"&amp;CEILING(MONTH(EDATE(Data[[#This Row],[Date]],-3)),3)/3</f>
        <v>Q1</v>
      </c>
      <c r="D188" s="4" t="s">
        <v>16</v>
      </c>
      <c r="E188" s="4" t="s">
        <v>30</v>
      </c>
      <c r="F188" s="5">
        <v>11650</v>
      </c>
      <c r="G188" s="5">
        <f>Data[[#This Row],[Amount]]-Data[[#This Row],[Profit]]</f>
        <v>8830</v>
      </c>
      <c r="H188" s="5">
        <v>2820</v>
      </c>
      <c r="I188" s="5" t="s">
        <v>8</v>
      </c>
    </row>
    <row r="189" spans="1:9" ht="12.75" x14ac:dyDescent="0.2">
      <c r="A189" s="3">
        <v>39045</v>
      </c>
      <c r="B189" s="3" t="str">
        <f>IF(MONTH(Data[[#This Row],[Date]])&gt;3,YEAR(Data[[#This Row],[Date]])&amp;"-"&amp;YEAR(Data[[#This Row],[Date]])+1,YEAR(Data[[#This Row],[Date]])-1&amp;"-"&amp;YEAR(Data[[#This Row],[Date]]))</f>
        <v>2006-2007</v>
      </c>
      <c r="C189" s="3" t="str">
        <f>"Q"&amp;CEILING(MONTH(EDATE(Data[[#This Row],[Date]],-3)),3)/3</f>
        <v>Q3</v>
      </c>
      <c r="D189" s="4" t="s">
        <v>18</v>
      </c>
      <c r="E189" s="4" t="s">
        <v>19</v>
      </c>
      <c r="F189" s="5">
        <v>13400</v>
      </c>
      <c r="G189" s="5">
        <f>Data[[#This Row],[Amount]]-Data[[#This Row],[Profit]]</f>
        <v>10060</v>
      </c>
      <c r="H189" s="5">
        <v>3340</v>
      </c>
      <c r="I189" s="5" t="s">
        <v>22</v>
      </c>
    </row>
    <row r="190" spans="1:9" ht="12.75" x14ac:dyDescent="0.2">
      <c r="A190" s="3">
        <v>39484</v>
      </c>
      <c r="B190" s="3" t="str">
        <f>IF(MONTH(Data[[#This Row],[Date]])&gt;3,YEAR(Data[[#This Row],[Date]])&amp;"-"&amp;YEAR(Data[[#This Row],[Date]])+1,YEAR(Data[[#This Row],[Date]])-1&amp;"-"&amp;YEAR(Data[[#This Row],[Date]]))</f>
        <v>2007-2008</v>
      </c>
      <c r="C190" s="3" t="str">
        <f>"Q"&amp;CEILING(MONTH(EDATE(Data[[#This Row],[Date]],-3)),3)/3</f>
        <v>Q4</v>
      </c>
      <c r="D190" s="4" t="s">
        <v>9</v>
      </c>
      <c r="E190" s="4" t="s">
        <v>7</v>
      </c>
      <c r="F190" s="5">
        <v>14000</v>
      </c>
      <c r="G190" s="5">
        <f>Data[[#This Row],[Amount]]-Data[[#This Row],[Profit]]</f>
        <v>11800</v>
      </c>
      <c r="H190" s="5">
        <v>2200</v>
      </c>
      <c r="I190" s="5" t="s">
        <v>15</v>
      </c>
    </row>
    <row r="191" spans="1:9" ht="12.75" x14ac:dyDescent="0.2">
      <c r="A191" s="3">
        <v>38585</v>
      </c>
      <c r="B191" s="3" t="str">
        <f>IF(MONTH(Data[[#This Row],[Date]])&gt;3,YEAR(Data[[#This Row],[Date]])&amp;"-"&amp;YEAR(Data[[#This Row],[Date]])+1,YEAR(Data[[#This Row],[Date]])-1&amp;"-"&amp;YEAR(Data[[#This Row],[Date]]))</f>
        <v>2005-2006</v>
      </c>
      <c r="C191" s="3" t="str">
        <f>"Q"&amp;CEILING(MONTH(EDATE(Data[[#This Row],[Date]],-3)),3)/3</f>
        <v>Q2</v>
      </c>
      <c r="D191" s="4" t="s">
        <v>12</v>
      </c>
      <c r="E191" s="4" t="s">
        <v>26</v>
      </c>
      <c r="F191" s="5">
        <v>10600</v>
      </c>
      <c r="G191" s="5">
        <f>Data[[#This Row],[Amount]]-Data[[#This Row],[Profit]]</f>
        <v>5920</v>
      </c>
      <c r="H191" s="5">
        <v>4680</v>
      </c>
      <c r="I191" s="5" t="s">
        <v>8</v>
      </c>
    </row>
    <row r="192" spans="1:9" ht="12.75" x14ac:dyDescent="0.2">
      <c r="A192" s="3">
        <v>38920</v>
      </c>
      <c r="B192" s="3" t="str">
        <f>IF(MONTH(Data[[#This Row],[Date]])&gt;3,YEAR(Data[[#This Row],[Date]])&amp;"-"&amp;YEAR(Data[[#This Row],[Date]])+1,YEAR(Data[[#This Row],[Date]])-1&amp;"-"&amp;YEAR(Data[[#This Row],[Date]]))</f>
        <v>2006-2007</v>
      </c>
      <c r="C192" s="3" t="str">
        <f>"Q"&amp;CEILING(MONTH(EDATE(Data[[#This Row],[Date]],-3)),3)/3</f>
        <v>Q2</v>
      </c>
      <c r="D192" s="4" t="s">
        <v>14</v>
      </c>
      <c r="E192" s="4" t="s">
        <v>24</v>
      </c>
      <c r="F192" s="5">
        <v>14150</v>
      </c>
      <c r="G192" s="5">
        <f>Data[[#This Row],[Amount]]-Data[[#This Row],[Profit]]</f>
        <v>11050</v>
      </c>
      <c r="H192" s="5">
        <v>3100</v>
      </c>
      <c r="I192" s="5" t="s">
        <v>22</v>
      </c>
    </row>
    <row r="193" spans="1:9" ht="12.75" x14ac:dyDescent="0.2">
      <c r="A193" s="3">
        <v>38407</v>
      </c>
      <c r="B193" s="3" t="str">
        <f>IF(MONTH(Data[[#This Row],[Date]])&gt;3,YEAR(Data[[#This Row],[Date]])&amp;"-"&amp;YEAR(Data[[#This Row],[Date]])+1,YEAR(Data[[#This Row],[Date]])-1&amp;"-"&amp;YEAR(Data[[#This Row],[Date]]))</f>
        <v>2004-2005</v>
      </c>
      <c r="C193" s="3" t="str">
        <f>"Q"&amp;CEILING(MONTH(EDATE(Data[[#This Row],[Date]],-3)),3)/3</f>
        <v>Q4</v>
      </c>
      <c r="D193" s="4" t="s">
        <v>20</v>
      </c>
      <c r="E193" s="4" t="s">
        <v>7</v>
      </c>
      <c r="F193" s="5">
        <v>12950</v>
      </c>
      <c r="G193" s="5">
        <f>Data[[#This Row],[Amount]]-Data[[#This Row],[Profit]]</f>
        <v>9210</v>
      </c>
      <c r="H193" s="5">
        <v>3740</v>
      </c>
      <c r="I193" s="5" t="s">
        <v>11</v>
      </c>
    </row>
    <row r="194" spans="1:9" ht="12.75" x14ac:dyDescent="0.2">
      <c r="A194" s="3">
        <v>38660</v>
      </c>
      <c r="B194" s="3" t="str">
        <f>IF(MONTH(Data[[#This Row],[Date]])&gt;3,YEAR(Data[[#This Row],[Date]])&amp;"-"&amp;YEAR(Data[[#This Row],[Date]])+1,YEAR(Data[[#This Row],[Date]])-1&amp;"-"&amp;YEAR(Data[[#This Row],[Date]]))</f>
        <v>2005-2006</v>
      </c>
      <c r="C194" s="3" t="str">
        <f>"Q"&amp;CEILING(MONTH(EDATE(Data[[#This Row],[Date]],-3)),3)/3</f>
        <v>Q3</v>
      </c>
      <c r="D194" s="4" t="s">
        <v>12</v>
      </c>
      <c r="E194" s="4" t="s">
        <v>26</v>
      </c>
      <c r="F194" s="5">
        <v>12150</v>
      </c>
      <c r="G194" s="5">
        <f>Data[[#This Row],[Amount]]-Data[[#This Row],[Profit]]</f>
        <v>7070</v>
      </c>
      <c r="H194" s="5">
        <v>5080</v>
      </c>
      <c r="I194" s="5" t="s">
        <v>11</v>
      </c>
    </row>
    <row r="195" spans="1:9" ht="12.75" x14ac:dyDescent="0.2">
      <c r="A195" s="3">
        <v>38736</v>
      </c>
      <c r="B195" s="3" t="str">
        <f>IF(MONTH(Data[[#This Row],[Date]])&gt;3,YEAR(Data[[#This Row],[Date]])&amp;"-"&amp;YEAR(Data[[#This Row],[Date]])+1,YEAR(Data[[#This Row],[Date]])-1&amp;"-"&amp;YEAR(Data[[#This Row],[Date]]))</f>
        <v>2005-2006</v>
      </c>
      <c r="C195" s="3" t="str">
        <f>"Q"&amp;CEILING(MONTH(EDATE(Data[[#This Row],[Date]],-3)),3)/3</f>
        <v>Q4</v>
      </c>
      <c r="D195" s="4" t="s">
        <v>32</v>
      </c>
      <c r="E195" s="4" t="s">
        <v>17</v>
      </c>
      <c r="F195" s="5">
        <v>11750</v>
      </c>
      <c r="G195" s="5">
        <f>Data[[#This Row],[Amount]]-Data[[#This Row],[Profit]]</f>
        <v>8210</v>
      </c>
      <c r="H195" s="5">
        <v>3540</v>
      </c>
      <c r="I195" s="5" t="s">
        <v>15</v>
      </c>
    </row>
    <row r="196" spans="1:9" ht="12.75" x14ac:dyDescent="0.2">
      <c r="A196" s="3">
        <v>39662</v>
      </c>
      <c r="B196" s="3" t="str">
        <f>IF(MONTH(Data[[#This Row],[Date]])&gt;3,YEAR(Data[[#This Row],[Date]])&amp;"-"&amp;YEAR(Data[[#This Row],[Date]])+1,YEAR(Data[[#This Row],[Date]])-1&amp;"-"&amp;YEAR(Data[[#This Row],[Date]]))</f>
        <v>2008-2009</v>
      </c>
      <c r="C196" s="3" t="str">
        <f>"Q"&amp;CEILING(MONTH(EDATE(Data[[#This Row],[Date]],-3)),3)/3</f>
        <v>Q2</v>
      </c>
      <c r="D196" s="4" t="s">
        <v>32</v>
      </c>
      <c r="E196" s="4" t="s">
        <v>26</v>
      </c>
      <c r="F196" s="5">
        <v>13850</v>
      </c>
      <c r="G196" s="5">
        <f>Data[[#This Row],[Amount]]-Data[[#This Row],[Profit]]</f>
        <v>8810</v>
      </c>
      <c r="H196" s="5">
        <v>5040</v>
      </c>
      <c r="I196" s="5" t="s">
        <v>11</v>
      </c>
    </row>
    <row r="197" spans="1:9" ht="12.75" x14ac:dyDescent="0.2">
      <c r="A197" s="3">
        <v>38807</v>
      </c>
      <c r="B197" s="3" t="str">
        <f>IF(MONTH(Data[[#This Row],[Date]])&gt;3,YEAR(Data[[#This Row],[Date]])&amp;"-"&amp;YEAR(Data[[#This Row],[Date]])+1,YEAR(Data[[#This Row],[Date]])-1&amp;"-"&amp;YEAR(Data[[#This Row],[Date]]))</f>
        <v>2005-2006</v>
      </c>
      <c r="C197" s="3" t="str">
        <f>"Q"&amp;CEILING(MONTH(EDATE(Data[[#This Row],[Date]],-3)),3)/3</f>
        <v>Q4</v>
      </c>
      <c r="D197" s="4" t="s">
        <v>12</v>
      </c>
      <c r="E197" s="4" t="s">
        <v>29</v>
      </c>
      <c r="F197" s="5">
        <v>10550</v>
      </c>
      <c r="G197" s="5">
        <f>Data[[#This Row],[Amount]]-Data[[#This Row],[Profit]]</f>
        <v>7850</v>
      </c>
      <c r="H197" s="5">
        <v>2700</v>
      </c>
      <c r="I197" s="5" t="s">
        <v>22</v>
      </c>
    </row>
    <row r="198" spans="1:9" ht="12.75" x14ac:dyDescent="0.2">
      <c r="A198" s="3">
        <v>39383</v>
      </c>
      <c r="B198" s="3" t="str">
        <f>IF(MONTH(Data[[#This Row],[Date]])&gt;3,YEAR(Data[[#This Row],[Date]])&amp;"-"&amp;YEAR(Data[[#This Row],[Date]])+1,YEAR(Data[[#This Row],[Date]])-1&amp;"-"&amp;YEAR(Data[[#This Row],[Date]]))</f>
        <v>2007-2008</v>
      </c>
      <c r="C198" s="3" t="str">
        <f>"Q"&amp;CEILING(MONTH(EDATE(Data[[#This Row],[Date]],-3)),3)/3</f>
        <v>Q3</v>
      </c>
      <c r="D198" s="4" t="s">
        <v>20</v>
      </c>
      <c r="E198" s="4" t="s">
        <v>33</v>
      </c>
      <c r="F198" s="5">
        <v>10150</v>
      </c>
      <c r="G198" s="5">
        <f>Data[[#This Row],[Amount]]-Data[[#This Row],[Profit]]</f>
        <v>6750</v>
      </c>
      <c r="H198" s="5">
        <v>3400</v>
      </c>
      <c r="I198" s="5" t="s">
        <v>8</v>
      </c>
    </row>
    <row r="199" spans="1:9" ht="12.75" x14ac:dyDescent="0.2">
      <c r="A199" s="3">
        <v>39596</v>
      </c>
      <c r="B199" s="3" t="str">
        <f>IF(MONTH(Data[[#This Row],[Date]])&gt;3,YEAR(Data[[#This Row],[Date]])&amp;"-"&amp;YEAR(Data[[#This Row],[Date]])+1,YEAR(Data[[#This Row],[Date]])-1&amp;"-"&amp;YEAR(Data[[#This Row],[Date]]))</f>
        <v>2008-2009</v>
      </c>
      <c r="C199" s="3" t="str">
        <f>"Q"&amp;CEILING(MONTH(EDATE(Data[[#This Row],[Date]],-3)),3)/3</f>
        <v>Q1</v>
      </c>
      <c r="D199" s="4" t="s">
        <v>6</v>
      </c>
      <c r="E199" s="4" t="s">
        <v>13</v>
      </c>
      <c r="F199" s="5">
        <v>10600</v>
      </c>
      <c r="G199" s="5">
        <f>Data[[#This Row],[Amount]]-Data[[#This Row],[Profit]]</f>
        <v>8180</v>
      </c>
      <c r="H199" s="5">
        <v>2420</v>
      </c>
      <c r="I199" s="5" t="s">
        <v>8</v>
      </c>
    </row>
    <row r="200" spans="1:9" ht="12.75" x14ac:dyDescent="0.2">
      <c r="A200" s="3">
        <v>39317</v>
      </c>
      <c r="B200" s="3" t="str">
        <f>IF(MONTH(Data[[#This Row],[Date]])&gt;3,YEAR(Data[[#This Row],[Date]])&amp;"-"&amp;YEAR(Data[[#This Row],[Date]])+1,YEAR(Data[[#This Row],[Date]])-1&amp;"-"&amp;YEAR(Data[[#This Row],[Date]]))</f>
        <v>2007-2008</v>
      </c>
      <c r="C200" s="3" t="str">
        <f>"Q"&amp;CEILING(MONTH(EDATE(Data[[#This Row],[Date]],-3)),3)/3</f>
        <v>Q2</v>
      </c>
      <c r="D200" s="4" t="s">
        <v>6</v>
      </c>
      <c r="E200" s="4" t="s">
        <v>21</v>
      </c>
      <c r="F200" s="5">
        <v>14450</v>
      </c>
      <c r="G200" s="5">
        <f>Data[[#This Row],[Amount]]-Data[[#This Row],[Profit]]</f>
        <v>9630</v>
      </c>
      <c r="H200" s="5">
        <v>4820</v>
      </c>
      <c r="I200" s="5" t="s">
        <v>8</v>
      </c>
    </row>
    <row r="201" spans="1:9" ht="12.75" x14ac:dyDescent="0.2">
      <c r="A201" s="3">
        <v>39079</v>
      </c>
      <c r="B201" s="3" t="str">
        <f>IF(MONTH(Data[[#This Row],[Date]])&gt;3,YEAR(Data[[#This Row],[Date]])&amp;"-"&amp;YEAR(Data[[#This Row],[Date]])+1,YEAR(Data[[#This Row],[Date]])-1&amp;"-"&amp;YEAR(Data[[#This Row],[Date]]))</f>
        <v>2006-2007</v>
      </c>
      <c r="C201" s="3" t="str">
        <f>"Q"&amp;CEILING(MONTH(EDATE(Data[[#This Row],[Date]],-3)),3)/3</f>
        <v>Q3</v>
      </c>
      <c r="D201" s="4" t="s">
        <v>9</v>
      </c>
      <c r="E201" s="4" t="s">
        <v>17</v>
      </c>
      <c r="F201" s="5">
        <v>12050</v>
      </c>
      <c r="G201" s="5">
        <f>Data[[#This Row],[Amount]]-Data[[#This Row],[Profit]]</f>
        <v>9770</v>
      </c>
      <c r="H201" s="5">
        <v>2280</v>
      </c>
      <c r="I201" s="5" t="s">
        <v>15</v>
      </c>
    </row>
    <row r="202" spans="1:9" ht="12.75" x14ac:dyDescent="0.2">
      <c r="A202" s="3">
        <v>38353</v>
      </c>
      <c r="B202" s="3" t="str">
        <f>IF(MONTH(Data[[#This Row],[Date]])&gt;3,YEAR(Data[[#This Row],[Date]])&amp;"-"&amp;YEAR(Data[[#This Row],[Date]])+1,YEAR(Data[[#This Row],[Date]])-1&amp;"-"&amp;YEAR(Data[[#This Row],[Date]]))</f>
        <v>2004-2005</v>
      </c>
      <c r="C202" s="3" t="str">
        <f>"Q"&amp;CEILING(MONTH(EDATE(Data[[#This Row],[Date]],-3)),3)/3</f>
        <v>Q4</v>
      </c>
      <c r="D202" s="4" t="s">
        <v>32</v>
      </c>
      <c r="E202" s="4" t="s">
        <v>28</v>
      </c>
      <c r="F202" s="5">
        <v>10150</v>
      </c>
      <c r="G202" s="5">
        <f>Data[[#This Row],[Amount]]-Data[[#This Row],[Profit]]</f>
        <v>7950</v>
      </c>
      <c r="H202" s="5">
        <v>2200</v>
      </c>
      <c r="I202" s="5" t="s">
        <v>22</v>
      </c>
    </row>
    <row r="203" spans="1:9" ht="12.75" x14ac:dyDescent="0.2">
      <c r="A203" s="3">
        <v>39168</v>
      </c>
      <c r="B203" s="3" t="str">
        <f>IF(MONTH(Data[[#This Row],[Date]])&gt;3,YEAR(Data[[#This Row],[Date]])&amp;"-"&amp;YEAR(Data[[#This Row],[Date]])+1,YEAR(Data[[#This Row],[Date]])-1&amp;"-"&amp;YEAR(Data[[#This Row],[Date]]))</f>
        <v>2006-2007</v>
      </c>
      <c r="C203" s="3" t="str">
        <f>"Q"&amp;CEILING(MONTH(EDATE(Data[[#This Row],[Date]],-3)),3)/3</f>
        <v>Q4</v>
      </c>
      <c r="D203" s="4" t="s">
        <v>23</v>
      </c>
      <c r="E203" s="4" t="s">
        <v>28</v>
      </c>
      <c r="F203" s="5">
        <v>11900</v>
      </c>
      <c r="G203" s="5">
        <f>Data[[#This Row],[Amount]]-Data[[#This Row],[Profit]]</f>
        <v>8500</v>
      </c>
      <c r="H203" s="5">
        <v>3400</v>
      </c>
      <c r="I203" s="5" t="s">
        <v>15</v>
      </c>
    </row>
    <row r="204" spans="1:9" ht="12.75" x14ac:dyDescent="0.2">
      <c r="A204" s="3">
        <v>38498</v>
      </c>
      <c r="B204" s="3" t="str">
        <f>IF(MONTH(Data[[#This Row],[Date]])&gt;3,YEAR(Data[[#This Row],[Date]])&amp;"-"&amp;YEAR(Data[[#This Row],[Date]])+1,YEAR(Data[[#This Row],[Date]])-1&amp;"-"&amp;YEAR(Data[[#This Row],[Date]]))</f>
        <v>2005-2006</v>
      </c>
      <c r="C204" s="3" t="str">
        <f>"Q"&amp;CEILING(MONTH(EDATE(Data[[#This Row],[Date]],-3)),3)/3</f>
        <v>Q1</v>
      </c>
      <c r="D204" s="4" t="s">
        <v>25</v>
      </c>
      <c r="E204" s="4" t="s">
        <v>10</v>
      </c>
      <c r="F204" s="5">
        <v>14550</v>
      </c>
      <c r="G204" s="5">
        <f>Data[[#This Row],[Amount]]-Data[[#This Row],[Profit]]</f>
        <v>9030</v>
      </c>
      <c r="H204" s="5">
        <v>5520</v>
      </c>
      <c r="I204" s="5" t="s">
        <v>15</v>
      </c>
    </row>
    <row r="205" spans="1:9" ht="12.75" x14ac:dyDescent="0.2">
      <c r="A205" s="3">
        <v>39810</v>
      </c>
      <c r="B205" s="3" t="str">
        <f>IF(MONTH(Data[[#This Row],[Date]])&gt;3,YEAR(Data[[#This Row],[Date]])&amp;"-"&amp;YEAR(Data[[#This Row],[Date]])+1,YEAR(Data[[#This Row],[Date]])-1&amp;"-"&amp;YEAR(Data[[#This Row],[Date]]))</f>
        <v>2008-2009</v>
      </c>
      <c r="C205" s="3" t="str">
        <f>"Q"&amp;CEILING(MONTH(EDATE(Data[[#This Row],[Date]],-3)),3)/3</f>
        <v>Q3</v>
      </c>
      <c r="D205" s="4" t="s">
        <v>31</v>
      </c>
      <c r="E205" s="4" t="s">
        <v>24</v>
      </c>
      <c r="F205" s="5">
        <v>13900</v>
      </c>
      <c r="G205" s="5">
        <f>Data[[#This Row],[Amount]]-Data[[#This Row],[Profit]]</f>
        <v>8600</v>
      </c>
      <c r="H205" s="5">
        <v>5300</v>
      </c>
      <c r="I205" s="5" t="s">
        <v>15</v>
      </c>
    </row>
    <row r="206" spans="1:9" ht="12.75" x14ac:dyDescent="0.2">
      <c r="A206" s="3">
        <v>38460</v>
      </c>
      <c r="B206" s="3" t="str">
        <f>IF(MONTH(Data[[#This Row],[Date]])&gt;3,YEAR(Data[[#This Row],[Date]])&amp;"-"&amp;YEAR(Data[[#This Row],[Date]])+1,YEAR(Data[[#This Row],[Date]])-1&amp;"-"&amp;YEAR(Data[[#This Row],[Date]]))</f>
        <v>2005-2006</v>
      </c>
      <c r="C206" s="3" t="str">
        <f>"Q"&amp;CEILING(MONTH(EDATE(Data[[#This Row],[Date]],-3)),3)/3</f>
        <v>Q1</v>
      </c>
      <c r="D206" s="4" t="s">
        <v>6</v>
      </c>
      <c r="E206" s="4" t="s">
        <v>17</v>
      </c>
      <c r="F206" s="5">
        <v>10400</v>
      </c>
      <c r="G206" s="5">
        <f>Data[[#This Row],[Amount]]-Data[[#This Row],[Profit]]</f>
        <v>6140</v>
      </c>
      <c r="H206" s="5">
        <v>4260</v>
      </c>
      <c r="I206" s="5" t="s">
        <v>15</v>
      </c>
    </row>
    <row r="207" spans="1:9" ht="12.75" x14ac:dyDescent="0.2">
      <c r="A207" s="3">
        <v>38430</v>
      </c>
      <c r="B207" s="3" t="str">
        <f>IF(MONTH(Data[[#This Row],[Date]])&gt;3,YEAR(Data[[#This Row],[Date]])&amp;"-"&amp;YEAR(Data[[#This Row],[Date]])+1,YEAR(Data[[#This Row],[Date]])-1&amp;"-"&amp;YEAR(Data[[#This Row],[Date]]))</f>
        <v>2004-2005</v>
      </c>
      <c r="C207" s="3" t="str">
        <f>"Q"&amp;CEILING(MONTH(EDATE(Data[[#This Row],[Date]],-3)),3)/3</f>
        <v>Q4</v>
      </c>
      <c r="D207" s="4" t="s">
        <v>9</v>
      </c>
      <c r="E207" s="4" t="s">
        <v>33</v>
      </c>
      <c r="F207" s="5">
        <v>11500</v>
      </c>
      <c r="G207" s="5">
        <f>Data[[#This Row],[Amount]]-Data[[#This Row],[Profit]]</f>
        <v>8880</v>
      </c>
      <c r="H207" s="5">
        <v>2620</v>
      </c>
      <c r="I207" s="5" t="s">
        <v>8</v>
      </c>
    </row>
    <row r="208" spans="1:9" ht="12.75" x14ac:dyDescent="0.2">
      <c r="A208" s="3">
        <v>39301</v>
      </c>
      <c r="B208" s="3" t="str">
        <f>IF(MONTH(Data[[#This Row],[Date]])&gt;3,YEAR(Data[[#This Row],[Date]])&amp;"-"&amp;YEAR(Data[[#This Row],[Date]])+1,YEAR(Data[[#This Row],[Date]])-1&amp;"-"&amp;YEAR(Data[[#This Row],[Date]]))</f>
        <v>2007-2008</v>
      </c>
      <c r="C208" s="3" t="str">
        <f>"Q"&amp;CEILING(MONTH(EDATE(Data[[#This Row],[Date]],-3)),3)/3</f>
        <v>Q2</v>
      </c>
      <c r="D208" s="4" t="s">
        <v>6</v>
      </c>
      <c r="E208" s="4" t="s">
        <v>7</v>
      </c>
      <c r="F208" s="5">
        <v>10050</v>
      </c>
      <c r="G208" s="5">
        <f>Data[[#This Row],[Amount]]-Data[[#This Row],[Profit]]</f>
        <v>5790</v>
      </c>
      <c r="H208" s="5">
        <v>4260</v>
      </c>
      <c r="I208" s="5" t="s">
        <v>8</v>
      </c>
    </row>
    <row r="209" spans="1:9" ht="12.75" x14ac:dyDescent="0.2">
      <c r="A209" s="3">
        <v>38703</v>
      </c>
      <c r="B209" s="3" t="str">
        <f>IF(MONTH(Data[[#This Row],[Date]])&gt;3,YEAR(Data[[#This Row],[Date]])&amp;"-"&amp;YEAR(Data[[#This Row],[Date]])+1,YEAR(Data[[#This Row],[Date]])-1&amp;"-"&amp;YEAR(Data[[#This Row],[Date]]))</f>
        <v>2005-2006</v>
      </c>
      <c r="C209" s="3" t="str">
        <f>"Q"&amp;CEILING(MONTH(EDATE(Data[[#This Row],[Date]],-3)),3)/3</f>
        <v>Q3</v>
      </c>
      <c r="D209" s="4" t="s">
        <v>16</v>
      </c>
      <c r="E209" s="4" t="s">
        <v>17</v>
      </c>
      <c r="F209" s="5">
        <v>12700</v>
      </c>
      <c r="G209" s="5">
        <f>Data[[#This Row],[Amount]]-Data[[#This Row],[Profit]]</f>
        <v>10600</v>
      </c>
      <c r="H209" s="5">
        <v>2100</v>
      </c>
      <c r="I209" s="5" t="s">
        <v>8</v>
      </c>
    </row>
    <row r="210" spans="1:9" ht="12.75" x14ac:dyDescent="0.2">
      <c r="A210" s="3">
        <v>39411</v>
      </c>
      <c r="B210" s="3" t="str">
        <f>IF(MONTH(Data[[#This Row],[Date]])&gt;3,YEAR(Data[[#This Row],[Date]])&amp;"-"&amp;YEAR(Data[[#This Row],[Date]])+1,YEAR(Data[[#This Row],[Date]])-1&amp;"-"&amp;YEAR(Data[[#This Row],[Date]]))</f>
        <v>2007-2008</v>
      </c>
      <c r="C210" s="3" t="str">
        <f>"Q"&amp;CEILING(MONTH(EDATE(Data[[#This Row],[Date]],-3)),3)/3</f>
        <v>Q3</v>
      </c>
      <c r="D210" s="4" t="s">
        <v>25</v>
      </c>
      <c r="E210" s="4" t="s">
        <v>10</v>
      </c>
      <c r="F210" s="5">
        <v>11100</v>
      </c>
      <c r="G210" s="5">
        <f>Data[[#This Row],[Amount]]-Data[[#This Row],[Profit]]</f>
        <v>7320</v>
      </c>
      <c r="H210" s="5">
        <v>3780</v>
      </c>
      <c r="I210" s="5" t="s">
        <v>15</v>
      </c>
    </row>
    <row r="211" spans="1:9" ht="12.75" x14ac:dyDescent="0.2">
      <c r="A211" s="3">
        <v>39096</v>
      </c>
      <c r="B211" s="3" t="str">
        <f>IF(MONTH(Data[[#This Row],[Date]])&gt;3,YEAR(Data[[#This Row],[Date]])&amp;"-"&amp;YEAR(Data[[#This Row],[Date]])+1,YEAR(Data[[#This Row],[Date]])-1&amp;"-"&amp;YEAR(Data[[#This Row],[Date]]))</f>
        <v>2006-2007</v>
      </c>
      <c r="C211" s="3" t="str">
        <f>"Q"&amp;CEILING(MONTH(EDATE(Data[[#This Row],[Date]],-3)),3)/3</f>
        <v>Q4</v>
      </c>
      <c r="D211" s="4" t="s">
        <v>23</v>
      </c>
      <c r="E211" s="4" t="s">
        <v>10</v>
      </c>
      <c r="F211" s="5">
        <v>13350</v>
      </c>
      <c r="G211" s="5">
        <f>Data[[#This Row],[Amount]]-Data[[#This Row],[Profit]]</f>
        <v>7750</v>
      </c>
      <c r="H211" s="5">
        <v>5600</v>
      </c>
      <c r="I211" s="5" t="s">
        <v>22</v>
      </c>
    </row>
    <row r="212" spans="1:9" ht="12.75" x14ac:dyDescent="0.2">
      <c r="A212" s="3">
        <v>39236</v>
      </c>
      <c r="B212" s="3" t="str">
        <f>IF(MONTH(Data[[#This Row],[Date]])&gt;3,YEAR(Data[[#This Row],[Date]])&amp;"-"&amp;YEAR(Data[[#This Row],[Date]])+1,YEAR(Data[[#This Row],[Date]])-1&amp;"-"&amp;YEAR(Data[[#This Row],[Date]]))</f>
        <v>2007-2008</v>
      </c>
      <c r="C212" s="3" t="str">
        <f>"Q"&amp;CEILING(MONTH(EDATE(Data[[#This Row],[Date]],-3)),3)/3</f>
        <v>Q1</v>
      </c>
      <c r="D212" s="4" t="s">
        <v>23</v>
      </c>
      <c r="E212" s="4" t="s">
        <v>24</v>
      </c>
      <c r="F212" s="5">
        <v>14150</v>
      </c>
      <c r="G212" s="5">
        <f>Data[[#This Row],[Amount]]-Data[[#This Row],[Profit]]</f>
        <v>12050</v>
      </c>
      <c r="H212" s="5">
        <v>2100</v>
      </c>
      <c r="I212" s="5" t="s">
        <v>15</v>
      </c>
    </row>
    <row r="213" spans="1:9" ht="12.75" x14ac:dyDescent="0.2">
      <c r="A213" s="3">
        <v>39206</v>
      </c>
      <c r="B213" s="3" t="str">
        <f>IF(MONTH(Data[[#This Row],[Date]])&gt;3,YEAR(Data[[#This Row],[Date]])&amp;"-"&amp;YEAR(Data[[#This Row],[Date]])+1,YEAR(Data[[#This Row],[Date]])-1&amp;"-"&amp;YEAR(Data[[#This Row],[Date]]))</f>
        <v>2007-2008</v>
      </c>
      <c r="C213" s="3" t="str">
        <f>"Q"&amp;CEILING(MONTH(EDATE(Data[[#This Row],[Date]],-3)),3)/3</f>
        <v>Q1</v>
      </c>
      <c r="D213" s="4" t="s">
        <v>18</v>
      </c>
      <c r="E213" s="4" t="s">
        <v>29</v>
      </c>
      <c r="F213" s="5">
        <v>11750</v>
      </c>
      <c r="G213" s="5">
        <f>Data[[#This Row],[Amount]]-Data[[#This Row],[Profit]]</f>
        <v>7070</v>
      </c>
      <c r="H213" s="5">
        <v>4680</v>
      </c>
      <c r="I213" s="5" t="s">
        <v>22</v>
      </c>
    </row>
    <row r="214" spans="1:9" ht="12.75" x14ac:dyDescent="0.2">
      <c r="A214" s="3">
        <v>39672</v>
      </c>
      <c r="B214" s="3" t="str">
        <f>IF(MONTH(Data[[#This Row],[Date]])&gt;3,YEAR(Data[[#This Row],[Date]])&amp;"-"&amp;YEAR(Data[[#This Row],[Date]])+1,YEAR(Data[[#This Row],[Date]])-1&amp;"-"&amp;YEAR(Data[[#This Row],[Date]]))</f>
        <v>2008-2009</v>
      </c>
      <c r="C214" s="3" t="str">
        <f>"Q"&amp;CEILING(MONTH(EDATE(Data[[#This Row],[Date]],-3)),3)/3</f>
        <v>Q2</v>
      </c>
      <c r="D214" s="4" t="s">
        <v>16</v>
      </c>
      <c r="E214" s="4" t="s">
        <v>24</v>
      </c>
      <c r="F214" s="5">
        <v>14800</v>
      </c>
      <c r="G214" s="5">
        <f>Data[[#This Row],[Amount]]-Data[[#This Row],[Profit]]</f>
        <v>10880</v>
      </c>
      <c r="H214" s="5">
        <v>3920</v>
      </c>
      <c r="I214" s="5" t="s">
        <v>22</v>
      </c>
    </row>
    <row r="215" spans="1:9" ht="12.75" x14ac:dyDescent="0.2">
      <c r="A215" s="3">
        <v>39230</v>
      </c>
      <c r="B215" s="3" t="str">
        <f>IF(MONTH(Data[[#This Row],[Date]])&gt;3,YEAR(Data[[#This Row],[Date]])&amp;"-"&amp;YEAR(Data[[#This Row],[Date]])+1,YEAR(Data[[#This Row],[Date]])-1&amp;"-"&amp;YEAR(Data[[#This Row],[Date]]))</f>
        <v>2007-2008</v>
      </c>
      <c r="C215" s="3" t="str">
        <f>"Q"&amp;CEILING(MONTH(EDATE(Data[[#This Row],[Date]],-3)),3)/3</f>
        <v>Q1</v>
      </c>
      <c r="D215" s="4" t="s">
        <v>16</v>
      </c>
      <c r="E215" s="4" t="s">
        <v>13</v>
      </c>
      <c r="F215" s="5">
        <v>12400</v>
      </c>
      <c r="G215" s="5">
        <f>Data[[#This Row],[Amount]]-Data[[#This Row],[Profit]]</f>
        <v>9860</v>
      </c>
      <c r="H215" s="5">
        <v>2540</v>
      </c>
      <c r="I215" s="5" t="s">
        <v>15</v>
      </c>
    </row>
    <row r="216" spans="1:9" ht="12.75" x14ac:dyDescent="0.2">
      <c r="A216" s="3">
        <v>39743</v>
      </c>
      <c r="B216" s="3" t="str">
        <f>IF(MONTH(Data[[#This Row],[Date]])&gt;3,YEAR(Data[[#This Row],[Date]])&amp;"-"&amp;YEAR(Data[[#This Row],[Date]])+1,YEAR(Data[[#This Row],[Date]])-1&amp;"-"&amp;YEAR(Data[[#This Row],[Date]]))</f>
        <v>2008-2009</v>
      </c>
      <c r="C216" s="3" t="str">
        <f>"Q"&amp;CEILING(MONTH(EDATE(Data[[#This Row],[Date]],-3)),3)/3</f>
        <v>Q3</v>
      </c>
      <c r="D216" s="4" t="s">
        <v>18</v>
      </c>
      <c r="E216" s="4" t="s">
        <v>28</v>
      </c>
      <c r="F216" s="5">
        <v>11950</v>
      </c>
      <c r="G216" s="5">
        <f>Data[[#This Row],[Amount]]-Data[[#This Row],[Profit]]</f>
        <v>6470</v>
      </c>
      <c r="H216" s="5">
        <v>5480</v>
      </c>
      <c r="I216" s="5" t="s">
        <v>15</v>
      </c>
    </row>
    <row r="217" spans="1:9" ht="12.75" x14ac:dyDescent="0.2">
      <c r="A217" s="3">
        <v>38581</v>
      </c>
      <c r="B217" s="3" t="str">
        <f>IF(MONTH(Data[[#This Row],[Date]])&gt;3,YEAR(Data[[#This Row],[Date]])&amp;"-"&amp;YEAR(Data[[#This Row],[Date]])+1,YEAR(Data[[#This Row],[Date]])-1&amp;"-"&amp;YEAR(Data[[#This Row],[Date]]))</f>
        <v>2005-2006</v>
      </c>
      <c r="C217" s="3" t="str">
        <f>"Q"&amp;CEILING(MONTH(EDATE(Data[[#This Row],[Date]],-3)),3)/3</f>
        <v>Q2</v>
      </c>
      <c r="D217" s="4" t="s">
        <v>12</v>
      </c>
      <c r="E217" s="4" t="s">
        <v>21</v>
      </c>
      <c r="F217" s="5">
        <v>14100</v>
      </c>
      <c r="G217" s="5">
        <f>Data[[#This Row],[Amount]]-Data[[#This Row],[Profit]]</f>
        <v>8780</v>
      </c>
      <c r="H217" s="5">
        <v>5320</v>
      </c>
      <c r="I217" s="5" t="s">
        <v>15</v>
      </c>
    </row>
    <row r="218" spans="1:9" ht="12.75" x14ac:dyDescent="0.2">
      <c r="A218" s="3">
        <v>38897</v>
      </c>
      <c r="B218" s="3" t="str">
        <f>IF(MONTH(Data[[#This Row],[Date]])&gt;3,YEAR(Data[[#This Row],[Date]])&amp;"-"&amp;YEAR(Data[[#This Row],[Date]])+1,YEAR(Data[[#This Row],[Date]])-1&amp;"-"&amp;YEAR(Data[[#This Row],[Date]]))</f>
        <v>2006-2007</v>
      </c>
      <c r="C218" s="3" t="str">
        <f>"Q"&amp;CEILING(MONTH(EDATE(Data[[#This Row],[Date]],-3)),3)/3</f>
        <v>Q1</v>
      </c>
      <c r="D218" s="4" t="s">
        <v>14</v>
      </c>
      <c r="E218" s="4" t="s">
        <v>13</v>
      </c>
      <c r="F218" s="5">
        <v>13750</v>
      </c>
      <c r="G218" s="5">
        <f>Data[[#This Row],[Amount]]-Data[[#This Row],[Profit]]</f>
        <v>9410</v>
      </c>
      <c r="H218" s="5">
        <v>4340</v>
      </c>
      <c r="I218" s="5" t="s">
        <v>22</v>
      </c>
    </row>
    <row r="219" spans="1:9" ht="12.75" x14ac:dyDescent="0.2">
      <c r="A219" s="3">
        <v>39169</v>
      </c>
      <c r="B219" s="3" t="str">
        <f>IF(MONTH(Data[[#This Row],[Date]])&gt;3,YEAR(Data[[#This Row],[Date]])&amp;"-"&amp;YEAR(Data[[#This Row],[Date]])+1,YEAR(Data[[#This Row],[Date]])-1&amp;"-"&amp;YEAR(Data[[#This Row],[Date]]))</f>
        <v>2006-2007</v>
      </c>
      <c r="C219" s="3" t="str">
        <f>"Q"&amp;CEILING(MONTH(EDATE(Data[[#This Row],[Date]],-3)),3)/3</f>
        <v>Q4</v>
      </c>
      <c r="D219" s="4" t="s">
        <v>25</v>
      </c>
      <c r="E219" s="4" t="s">
        <v>30</v>
      </c>
      <c r="F219" s="5">
        <v>14150</v>
      </c>
      <c r="G219" s="5">
        <f>Data[[#This Row],[Amount]]-Data[[#This Row],[Profit]]</f>
        <v>11270</v>
      </c>
      <c r="H219" s="5">
        <v>2880</v>
      </c>
      <c r="I219" s="5" t="s">
        <v>11</v>
      </c>
    </row>
    <row r="220" spans="1:9" ht="12.75" x14ac:dyDescent="0.2">
      <c r="A220" s="3">
        <v>38582</v>
      </c>
      <c r="B220" s="3" t="str">
        <f>IF(MONTH(Data[[#This Row],[Date]])&gt;3,YEAR(Data[[#This Row],[Date]])&amp;"-"&amp;YEAR(Data[[#This Row],[Date]])+1,YEAR(Data[[#This Row],[Date]])-1&amp;"-"&amp;YEAR(Data[[#This Row],[Date]]))</f>
        <v>2005-2006</v>
      </c>
      <c r="C220" s="3" t="str">
        <f>"Q"&amp;CEILING(MONTH(EDATE(Data[[#This Row],[Date]],-3)),3)/3</f>
        <v>Q2</v>
      </c>
      <c r="D220" s="4" t="s">
        <v>31</v>
      </c>
      <c r="E220" s="4" t="s">
        <v>28</v>
      </c>
      <c r="F220" s="5">
        <v>13400</v>
      </c>
      <c r="G220" s="5">
        <f>Data[[#This Row],[Amount]]-Data[[#This Row],[Profit]]</f>
        <v>9820</v>
      </c>
      <c r="H220" s="5">
        <v>3580</v>
      </c>
      <c r="I220" s="5" t="s">
        <v>15</v>
      </c>
    </row>
    <row r="221" spans="1:9" ht="12.75" x14ac:dyDescent="0.2">
      <c r="A221" s="3">
        <v>39114</v>
      </c>
      <c r="B221" s="3" t="str">
        <f>IF(MONTH(Data[[#This Row],[Date]])&gt;3,YEAR(Data[[#This Row],[Date]])&amp;"-"&amp;YEAR(Data[[#This Row],[Date]])+1,YEAR(Data[[#This Row],[Date]])-1&amp;"-"&amp;YEAR(Data[[#This Row],[Date]]))</f>
        <v>2006-2007</v>
      </c>
      <c r="C221" s="3" t="str">
        <f>"Q"&amp;CEILING(MONTH(EDATE(Data[[#This Row],[Date]],-3)),3)/3</f>
        <v>Q4</v>
      </c>
      <c r="D221" s="4" t="s">
        <v>18</v>
      </c>
      <c r="E221" s="4" t="s">
        <v>17</v>
      </c>
      <c r="F221" s="5">
        <v>14150</v>
      </c>
      <c r="G221" s="5">
        <f>Data[[#This Row],[Amount]]-Data[[#This Row],[Profit]]</f>
        <v>9030</v>
      </c>
      <c r="H221" s="5">
        <v>5120</v>
      </c>
      <c r="I221" s="5" t="s">
        <v>11</v>
      </c>
    </row>
    <row r="222" spans="1:9" ht="12.75" x14ac:dyDescent="0.2">
      <c r="A222" s="3">
        <v>39168</v>
      </c>
      <c r="B222" s="3" t="str">
        <f>IF(MONTH(Data[[#This Row],[Date]])&gt;3,YEAR(Data[[#This Row],[Date]])&amp;"-"&amp;YEAR(Data[[#This Row],[Date]])+1,YEAR(Data[[#This Row],[Date]])-1&amp;"-"&amp;YEAR(Data[[#This Row],[Date]]))</f>
        <v>2006-2007</v>
      </c>
      <c r="C222" s="3" t="str">
        <f>"Q"&amp;CEILING(MONTH(EDATE(Data[[#This Row],[Date]],-3)),3)/3</f>
        <v>Q4</v>
      </c>
      <c r="D222" s="4" t="s">
        <v>12</v>
      </c>
      <c r="E222" s="4" t="s">
        <v>28</v>
      </c>
      <c r="F222" s="5">
        <v>11800</v>
      </c>
      <c r="G222" s="5">
        <f>Data[[#This Row],[Amount]]-Data[[#This Row],[Profit]]</f>
        <v>8720</v>
      </c>
      <c r="H222" s="5">
        <v>3080</v>
      </c>
      <c r="I222" s="5" t="s">
        <v>15</v>
      </c>
    </row>
    <row r="223" spans="1:9" ht="12.75" x14ac:dyDescent="0.2">
      <c r="A223" s="3">
        <v>38868</v>
      </c>
      <c r="B223" s="3" t="str">
        <f>IF(MONTH(Data[[#This Row],[Date]])&gt;3,YEAR(Data[[#This Row],[Date]])&amp;"-"&amp;YEAR(Data[[#This Row],[Date]])+1,YEAR(Data[[#This Row],[Date]])-1&amp;"-"&amp;YEAR(Data[[#This Row],[Date]]))</f>
        <v>2006-2007</v>
      </c>
      <c r="C223" s="3" t="str">
        <f>"Q"&amp;CEILING(MONTH(EDATE(Data[[#This Row],[Date]],-3)),3)/3</f>
        <v>Q1</v>
      </c>
      <c r="D223" s="4" t="s">
        <v>18</v>
      </c>
      <c r="E223" s="4" t="s">
        <v>26</v>
      </c>
      <c r="F223" s="5">
        <v>12400</v>
      </c>
      <c r="G223" s="5">
        <f>Data[[#This Row],[Amount]]-Data[[#This Row],[Profit]]</f>
        <v>10180</v>
      </c>
      <c r="H223" s="5">
        <v>2220</v>
      </c>
      <c r="I223" s="5" t="s">
        <v>15</v>
      </c>
    </row>
    <row r="224" spans="1:9" ht="12.75" x14ac:dyDescent="0.2">
      <c r="A224" s="3">
        <v>39119</v>
      </c>
      <c r="B224" s="3" t="str">
        <f>IF(MONTH(Data[[#This Row],[Date]])&gt;3,YEAR(Data[[#This Row],[Date]])&amp;"-"&amp;YEAR(Data[[#This Row],[Date]])+1,YEAR(Data[[#This Row],[Date]])-1&amp;"-"&amp;YEAR(Data[[#This Row],[Date]]))</f>
        <v>2006-2007</v>
      </c>
      <c r="C224" s="3" t="str">
        <f>"Q"&amp;CEILING(MONTH(EDATE(Data[[#This Row],[Date]],-3)),3)/3</f>
        <v>Q4</v>
      </c>
      <c r="D224" s="4" t="s">
        <v>6</v>
      </c>
      <c r="E224" s="4" t="s">
        <v>30</v>
      </c>
      <c r="F224" s="5">
        <v>11050</v>
      </c>
      <c r="G224" s="5">
        <f>Data[[#This Row],[Amount]]-Data[[#This Row],[Profit]]</f>
        <v>7310</v>
      </c>
      <c r="H224" s="5">
        <v>3740</v>
      </c>
      <c r="I224" s="5" t="s">
        <v>22</v>
      </c>
    </row>
    <row r="225" spans="1:9" ht="12.75" x14ac:dyDescent="0.2">
      <c r="A225" s="3">
        <v>39237</v>
      </c>
      <c r="B225" s="3" t="str">
        <f>IF(MONTH(Data[[#This Row],[Date]])&gt;3,YEAR(Data[[#This Row],[Date]])&amp;"-"&amp;YEAR(Data[[#This Row],[Date]])+1,YEAR(Data[[#This Row],[Date]])-1&amp;"-"&amp;YEAR(Data[[#This Row],[Date]]))</f>
        <v>2007-2008</v>
      </c>
      <c r="C225" s="3" t="str">
        <f>"Q"&amp;CEILING(MONTH(EDATE(Data[[#This Row],[Date]],-3)),3)/3</f>
        <v>Q1</v>
      </c>
      <c r="D225" s="4" t="s">
        <v>23</v>
      </c>
      <c r="E225" s="4" t="s">
        <v>24</v>
      </c>
      <c r="F225" s="5">
        <v>11900</v>
      </c>
      <c r="G225" s="5">
        <f>Data[[#This Row],[Amount]]-Data[[#This Row],[Profit]]</f>
        <v>8960</v>
      </c>
      <c r="H225" s="5">
        <v>2940</v>
      </c>
      <c r="I225" s="5" t="s">
        <v>11</v>
      </c>
    </row>
    <row r="226" spans="1:9" ht="12.75" x14ac:dyDescent="0.2">
      <c r="A226" s="3">
        <v>38895</v>
      </c>
      <c r="B226" s="3" t="str">
        <f>IF(MONTH(Data[[#This Row],[Date]])&gt;3,YEAR(Data[[#This Row],[Date]])&amp;"-"&amp;YEAR(Data[[#This Row],[Date]])+1,YEAR(Data[[#This Row],[Date]])-1&amp;"-"&amp;YEAR(Data[[#This Row],[Date]]))</f>
        <v>2006-2007</v>
      </c>
      <c r="C226" s="3" t="str">
        <f>"Q"&amp;CEILING(MONTH(EDATE(Data[[#This Row],[Date]],-3)),3)/3</f>
        <v>Q1</v>
      </c>
      <c r="D226" s="4" t="s">
        <v>14</v>
      </c>
      <c r="E226" s="4" t="s">
        <v>13</v>
      </c>
      <c r="F226" s="5">
        <v>11000</v>
      </c>
      <c r="G226" s="5">
        <f>Data[[#This Row],[Amount]]-Data[[#This Row],[Profit]]</f>
        <v>5260</v>
      </c>
      <c r="H226" s="5">
        <v>5740</v>
      </c>
      <c r="I226" s="5" t="s">
        <v>8</v>
      </c>
    </row>
    <row r="227" spans="1:9" ht="12.75" x14ac:dyDescent="0.2">
      <c r="A227" s="3">
        <v>39069</v>
      </c>
      <c r="B227" s="3" t="str">
        <f>IF(MONTH(Data[[#This Row],[Date]])&gt;3,YEAR(Data[[#This Row],[Date]])&amp;"-"&amp;YEAR(Data[[#This Row],[Date]])+1,YEAR(Data[[#This Row],[Date]])-1&amp;"-"&amp;YEAR(Data[[#This Row],[Date]]))</f>
        <v>2006-2007</v>
      </c>
      <c r="C227" s="3" t="str">
        <f>"Q"&amp;CEILING(MONTH(EDATE(Data[[#This Row],[Date]],-3)),3)/3</f>
        <v>Q3</v>
      </c>
      <c r="D227" s="4" t="s">
        <v>32</v>
      </c>
      <c r="E227" s="4" t="s">
        <v>26</v>
      </c>
      <c r="F227" s="5">
        <v>14150</v>
      </c>
      <c r="G227" s="5">
        <f>Data[[#This Row],[Amount]]-Data[[#This Row],[Profit]]</f>
        <v>12010</v>
      </c>
      <c r="H227" s="5">
        <v>2140</v>
      </c>
      <c r="I227" s="5" t="s">
        <v>8</v>
      </c>
    </row>
    <row r="228" spans="1:9" ht="12.75" x14ac:dyDescent="0.2">
      <c r="A228" s="3">
        <v>38784</v>
      </c>
      <c r="B228" s="3" t="str">
        <f>IF(MONTH(Data[[#This Row],[Date]])&gt;3,YEAR(Data[[#This Row],[Date]])&amp;"-"&amp;YEAR(Data[[#This Row],[Date]])+1,YEAR(Data[[#This Row],[Date]])-1&amp;"-"&amp;YEAR(Data[[#This Row],[Date]]))</f>
        <v>2005-2006</v>
      </c>
      <c r="C228" s="3" t="str">
        <f>"Q"&amp;CEILING(MONTH(EDATE(Data[[#This Row],[Date]],-3)),3)/3</f>
        <v>Q4</v>
      </c>
      <c r="D228" s="4" t="s">
        <v>6</v>
      </c>
      <c r="E228" s="4" t="s">
        <v>29</v>
      </c>
      <c r="F228" s="5">
        <v>10600</v>
      </c>
      <c r="G228" s="5">
        <f>Data[[#This Row],[Amount]]-Data[[#This Row],[Profit]]</f>
        <v>8280</v>
      </c>
      <c r="H228" s="5">
        <v>2320</v>
      </c>
      <c r="I228" s="5" t="s">
        <v>22</v>
      </c>
    </row>
    <row r="229" spans="1:9" ht="12.75" x14ac:dyDescent="0.2">
      <c r="A229" s="3">
        <v>38944</v>
      </c>
      <c r="B229" s="3" t="str">
        <f>IF(MONTH(Data[[#This Row],[Date]])&gt;3,YEAR(Data[[#This Row],[Date]])&amp;"-"&amp;YEAR(Data[[#This Row],[Date]])+1,YEAR(Data[[#This Row],[Date]])-1&amp;"-"&amp;YEAR(Data[[#This Row],[Date]]))</f>
        <v>2006-2007</v>
      </c>
      <c r="C229" s="3" t="str">
        <f>"Q"&amp;CEILING(MONTH(EDATE(Data[[#This Row],[Date]],-3)),3)/3</f>
        <v>Q2</v>
      </c>
      <c r="D229" s="4" t="s">
        <v>18</v>
      </c>
      <c r="E229" s="4" t="s">
        <v>30</v>
      </c>
      <c r="F229" s="5">
        <v>11050</v>
      </c>
      <c r="G229" s="5">
        <f>Data[[#This Row],[Amount]]-Data[[#This Row],[Profit]]</f>
        <v>7810</v>
      </c>
      <c r="H229" s="5">
        <v>3240</v>
      </c>
      <c r="I229" s="5" t="s">
        <v>8</v>
      </c>
    </row>
    <row r="230" spans="1:9" ht="12.75" x14ac:dyDescent="0.2">
      <c r="A230" s="3">
        <v>39103</v>
      </c>
      <c r="B230" s="3" t="str">
        <f>IF(MONTH(Data[[#This Row],[Date]])&gt;3,YEAR(Data[[#This Row],[Date]])&amp;"-"&amp;YEAR(Data[[#This Row],[Date]])+1,YEAR(Data[[#This Row],[Date]])-1&amp;"-"&amp;YEAR(Data[[#This Row],[Date]]))</f>
        <v>2006-2007</v>
      </c>
      <c r="C230" s="3" t="str">
        <f>"Q"&amp;CEILING(MONTH(EDATE(Data[[#This Row],[Date]],-3)),3)/3</f>
        <v>Q4</v>
      </c>
      <c r="D230" s="4" t="s">
        <v>32</v>
      </c>
      <c r="E230" s="4" t="s">
        <v>33</v>
      </c>
      <c r="F230" s="5">
        <v>11200</v>
      </c>
      <c r="G230" s="5">
        <f>Data[[#This Row],[Amount]]-Data[[#This Row],[Profit]]</f>
        <v>7780</v>
      </c>
      <c r="H230" s="5">
        <v>3420</v>
      </c>
      <c r="I230" s="5" t="s">
        <v>15</v>
      </c>
    </row>
    <row r="231" spans="1:9" ht="12.75" x14ac:dyDescent="0.2">
      <c r="A231" s="3">
        <v>39231</v>
      </c>
      <c r="B231" s="3" t="str">
        <f>IF(MONTH(Data[[#This Row],[Date]])&gt;3,YEAR(Data[[#This Row],[Date]])&amp;"-"&amp;YEAR(Data[[#This Row],[Date]])+1,YEAR(Data[[#This Row],[Date]])-1&amp;"-"&amp;YEAR(Data[[#This Row],[Date]]))</f>
        <v>2007-2008</v>
      </c>
      <c r="C231" s="3" t="str">
        <f>"Q"&amp;CEILING(MONTH(EDATE(Data[[#This Row],[Date]],-3)),3)/3</f>
        <v>Q1</v>
      </c>
      <c r="D231" s="4" t="s">
        <v>6</v>
      </c>
      <c r="E231" s="4" t="s">
        <v>28</v>
      </c>
      <c r="F231" s="5">
        <v>14850</v>
      </c>
      <c r="G231" s="5">
        <f>Data[[#This Row],[Amount]]-Data[[#This Row],[Profit]]</f>
        <v>11290</v>
      </c>
      <c r="H231" s="5">
        <v>3560</v>
      </c>
      <c r="I231" s="5" t="s">
        <v>11</v>
      </c>
    </row>
    <row r="232" spans="1:9" ht="12.75" x14ac:dyDescent="0.2">
      <c r="A232" s="3">
        <v>38907</v>
      </c>
      <c r="B232" s="3" t="str">
        <f>IF(MONTH(Data[[#This Row],[Date]])&gt;3,YEAR(Data[[#This Row],[Date]])&amp;"-"&amp;YEAR(Data[[#This Row],[Date]])+1,YEAR(Data[[#This Row],[Date]])-1&amp;"-"&amp;YEAR(Data[[#This Row],[Date]]))</f>
        <v>2006-2007</v>
      </c>
      <c r="C232" s="3" t="str">
        <f>"Q"&amp;CEILING(MONTH(EDATE(Data[[#This Row],[Date]],-3)),3)/3</f>
        <v>Q2</v>
      </c>
      <c r="D232" s="4" t="s">
        <v>12</v>
      </c>
      <c r="E232" s="4" t="s">
        <v>30</v>
      </c>
      <c r="F232" s="5">
        <v>10850</v>
      </c>
      <c r="G232" s="5">
        <f>Data[[#This Row],[Amount]]-Data[[#This Row],[Profit]]</f>
        <v>8750</v>
      </c>
      <c r="H232" s="5">
        <v>2100</v>
      </c>
      <c r="I232" s="5" t="s">
        <v>15</v>
      </c>
    </row>
    <row r="233" spans="1:9" ht="12.75" x14ac:dyDescent="0.2">
      <c r="A233" s="3">
        <v>39346</v>
      </c>
      <c r="B233" s="3" t="str">
        <f>IF(MONTH(Data[[#This Row],[Date]])&gt;3,YEAR(Data[[#This Row],[Date]])&amp;"-"&amp;YEAR(Data[[#This Row],[Date]])+1,YEAR(Data[[#This Row],[Date]])-1&amp;"-"&amp;YEAR(Data[[#This Row],[Date]]))</f>
        <v>2007-2008</v>
      </c>
      <c r="C233" s="3" t="str">
        <f>"Q"&amp;CEILING(MONTH(EDATE(Data[[#This Row],[Date]],-3)),3)/3</f>
        <v>Q2</v>
      </c>
      <c r="D233" s="4" t="s">
        <v>31</v>
      </c>
      <c r="E233" s="4" t="s">
        <v>33</v>
      </c>
      <c r="F233" s="5">
        <v>12400</v>
      </c>
      <c r="G233" s="5">
        <f>Data[[#This Row],[Amount]]-Data[[#This Row],[Profit]]</f>
        <v>9360</v>
      </c>
      <c r="H233" s="5">
        <v>3040</v>
      </c>
      <c r="I233" s="5" t="s">
        <v>15</v>
      </c>
    </row>
    <row r="234" spans="1:9" ht="12.75" x14ac:dyDescent="0.2">
      <c r="A234" s="3">
        <v>39638</v>
      </c>
      <c r="B234" s="3" t="str">
        <f>IF(MONTH(Data[[#This Row],[Date]])&gt;3,YEAR(Data[[#This Row],[Date]])&amp;"-"&amp;YEAR(Data[[#This Row],[Date]])+1,YEAR(Data[[#This Row],[Date]])-1&amp;"-"&amp;YEAR(Data[[#This Row],[Date]]))</f>
        <v>2008-2009</v>
      </c>
      <c r="C234" s="3" t="str">
        <f>"Q"&amp;CEILING(MONTH(EDATE(Data[[#This Row],[Date]],-3)),3)/3</f>
        <v>Q2</v>
      </c>
      <c r="D234" s="4" t="s">
        <v>6</v>
      </c>
      <c r="E234" s="4" t="s">
        <v>10</v>
      </c>
      <c r="F234" s="5">
        <v>13350</v>
      </c>
      <c r="G234" s="5">
        <f>Data[[#This Row],[Amount]]-Data[[#This Row],[Profit]]</f>
        <v>8610</v>
      </c>
      <c r="H234" s="5">
        <v>4740</v>
      </c>
      <c r="I234" s="5" t="s">
        <v>22</v>
      </c>
    </row>
    <row r="235" spans="1:9" ht="12.75" x14ac:dyDescent="0.2">
      <c r="A235" s="3">
        <v>39376</v>
      </c>
      <c r="B235" s="3" t="str">
        <f>IF(MONTH(Data[[#This Row],[Date]])&gt;3,YEAR(Data[[#This Row],[Date]])&amp;"-"&amp;YEAR(Data[[#This Row],[Date]])+1,YEAR(Data[[#This Row],[Date]])-1&amp;"-"&amp;YEAR(Data[[#This Row],[Date]]))</f>
        <v>2007-2008</v>
      </c>
      <c r="C235" s="3" t="str">
        <f>"Q"&amp;CEILING(MONTH(EDATE(Data[[#This Row],[Date]],-3)),3)/3</f>
        <v>Q3</v>
      </c>
      <c r="D235" s="4" t="s">
        <v>16</v>
      </c>
      <c r="E235" s="4" t="s">
        <v>13</v>
      </c>
      <c r="F235" s="5">
        <v>10950</v>
      </c>
      <c r="G235" s="5">
        <f>Data[[#This Row],[Amount]]-Data[[#This Row],[Profit]]</f>
        <v>7350</v>
      </c>
      <c r="H235" s="5">
        <v>3600</v>
      </c>
      <c r="I235" s="5" t="s">
        <v>11</v>
      </c>
    </row>
    <row r="236" spans="1:9" ht="12.75" x14ac:dyDescent="0.2">
      <c r="A236" s="3">
        <v>39050</v>
      </c>
      <c r="B236" s="3" t="str">
        <f>IF(MONTH(Data[[#This Row],[Date]])&gt;3,YEAR(Data[[#This Row],[Date]])&amp;"-"&amp;YEAR(Data[[#This Row],[Date]])+1,YEAR(Data[[#This Row],[Date]])-1&amp;"-"&amp;YEAR(Data[[#This Row],[Date]]))</f>
        <v>2006-2007</v>
      </c>
      <c r="C236" s="3" t="str">
        <f>"Q"&amp;CEILING(MONTH(EDATE(Data[[#This Row],[Date]],-3)),3)/3</f>
        <v>Q3</v>
      </c>
      <c r="D236" s="4" t="s">
        <v>27</v>
      </c>
      <c r="E236" s="4" t="s">
        <v>33</v>
      </c>
      <c r="F236" s="5">
        <v>10100</v>
      </c>
      <c r="G236" s="5">
        <f>Data[[#This Row],[Amount]]-Data[[#This Row],[Profit]]</f>
        <v>7420</v>
      </c>
      <c r="H236" s="5">
        <v>2680</v>
      </c>
      <c r="I236" s="5" t="s">
        <v>22</v>
      </c>
    </row>
    <row r="237" spans="1:9" ht="12.75" x14ac:dyDescent="0.2">
      <c r="A237" s="3">
        <v>38764</v>
      </c>
      <c r="B237" s="3" t="str">
        <f>IF(MONTH(Data[[#This Row],[Date]])&gt;3,YEAR(Data[[#This Row],[Date]])&amp;"-"&amp;YEAR(Data[[#This Row],[Date]])+1,YEAR(Data[[#This Row],[Date]])-1&amp;"-"&amp;YEAR(Data[[#This Row],[Date]]))</f>
        <v>2005-2006</v>
      </c>
      <c r="C237" s="3" t="str">
        <f>"Q"&amp;CEILING(MONTH(EDATE(Data[[#This Row],[Date]],-3)),3)/3</f>
        <v>Q4</v>
      </c>
      <c r="D237" s="4" t="s">
        <v>20</v>
      </c>
      <c r="E237" s="4" t="s">
        <v>13</v>
      </c>
      <c r="F237" s="5">
        <v>11400</v>
      </c>
      <c r="G237" s="5">
        <f>Data[[#This Row],[Amount]]-Data[[#This Row],[Profit]]</f>
        <v>8460</v>
      </c>
      <c r="H237" s="5">
        <v>2940</v>
      </c>
      <c r="I237" s="5" t="s">
        <v>8</v>
      </c>
    </row>
    <row r="238" spans="1:9" ht="12.75" x14ac:dyDescent="0.2">
      <c r="A238" s="3">
        <v>38363</v>
      </c>
      <c r="B238" s="3" t="str">
        <f>IF(MONTH(Data[[#This Row],[Date]])&gt;3,YEAR(Data[[#This Row],[Date]])&amp;"-"&amp;YEAR(Data[[#This Row],[Date]])+1,YEAR(Data[[#This Row],[Date]])-1&amp;"-"&amp;YEAR(Data[[#This Row],[Date]]))</f>
        <v>2004-2005</v>
      </c>
      <c r="C238" s="3" t="str">
        <f>"Q"&amp;CEILING(MONTH(EDATE(Data[[#This Row],[Date]],-3)),3)/3</f>
        <v>Q4</v>
      </c>
      <c r="D238" s="4" t="s">
        <v>25</v>
      </c>
      <c r="E238" s="4" t="s">
        <v>10</v>
      </c>
      <c r="F238" s="5">
        <v>12400</v>
      </c>
      <c r="G238" s="5">
        <f>Data[[#This Row],[Amount]]-Data[[#This Row],[Profit]]</f>
        <v>9880</v>
      </c>
      <c r="H238" s="5">
        <v>2520</v>
      </c>
      <c r="I238" s="5" t="s">
        <v>15</v>
      </c>
    </row>
    <row r="239" spans="1:9" ht="12.75" x14ac:dyDescent="0.2">
      <c r="A239" s="3">
        <v>39080</v>
      </c>
      <c r="B239" s="3" t="str">
        <f>IF(MONTH(Data[[#This Row],[Date]])&gt;3,YEAR(Data[[#This Row],[Date]])&amp;"-"&amp;YEAR(Data[[#This Row],[Date]])+1,YEAR(Data[[#This Row],[Date]])-1&amp;"-"&amp;YEAR(Data[[#This Row],[Date]]))</f>
        <v>2006-2007</v>
      </c>
      <c r="C239" s="3" t="str">
        <f>"Q"&amp;CEILING(MONTH(EDATE(Data[[#This Row],[Date]],-3)),3)/3</f>
        <v>Q3</v>
      </c>
      <c r="D239" s="4" t="s">
        <v>27</v>
      </c>
      <c r="E239" s="4" t="s">
        <v>29</v>
      </c>
      <c r="F239" s="5">
        <v>10150</v>
      </c>
      <c r="G239" s="5">
        <f>Data[[#This Row],[Amount]]-Data[[#This Row],[Profit]]</f>
        <v>6130</v>
      </c>
      <c r="H239" s="5">
        <v>4020</v>
      </c>
      <c r="I239" s="5" t="s">
        <v>11</v>
      </c>
    </row>
    <row r="240" spans="1:9" ht="12.75" x14ac:dyDescent="0.2">
      <c r="A240" s="3">
        <v>38838</v>
      </c>
      <c r="B240" s="3" t="str">
        <f>IF(MONTH(Data[[#This Row],[Date]])&gt;3,YEAR(Data[[#This Row],[Date]])&amp;"-"&amp;YEAR(Data[[#This Row],[Date]])+1,YEAR(Data[[#This Row],[Date]])-1&amp;"-"&amp;YEAR(Data[[#This Row],[Date]]))</f>
        <v>2006-2007</v>
      </c>
      <c r="C240" s="3" t="str">
        <f>"Q"&amp;CEILING(MONTH(EDATE(Data[[#This Row],[Date]],-3)),3)/3</f>
        <v>Q1</v>
      </c>
      <c r="D240" s="4" t="s">
        <v>25</v>
      </c>
      <c r="E240" s="4" t="s">
        <v>33</v>
      </c>
      <c r="F240" s="5">
        <v>11050</v>
      </c>
      <c r="G240" s="5">
        <f>Data[[#This Row],[Amount]]-Data[[#This Row],[Profit]]</f>
        <v>8690</v>
      </c>
      <c r="H240" s="5">
        <v>2360</v>
      </c>
      <c r="I240" s="5" t="s">
        <v>22</v>
      </c>
    </row>
    <row r="241" spans="1:9" ht="12.75" x14ac:dyDescent="0.2">
      <c r="A241" s="3">
        <v>39249</v>
      </c>
      <c r="B241" s="3" t="str">
        <f>IF(MONTH(Data[[#This Row],[Date]])&gt;3,YEAR(Data[[#This Row],[Date]])&amp;"-"&amp;YEAR(Data[[#This Row],[Date]])+1,YEAR(Data[[#This Row],[Date]])-1&amp;"-"&amp;YEAR(Data[[#This Row],[Date]]))</f>
        <v>2007-2008</v>
      </c>
      <c r="C241" s="3" t="str">
        <f>"Q"&amp;CEILING(MONTH(EDATE(Data[[#This Row],[Date]],-3)),3)/3</f>
        <v>Q1</v>
      </c>
      <c r="D241" s="4" t="s">
        <v>20</v>
      </c>
      <c r="E241" s="4" t="s">
        <v>19</v>
      </c>
      <c r="F241" s="5">
        <v>14200</v>
      </c>
      <c r="G241" s="5">
        <f>Data[[#This Row],[Amount]]-Data[[#This Row],[Profit]]</f>
        <v>8480</v>
      </c>
      <c r="H241" s="5">
        <v>5720</v>
      </c>
      <c r="I241" s="5" t="s">
        <v>15</v>
      </c>
    </row>
    <row r="242" spans="1:9" ht="12.75" x14ac:dyDescent="0.2">
      <c r="A242" s="3">
        <v>38632</v>
      </c>
      <c r="B242" s="3" t="str">
        <f>IF(MONTH(Data[[#This Row],[Date]])&gt;3,YEAR(Data[[#This Row],[Date]])&amp;"-"&amp;YEAR(Data[[#This Row],[Date]])+1,YEAR(Data[[#This Row],[Date]])-1&amp;"-"&amp;YEAR(Data[[#This Row],[Date]]))</f>
        <v>2005-2006</v>
      </c>
      <c r="C242" s="3" t="str">
        <f>"Q"&amp;CEILING(MONTH(EDATE(Data[[#This Row],[Date]],-3)),3)/3</f>
        <v>Q3</v>
      </c>
      <c r="D242" s="4" t="s">
        <v>32</v>
      </c>
      <c r="E242" s="4" t="s">
        <v>29</v>
      </c>
      <c r="F242" s="5">
        <v>11750</v>
      </c>
      <c r="G242" s="5">
        <f>Data[[#This Row],[Amount]]-Data[[#This Row],[Profit]]</f>
        <v>9710</v>
      </c>
      <c r="H242" s="5">
        <v>2040</v>
      </c>
      <c r="I242" s="5" t="s">
        <v>15</v>
      </c>
    </row>
    <row r="243" spans="1:9" ht="12.75" x14ac:dyDescent="0.2">
      <c r="A243" s="3">
        <v>38673</v>
      </c>
      <c r="B243" s="3" t="str">
        <f>IF(MONTH(Data[[#This Row],[Date]])&gt;3,YEAR(Data[[#This Row],[Date]])&amp;"-"&amp;YEAR(Data[[#This Row],[Date]])+1,YEAR(Data[[#This Row],[Date]])-1&amp;"-"&amp;YEAR(Data[[#This Row],[Date]]))</f>
        <v>2005-2006</v>
      </c>
      <c r="C243" s="3" t="str">
        <f>"Q"&amp;CEILING(MONTH(EDATE(Data[[#This Row],[Date]],-3)),3)/3</f>
        <v>Q3</v>
      </c>
      <c r="D243" s="4" t="s">
        <v>18</v>
      </c>
      <c r="E243" s="4" t="s">
        <v>30</v>
      </c>
      <c r="F243" s="5">
        <v>13150</v>
      </c>
      <c r="G243" s="5">
        <f>Data[[#This Row],[Amount]]-Data[[#This Row],[Profit]]</f>
        <v>8750</v>
      </c>
      <c r="H243" s="5">
        <v>4400</v>
      </c>
      <c r="I243" s="5" t="s">
        <v>8</v>
      </c>
    </row>
    <row r="244" spans="1:9" ht="12.75" x14ac:dyDescent="0.2">
      <c r="A244" s="3">
        <v>39273</v>
      </c>
      <c r="B244" s="3" t="str">
        <f>IF(MONTH(Data[[#This Row],[Date]])&gt;3,YEAR(Data[[#This Row],[Date]])&amp;"-"&amp;YEAR(Data[[#This Row],[Date]])+1,YEAR(Data[[#This Row],[Date]])-1&amp;"-"&amp;YEAR(Data[[#This Row],[Date]]))</f>
        <v>2007-2008</v>
      </c>
      <c r="C244" s="3" t="str">
        <f>"Q"&amp;CEILING(MONTH(EDATE(Data[[#This Row],[Date]],-3)),3)/3</f>
        <v>Q2</v>
      </c>
      <c r="D244" s="4" t="s">
        <v>12</v>
      </c>
      <c r="E244" s="4" t="s">
        <v>24</v>
      </c>
      <c r="F244" s="5">
        <v>14000</v>
      </c>
      <c r="G244" s="5">
        <f>Data[[#This Row],[Amount]]-Data[[#This Row],[Profit]]</f>
        <v>10060</v>
      </c>
      <c r="H244" s="5">
        <v>3940</v>
      </c>
      <c r="I244" s="5" t="s">
        <v>8</v>
      </c>
    </row>
    <row r="245" spans="1:9" ht="12.75" x14ac:dyDescent="0.2">
      <c r="A245" s="3">
        <v>39531</v>
      </c>
      <c r="B245" s="3" t="str">
        <f>IF(MONTH(Data[[#This Row],[Date]])&gt;3,YEAR(Data[[#This Row],[Date]])&amp;"-"&amp;YEAR(Data[[#This Row],[Date]])+1,YEAR(Data[[#This Row],[Date]])-1&amp;"-"&amp;YEAR(Data[[#This Row],[Date]]))</f>
        <v>2007-2008</v>
      </c>
      <c r="C245" s="3" t="str">
        <f>"Q"&amp;CEILING(MONTH(EDATE(Data[[#This Row],[Date]],-3)),3)/3</f>
        <v>Q4</v>
      </c>
      <c r="D245" s="4" t="s">
        <v>18</v>
      </c>
      <c r="E245" s="4" t="s">
        <v>21</v>
      </c>
      <c r="F245" s="5">
        <v>11550</v>
      </c>
      <c r="G245" s="5">
        <f>Data[[#This Row],[Amount]]-Data[[#This Row],[Profit]]</f>
        <v>8830</v>
      </c>
      <c r="H245" s="5">
        <v>2720</v>
      </c>
      <c r="I245" s="5" t="s">
        <v>22</v>
      </c>
    </row>
    <row r="246" spans="1:9" ht="12.75" x14ac:dyDescent="0.2">
      <c r="A246" s="3">
        <v>39157</v>
      </c>
      <c r="B246" s="3" t="str">
        <f>IF(MONTH(Data[[#This Row],[Date]])&gt;3,YEAR(Data[[#This Row],[Date]])&amp;"-"&amp;YEAR(Data[[#This Row],[Date]])+1,YEAR(Data[[#This Row],[Date]])-1&amp;"-"&amp;YEAR(Data[[#This Row],[Date]]))</f>
        <v>2006-2007</v>
      </c>
      <c r="C246" s="3" t="str">
        <f>"Q"&amp;CEILING(MONTH(EDATE(Data[[#This Row],[Date]],-3)),3)/3</f>
        <v>Q4</v>
      </c>
      <c r="D246" s="4" t="s">
        <v>16</v>
      </c>
      <c r="E246" s="4" t="s">
        <v>24</v>
      </c>
      <c r="F246" s="5">
        <v>14700</v>
      </c>
      <c r="G246" s="5">
        <f>Data[[#This Row],[Amount]]-Data[[#This Row],[Profit]]</f>
        <v>9940</v>
      </c>
      <c r="H246" s="5">
        <v>4760</v>
      </c>
      <c r="I246" s="5" t="s">
        <v>11</v>
      </c>
    </row>
    <row r="247" spans="1:9" ht="12.75" x14ac:dyDescent="0.2">
      <c r="A247" s="3">
        <v>38735</v>
      </c>
      <c r="B247" s="3" t="str">
        <f>IF(MONTH(Data[[#This Row],[Date]])&gt;3,YEAR(Data[[#This Row],[Date]])&amp;"-"&amp;YEAR(Data[[#This Row],[Date]])+1,YEAR(Data[[#This Row],[Date]])-1&amp;"-"&amp;YEAR(Data[[#This Row],[Date]]))</f>
        <v>2005-2006</v>
      </c>
      <c r="C247" s="3" t="str">
        <f>"Q"&amp;CEILING(MONTH(EDATE(Data[[#This Row],[Date]],-3)),3)/3</f>
        <v>Q4</v>
      </c>
      <c r="D247" s="4" t="s">
        <v>27</v>
      </c>
      <c r="E247" s="4" t="s">
        <v>26</v>
      </c>
      <c r="F247" s="5">
        <v>10150</v>
      </c>
      <c r="G247" s="5">
        <f>Data[[#This Row],[Amount]]-Data[[#This Row],[Profit]]</f>
        <v>7750</v>
      </c>
      <c r="H247" s="5">
        <v>2400</v>
      </c>
      <c r="I247" s="5" t="s">
        <v>11</v>
      </c>
    </row>
    <row r="248" spans="1:9" ht="12.75" x14ac:dyDescent="0.2">
      <c r="A248" s="3">
        <v>39592</v>
      </c>
      <c r="B248" s="3" t="str">
        <f>IF(MONTH(Data[[#This Row],[Date]])&gt;3,YEAR(Data[[#This Row],[Date]])&amp;"-"&amp;YEAR(Data[[#This Row],[Date]])+1,YEAR(Data[[#This Row],[Date]])-1&amp;"-"&amp;YEAR(Data[[#This Row],[Date]]))</f>
        <v>2008-2009</v>
      </c>
      <c r="C248" s="3" t="str">
        <f>"Q"&amp;CEILING(MONTH(EDATE(Data[[#This Row],[Date]],-3)),3)/3</f>
        <v>Q1</v>
      </c>
      <c r="D248" s="4" t="s">
        <v>12</v>
      </c>
      <c r="E248" s="4" t="s">
        <v>10</v>
      </c>
      <c r="F248" s="5">
        <v>13100</v>
      </c>
      <c r="G248" s="5">
        <f>Data[[#This Row],[Amount]]-Data[[#This Row],[Profit]]</f>
        <v>9900</v>
      </c>
      <c r="H248" s="5">
        <v>3200</v>
      </c>
      <c r="I248" s="5" t="s">
        <v>22</v>
      </c>
    </row>
    <row r="249" spans="1:9" ht="12.75" x14ac:dyDescent="0.2">
      <c r="A249" s="3">
        <v>39591</v>
      </c>
      <c r="B249" s="3" t="str">
        <f>IF(MONTH(Data[[#This Row],[Date]])&gt;3,YEAR(Data[[#This Row],[Date]])&amp;"-"&amp;YEAR(Data[[#This Row],[Date]])+1,YEAR(Data[[#This Row],[Date]])-1&amp;"-"&amp;YEAR(Data[[#This Row],[Date]]))</f>
        <v>2008-2009</v>
      </c>
      <c r="C249" s="3" t="str">
        <f>"Q"&amp;CEILING(MONTH(EDATE(Data[[#This Row],[Date]],-3)),3)/3</f>
        <v>Q1</v>
      </c>
      <c r="D249" s="4" t="s">
        <v>16</v>
      </c>
      <c r="E249" s="4" t="s">
        <v>30</v>
      </c>
      <c r="F249" s="5">
        <v>10850</v>
      </c>
      <c r="G249" s="5">
        <f>Data[[#This Row],[Amount]]-Data[[#This Row],[Profit]]</f>
        <v>5630</v>
      </c>
      <c r="H249" s="5">
        <v>5220</v>
      </c>
      <c r="I249" s="5" t="s">
        <v>11</v>
      </c>
    </row>
    <row r="250" spans="1:9" ht="12.75" x14ac:dyDescent="0.2">
      <c r="A250" s="3">
        <v>39725</v>
      </c>
      <c r="B250" s="3" t="str">
        <f>IF(MONTH(Data[[#This Row],[Date]])&gt;3,YEAR(Data[[#This Row],[Date]])&amp;"-"&amp;YEAR(Data[[#This Row],[Date]])+1,YEAR(Data[[#This Row],[Date]])-1&amp;"-"&amp;YEAR(Data[[#This Row],[Date]]))</f>
        <v>2008-2009</v>
      </c>
      <c r="C250" s="3" t="str">
        <f>"Q"&amp;CEILING(MONTH(EDATE(Data[[#This Row],[Date]],-3)),3)/3</f>
        <v>Q3</v>
      </c>
      <c r="D250" s="4" t="s">
        <v>20</v>
      </c>
      <c r="E250" s="4" t="s">
        <v>30</v>
      </c>
      <c r="F250" s="5">
        <v>11150</v>
      </c>
      <c r="G250" s="5">
        <f>Data[[#This Row],[Amount]]-Data[[#This Row],[Profit]]</f>
        <v>6090</v>
      </c>
      <c r="H250" s="5">
        <v>5060</v>
      </c>
      <c r="I250" s="5" t="s">
        <v>11</v>
      </c>
    </row>
    <row r="251" spans="1:9" ht="12.75" x14ac:dyDescent="0.2">
      <c r="A251" s="3">
        <v>39775</v>
      </c>
      <c r="B251" s="3" t="str">
        <f>IF(MONTH(Data[[#This Row],[Date]])&gt;3,YEAR(Data[[#This Row],[Date]])&amp;"-"&amp;YEAR(Data[[#This Row],[Date]])+1,YEAR(Data[[#This Row],[Date]])-1&amp;"-"&amp;YEAR(Data[[#This Row],[Date]]))</f>
        <v>2008-2009</v>
      </c>
      <c r="C251" s="3" t="str">
        <f>"Q"&amp;CEILING(MONTH(EDATE(Data[[#This Row],[Date]],-3)),3)/3</f>
        <v>Q3</v>
      </c>
      <c r="D251" s="4" t="s">
        <v>31</v>
      </c>
      <c r="E251" s="4" t="s">
        <v>30</v>
      </c>
      <c r="F251" s="5">
        <v>12150</v>
      </c>
      <c r="G251" s="5">
        <f>Data[[#This Row],[Amount]]-Data[[#This Row],[Profit]]</f>
        <v>9950</v>
      </c>
      <c r="H251" s="5">
        <v>2200</v>
      </c>
      <c r="I251" s="5" t="s">
        <v>8</v>
      </c>
    </row>
    <row r="252" spans="1:9" ht="12.75" x14ac:dyDescent="0.2">
      <c r="A252" s="3">
        <v>39500</v>
      </c>
      <c r="B252" s="3" t="str">
        <f>IF(MONTH(Data[[#This Row],[Date]])&gt;3,YEAR(Data[[#This Row],[Date]])&amp;"-"&amp;YEAR(Data[[#This Row],[Date]])+1,YEAR(Data[[#This Row],[Date]])-1&amp;"-"&amp;YEAR(Data[[#This Row],[Date]]))</f>
        <v>2007-2008</v>
      </c>
      <c r="C252" s="3" t="str">
        <f>"Q"&amp;CEILING(MONTH(EDATE(Data[[#This Row],[Date]],-3)),3)/3</f>
        <v>Q4</v>
      </c>
      <c r="D252" s="4" t="s">
        <v>16</v>
      </c>
      <c r="E252" s="4" t="s">
        <v>33</v>
      </c>
      <c r="F252" s="5">
        <v>13600</v>
      </c>
      <c r="G252" s="5">
        <f>Data[[#This Row],[Amount]]-Data[[#This Row],[Profit]]</f>
        <v>11540</v>
      </c>
      <c r="H252" s="5">
        <v>2060</v>
      </c>
      <c r="I252" s="5" t="s">
        <v>8</v>
      </c>
    </row>
    <row r="253" spans="1:9" ht="12.75" x14ac:dyDescent="0.2">
      <c r="A253" s="3">
        <v>38612</v>
      </c>
      <c r="B253" s="3" t="str">
        <f>IF(MONTH(Data[[#This Row],[Date]])&gt;3,YEAR(Data[[#This Row],[Date]])&amp;"-"&amp;YEAR(Data[[#This Row],[Date]])+1,YEAR(Data[[#This Row],[Date]])-1&amp;"-"&amp;YEAR(Data[[#This Row],[Date]]))</f>
        <v>2005-2006</v>
      </c>
      <c r="C253" s="3" t="str">
        <f>"Q"&amp;CEILING(MONTH(EDATE(Data[[#This Row],[Date]],-3)),3)/3</f>
        <v>Q2</v>
      </c>
      <c r="D253" s="4" t="s">
        <v>31</v>
      </c>
      <c r="E253" s="4" t="s">
        <v>33</v>
      </c>
      <c r="F253" s="5">
        <v>14300</v>
      </c>
      <c r="G253" s="5">
        <f>Data[[#This Row],[Amount]]-Data[[#This Row],[Profit]]</f>
        <v>11080</v>
      </c>
      <c r="H253" s="5">
        <v>3220</v>
      </c>
      <c r="I253" s="5" t="s">
        <v>8</v>
      </c>
    </row>
    <row r="254" spans="1:9" ht="12.75" x14ac:dyDescent="0.2">
      <c r="A254" s="3">
        <v>39148</v>
      </c>
      <c r="B254" s="3" t="str">
        <f>IF(MONTH(Data[[#This Row],[Date]])&gt;3,YEAR(Data[[#This Row],[Date]])&amp;"-"&amp;YEAR(Data[[#This Row],[Date]])+1,YEAR(Data[[#This Row],[Date]])-1&amp;"-"&amp;YEAR(Data[[#This Row],[Date]]))</f>
        <v>2006-2007</v>
      </c>
      <c r="C254" s="3" t="str">
        <f>"Q"&amp;CEILING(MONTH(EDATE(Data[[#This Row],[Date]],-3)),3)/3</f>
        <v>Q4</v>
      </c>
      <c r="D254" s="4" t="s">
        <v>20</v>
      </c>
      <c r="E254" s="4" t="s">
        <v>29</v>
      </c>
      <c r="F254" s="5">
        <v>14800</v>
      </c>
      <c r="G254" s="5">
        <f>Data[[#This Row],[Amount]]-Data[[#This Row],[Profit]]</f>
        <v>11980</v>
      </c>
      <c r="H254" s="5">
        <v>2820</v>
      </c>
      <c r="I254" s="5" t="s">
        <v>22</v>
      </c>
    </row>
    <row r="255" spans="1:9" ht="12.75" x14ac:dyDescent="0.2">
      <c r="A255" s="3">
        <v>39022</v>
      </c>
      <c r="B255" s="3" t="str">
        <f>IF(MONTH(Data[[#This Row],[Date]])&gt;3,YEAR(Data[[#This Row],[Date]])&amp;"-"&amp;YEAR(Data[[#This Row],[Date]])+1,YEAR(Data[[#This Row],[Date]])-1&amp;"-"&amp;YEAR(Data[[#This Row],[Date]]))</f>
        <v>2006-2007</v>
      </c>
      <c r="C255" s="3" t="str">
        <f>"Q"&amp;CEILING(MONTH(EDATE(Data[[#This Row],[Date]],-3)),3)/3</f>
        <v>Q3</v>
      </c>
      <c r="D255" s="4" t="s">
        <v>14</v>
      </c>
      <c r="E255" s="4" t="s">
        <v>24</v>
      </c>
      <c r="F255" s="5">
        <v>14750</v>
      </c>
      <c r="G255" s="5">
        <f>Data[[#This Row],[Amount]]-Data[[#This Row],[Profit]]</f>
        <v>11130</v>
      </c>
      <c r="H255" s="5">
        <v>3620</v>
      </c>
      <c r="I255" s="5" t="s">
        <v>15</v>
      </c>
    </row>
    <row r="256" spans="1:9" ht="12.75" x14ac:dyDescent="0.2">
      <c r="A256" s="3">
        <v>39224</v>
      </c>
      <c r="B256" s="3" t="str">
        <f>IF(MONTH(Data[[#This Row],[Date]])&gt;3,YEAR(Data[[#This Row],[Date]])&amp;"-"&amp;YEAR(Data[[#This Row],[Date]])+1,YEAR(Data[[#This Row],[Date]])-1&amp;"-"&amp;YEAR(Data[[#This Row],[Date]]))</f>
        <v>2007-2008</v>
      </c>
      <c r="C256" s="3" t="str">
        <f>"Q"&amp;CEILING(MONTH(EDATE(Data[[#This Row],[Date]],-3)),3)/3</f>
        <v>Q1</v>
      </c>
      <c r="D256" s="4" t="s">
        <v>25</v>
      </c>
      <c r="E256" s="4" t="s">
        <v>29</v>
      </c>
      <c r="F256" s="5">
        <v>12550</v>
      </c>
      <c r="G256" s="5">
        <f>Data[[#This Row],[Amount]]-Data[[#This Row],[Profit]]</f>
        <v>8450</v>
      </c>
      <c r="H256" s="5">
        <v>4100</v>
      </c>
      <c r="I256" s="5" t="s">
        <v>8</v>
      </c>
    </row>
    <row r="257" spans="1:9" ht="12.75" x14ac:dyDescent="0.2">
      <c r="A257" s="3">
        <v>39117</v>
      </c>
      <c r="B257" s="3" t="str">
        <f>IF(MONTH(Data[[#This Row],[Date]])&gt;3,YEAR(Data[[#This Row],[Date]])&amp;"-"&amp;YEAR(Data[[#This Row],[Date]])+1,YEAR(Data[[#This Row],[Date]])-1&amp;"-"&amp;YEAR(Data[[#This Row],[Date]]))</f>
        <v>2006-2007</v>
      </c>
      <c r="C257" s="3" t="str">
        <f>"Q"&amp;CEILING(MONTH(EDATE(Data[[#This Row],[Date]],-3)),3)/3</f>
        <v>Q4</v>
      </c>
      <c r="D257" s="4" t="s">
        <v>12</v>
      </c>
      <c r="E257" s="4" t="s">
        <v>28</v>
      </c>
      <c r="F257" s="5">
        <v>12300</v>
      </c>
      <c r="G257" s="5">
        <f>Data[[#This Row],[Amount]]-Data[[#This Row],[Profit]]</f>
        <v>9740</v>
      </c>
      <c r="H257" s="5">
        <v>2560</v>
      </c>
      <c r="I257" s="5" t="s">
        <v>11</v>
      </c>
    </row>
    <row r="258" spans="1:9" ht="12.75" x14ac:dyDescent="0.2">
      <c r="A258" s="3">
        <v>38461</v>
      </c>
      <c r="B258" s="3" t="str">
        <f>IF(MONTH(Data[[#This Row],[Date]])&gt;3,YEAR(Data[[#This Row],[Date]])&amp;"-"&amp;YEAR(Data[[#This Row],[Date]])+1,YEAR(Data[[#This Row],[Date]])-1&amp;"-"&amp;YEAR(Data[[#This Row],[Date]]))</f>
        <v>2005-2006</v>
      </c>
      <c r="C258" s="3" t="str">
        <f>"Q"&amp;CEILING(MONTH(EDATE(Data[[#This Row],[Date]],-3)),3)/3</f>
        <v>Q1</v>
      </c>
      <c r="D258" s="4" t="s">
        <v>25</v>
      </c>
      <c r="E258" s="4" t="s">
        <v>28</v>
      </c>
      <c r="F258" s="5">
        <v>11150</v>
      </c>
      <c r="G258" s="5">
        <f>Data[[#This Row],[Amount]]-Data[[#This Row],[Profit]]</f>
        <v>5830</v>
      </c>
      <c r="H258" s="5">
        <v>5320</v>
      </c>
      <c r="I258" s="5" t="s">
        <v>22</v>
      </c>
    </row>
    <row r="259" spans="1:9" ht="12.75" x14ac:dyDescent="0.2">
      <c r="A259" s="3">
        <v>39460</v>
      </c>
      <c r="B259" s="3" t="str">
        <f>IF(MONTH(Data[[#This Row],[Date]])&gt;3,YEAR(Data[[#This Row],[Date]])&amp;"-"&amp;YEAR(Data[[#This Row],[Date]])+1,YEAR(Data[[#This Row],[Date]])-1&amp;"-"&amp;YEAR(Data[[#This Row],[Date]]))</f>
        <v>2007-2008</v>
      </c>
      <c r="C259" s="3" t="str">
        <f>"Q"&amp;CEILING(MONTH(EDATE(Data[[#This Row],[Date]],-3)),3)/3</f>
        <v>Q4</v>
      </c>
      <c r="D259" s="4" t="s">
        <v>16</v>
      </c>
      <c r="E259" s="4" t="s">
        <v>13</v>
      </c>
      <c r="F259" s="5">
        <v>11650</v>
      </c>
      <c r="G259" s="5">
        <f>Data[[#This Row],[Amount]]-Data[[#This Row],[Profit]]</f>
        <v>8410</v>
      </c>
      <c r="H259" s="5">
        <v>3240</v>
      </c>
      <c r="I259" s="5" t="s">
        <v>22</v>
      </c>
    </row>
    <row r="260" spans="1:9" ht="12.75" x14ac:dyDescent="0.2">
      <c r="A260" s="3">
        <v>39734</v>
      </c>
      <c r="B260" s="3" t="str">
        <f>IF(MONTH(Data[[#This Row],[Date]])&gt;3,YEAR(Data[[#This Row],[Date]])&amp;"-"&amp;YEAR(Data[[#This Row],[Date]])+1,YEAR(Data[[#This Row],[Date]])-1&amp;"-"&amp;YEAR(Data[[#This Row],[Date]]))</f>
        <v>2008-2009</v>
      </c>
      <c r="C260" s="3" t="str">
        <f>"Q"&amp;CEILING(MONTH(EDATE(Data[[#This Row],[Date]],-3)),3)/3</f>
        <v>Q3</v>
      </c>
      <c r="D260" s="4" t="s">
        <v>31</v>
      </c>
      <c r="E260" s="4" t="s">
        <v>19</v>
      </c>
      <c r="F260" s="5">
        <v>14500</v>
      </c>
      <c r="G260" s="5">
        <f>Data[[#This Row],[Amount]]-Data[[#This Row],[Profit]]</f>
        <v>9800</v>
      </c>
      <c r="H260" s="5">
        <v>4700</v>
      </c>
      <c r="I260" s="5" t="s">
        <v>15</v>
      </c>
    </row>
    <row r="261" spans="1:9" ht="12.75" x14ac:dyDescent="0.2">
      <c r="A261" s="3">
        <v>39348</v>
      </c>
      <c r="B261" s="3" t="str">
        <f>IF(MONTH(Data[[#This Row],[Date]])&gt;3,YEAR(Data[[#This Row],[Date]])&amp;"-"&amp;YEAR(Data[[#This Row],[Date]])+1,YEAR(Data[[#This Row],[Date]])-1&amp;"-"&amp;YEAR(Data[[#This Row],[Date]]))</f>
        <v>2007-2008</v>
      </c>
      <c r="C261" s="3" t="str">
        <f>"Q"&amp;CEILING(MONTH(EDATE(Data[[#This Row],[Date]],-3)),3)/3</f>
        <v>Q2</v>
      </c>
      <c r="D261" s="4" t="s">
        <v>25</v>
      </c>
      <c r="E261" s="4" t="s">
        <v>29</v>
      </c>
      <c r="F261" s="5">
        <v>14350</v>
      </c>
      <c r="G261" s="5">
        <f>Data[[#This Row],[Amount]]-Data[[#This Row],[Profit]]</f>
        <v>9590</v>
      </c>
      <c r="H261" s="5">
        <v>4760</v>
      </c>
      <c r="I261" s="5" t="s">
        <v>22</v>
      </c>
    </row>
    <row r="262" spans="1:9" ht="12.75" x14ac:dyDescent="0.2">
      <c r="A262" s="3">
        <v>38676</v>
      </c>
      <c r="B262" s="3" t="str">
        <f>IF(MONTH(Data[[#This Row],[Date]])&gt;3,YEAR(Data[[#This Row],[Date]])&amp;"-"&amp;YEAR(Data[[#This Row],[Date]])+1,YEAR(Data[[#This Row],[Date]])-1&amp;"-"&amp;YEAR(Data[[#This Row],[Date]]))</f>
        <v>2005-2006</v>
      </c>
      <c r="C262" s="3" t="str">
        <f>"Q"&amp;CEILING(MONTH(EDATE(Data[[#This Row],[Date]],-3)),3)/3</f>
        <v>Q3</v>
      </c>
      <c r="D262" s="4" t="s">
        <v>14</v>
      </c>
      <c r="E262" s="4" t="s">
        <v>28</v>
      </c>
      <c r="F262" s="5">
        <v>10550</v>
      </c>
      <c r="G262" s="5">
        <f>Data[[#This Row],[Amount]]-Data[[#This Row],[Profit]]</f>
        <v>5130</v>
      </c>
      <c r="H262" s="5">
        <v>5420</v>
      </c>
      <c r="I262" s="5" t="s">
        <v>11</v>
      </c>
    </row>
    <row r="263" spans="1:9" ht="12.75" x14ac:dyDescent="0.2">
      <c r="A263" s="3">
        <v>38679</v>
      </c>
      <c r="B263" s="3" t="str">
        <f>IF(MONTH(Data[[#This Row],[Date]])&gt;3,YEAR(Data[[#This Row],[Date]])&amp;"-"&amp;YEAR(Data[[#This Row],[Date]])+1,YEAR(Data[[#This Row],[Date]])-1&amp;"-"&amp;YEAR(Data[[#This Row],[Date]]))</f>
        <v>2005-2006</v>
      </c>
      <c r="C263" s="3" t="str">
        <f>"Q"&amp;CEILING(MONTH(EDATE(Data[[#This Row],[Date]],-3)),3)/3</f>
        <v>Q3</v>
      </c>
      <c r="D263" s="4" t="s">
        <v>23</v>
      </c>
      <c r="E263" s="4" t="s">
        <v>7</v>
      </c>
      <c r="F263" s="5">
        <v>12050</v>
      </c>
      <c r="G263" s="5">
        <f>Data[[#This Row],[Amount]]-Data[[#This Row],[Profit]]</f>
        <v>7330</v>
      </c>
      <c r="H263" s="5">
        <v>4720</v>
      </c>
      <c r="I263" s="5" t="s">
        <v>15</v>
      </c>
    </row>
    <row r="264" spans="1:9" ht="12.75" x14ac:dyDescent="0.2">
      <c r="A264" s="3">
        <v>38391</v>
      </c>
      <c r="B264" s="3" t="str">
        <f>IF(MONTH(Data[[#This Row],[Date]])&gt;3,YEAR(Data[[#This Row],[Date]])&amp;"-"&amp;YEAR(Data[[#This Row],[Date]])+1,YEAR(Data[[#This Row],[Date]])-1&amp;"-"&amp;YEAR(Data[[#This Row],[Date]]))</f>
        <v>2004-2005</v>
      </c>
      <c r="C264" s="3" t="str">
        <f>"Q"&amp;CEILING(MONTH(EDATE(Data[[#This Row],[Date]],-3)),3)/3</f>
        <v>Q4</v>
      </c>
      <c r="D264" s="4" t="s">
        <v>14</v>
      </c>
      <c r="E264" s="4" t="s">
        <v>19</v>
      </c>
      <c r="F264" s="5">
        <v>12800</v>
      </c>
      <c r="G264" s="5">
        <f>Data[[#This Row],[Amount]]-Data[[#This Row],[Profit]]</f>
        <v>9860</v>
      </c>
      <c r="H264" s="5">
        <v>2940</v>
      </c>
      <c r="I264" s="5" t="s">
        <v>8</v>
      </c>
    </row>
    <row r="265" spans="1:9" ht="12.75" x14ac:dyDescent="0.2">
      <c r="A265" s="3">
        <v>39090</v>
      </c>
      <c r="B265" s="3" t="str">
        <f>IF(MONTH(Data[[#This Row],[Date]])&gt;3,YEAR(Data[[#This Row],[Date]])&amp;"-"&amp;YEAR(Data[[#This Row],[Date]])+1,YEAR(Data[[#This Row],[Date]])-1&amp;"-"&amp;YEAR(Data[[#This Row],[Date]]))</f>
        <v>2006-2007</v>
      </c>
      <c r="C265" s="3" t="str">
        <f>"Q"&amp;CEILING(MONTH(EDATE(Data[[#This Row],[Date]],-3)),3)/3</f>
        <v>Q4</v>
      </c>
      <c r="D265" s="4" t="s">
        <v>20</v>
      </c>
      <c r="E265" s="4" t="s">
        <v>28</v>
      </c>
      <c r="F265" s="5">
        <v>14400</v>
      </c>
      <c r="G265" s="5">
        <f>Data[[#This Row],[Amount]]-Data[[#This Row],[Profit]]</f>
        <v>9060</v>
      </c>
      <c r="H265" s="5">
        <v>5340</v>
      </c>
      <c r="I265" s="5" t="s">
        <v>8</v>
      </c>
    </row>
    <row r="266" spans="1:9" ht="12.75" x14ac:dyDescent="0.2">
      <c r="A266" s="3">
        <v>38722</v>
      </c>
      <c r="B266" s="3" t="str">
        <f>IF(MONTH(Data[[#This Row],[Date]])&gt;3,YEAR(Data[[#This Row],[Date]])&amp;"-"&amp;YEAR(Data[[#This Row],[Date]])+1,YEAR(Data[[#This Row],[Date]])-1&amp;"-"&amp;YEAR(Data[[#This Row],[Date]]))</f>
        <v>2005-2006</v>
      </c>
      <c r="C266" s="3" t="str">
        <f>"Q"&amp;CEILING(MONTH(EDATE(Data[[#This Row],[Date]],-3)),3)/3</f>
        <v>Q4</v>
      </c>
      <c r="D266" s="4" t="s">
        <v>27</v>
      </c>
      <c r="E266" s="4" t="s">
        <v>19</v>
      </c>
      <c r="F266" s="5">
        <v>11850</v>
      </c>
      <c r="G266" s="5">
        <f>Data[[#This Row],[Amount]]-Data[[#This Row],[Profit]]</f>
        <v>7490</v>
      </c>
      <c r="H266" s="5">
        <v>4360</v>
      </c>
      <c r="I266" s="5" t="s">
        <v>11</v>
      </c>
    </row>
    <row r="267" spans="1:9" ht="12.75" x14ac:dyDescent="0.2">
      <c r="A267" s="3">
        <v>38660</v>
      </c>
      <c r="B267" s="3" t="str">
        <f>IF(MONTH(Data[[#This Row],[Date]])&gt;3,YEAR(Data[[#This Row],[Date]])&amp;"-"&amp;YEAR(Data[[#This Row],[Date]])+1,YEAR(Data[[#This Row],[Date]])-1&amp;"-"&amp;YEAR(Data[[#This Row],[Date]]))</f>
        <v>2005-2006</v>
      </c>
      <c r="C267" s="3" t="str">
        <f>"Q"&amp;CEILING(MONTH(EDATE(Data[[#This Row],[Date]],-3)),3)/3</f>
        <v>Q3</v>
      </c>
      <c r="D267" s="4" t="s">
        <v>23</v>
      </c>
      <c r="E267" s="4" t="s">
        <v>13</v>
      </c>
      <c r="F267" s="5">
        <v>12050</v>
      </c>
      <c r="G267" s="5">
        <f>Data[[#This Row],[Amount]]-Data[[#This Row],[Profit]]</f>
        <v>7170</v>
      </c>
      <c r="H267" s="5">
        <v>4880</v>
      </c>
      <c r="I267" s="5" t="s">
        <v>11</v>
      </c>
    </row>
    <row r="268" spans="1:9" ht="12.75" x14ac:dyDescent="0.2">
      <c r="A268" s="3">
        <v>39442</v>
      </c>
      <c r="B268" s="3" t="str">
        <f>IF(MONTH(Data[[#This Row],[Date]])&gt;3,YEAR(Data[[#This Row],[Date]])&amp;"-"&amp;YEAR(Data[[#This Row],[Date]])+1,YEAR(Data[[#This Row],[Date]])-1&amp;"-"&amp;YEAR(Data[[#This Row],[Date]]))</f>
        <v>2007-2008</v>
      </c>
      <c r="C268" s="3" t="str">
        <f>"Q"&amp;CEILING(MONTH(EDATE(Data[[#This Row],[Date]],-3)),3)/3</f>
        <v>Q3</v>
      </c>
      <c r="D268" s="4" t="s">
        <v>27</v>
      </c>
      <c r="E268" s="4" t="s">
        <v>21</v>
      </c>
      <c r="F268" s="5">
        <v>11350</v>
      </c>
      <c r="G268" s="5">
        <f>Data[[#This Row],[Amount]]-Data[[#This Row],[Profit]]</f>
        <v>8750</v>
      </c>
      <c r="H268" s="5">
        <v>2600</v>
      </c>
      <c r="I268" s="5" t="s">
        <v>8</v>
      </c>
    </row>
    <row r="269" spans="1:9" ht="12.75" x14ac:dyDescent="0.2">
      <c r="A269" s="3">
        <v>38965</v>
      </c>
      <c r="B269" s="3" t="str">
        <f>IF(MONTH(Data[[#This Row],[Date]])&gt;3,YEAR(Data[[#This Row],[Date]])&amp;"-"&amp;YEAR(Data[[#This Row],[Date]])+1,YEAR(Data[[#This Row],[Date]])-1&amp;"-"&amp;YEAR(Data[[#This Row],[Date]]))</f>
        <v>2006-2007</v>
      </c>
      <c r="C269" s="3" t="str">
        <f>"Q"&amp;CEILING(MONTH(EDATE(Data[[#This Row],[Date]],-3)),3)/3</f>
        <v>Q2</v>
      </c>
      <c r="D269" s="4" t="s">
        <v>23</v>
      </c>
      <c r="E269" s="4" t="s">
        <v>17</v>
      </c>
      <c r="F269" s="5">
        <v>14650</v>
      </c>
      <c r="G269" s="5">
        <f>Data[[#This Row],[Amount]]-Data[[#This Row],[Profit]]</f>
        <v>10230</v>
      </c>
      <c r="H269" s="5">
        <v>4420</v>
      </c>
      <c r="I269" s="5" t="s">
        <v>11</v>
      </c>
    </row>
    <row r="270" spans="1:9" ht="12.75" x14ac:dyDescent="0.2">
      <c r="A270" s="3">
        <v>39382</v>
      </c>
      <c r="B270" s="3" t="str">
        <f>IF(MONTH(Data[[#This Row],[Date]])&gt;3,YEAR(Data[[#This Row],[Date]])&amp;"-"&amp;YEAR(Data[[#This Row],[Date]])+1,YEAR(Data[[#This Row],[Date]])-1&amp;"-"&amp;YEAR(Data[[#This Row],[Date]]))</f>
        <v>2007-2008</v>
      </c>
      <c r="C270" s="3" t="str">
        <f>"Q"&amp;CEILING(MONTH(EDATE(Data[[#This Row],[Date]],-3)),3)/3</f>
        <v>Q3</v>
      </c>
      <c r="D270" s="4" t="s">
        <v>31</v>
      </c>
      <c r="E270" s="4" t="s">
        <v>26</v>
      </c>
      <c r="F270" s="5">
        <v>12250</v>
      </c>
      <c r="G270" s="5">
        <f>Data[[#This Row],[Amount]]-Data[[#This Row],[Profit]]</f>
        <v>7490</v>
      </c>
      <c r="H270" s="5">
        <v>4760</v>
      </c>
      <c r="I270" s="5" t="s">
        <v>15</v>
      </c>
    </row>
    <row r="271" spans="1:9" ht="12.75" x14ac:dyDescent="0.2">
      <c r="A271" s="3">
        <v>39419</v>
      </c>
      <c r="B271" s="3" t="str">
        <f>IF(MONTH(Data[[#This Row],[Date]])&gt;3,YEAR(Data[[#This Row],[Date]])&amp;"-"&amp;YEAR(Data[[#This Row],[Date]])+1,YEAR(Data[[#This Row],[Date]])-1&amp;"-"&amp;YEAR(Data[[#This Row],[Date]]))</f>
        <v>2007-2008</v>
      </c>
      <c r="C271" s="3" t="str">
        <f>"Q"&amp;CEILING(MONTH(EDATE(Data[[#This Row],[Date]],-3)),3)/3</f>
        <v>Q3</v>
      </c>
      <c r="D271" s="4" t="s">
        <v>9</v>
      </c>
      <c r="E271" s="4" t="s">
        <v>19</v>
      </c>
      <c r="F271" s="5">
        <v>11300</v>
      </c>
      <c r="G271" s="5">
        <f>Data[[#This Row],[Amount]]-Data[[#This Row],[Profit]]</f>
        <v>9280</v>
      </c>
      <c r="H271" s="5">
        <v>2020</v>
      </c>
      <c r="I271" s="5" t="s">
        <v>11</v>
      </c>
    </row>
    <row r="272" spans="1:9" ht="12.75" x14ac:dyDescent="0.2">
      <c r="A272" s="3">
        <v>39202</v>
      </c>
      <c r="B272" s="3" t="str">
        <f>IF(MONTH(Data[[#This Row],[Date]])&gt;3,YEAR(Data[[#This Row],[Date]])&amp;"-"&amp;YEAR(Data[[#This Row],[Date]])+1,YEAR(Data[[#This Row],[Date]])-1&amp;"-"&amp;YEAR(Data[[#This Row],[Date]]))</f>
        <v>2007-2008</v>
      </c>
      <c r="C272" s="3" t="str">
        <f>"Q"&amp;CEILING(MONTH(EDATE(Data[[#This Row],[Date]],-3)),3)/3</f>
        <v>Q1</v>
      </c>
      <c r="D272" s="4" t="s">
        <v>20</v>
      </c>
      <c r="E272" s="4" t="s">
        <v>24</v>
      </c>
      <c r="F272" s="5">
        <v>12750</v>
      </c>
      <c r="G272" s="5">
        <f>Data[[#This Row],[Amount]]-Data[[#This Row],[Profit]]</f>
        <v>9910</v>
      </c>
      <c r="H272" s="5">
        <v>2840</v>
      </c>
      <c r="I272" s="5" t="s">
        <v>8</v>
      </c>
    </row>
    <row r="273" spans="1:9" ht="12.75" x14ac:dyDescent="0.2">
      <c r="A273" s="3">
        <v>39112</v>
      </c>
      <c r="B273" s="3" t="str">
        <f>IF(MONTH(Data[[#This Row],[Date]])&gt;3,YEAR(Data[[#This Row],[Date]])&amp;"-"&amp;YEAR(Data[[#This Row],[Date]])+1,YEAR(Data[[#This Row],[Date]])-1&amp;"-"&amp;YEAR(Data[[#This Row],[Date]]))</f>
        <v>2006-2007</v>
      </c>
      <c r="C273" s="3" t="str">
        <f>"Q"&amp;CEILING(MONTH(EDATE(Data[[#This Row],[Date]],-3)),3)/3</f>
        <v>Q4</v>
      </c>
      <c r="D273" s="4" t="s">
        <v>12</v>
      </c>
      <c r="E273" s="4" t="s">
        <v>24</v>
      </c>
      <c r="F273" s="5">
        <v>13150</v>
      </c>
      <c r="G273" s="5">
        <f>Data[[#This Row],[Amount]]-Data[[#This Row],[Profit]]</f>
        <v>10750</v>
      </c>
      <c r="H273" s="5">
        <v>2400</v>
      </c>
      <c r="I273" s="5" t="s">
        <v>8</v>
      </c>
    </row>
    <row r="274" spans="1:9" ht="12.75" x14ac:dyDescent="0.2">
      <c r="A274" s="3">
        <v>38773</v>
      </c>
      <c r="B274" s="3" t="str">
        <f>IF(MONTH(Data[[#This Row],[Date]])&gt;3,YEAR(Data[[#This Row],[Date]])&amp;"-"&amp;YEAR(Data[[#This Row],[Date]])+1,YEAR(Data[[#This Row],[Date]])-1&amp;"-"&amp;YEAR(Data[[#This Row],[Date]]))</f>
        <v>2005-2006</v>
      </c>
      <c r="C274" s="3" t="str">
        <f>"Q"&amp;CEILING(MONTH(EDATE(Data[[#This Row],[Date]],-3)),3)/3</f>
        <v>Q4</v>
      </c>
      <c r="D274" s="4" t="s">
        <v>14</v>
      </c>
      <c r="E274" s="4" t="s">
        <v>7</v>
      </c>
      <c r="F274" s="5">
        <v>14800</v>
      </c>
      <c r="G274" s="5">
        <f>Data[[#This Row],[Amount]]-Data[[#This Row],[Profit]]</f>
        <v>12540</v>
      </c>
      <c r="H274" s="5">
        <v>2260</v>
      </c>
      <c r="I274" s="5" t="s">
        <v>11</v>
      </c>
    </row>
    <row r="275" spans="1:9" ht="12.75" x14ac:dyDescent="0.2">
      <c r="A275" s="3">
        <v>39419</v>
      </c>
      <c r="B275" s="3" t="str">
        <f>IF(MONTH(Data[[#This Row],[Date]])&gt;3,YEAR(Data[[#This Row],[Date]])&amp;"-"&amp;YEAR(Data[[#This Row],[Date]])+1,YEAR(Data[[#This Row],[Date]])-1&amp;"-"&amp;YEAR(Data[[#This Row],[Date]]))</f>
        <v>2007-2008</v>
      </c>
      <c r="C275" s="3" t="str">
        <f>"Q"&amp;CEILING(MONTH(EDATE(Data[[#This Row],[Date]],-3)),3)/3</f>
        <v>Q3</v>
      </c>
      <c r="D275" s="4" t="s">
        <v>27</v>
      </c>
      <c r="E275" s="4" t="s">
        <v>19</v>
      </c>
      <c r="F275" s="5">
        <v>11750</v>
      </c>
      <c r="G275" s="5">
        <f>Data[[#This Row],[Amount]]-Data[[#This Row],[Profit]]</f>
        <v>8570</v>
      </c>
      <c r="H275" s="5">
        <v>3180</v>
      </c>
      <c r="I275" s="5" t="s">
        <v>22</v>
      </c>
    </row>
    <row r="276" spans="1:9" ht="12.75" x14ac:dyDescent="0.2">
      <c r="A276" s="3">
        <v>38681</v>
      </c>
      <c r="B276" s="3" t="str">
        <f>IF(MONTH(Data[[#This Row],[Date]])&gt;3,YEAR(Data[[#This Row],[Date]])&amp;"-"&amp;YEAR(Data[[#This Row],[Date]])+1,YEAR(Data[[#This Row],[Date]])-1&amp;"-"&amp;YEAR(Data[[#This Row],[Date]]))</f>
        <v>2005-2006</v>
      </c>
      <c r="C276" s="3" t="str">
        <f>"Q"&amp;CEILING(MONTH(EDATE(Data[[#This Row],[Date]],-3)),3)/3</f>
        <v>Q3</v>
      </c>
      <c r="D276" s="4" t="s">
        <v>27</v>
      </c>
      <c r="E276" s="4" t="s">
        <v>30</v>
      </c>
      <c r="F276" s="5">
        <v>14550</v>
      </c>
      <c r="G276" s="5">
        <f>Data[[#This Row],[Amount]]-Data[[#This Row],[Profit]]</f>
        <v>10130</v>
      </c>
      <c r="H276" s="5">
        <v>4420</v>
      </c>
      <c r="I276" s="5" t="s">
        <v>8</v>
      </c>
    </row>
    <row r="277" spans="1:9" ht="12.75" x14ac:dyDescent="0.2">
      <c r="A277" s="3">
        <v>39507</v>
      </c>
      <c r="B277" s="3" t="str">
        <f>IF(MONTH(Data[[#This Row],[Date]])&gt;3,YEAR(Data[[#This Row],[Date]])&amp;"-"&amp;YEAR(Data[[#This Row],[Date]])+1,YEAR(Data[[#This Row],[Date]])-1&amp;"-"&amp;YEAR(Data[[#This Row],[Date]]))</f>
        <v>2007-2008</v>
      </c>
      <c r="C277" s="3" t="str">
        <f>"Q"&amp;CEILING(MONTH(EDATE(Data[[#This Row],[Date]],-3)),3)/3</f>
        <v>Q4</v>
      </c>
      <c r="D277" s="4" t="s">
        <v>14</v>
      </c>
      <c r="E277" s="4" t="s">
        <v>30</v>
      </c>
      <c r="F277" s="5">
        <v>11550</v>
      </c>
      <c r="G277" s="5">
        <f>Data[[#This Row],[Amount]]-Data[[#This Row],[Profit]]</f>
        <v>6750</v>
      </c>
      <c r="H277" s="5">
        <v>4800</v>
      </c>
      <c r="I277" s="5" t="s">
        <v>22</v>
      </c>
    </row>
    <row r="278" spans="1:9" ht="12.75" x14ac:dyDescent="0.2">
      <c r="A278" s="3">
        <v>39399</v>
      </c>
      <c r="B278" s="3" t="str">
        <f>IF(MONTH(Data[[#This Row],[Date]])&gt;3,YEAR(Data[[#This Row],[Date]])&amp;"-"&amp;YEAR(Data[[#This Row],[Date]])+1,YEAR(Data[[#This Row],[Date]])-1&amp;"-"&amp;YEAR(Data[[#This Row],[Date]]))</f>
        <v>2007-2008</v>
      </c>
      <c r="C278" s="3" t="str">
        <f>"Q"&amp;CEILING(MONTH(EDATE(Data[[#This Row],[Date]],-3)),3)/3</f>
        <v>Q3</v>
      </c>
      <c r="D278" s="4" t="s">
        <v>12</v>
      </c>
      <c r="E278" s="4" t="s">
        <v>21</v>
      </c>
      <c r="F278" s="5">
        <v>11050</v>
      </c>
      <c r="G278" s="5">
        <f>Data[[#This Row],[Amount]]-Data[[#This Row],[Profit]]</f>
        <v>8030</v>
      </c>
      <c r="H278" s="5">
        <v>3020</v>
      </c>
      <c r="I278" s="5" t="s">
        <v>8</v>
      </c>
    </row>
    <row r="279" spans="1:9" ht="12.75" x14ac:dyDescent="0.2">
      <c r="A279" s="3">
        <v>38401</v>
      </c>
      <c r="B279" s="3" t="str">
        <f>IF(MONTH(Data[[#This Row],[Date]])&gt;3,YEAR(Data[[#This Row],[Date]])&amp;"-"&amp;YEAR(Data[[#This Row],[Date]])+1,YEAR(Data[[#This Row],[Date]])-1&amp;"-"&amp;YEAR(Data[[#This Row],[Date]]))</f>
        <v>2004-2005</v>
      </c>
      <c r="C279" s="3" t="str">
        <f>"Q"&amp;CEILING(MONTH(EDATE(Data[[#This Row],[Date]],-3)),3)/3</f>
        <v>Q4</v>
      </c>
      <c r="D279" s="4" t="s">
        <v>23</v>
      </c>
      <c r="E279" s="4" t="s">
        <v>13</v>
      </c>
      <c r="F279" s="5">
        <v>13400</v>
      </c>
      <c r="G279" s="5">
        <f>Data[[#This Row],[Amount]]-Data[[#This Row],[Profit]]</f>
        <v>9160</v>
      </c>
      <c r="H279" s="5">
        <v>4240</v>
      </c>
      <c r="I279" s="5" t="s">
        <v>15</v>
      </c>
    </row>
    <row r="280" spans="1:9" ht="12.75" x14ac:dyDescent="0.2">
      <c r="A280" s="3">
        <v>38882</v>
      </c>
      <c r="B280" s="3" t="str">
        <f>IF(MONTH(Data[[#This Row],[Date]])&gt;3,YEAR(Data[[#This Row],[Date]])&amp;"-"&amp;YEAR(Data[[#This Row],[Date]])+1,YEAR(Data[[#This Row],[Date]])-1&amp;"-"&amp;YEAR(Data[[#This Row],[Date]]))</f>
        <v>2006-2007</v>
      </c>
      <c r="C280" s="3" t="str">
        <f>"Q"&amp;CEILING(MONTH(EDATE(Data[[#This Row],[Date]],-3)),3)/3</f>
        <v>Q1</v>
      </c>
      <c r="D280" s="4" t="s">
        <v>16</v>
      </c>
      <c r="E280" s="4" t="s">
        <v>26</v>
      </c>
      <c r="F280" s="5">
        <v>12450</v>
      </c>
      <c r="G280" s="5">
        <f>Data[[#This Row],[Amount]]-Data[[#This Row],[Profit]]</f>
        <v>9550</v>
      </c>
      <c r="H280" s="5">
        <v>2900</v>
      </c>
      <c r="I280" s="5" t="s">
        <v>15</v>
      </c>
    </row>
    <row r="281" spans="1:9" ht="12.75" x14ac:dyDescent="0.2">
      <c r="A281" s="3">
        <v>38987</v>
      </c>
      <c r="B281" s="3" t="str">
        <f>IF(MONTH(Data[[#This Row],[Date]])&gt;3,YEAR(Data[[#This Row],[Date]])&amp;"-"&amp;YEAR(Data[[#This Row],[Date]])+1,YEAR(Data[[#This Row],[Date]])-1&amp;"-"&amp;YEAR(Data[[#This Row],[Date]]))</f>
        <v>2006-2007</v>
      </c>
      <c r="C281" s="3" t="str">
        <f>"Q"&amp;CEILING(MONTH(EDATE(Data[[#This Row],[Date]],-3)),3)/3</f>
        <v>Q2</v>
      </c>
      <c r="D281" s="4" t="s">
        <v>12</v>
      </c>
      <c r="E281" s="4" t="s">
        <v>30</v>
      </c>
      <c r="F281" s="5">
        <v>10850</v>
      </c>
      <c r="G281" s="5">
        <f>Data[[#This Row],[Amount]]-Data[[#This Row],[Profit]]</f>
        <v>8610</v>
      </c>
      <c r="H281" s="5">
        <v>2240</v>
      </c>
      <c r="I281" s="5" t="s">
        <v>15</v>
      </c>
    </row>
    <row r="282" spans="1:9" ht="12.75" x14ac:dyDescent="0.2">
      <c r="A282" s="3">
        <v>38988</v>
      </c>
      <c r="B282" s="3" t="str">
        <f>IF(MONTH(Data[[#This Row],[Date]])&gt;3,YEAR(Data[[#This Row],[Date]])&amp;"-"&amp;YEAR(Data[[#This Row],[Date]])+1,YEAR(Data[[#This Row],[Date]])-1&amp;"-"&amp;YEAR(Data[[#This Row],[Date]]))</f>
        <v>2006-2007</v>
      </c>
      <c r="C282" s="3" t="str">
        <f>"Q"&amp;CEILING(MONTH(EDATE(Data[[#This Row],[Date]],-3)),3)/3</f>
        <v>Q2</v>
      </c>
      <c r="D282" s="4" t="s">
        <v>20</v>
      </c>
      <c r="E282" s="4" t="s">
        <v>19</v>
      </c>
      <c r="F282" s="5">
        <v>12550</v>
      </c>
      <c r="G282" s="5">
        <f>Data[[#This Row],[Amount]]-Data[[#This Row],[Profit]]</f>
        <v>10370</v>
      </c>
      <c r="H282" s="5">
        <v>2180</v>
      </c>
      <c r="I282" s="5" t="s">
        <v>8</v>
      </c>
    </row>
    <row r="283" spans="1:9" ht="12.75" x14ac:dyDescent="0.2">
      <c r="A283" s="3">
        <v>39793</v>
      </c>
      <c r="B283" s="3" t="str">
        <f>IF(MONTH(Data[[#This Row],[Date]])&gt;3,YEAR(Data[[#This Row],[Date]])&amp;"-"&amp;YEAR(Data[[#This Row],[Date]])+1,YEAR(Data[[#This Row],[Date]])-1&amp;"-"&amp;YEAR(Data[[#This Row],[Date]]))</f>
        <v>2008-2009</v>
      </c>
      <c r="C283" s="3" t="str">
        <f>"Q"&amp;CEILING(MONTH(EDATE(Data[[#This Row],[Date]],-3)),3)/3</f>
        <v>Q3</v>
      </c>
      <c r="D283" s="4" t="s">
        <v>9</v>
      </c>
      <c r="E283" s="4" t="s">
        <v>21</v>
      </c>
      <c r="F283" s="5">
        <v>13850</v>
      </c>
      <c r="G283" s="5">
        <f>Data[[#This Row],[Amount]]-Data[[#This Row],[Profit]]</f>
        <v>8270</v>
      </c>
      <c r="H283" s="5">
        <v>5580</v>
      </c>
      <c r="I283" s="5" t="s">
        <v>15</v>
      </c>
    </row>
    <row r="284" spans="1:9" ht="12.75" x14ac:dyDescent="0.2">
      <c r="A284" s="3">
        <v>39202</v>
      </c>
      <c r="B284" s="3" t="str">
        <f>IF(MONTH(Data[[#This Row],[Date]])&gt;3,YEAR(Data[[#This Row],[Date]])&amp;"-"&amp;YEAR(Data[[#This Row],[Date]])+1,YEAR(Data[[#This Row],[Date]])-1&amp;"-"&amp;YEAR(Data[[#This Row],[Date]]))</f>
        <v>2007-2008</v>
      </c>
      <c r="C284" s="3" t="str">
        <f>"Q"&amp;CEILING(MONTH(EDATE(Data[[#This Row],[Date]],-3)),3)/3</f>
        <v>Q1</v>
      </c>
      <c r="D284" s="4" t="s">
        <v>18</v>
      </c>
      <c r="E284" s="4" t="s">
        <v>10</v>
      </c>
      <c r="F284" s="5">
        <v>12400</v>
      </c>
      <c r="G284" s="5">
        <f>Data[[#This Row],[Amount]]-Data[[#This Row],[Profit]]</f>
        <v>9780</v>
      </c>
      <c r="H284" s="5">
        <v>2620</v>
      </c>
      <c r="I284" s="5" t="s">
        <v>22</v>
      </c>
    </row>
    <row r="285" spans="1:9" ht="12.75" x14ac:dyDescent="0.2">
      <c r="A285" s="3">
        <v>39565</v>
      </c>
      <c r="B285" s="3" t="str">
        <f>IF(MONTH(Data[[#This Row],[Date]])&gt;3,YEAR(Data[[#This Row],[Date]])&amp;"-"&amp;YEAR(Data[[#This Row],[Date]])+1,YEAR(Data[[#This Row],[Date]])-1&amp;"-"&amp;YEAR(Data[[#This Row],[Date]]))</f>
        <v>2008-2009</v>
      </c>
      <c r="C285" s="3" t="str">
        <f>"Q"&amp;CEILING(MONTH(EDATE(Data[[#This Row],[Date]],-3)),3)/3</f>
        <v>Q1</v>
      </c>
      <c r="D285" s="4" t="s">
        <v>18</v>
      </c>
      <c r="E285" s="4" t="s">
        <v>24</v>
      </c>
      <c r="F285" s="5">
        <v>11750</v>
      </c>
      <c r="G285" s="5">
        <f>Data[[#This Row],[Amount]]-Data[[#This Row],[Profit]]</f>
        <v>9570</v>
      </c>
      <c r="H285" s="5">
        <v>2180</v>
      </c>
      <c r="I285" s="5" t="s">
        <v>22</v>
      </c>
    </row>
    <row r="286" spans="1:9" ht="12.75" x14ac:dyDescent="0.2">
      <c r="A286" s="3">
        <v>38854</v>
      </c>
      <c r="B286" s="3" t="str">
        <f>IF(MONTH(Data[[#This Row],[Date]])&gt;3,YEAR(Data[[#This Row],[Date]])&amp;"-"&amp;YEAR(Data[[#This Row],[Date]])+1,YEAR(Data[[#This Row],[Date]])-1&amp;"-"&amp;YEAR(Data[[#This Row],[Date]]))</f>
        <v>2006-2007</v>
      </c>
      <c r="C286" s="3" t="str">
        <f>"Q"&amp;CEILING(MONTH(EDATE(Data[[#This Row],[Date]],-3)),3)/3</f>
        <v>Q1</v>
      </c>
      <c r="D286" s="4" t="s">
        <v>20</v>
      </c>
      <c r="E286" s="4" t="s">
        <v>21</v>
      </c>
      <c r="F286" s="5">
        <v>11450</v>
      </c>
      <c r="G286" s="5">
        <f>Data[[#This Row],[Amount]]-Data[[#This Row],[Profit]]</f>
        <v>7650</v>
      </c>
      <c r="H286" s="5">
        <v>3800</v>
      </c>
      <c r="I286" s="5" t="s">
        <v>22</v>
      </c>
    </row>
    <row r="287" spans="1:9" ht="12.75" x14ac:dyDescent="0.2">
      <c r="A287" s="3">
        <v>39377</v>
      </c>
      <c r="B287" s="3" t="str">
        <f>IF(MONTH(Data[[#This Row],[Date]])&gt;3,YEAR(Data[[#This Row],[Date]])&amp;"-"&amp;YEAR(Data[[#This Row],[Date]])+1,YEAR(Data[[#This Row],[Date]])-1&amp;"-"&amp;YEAR(Data[[#This Row],[Date]]))</f>
        <v>2007-2008</v>
      </c>
      <c r="C287" s="3" t="str">
        <f>"Q"&amp;CEILING(MONTH(EDATE(Data[[#This Row],[Date]],-3)),3)/3</f>
        <v>Q3</v>
      </c>
      <c r="D287" s="4" t="s">
        <v>31</v>
      </c>
      <c r="E287" s="4" t="s">
        <v>30</v>
      </c>
      <c r="F287" s="5">
        <v>13600</v>
      </c>
      <c r="G287" s="5">
        <f>Data[[#This Row],[Amount]]-Data[[#This Row],[Profit]]</f>
        <v>10480</v>
      </c>
      <c r="H287" s="5">
        <v>3120</v>
      </c>
      <c r="I287" s="5" t="s">
        <v>8</v>
      </c>
    </row>
    <row r="288" spans="1:9" ht="12.75" x14ac:dyDescent="0.2">
      <c r="A288" s="3">
        <v>39568</v>
      </c>
      <c r="B288" s="3" t="str">
        <f>IF(MONTH(Data[[#This Row],[Date]])&gt;3,YEAR(Data[[#This Row],[Date]])&amp;"-"&amp;YEAR(Data[[#This Row],[Date]])+1,YEAR(Data[[#This Row],[Date]])-1&amp;"-"&amp;YEAR(Data[[#This Row],[Date]]))</f>
        <v>2008-2009</v>
      </c>
      <c r="C288" s="3" t="str">
        <f>"Q"&amp;CEILING(MONTH(EDATE(Data[[#This Row],[Date]],-3)),3)/3</f>
        <v>Q1</v>
      </c>
      <c r="D288" s="4" t="s">
        <v>20</v>
      </c>
      <c r="E288" s="4" t="s">
        <v>10</v>
      </c>
      <c r="F288" s="5">
        <v>13650</v>
      </c>
      <c r="G288" s="5">
        <f>Data[[#This Row],[Amount]]-Data[[#This Row],[Profit]]</f>
        <v>8270</v>
      </c>
      <c r="H288" s="5">
        <v>5380</v>
      </c>
      <c r="I288" s="5" t="s">
        <v>8</v>
      </c>
    </row>
    <row r="289" spans="1:9" ht="12.75" x14ac:dyDescent="0.2">
      <c r="A289" s="3">
        <v>38509</v>
      </c>
      <c r="B289" s="3" t="str">
        <f>IF(MONTH(Data[[#This Row],[Date]])&gt;3,YEAR(Data[[#This Row],[Date]])&amp;"-"&amp;YEAR(Data[[#This Row],[Date]])+1,YEAR(Data[[#This Row],[Date]])-1&amp;"-"&amp;YEAR(Data[[#This Row],[Date]]))</f>
        <v>2005-2006</v>
      </c>
      <c r="C289" s="3" t="str">
        <f>"Q"&amp;CEILING(MONTH(EDATE(Data[[#This Row],[Date]],-3)),3)/3</f>
        <v>Q1</v>
      </c>
      <c r="D289" s="4" t="s">
        <v>25</v>
      </c>
      <c r="E289" s="4" t="s">
        <v>10</v>
      </c>
      <c r="F289" s="5">
        <v>12850</v>
      </c>
      <c r="G289" s="5">
        <f>Data[[#This Row],[Amount]]-Data[[#This Row],[Profit]]</f>
        <v>10130</v>
      </c>
      <c r="H289" s="5">
        <v>2720</v>
      </c>
      <c r="I289" s="5" t="s">
        <v>11</v>
      </c>
    </row>
    <row r="290" spans="1:9" ht="12.75" x14ac:dyDescent="0.2">
      <c r="A290" s="3">
        <v>39062</v>
      </c>
      <c r="B290" s="3" t="str">
        <f>IF(MONTH(Data[[#This Row],[Date]])&gt;3,YEAR(Data[[#This Row],[Date]])&amp;"-"&amp;YEAR(Data[[#This Row],[Date]])+1,YEAR(Data[[#This Row],[Date]])-1&amp;"-"&amp;YEAR(Data[[#This Row],[Date]]))</f>
        <v>2006-2007</v>
      </c>
      <c r="C290" s="3" t="str">
        <f>"Q"&amp;CEILING(MONTH(EDATE(Data[[#This Row],[Date]],-3)),3)/3</f>
        <v>Q3</v>
      </c>
      <c r="D290" s="4" t="s">
        <v>27</v>
      </c>
      <c r="E290" s="4" t="s">
        <v>26</v>
      </c>
      <c r="F290" s="5">
        <v>10350</v>
      </c>
      <c r="G290" s="5">
        <f>Data[[#This Row],[Amount]]-Data[[#This Row],[Profit]]</f>
        <v>7690</v>
      </c>
      <c r="H290" s="5">
        <v>2660</v>
      </c>
      <c r="I290" s="5" t="s">
        <v>22</v>
      </c>
    </row>
    <row r="291" spans="1:9" ht="12.75" x14ac:dyDescent="0.2">
      <c r="A291" s="3">
        <v>39612</v>
      </c>
      <c r="B291" s="3" t="str">
        <f>IF(MONTH(Data[[#This Row],[Date]])&gt;3,YEAR(Data[[#This Row],[Date]])&amp;"-"&amp;YEAR(Data[[#This Row],[Date]])+1,YEAR(Data[[#This Row],[Date]])-1&amp;"-"&amp;YEAR(Data[[#This Row],[Date]]))</f>
        <v>2008-2009</v>
      </c>
      <c r="C291" s="3" t="str">
        <f>"Q"&amp;CEILING(MONTH(EDATE(Data[[#This Row],[Date]],-3)),3)/3</f>
        <v>Q1</v>
      </c>
      <c r="D291" s="4" t="s">
        <v>6</v>
      </c>
      <c r="E291" s="4" t="s">
        <v>24</v>
      </c>
      <c r="F291" s="5">
        <v>12850</v>
      </c>
      <c r="G291" s="5">
        <f>Data[[#This Row],[Amount]]-Data[[#This Row],[Profit]]</f>
        <v>7130</v>
      </c>
      <c r="H291" s="5">
        <v>5720</v>
      </c>
      <c r="I291" s="5" t="s">
        <v>11</v>
      </c>
    </row>
    <row r="292" spans="1:9" ht="12.75" x14ac:dyDescent="0.2">
      <c r="A292" s="3">
        <v>39803</v>
      </c>
      <c r="B292" s="3" t="str">
        <f>IF(MONTH(Data[[#This Row],[Date]])&gt;3,YEAR(Data[[#This Row],[Date]])&amp;"-"&amp;YEAR(Data[[#This Row],[Date]])+1,YEAR(Data[[#This Row],[Date]])-1&amp;"-"&amp;YEAR(Data[[#This Row],[Date]]))</f>
        <v>2008-2009</v>
      </c>
      <c r="C292" s="3" t="str">
        <f>"Q"&amp;CEILING(MONTH(EDATE(Data[[#This Row],[Date]],-3)),3)/3</f>
        <v>Q3</v>
      </c>
      <c r="D292" s="4" t="s">
        <v>27</v>
      </c>
      <c r="E292" s="4" t="s">
        <v>29</v>
      </c>
      <c r="F292" s="5">
        <v>10800</v>
      </c>
      <c r="G292" s="5">
        <f>Data[[#This Row],[Amount]]-Data[[#This Row],[Profit]]</f>
        <v>8740</v>
      </c>
      <c r="H292" s="5">
        <v>2060</v>
      </c>
      <c r="I292" s="5" t="s">
        <v>8</v>
      </c>
    </row>
    <row r="293" spans="1:9" ht="12.75" x14ac:dyDescent="0.2">
      <c r="A293" s="3">
        <v>39240</v>
      </c>
      <c r="B293" s="3" t="str">
        <f>IF(MONTH(Data[[#This Row],[Date]])&gt;3,YEAR(Data[[#This Row],[Date]])&amp;"-"&amp;YEAR(Data[[#This Row],[Date]])+1,YEAR(Data[[#This Row],[Date]])-1&amp;"-"&amp;YEAR(Data[[#This Row],[Date]]))</f>
        <v>2007-2008</v>
      </c>
      <c r="C293" s="3" t="str">
        <f>"Q"&amp;CEILING(MONTH(EDATE(Data[[#This Row],[Date]],-3)),3)/3</f>
        <v>Q1</v>
      </c>
      <c r="D293" s="4" t="s">
        <v>9</v>
      </c>
      <c r="E293" s="4" t="s">
        <v>26</v>
      </c>
      <c r="F293" s="5">
        <v>12950</v>
      </c>
      <c r="G293" s="5">
        <f>Data[[#This Row],[Amount]]-Data[[#This Row],[Profit]]</f>
        <v>8250</v>
      </c>
      <c r="H293" s="5">
        <v>4700</v>
      </c>
      <c r="I293" s="5" t="s">
        <v>22</v>
      </c>
    </row>
    <row r="294" spans="1:9" ht="12.75" x14ac:dyDescent="0.2">
      <c r="A294" s="3">
        <v>39801</v>
      </c>
      <c r="B294" s="3" t="str">
        <f>IF(MONTH(Data[[#This Row],[Date]])&gt;3,YEAR(Data[[#This Row],[Date]])&amp;"-"&amp;YEAR(Data[[#This Row],[Date]])+1,YEAR(Data[[#This Row],[Date]])-1&amp;"-"&amp;YEAR(Data[[#This Row],[Date]]))</f>
        <v>2008-2009</v>
      </c>
      <c r="C294" s="3" t="str">
        <f>"Q"&amp;CEILING(MONTH(EDATE(Data[[#This Row],[Date]],-3)),3)/3</f>
        <v>Q3</v>
      </c>
      <c r="D294" s="4" t="s">
        <v>18</v>
      </c>
      <c r="E294" s="4" t="s">
        <v>17</v>
      </c>
      <c r="F294" s="5">
        <v>10150</v>
      </c>
      <c r="G294" s="5">
        <f>Data[[#This Row],[Amount]]-Data[[#This Row],[Profit]]</f>
        <v>4850</v>
      </c>
      <c r="H294" s="5">
        <v>5300</v>
      </c>
      <c r="I294" s="5" t="s">
        <v>11</v>
      </c>
    </row>
    <row r="295" spans="1:9" ht="12.75" x14ac:dyDescent="0.2">
      <c r="A295" s="3">
        <v>39571</v>
      </c>
      <c r="B295" s="3" t="str">
        <f>IF(MONTH(Data[[#This Row],[Date]])&gt;3,YEAR(Data[[#This Row],[Date]])&amp;"-"&amp;YEAR(Data[[#This Row],[Date]])+1,YEAR(Data[[#This Row],[Date]])-1&amp;"-"&amp;YEAR(Data[[#This Row],[Date]]))</f>
        <v>2008-2009</v>
      </c>
      <c r="C295" s="3" t="str">
        <f>"Q"&amp;CEILING(MONTH(EDATE(Data[[#This Row],[Date]],-3)),3)/3</f>
        <v>Q1</v>
      </c>
      <c r="D295" s="4" t="s">
        <v>32</v>
      </c>
      <c r="E295" s="4" t="s">
        <v>28</v>
      </c>
      <c r="F295" s="5">
        <v>10650</v>
      </c>
      <c r="G295" s="5">
        <f>Data[[#This Row],[Amount]]-Data[[#This Row],[Profit]]</f>
        <v>5650</v>
      </c>
      <c r="H295" s="5">
        <v>5000</v>
      </c>
      <c r="I295" s="5" t="s">
        <v>22</v>
      </c>
    </row>
    <row r="296" spans="1:9" ht="12.75" x14ac:dyDescent="0.2">
      <c r="A296" s="3">
        <v>39678</v>
      </c>
      <c r="B296" s="3" t="str">
        <f>IF(MONTH(Data[[#This Row],[Date]])&gt;3,YEAR(Data[[#This Row],[Date]])&amp;"-"&amp;YEAR(Data[[#This Row],[Date]])+1,YEAR(Data[[#This Row],[Date]])-1&amp;"-"&amp;YEAR(Data[[#This Row],[Date]]))</f>
        <v>2008-2009</v>
      </c>
      <c r="C296" s="3" t="str">
        <f>"Q"&amp;CEILING(MONTH(EDATE(Data[[#This Row],[Date]],-3)),3)/3</f>
        <v>Q2</v>
      </c>
      <c r="D296" s="4" t="s">
        <v>20</v>
      </c>
      <c r="E296" s="4" t="s">
        <v>24</v>
      </c>
      <c r="F296" s="5">
        <v>10900</v>
      </c>
      <c r="G296" s="5">
        <f>Data[[#This Row],[Amount]]-Data[[#This Row],[Profit]]</f>
        <v>6440</v>
      </c>
      <c r="H296" s="5">
        <v>4460</v>
      </c>
      <c r="I296" s="5" t="s">
        <v>15</v>
      </c>
    </row>
    <row r="297" spans="1:9" ht="12.75" x14ac:dyDescent="0.2">
      <c r="A297" s="3">
        <v>38382</v>
      </c>
      <c r="B297" s="3" t="str">
        <f>IF(MONTH(Data[[#This Row],[Date]])&gt;3,YEAR(Data[[#This Row],[Date]])&amp;"-"&amp;YEAR(Data[[#This Row],[Date]])+1,YEAR(Data[[#This Row],[Date]])-1&amp;"-"&amp;YEAR(Data[[#This Row],[Date]]))</f>
        <v>2004-2005</v>
      </c>
      <c r="C297" s="3" t="str">
        <f>"Q"&amp;CEILING(MONTH(EDATE(Data[[#This Row],[Date]],-3)),3)/3</f>
        <v>Q4</v>
      </c>
      <c r="D297" s="4" t="s">
        <v>6</v>
      </c>
      <c r="E297" s="4" t="s">
        <v>10</v>
      </c>
      <c r="F297" s="5">
        <v>11050</v>
      </c>
      <c r="G297" s="5">
        <f>Data[[#This Row],[Amount]]-Data[[#This Row],[Profit]]</f>
        <v>6770</v>
      </c>
      <c r="H297" s="5">
        <v>4280</v>
      </c>
      <c r="I297" s="5" t="s">
        <v>15</v>
      </c>
    </row>
    <row r="298" spans="1:9" ht="12.75" x14ac:dyDescent="0.2">
      <c r="A298" s="3">
        <v>38518</v>
      </c>
      <c r="B298" s="3" t="str">
        <f>IF(MONTH(Data[[#This Row],[Date]])&gt;3,YEAR(Data[[#This Row],[Date]])&amp;"-"&amp;YEAR(Data[[#This Row],[Date]])+1,YEAR(Data[[#This Row],[Date]])-1&amp;"-"&amp;YEAR(Data[[#This Row],[Date]]))</f>
        <v>2005-2006</v>
      </c>
      <c r="C298" s="3" t="str">
        <f>"Q"&amp;CEILING(MONTH(EDATE(Data[[#This Row],[Date]],-3)),3)/3</f>
        <v>Q1</v>
      </c>
      <c r="D298" s="4" t="s">
        <v>27</v>
      </c>
      <c r="E298" s="4" t="s">
        <v>10</v>
      </c>
      <c r="F298" s="5">
        <v>13600</v>
      </c>
      <c r="G298" s="5">
        <f>Data[[#This Row],[Amount]]-Data[[#This Row],[Profit]]</f>
        <v>9580</v>
      </c>
      <c r="H298" s="5">
        <v>4020</v>
      </c>
      <c r="I298" s="5" t="s">
        <v>11</v>
      </c>
    </row>
    <row r="299" spans="1:9" ht="12.75" x14ac:dyDescent="0.2">
      <c r="A299" s="3">
        <v>38460</v>
      </c>
      <c r="B299" s="3" t="str">
        <f>IF(MONTH(Data[[#This Row],[Date]])&gt;3,YEAR(Data[[#This Row],[Date]])&amp;"-"&amp;YEAR(Data[[#This Row],[Date]])+1,YEAR(Data[[#This Row],[Date]])-1&amp;"-"&amp;YEAR(Data[[#This Row],[Date]]))</f>
        <v>2005-2006</v>
      </c>
      <c r="C299" s="3" t="str">
        <f>"Q"&amp;CEILING(MONTH(EDATE(Data[[#This Row],[Date]],-3)),3)/3</f>
        <v>Q1</v>
      </c>
      <c r="D299" s="4" t="s">
        <v>20</v>
      </c>
      <c r="E299" s="4" t="s">
        <v>21</v>
      </c>
      <c r="F299" s="5">
        <v>11600</v>
      </c>
      <c r="G299" s="5">
        <f>Data[[#This Row],[Amount]]-Data[[#This Row],[Profit]]</f>
        <v>9080</v>
      </c>
      <c r="H299" s="5">
        <v>2520</v>
      </c>
      <c r="I299" s="5" t="s">
        <v>15</v>
      </c>
    </row>
    <row r="300" spans="1:9" ht="12.75" x14ac:dyDescent="0.2">
      <c r="A300" s="3">
        <v>38819</v>
      </c>
      <c r="B300" s="3" t="str">
        <f>IF(MONTH(Data[[#This Row],[Date]])&gt;3,YEAR(Data[[#This Row],[Date]])&amp;"-"&amp;YEAR(Data[[#This Row],[Date]])+1,YEAR(Data[[#This Row],[Date]])-1&amp;"-"&amp;YEAR(Data[[#This Row],[Date]]))</f>
        <v>2006-2007</v>
      </c>
      <c r="C300" s="3" t="str">
        <f>"Q"&amp;CEILING(MONTH(EDATE(Data[[#This Row],[Date]],-3)),3)/3</f>
        <v>Q1</v>
      </c>
      <c r="D300" s="4" t="s">
        <v>16</v>
      </c>
      <c r="E300" s="4" t="s">
        <v>24</v>
      </c>
      <c r="F300" s="5">
        <v>13750</v>
      </c>
      <c r="G300" s="5">
        <f>Data[[#This Row],[Amount]]-Data[[#This Row],[Profit]]</f>
        <v>9410</v>
      </c>
      <c r="H300" s="5">
        <v>4340</v>
      </c>
      <c r="I300" s="5" t="s">
        <v>22</v>
      </c>
    </row>
    <row r="301" spans="1:9" ht="12.75" x14ac:dyDescent="0.2">
      <c r="A301" s="3">
        <v>39450</v>
      </c>
      <c r="B301" s="3" t="str">
        <f>IF(MONTH(Data[[#This Row],[Date]])&gt;3,YEAR(Data[[#This Row],[Date]])&amp;"-"&amp;YEAR(Data[[#This Row],[Date]])+1,YEAR(Data[[#This Row],[Date]])-1&amp;"-"&amp;YEAR(Data[[#This Row],[Date]]))</f>
        <v>2007-2008</v>
      </c>
      <c r="C301" s="3" t="str">
        <f>"Q"&amp;CEILING(MONTH(EDATE(Data[[#This Row],[Date]],-3)),3)/3</f>
        <v>Q4</v>
      </c>
      <c r="D301" s="4" t="s">
        <v>25</v>
      </c>
      <c r="E301" s="4" t="s">
        <v>29</v>
      </c>
      <c r="F301" s="5">
        <v>14500</v>
      </c>
      <c r="G301" s="5">
        <f>Data[[#This Row],[Amount]]-Data[[#This Row],[Profit]]</f>
        <v>10220</v>
      </c>
      <c r="H301" s="5">
        <v>4280</v>
      </c>
      <c r="I301" s="5" t="s">
        <v>15</v>
      </c>
    </row>
    <row r="302" spans="1:9" ht="12.75" x14ac:dyDescent="0.2">
      <c r="A302" s="3">
        <v>38802</v>
      </c>
      <c r="B302" s="3" t="str">
        <f>IF(MONTH(Data[[#This Row],[Date]])&gt;3,YEAR(Data[[#This Row],[Date]])&amp;"-"&amp;YEAR(Data[[#This Row],[Date]])+1,YEAR(Data[[#This Row],[Date]])-1&amp;"-"&amp;YEAR(Data[[#This Row],[Date]]))</f>
        <v>2005-2006</v>
      </c>
      <c r="C302" s="3" t="str">
        <f>"Q"&amp;CEILING(MONTH(EDATE(Data[[#This Row],[Date]],-3)),3)/3</f>
        <v>Q4</v>
      </c>
      <c r="D302" s="4" t="s">
        <v>9</v>
      </c>
      <c r="E302" s="4" t="s">
        <v>21</v>
      </c>
      <c r="F302" s="5">
        <v>14950</v>
      </c>
      <c r="G302" s="5">
        <f>Data[[#This Row],[Amount]]-Data[[#This Row],[Profit]]</f>
        <v>11830</v>
      </c>
      <c r="H302" s="5">
        <v>3120</v>
      </c>
      <c r="I302" s="5" t="s">
        <v>22</v>
      </c>
    </row>
    <row r="303" spans="1:9" ht="12.75" x14ac:dyDescent="0.2">
      <c r="A303" s="3">
        <v>39116</v>
      </c>
      <c r="B303" s="3" t="str">
        <f>IF(MONTH(Data[[#This Row],[Date]])&gt;3,YEAR(Data[[#This Row],[Date]])&amp;"-"&amp;YEAR(Data[[#This Row],[Date]])+1,YEAR(Data[[#This Row],[Date]])-1&amp;"-"&amp;YEAR(Data[[#This Row],[Date]]))</f>
        <v>2006-2007</v>
      </c>
      <c r="C303" s="3" t="str">
        <f>"Q"&amp;CEILING(MONTH(EDATE(Data[[#This Row],[Date]],-3)),3)/3</f>
        <v>Q4</v>
      </c>
      <c r="D303" s="4" t="s">
        <v>18</v>
      </c>
      <c r="E303" s="4" t="s">
        <v>21</v>
      </c>
      <c r="F303" s="5">
        <v>13600</v>
      </c>
      <c r="G303" s="5">
        <f>Data[[#This Row],[Amount]]-Data[[#This Row],[Profit]]</f>
        <v>10020</v>
      </c>
      <c r="H303" s="5">
        <v>3580</v>
      </c>
      <c r="I303" s="5" t="s">
        <v>22</v>
      </c>
    </row>
    <row r="304" spans="1:9" ht="12.75" x14ac:dyDescent="0.2">
      <c r="A304" s="3">
        <v>39348</v>
      </c>
      <c r="B304" s="3" t="str">
        <f>IF(MONTH(Data[[#This Row],[Date]])&gt;3,YEAR(Data[[#This Row],[Date]])&amp;"-"&amp;YEAR(Data[[#This Row],[Date]])+1,YEAR(Data[[#This Row],[Date]])-1&amp;"-"&amp;YEAR(Data[[#This Row],[Date]]))</f>
        <v>2007-2008</v>
      </c>
      <c r="C304" s="3" t="str">
        <f>"Q"&amp;CEILING(MONTH(EDATE(Data[[#This Row],[Date]],-3)),3)/3</f>
        <v>Q2</v>
      </c>
      <c r="D304" s="4" t="s">
        <v>31</v>
      </c>
      <c r="E304" s="4" t="s">
        <v>33</v>
      </c>
      <c r="F304" s="5">
        <v>11850</v>
      </c>
      <c r="G304" s="5">
        <f>Data[[#This Row],[Amount]]-Data[[#This Row],[Profit]]</f>
        <v>6410</v>
      </c>
      <c r="H304" s="5">
        <v>5440</v>
      </c>
      <c r="I304" s="5" t="s">
        <v>22</v>
      </c>
    </row>
    <row r="305" spans="1:9" ht="12.75" x14ac:dyDescent="0.2">
      <c r="A305" s="3">
        <v>39478</v>
      </c>
      <c r="B305" s="3" t="str">
        <f>IF(MONTH(Data[[#This Row],[Date]])&gt;3,YEAR(Data[[#This Row],[Date]])&amp;"-"&amp;YEAR(Data[[#This Row],[Date]])+1,YEAR(Data[[#This Row],[Date]])-1&amp;"-"&amp;YEAR(Data[[#This Row],[Date]]))</f>
        <v>2007-2008</v>
      </c>
      <c r="C305" s="3" t="str">
        <f>"Q"&amp;CEILING(MONTH(EDATE(Data[[#This Row],[Date]],-3)),3)/3</f>
        <v>Q4</v>
      </c>
      <c r="D305" s="4" t="s">
        <v>16</v>
      </c>
      <c r="E305" s="4" t="s">
        <v>10</v>
      </c>
      <c r="F305" s="5">
        <v>10250</v>
      </c>
      <c r="G305" s="5">
        <f>Data[[#This Row],[Amount]]-Data[[#This Row],[Profit]]</f>
        <v>5810</v>
      </c>
      <c r="H305" s="5">
        <v>4440</v>
      </c>
      <c r="I305" s="5" t="s">
        <v>8</v>
      </c>
    </row>
    <row r="306" spans="1:9" ht="12.75" x14ac:dyDescent="0.2">
      <c r="A306" s="3">
        <v>39218</v>
      </c>
      <c r="B306" s="3" t="str">
        <f>IF(MONTH(Data[[#This Row],[Date]])&gt;3,YEAR(Data[[#This Row],[Date]])&amp;"-"&amp;YEAR(Data[[#This Row],[Date]])+1,YEAR(Data[[#This Row],[Date]])-1&amp;"-"&amp;YEAR(Data[[#This Row],[Date]]))</f>
        <v>2007-2008</v>
      </c>
      <c r="C306" s="3" t="str">
        <f>"Q"&amp;CEILING(MONTH(EDATE(Data[[#This Row],[Date]],-3)),3)/3</f>
        <v>Q1</v>
      </c>
      <c r="D306" s="4" t="s">
        <v>6</v>
      </c>
      <c r="E306" s="4" t="s">
        <v>17</v>
      </c>
      <c r="F306" s="5">
        <v>11900</v>
      </c>
      <c r="G306" s="5">
        <f>Data[[#This Row],[Amount]]-Data[[#This Row],[Profit]]</f>
        <v>6440</v>
      </c>
      <c r="H306" s="5">
        <v>5460</v>
      </c>
      <c r="I306" s="5" t="s">
        <v>11</v>
      </c>
    </row>
    <row r="307" spans="1:9" ht="12.75" x14ac:dyDescent="0.2">
      <c r="A307" s="3">
        <v>38772</v>
      </c>
      <c r="B307" s="3" t="str">
        <f>IF(MONTH(Data[[#This Row],[Date]])&gt;3,YEAR(Data[[#This Row],[Date]])&amp;"-"&amp;YEAR(Data[[#This Row],[Date]])+1,YEAR(Data[[#This Row],[Date]])-1&amp;"-"&amp;YEAR(Data[[#This Row],[Date]]))</f>
        <v>2005-2006</v>
      </c>
      <c r="C307" s="3" t="str">
        <f>"Q"&amp;CEILING(MONTH(EDATE(Data[[#This Row],[Date]],-3)),3)/3</f>
        <v>Q4</v>
      </c>
      <c r="D307" s="4" t="s">
        <v>6</v>
      </c>
      <c r="E307" s="4" t="s">
        <v>33</v>
      </c>
      <c r="F307" s="5">
        <v>13150</v>
      </c>
      <c r="G307" s="5">
        <f>Data[[#This Row],[Amount]]-Data[[#This Row],[Profit]]</f>
        <v>9070</v>
      </c>
      <c r="H307" s="5">
        <v>4080</v>
      </c>
      <c r="I307" s="5" t="s">
        <v>22</v>
      </c>
    </row>
    <row r="308" spans="1:9" ht="12.75" x14ac:dyDescent="0.2">
      <c r="A308" s="3">
        <v>38424</v>
      </c>
      <c r="B308" s="3" t="str">
        <f>IF(MONTH(Data[[#This Row],[Date]])&gt;3,YEAR(Data[[#This Row],[Date]])&amp;"-"&amp;YEAR(Data[[#This Row],[Date]])+1,YEAR(Data[[#This Row],[Date]])-1&amp;"-"&amp;YEAR(Data[[#This Row],[Date]]))</f>
        <v>2004-2005</v>
      </c>
      <c r="C308" s="3" t="str">
        <f>"Q"&amp;CEILING(MONTH(EDATE(Data[[#This Row],[Date]],-3)),3)/3</f>
        <v>Q4</v>
      </c>
      <c r="D308" s="4" t="s">
        <v>32</v>
      </c>
      <c r="E308" s="4" t="s">
        <v>33</v>
      </c>
      <c r="F308" s="5">
        <v>13350</v>
      </c>
      <c r="G308" s="5">
        <f>Data[[#This Row],[Amount]]-Data[[#This Row],[Profit]]</f>
        <v>9190</v>
      </c>
      <c r="H308" s="5">
        <v>4160</v>
      </c>
      <c r="I308" s="5" t="s">
        <v>8</v>
      </c>
    </row>
    <row r="309" spans="1:9" ht="12.75" x14ac:dyDescent="0.2">
      <c r="A309" s="3">
        <v>38353</v>
      </c>
      <c r="B309" s="3" t="str">
        <f>IF(MONTH(Data[[#This Row],[Date]])&gt;3,YEAR(Data[[#This Row],[Date]])&amp;"-"&amp;YEAR(Data[[#This Row],[Date]])+1,YEAR(Data[[#This Row],[Date]])-1&amp;"-"&amp;YEAR(Data[[#This Row],[Date]]))</f>
        <v>2004-2005</v>
      </c>
      <c r="C309" s="3" t="str">
        <f>"Q"&amp;CEILING(MONTH(EDATE(Data[[#This Row],[Date]],-3)),3)/3</f>
        <v>Q4</v>
      </c>
      <c r="D309" s="4" t="s">
        <v>20</v>
      </c>
      <c r="E309" s="4" t="s">
        <v>13</v>
      </c>
      <c r="F309" s="5">
        <v>12100</v>
      </c>
      <c r="G309" s="5">
        <f>Data[[#This Row],[Amount]]-Data[[#This Row],[Profit]]</f>
        <v>8460</v>
      </c>
      <c r="H309" s="5">
        <v>3640</v>
      </c>
      <c r="I309" s="5" t="s">
        <v>8</v>
      </c>
    </row>
    <row r="310" spans="1:9" ht="12.75" x14ac:dyDescent="0.2">
      <c r="A310" s="3">
        <v>39333</v>
      </c>
      <c r="B310" s="3" t="str">
        <f>IF(MONTH(Data[[#This Row],[Date]])&gt;3,YEAR(Data[[#This Row],[Date]])&amp;"-"&amp;YEAR(Data[[#This Row],[Date]])+1,YEAR(Data[[#This Row],[Date]])-1&amp;"-"&amp;YEAR(Data[[#This Row],[Date]]))</f>
        <v>2007-2008</v>
      </c>
      <c r="C310" s="3" t="str">
        <f>"Q"&amp;CEILING(MONTH(EDATE(Data[[#This Row],[Date]],-3)),3)/3</f>
        <v>Q2</v>
      </c>
      <c r="D310" s="4" t="s">
        <v>31</v>
      </c>
      <c r="E310" s="4" t="s">
        <v>19</v>
      </c>
      <c r="F310" s="5">
        <v>11300</v>
      </c>
      <c r="G310" s="5">
        <f>Data[[#This Row],[Amount]]-Data[[#This Row],[Profit]]</f>
        <v>7520</v>
      </c>
      <c r="H310" s="5">
        <v>3780</v>
      </c>
      <c r="I310" s="5" t="s">
        <v>11</v>
      </c>
    </row>
    <row r="311" spans="1:9" ht="12.75" x14ac:dyDescent="0.2">
      <c r="A311" s="3">
        <v>38862</v>
      </c>
      <c r="B311" s="3" t="str">
        <f>IF(MONTH(Data[[#This Row],[Date]])&gt;3,YEAR(Data[[#This Row],[Date]])&amp;"-"&amp;YEAR(Data[[#This Row],[Date]])+1,YEAR(Data[[#This Row],[Date]])-1&amp;"-"&amp;YEAR(Data[[#This Row],[Date]]))</f>
        <v>2006-2007</v>
      </c>
      <c r="C311" s="3" t="str">
        <f>"Q"&amp;CEILING(MONTH(EDATE(Data[[#This Row],[Date]],-3)),3)/3</f>
        <v>Q1</v>
      </c>
      <c r="D311" s="4" t="s">
        <v>32</v>
      </c>
      <c r="E311" s="4" t="s">
        <v>21</v>
      </c>
      <c r="F311" s="5">
        <v>12050</v>
      </c>
      <c r="G311" s="5">
        <f>Data[[#This Row],[Amount]]-Data[[#This Row],[Profit]]</f>
        <v>7750</v>
      </c>
      <c r="H311" s="5">
        <v>4300</v>
      </c>
      <c r="I311" s="5" t="s">
        <v>11</v>
      </c>
    </row>
    <row r="312" spans="1:9" ht="12.75" x14ac:dyDescent="0.2">
      <c r="A312" s="3">
        <v>39322</v>
      </c>
      <c r="B312" s="3" t="str">
        <f>IF(MONTH(Data[[#This Row],[Date]])&gt;3,YEAR(Data[[#This Row],[Date]])&amp;"-"&amp;YEAR(Data[[#This Row],[Date]])+1,YEAR(Data[[#This Row],[Date]])-1&amp;"-"&amp;YEAR(Data[[#This Row],[Date]]))</f>
        <v>2007-2008</v>
      </c>
      <c r="C312" s="3" t="str">
        <f>"Q"&amp;CEILING(MONTH(EDATE(Data[[#This Row],[Date]],-3)),3)/3</f>
        <v>Q2</v>
      </c>
      <c r="D312" s="4" t="s">
        <v>32</v>
      </c>
      <c r="E312" s="4" t="s">
        <v>21</v>
      </c>
      <c r="F312" s="5">
        <v>15000</v>
      </c>
      <c r="G312" s="5">
        <f>Data[[#This Row],[Amount]]-Data[[#This Row],[Profit]]</f>
        <v>9620</v>
      </c>
      <c r="H312" s="5">
        <v>5380</v>
      </c>
      <c r="I312" s="5" t="s">
        <v>22</v>
      </c>
    </row>
    <row r="313" spans="1:9" ht="12.75" x14ac:dyDescent="0.2">
      <c r="A313" s="3">
        <v>38859</v>
      </c>
      <c r="B313" s="3" t="str">
        <f>IF(MONTH(Data[[#This Row],[Date]])&gt;3,YEAR(Data[[#This Row],[Date]])&amp;"-"&amp;YEAR(Data[[#This Row],[Date]])+1,YEAR(Data[[#This Row],[Date]])-1&amp;"-"&amp;YEAR(Data[[#This Row],[Date]]))</f>
        <v>2006-2007</v>
      </c>
      <c r="C313" s="3" t="str">
        <f>"Q"&amp;CEILING(MONTH(EDATE(Data[[#This Row],[Date]],-3)),3)/3</f>
        <v>Q1</v>
      </c>
      <c r="D313" s="4" t="s">
        <v>9</v>
      </c>
      <c r="E313" s="4" t="s">
        <v>29</v>
      </c>
      <c r="F313" s="5">
        <v>14500</v>
      </c>
      <c r="G313" s="5">
        <f>Data[[#This Row],[Amount]]-Data[[#This Row],[Profit]]</f>
        <v>9520</v>
      </c>
      <c r="H313" s="5">
        <v>4980</v>
      </c>
      <c r="I313" s="5" t="s">
        <v>11</v>
      </c>
    </row>
    <row r="314" spans="1:9" ht="12.75" x14ac:dyDescent="0.2">
      <c r="A314" s="3">
        <v>38516</v>
      </c>
      <c r="B314" s="3" t="str">
        <f>IF(MONTH(Data[[#This Row],[Date]])&gt;3,YEAR(Data[[#This Row],[Date]])&amp;"-"&amp;YEAR(Data[[#This Row],[Date]])+1,YEAR(Data[[#This Row],[Date]])-1&amp;"-"&amp;YEAR(Data[[#This Row],[Date]]))</f>
        <v>2005-2006</v>
      </c>
      <c r="C314" s="3" t="str">
        <f>"Q"&amp;CEILING(MONTH(EDATE(Data[[#This Row],[Date]],-3)),3)/3</f>
        <v>Q1</v>
      </c>
      <c r="D314" s="4" t="s">
        <v>14</v>
      </c>
      <c r="E314" s="4" t="s">
        <v>29</v>
      </c>
      <c r="F314" s="5">
        <v>13200</v>
      </c>
      <c r="G314" s="5">
        <f>Data[[#This Row],[Amount]]-Data[[#This Row],[Profit]]</f>
        <v>7620</v>
      </c>
      <c r="H314" s="5">
        <v>5580</v>
      </c>
      <c r="I314" s="5" t="s">
        <v>8</v>
      </c>
    </row>
    <row r="315" spans="1:9" ht="12.75" x14ac:dyDescent="0.2">
      <c r="A315" s="3">
        <v>39042</v>
      </c>
      <c r="B315" s="3" t="str">
        <f>IF(MONTH(Data[[#This Row],[Date]])&gt;3,YEAR(Data[[#This Row],[Date]])&amp;"-"&amp;YEAR(Data[[#This Row],[Date]])+1,YEAR(Data[[#This Row],[Date]])-1&amp;"-"&amp;YEAR(Data[[#This Row],[Date]]))</f>
        <v>2006-2007</v>
      </c>
      <c r="C315" s="3" t="str">
        <f>"Q"&amp;CEILING(MONTH(EDATE(Data[[#This Row],[Date]],-3)),3)/3</f>
        <v>Q3</v>
      </c>
      <c r="D315" s="4" t="s">
        <v>16</v>
      </c>
      <c r="E315" s="4" t="s">
        <v>13</v>
      </c>
      <c r="F315" s="5">
        <v>14550</v>
      </c>
      <c r="G315" s="5">
        <f>Data[[#This Row],[Amount]]-Data[[#This Row],[Profit]]</f>
        <v>11270</v>
      </c>
      <c r="H315" s="5">
        <v>3280</v>
      </c>
      <c r="I315" s="5" t="s">
        <v>11</v>
      </c>
    </row>
    <row r="316" spans="1:9" ht="12.75" x14ac:dyDescent="0.2">
      <c r="A316" s="3">
        <v>39360</v>
      </c>
      <c r="B316" s="3" t="str">
        <f>IF(MONTH(Data[[#This Row],[Date]])&gt;3,YEAR(Data[[#This Row],[Date]])&amp;"-"&amp;YEAR(Data[[#This Row],[Date]])+1,YEAR(Data[[#This Row],[Date]])-1&amp;"-"&amp;YEAR(Data[[#This Row],[Date]]))</f>
        <v>2007-2008</v>
      </c>
      <c r="C316" s="3" t="str">
        <f>"Q"&amp;CEILING(MONTH(EDATE(Data[[#This Row],[Date]],-3)),3)/3</f>
        <v>Q3</v>
      </c>
      <c r="D316" s="4" t="s">
        <v>16</v>
      </c>
      <c r="E316" s="4" t="s">
        <v>29</v>
      </c>
      <c r="F316" s="5">
        <v>10650</v>
      </c>
      <c r="G316" s="5">
        <f>Data[[#This Row],[Amount]]-Data[[#This Row],[Profit]]</f>
        <v>6070</v>
      </c>
      <c r="H316" s="5">
        <v>4580</v>
      </c>
      <c r="I316" s="5" t="s">
        <v>8</v>
      </c>
    </row>
    <row r="317" spans="1:9" ht="12.75" x14ac:dyDescent="0.2">
      <c r="A317" s="3">
        <v>38747</v>
      </c>
      <c r="B317" s="3" t="str">
        <f>IF(MONTH(Data[[#This Row],[Date]])&gt;3,YEAR(Data[[#This Row],[Date]])&amp;"-"&amp;YEAR(Data[[#This Row],[Date]])+1,YEAR(Data[[#This Row],[Date]])-1&amp;"-"&amp;YEAR(Data[[#This Row],[Date]]))</f>
        <v>2005-2006</v>
      </c>
      <c r="C317" s="3" t="str">
        <f>"Q"&amp;CEILING(MONTH(EDATE(Data[[#This Row],[Date]],-3)),3)/3</f>
        <v>Q4</v>
      </c>
      <c r="D317" s="4" t="s">
        <v>25</v>
      </c>
      <c r="E317" s="4" t="s">
        <v>24</v>
      </c>
      <c r="F317" s="5">
        <v>13050</v>
      </c>
      <c r="G317" s="5">
        <f>Data[[#This Row],[Amount]]-Data[[#This Row],[Profit]]</f>
        <v>10270</v>
      </c>
      <c r="H317" s="5">
        <v>2780</v>
      </c>
      <c r="I317" s="5" t="s">
        <v>15</v>
      </c>
    </row>
    <row r="318" spans="1:9" ht="12.75" x14ac:dyDescent="0.2">
      <c r="A318" s="3">
        <v>39732</v>
      </c>
      <c r="B318" s="3" t="str">
        <f>IF(MONTH(Data[[#This Row],[Date]])&gt;3,YEAR(Data[[#This Row],[Date]])&amp;"-"&amp;YEAR(Data[[#This Row],[Date]])+1,YEAR(Data[[#This Row],[Date]])-1&amp;"-"&amp;YEAR(Data[[#This Row],[Date]]))</f>
        <v>2008-2009</v>
      </c>
      <c r="C318" s="3" t="str">
        <f>"Q"&amp;CEILING(MONTH(EDATE(Data[[#This Row],[Date]],-3)),3)/3</f>
        <v>Q3</v>
      </c>
      <c r="D318" s="4" t="s">
        <v>12</v>
      </c>
      <c r="E318" s="4" t="s">
        <v>7</v>
      </c>
      <c r="F318" s="5">
        <v>13500</v>
      </c>
      <c r="G318" s="5">
        <f>Data[[#This Row],[Amount]]-Data[[#This Row],[Profit]]</f>
        <v>8680</v>
      </c>
      <c r="H318" s="5">
        <v>4820</v>
      </c>
      <c r="I318" s="5" t="s">
        <v>22</v>
      </c>
    </row>
    <row r="319" spans="1:9" ht="12.75" x14ac:dyDescent="0.2">
      <c r="A319" s="3">
        <v>38822</v>
      </c>
      <c r="B319" s="3" t="str">
        <f>IF(MONTH(Data[[#This Row],[Date]])&gt;3,YEAR(Data[[#This Row],[Date]])&amp;"-"&amp;YEAR(Data[[#This Row],[Date]])+1,YEAR(Data[[#This Row],[Date]])-1&amp;"-"&amp;YEAR(Data[[#This Row],[Date]]))</f>
        <v>2006-2007</v>
      </c>
      <c r="C319" s="3" t="str">
        <f>"Q"&amp;CEILING(MONTH(EDATE(Data[[#This Row],[Date]],-3)),3)/3</f>
        <v>Q1</v>
      </c>
      <c r="D319" s="4" t="s">
        <v>14</v>
      </c>
      <c r="E319" s="4" t="s">
        <v>13</v>
      </c>
      <c r="F319" s="5">
        <v>11800</v>
      </c>
      <c r="G319" s="5">
        <f>Data[[#This Row],[Amount]]-Data[[#This Row],[Profit]]</f>
        <v>9780</v>
      </c>
      <c r="H319" s="5">
        <v>2020</v>
      </c>
      <c r="I319" s="5" t="s">
        <v>8</v>
      </c>
    </row>
    <row r="320" spans="1:9" ht="12.75" x14ac:dyDescent="0.2">
      <c r="A320" s="3">
        <v>38637</v>
      </c>
      <c r="B320" s="3" t="str">
        <f>IF(MONTH(Data[[#This Row],[Date]])&gt;3,YEAR(Data[[#This Row],[Date]])&amp;"-"&amp;YEAR(Data[[#This Row],[Date]])+1,YEAR(Data[[#This Row],[Date]])-1&amp;"-"&amp;YEAR(Data[[#This Row],[Date]]))</f>
        <v>2005-2006</v>
      </c>
      <c r="C320" s="3" t="str">
        <f>"Q"&amp;CEILING(MONTH(EDATE(Data[[#This Row],[Date]],-3)),3)/3</f>
        <v>Q3</v>
      </c>
      <c r="D320" s="4" t="s">
        <v>31</v>
      </c>
      <c r="E320" s="4" t="s">
        <v>17</v>
      </c>
      <c r="F320" s="5">
        <v>14700</v>
      </c>
      <c r="G320" s="5">
        <f>Data[[#This Row],[Amount]]-Data[[#This Row],[Profit]]</f>
        <v>10760</v>
      </c>
      <c r="H320" s="5">
        <v>3940</v>
      </c>
      <c r="I320" s="5" t="s">
        <v>11</v>
      </c>
    </row>
    <row r="321" spans="1:9" ht="12.75" x14ac:dyDescent="0.2">
      <c r="A321" s="3">
        <v>39225</v>
      </c>
      <c r="B321" s="3" t="str">
        <f>IF(MONTH(Data[[#This Row],[Date]])&gt;3,YEAR(Data[[#This Row],[Date]])&amp;"-"&amp;YEAR(Data[[#This Row],[Date]])+1,YEAR(Data[[#This Row],[Date]])-1&amp;"-"&amp;YEAR(Data[[#This Row],[Date]]))</f>
        <v>2007-2008</v>
      </c>
      <c r="C321" s="3" t="str">
        <f>"Q"&amp;CEILING(MONTH(EDATE(Data[[#This Row],[Date]],-3)),3)/3</f>
        <v>Q1</v>
      </c>
      <c r="D321" s="4" t="s">
        <v>31</v>
      </c>
      <c r="E321" s="4" t="s">
        <v>30</v>
      </c>
      <c r="F321" s="5">
        <v>12300</v>
      </c>
      <c r="G321" s="5">
        <f>Data[[#This Row],[Amount]]-Data[[#This Row],[Profit]]</f>
        <v>7600</v>
      </c>
      <c r="H321" s="5">
        <v>4700</v>
      </c>
      <c r="I321" s="5" t="s">
        <v>11</v>
      </c>
    </row>
    <row r="322" spans="1:9" ht="12.75" x14ac:dyDescent="0.2">
      <c r="A322" s="3">
        <v>38641</v>
      </c>
      <c r="B322" s="3" t="str">
        <f>IF(MONTH(Data[[#This Row],[Date]])&gt;3,YEAR(Data[[#This Row],[Date]])&amp;"-"&amp;YEAR(Data[[#This Row],[Date]])+1,YEAR(Data[[#This Row],[Date]])-1&amp;"-"&amp;YEAR(Data[[#This Row],[Date]]))</f>
        <v>2005-2006</v>
      </c>
      <c r="C322" s="3" t="str">
        <f>"Q"&amp;CEILING(MONTH(EDATE(Data[[#This Row],[Date]],-3)),3)/3</f>
        <v>Q3</v>
      </c>
      <c r="D322" s="4" t="s">
        <v>18</v>
      </c>
      <c r="E322" s="4" t="s">
        <v>19</v>
      </c>
      <c r="F322" s="5">
        <v>13150</v>
      </c>
      <c r="G322" s="5">
        <f>Data[[#This Row],[Amount]]-Data[[#This Row],[Profit]]</f>
        <v>9870</v>
      </c>
      <c r="H322" s="5">
        <v>3280</v>
      </c>
      <c r="I322" s="5" t="s">
        <v>15</v>
      </c>
    </row>
    <row r="323" spans="1:9" ht="12.75" x14ac:dyDescent="0.2">
      <c r="A323" s="3">
        <v>38515</v>
      </c>
      <c r="B323" s="3" t="str">
        <f>IF(MONTH(Data[[#This Row],[Date]])&gt;3,YEAR(Data[[#This Row],[Date]])&amp;"-"&amp;YEAR(Data[[#This Row],[Date]])+1,YEAR(Data[[#This Row],[Date]])-1&amp;"-"&amp;YEAR(Data[[#This Row],[Date]]))</f>
        <v>2005-2006</v>
      </c>
      <c r="C323" s="3" t="str">
        <f>"Q"&amp;CEILING(MONTH(EDATE(Data[[#This Row],[Date]],-3)),3)/3</f>
        <v>Q1</v>
      </c>
      <c r="D323" s="4" t="s">
        <v>25</v>
      </c>
      <c r="E323" s="4" t="s">
        <v>33</v>
      </c>
      <c r="F323" s="5">
        <v>10250</v>
      </c>
      <c r="G323" s="5">
        <f>Data[[#This Row],[Amount]]-Data[[#This Row],[Profit]]</f>
        <v>4590</v>
      </c>
      <c r="H323" s="5">
        <v>5660</v>
      </c>
      <c r="I323" s="5" t="s">
        <v>8</v>
      </c>
    </row>
    <row r="324" spans="1:9" ht="12.75" x14ac:dyDescent="0.2">
      <c r="A324" s="3">
        <v>38617</v>
      </c>
      <c r="B324" s="3" t="str">
        <f>IF(MONTH(Data[[#This Row],[Date]])&gt;3,YEAR(Data[[#This Row],[Date]])&amp;"-"&amp;YEAR(Data[[#This Row],[Date]])+1,YEAR(Data[[#This Row],[Date]])-1&amp;"-"&amp;YEAR(Data[[#This Row],[Date]]))</f>
        <v>2005-2006</v>
      </c>
      <c r="C324" s="3" t="str">
        <f>"Q"&amp;CEILING(MONTH(EDATE(Data[[#This Row],[Date]],-3)),3)/3</f>
        <v>Q2</v>
      </c>
      <c r="D324" s="4" t="s">
        <v>20</v>
      </c>
      <c r="E324" s="4" t="s">
        <v>33</v>
      </c>
      <c r="F324" s="5">
        <v>12300</v>
      </c>
      <c r="G324" s="5">
        <f>Data[[#This Row],[Amount]]-Data[[#This Row],[Profit]]</f>
        <v>8880</v>
      </c>
      <c r="H324" s="5">
        <v>3420</v>
      </c>
      <c r="I324" s="5" t="s">
        <v>8</v>
      </c>
    </row>
    <row r="325" spans="1:9" ht="12.75" x14ac:dyDescent="0.2">
      <c r="A325" s="3">
        <v>38465</v>
      </c>
      <c r="B325" s="3" t="str">
        <f>IF(MONTH(Data[[#This Row],[Date]])&gt;3,YEAR(Data[[#This Row],[Date]])&amp;"-"&amp;YEAR(Data[[#This Row],[Date]])+1,YEAR(Data[[#This Row],[Date]])-1&amp;"-"&amp;YEAR(Data[[#This Row],[Date]]))</f>
        <v>2005-2006</v>
      </c>
      <c r="C325" s="3" t="str">
        <f>"Q"&amp;CEILING(MONTH(EDATE(Data[[#This Row],[Date]],-3)),3)/3</f>
        <v>Q1</v>
      </c>
      <c r="D325" s="4" t="s">
        <v>31</v>
      </c>
      <c r="E325" s="4" t="s">
        <v>28</v>
      </c>
      <c r="F325" s="5">
        <v>14700</v>
      </c>
      <c r="G325" s="5">
        <f>Data[[#This Row],[Amount]]-Data[[#This Row],[Profit]]</f>
        <v>9020</v>
      </c>
      <c r="H325" s="5">
        <v>5680</v>
      </c>
      <c r="I325" s="5" t="s">
        <v>15</v>
      </c>
    </row>
    <row r="326" spans="1:9" ht="12.75" x14ac:dyDescent="0.2">
      <c r="A326" s="3">
        <v>39203</v>
      </c>
      <c r="B326" s="3" t="str">
        <f>IF(MONTH(Data[[#This Row],[Date]])&gt;3,YEAR(Data[[#This Row],[Date]])&amp;"-"&amp;YEAR(Data[[#This Row],[Date]])+1,YEAR(Data[[#This Row],[Date]])-1&amp;"-"&amp;YEAR(Data[[#This Row],[Date]]))</f>
        <v>2007-2008</v>
      </c>
      <c r="C326" s="3" t="str">
        <f>"Q"&amp;CEILING(MONTH(EDATE(Data[[#This Row],[Date]],-3)),3)/3</f>
        <v>Q1</v>
      </c>
      <c r="D326" s="4" t="s">
        <v>32</v>
      </c>
      <c r="E326" s="4" t="s">
        <v>17</v>
      </c>
      <c r="F326" s="5">
        <v>14350</v>
      </c>
      <c r="G326" s="5">
        <f>Data[[#This Row],[Amount]]-Data[[#This Row],[Profit]]</f>
        <v>9250</v>
      </c>
      <c r="H326" s="5">
        <v>5100</v>
      </c>
      <c r="I326" s="5" t="s">
        <v>11</v>
      </c>
    </row>
    <row r="327" spans="1:9" ht="12.75" x14ac:dyDescent="0.2">
      <c r="A327" s="3">
        <v>38684</v>
      </c>
      <c r="B327" s="3" t="str">
        <f>IF(MONTH(Data[[#This Row],[Date]])&gt;3,YEAR(Data[[#This Row],[Date]])&amp;"-"&amp;YEAR(Data[[#This Row],[Date]])+1,YEAR(Data[[#This Row],[Date]])-1&amp;"-"&amp;YEAR(Data[[#This Row],[Date]]))</f>
        <v>2005-2006</v>
      </c>
      <c r="C327" s="3" t="str">
        <f>"Q"&amp;CEILING(MONTH(EDATE(Data[[#This Row],[Date]],-3)),3)/3</f>
        <v>Q3</v>
      </c>
      <c r="D327" s="4" t="s">
        <v>23</v>
      </c>
      <c r="E327" s="4" t="s">
        <v>30</v>
      </c>
      <c r="F327" s="5">
        <v>12950</v>
      </c>
      <c r="G327" s="5">
        <f>Data[[#This Row],[Amount]]-Data[[#This Row],[Profit]]</f>
        <v>8510</v>
      </c>
      <c r="H327" s="5">
        <v>4440</v>
      </c>
      <c r="I327" s="5" t="s">
        <v>11</v>
      </c>
    </row>
    <row r="328" spans="1:9" ht="12.75" x14ac:dyDescent="0.2">
      <c r="A328" s="3">
        <v>39549</v>
      </c>
      <c r="B328" s="3" t="str">
        <f>IF(MONTH(Data[[#This Row],[Date]])&gt;3,YEAR(Data[[#This Row],[Date]])&amp;"-"&amp;YEAR(Data[[#This Row],[Date]])+1,YEAR(Data[[#This Row],[Date]])-1&amp;"-"&amp;YEAR(Data[[#This Row],[Date]]))</f>
        <v>2008-2009</v>
      </c>
      <c r="C328" s="3" t="str">
        <f>"Q"&amp;CEILING(MONTH(EDATE(Data[[#This Row],[Date]],-3)),3)/3</f>
        <v>Q1</v>
      </c>
      <c r="D328" s="4" t="s">
        <v>18</v>
      </c>
      <c r="E328" s="4" t="s">
        <v>19</v>
      </c>
      <c r="F328" s="5">
        <v>13700</v>
      </c>
      <c r="G328" s="5">
        <f>Data[[#This Row],[Amount]]-Data[[#This Row],[Profit]]</f>
        <v>11180</v>
      </c>
      <c r="H328" s="5">
        <v>2520</v>
      </c>
      <c r="I328" s="5" t="s">
        <v>15</v>
      </c>
    </row>
    <row r="329" spans="1:9" ht="12.75" x14ac:dyDescent="0.2">
      <c r="A329" s="3">
        <v>38850</v>
      </c>
      <c r="B329" s="3" t="str">
        <f>IF(MONTH(Data[[#This Row],[Date]])&gt;3,YEAR(Data[[#This Row],[Date]])&amp;"-"&amp;YEAR(Data[[#This Row],[Date]])+1,YEAR(Data[[#This Row],[Date]])-1&amp;"-"&amp;YEAR(Data[[#This Row],[Date]]))</f>
        <v>2006-2007</v>
      </c>
      <c r="C329" s="3" t="str">
        <f>"Q"&amp;CEILING(MONTH(EDATE(Data[[#This Row],[Date]],-3)),3)/3</f>
        <v>Q1</v>
      </c>
      <c r="D329" s="4" t="s">
        <v>32</v>
      </c>
      <c r="E329" s="4" t="s">
        <v>21</v>
      </c>
      <c r="F329" s="5">
        <v>13550</v>
      </c>
      <c r="G329" s="5">
        <f>Data[[#This Row],[Amount]]-Data[[#This Row],[Profit]]</f>
        <v>8550</v>
      </c>
      <c r="H329" s="5">
        <v>5000</v>
      </c>
      <c r="I329" s="5" t="s">
        <v>22</v>
      </c>
    </row>
    <row r="330" spans="1:9" ht="12.75" x14ac:dyDescent="0.2">
      <c r="A330" s="3">
        <v>39740</v>
      </c>
      <c r="B330" s="3" t="str">
        <f>IF(MONTH(Data[[#This Row],[Date]])&gt;3,YEAR(Data[[#This Row],[Date]])&amp;"-"&amp;YEAR(Data[[#This Row],[Date]])+1,YEAR(Data[[#This Row],[Date]])-1&amp;"-"&amp;YEAR(Data[[#This Row],[Date]]))</f>
        <v>2008-2009</v>
      </c>
      <c r="C330" s="3" t="str">
        <f>"Q"&amp;CEILING(MONTH(EDATE(Data[[#This Row],[Date]],-3)),3)/3</f>
        <v>Q3</v>
      </c>
      <c r="D330" s="4" t="s">
        <v>20</v>
      </c>
      <c r="E330" s="4" t="s">
        <v>13</v>
      </c>
      <c r="F330" s="5">
        <v>11500</v>
      </c>
      <c r="G330" s="5">
        <f>Data[[#This Row],[Amount]]-Data[[#This Row],[Profit]]</f>
        <v>6960</v>
      </c>
      <c r="H330" s="5">
        <v>4540</v>
      </c>
      <c r="I330" s="5" t="s">
        <v>15</v>
      </c>
    </row>
    <row r="331" spans="1:9" ht="12.75" x14ac:dyDescent="0.2">
      <c r="A331" s="3">
        <v>38956</v>
      </c>
      <c r="B331" s="3" t="str">
        <f>IF(MONTH(Data[[#This Row],[Date]])&gt;3,YEAR(Data[[#This Row],[Date]])&amp;"-"&amp;YEAR(Data[[#This Row],[Date]])+1,YEAR(Data[[#This Row],[Date]])-1&amp;"-"&amp;YEAR(Data[[#This Row],[Date]]))</f>
        <v>2006-2007</v>
      </c>
      <c r="C331" s="3" t="str">
        <f>"Q"&amp;CEILING(MONTH(EDATE(Data[[#This Row],[Date]],-3)),3)/3</f>
        <v>Q2</v>
      </c>
      <c r="D331" s="4" t="s">
        <v>18</v>
      </c>
      <c r="E331" s="4" t="s">
        <v>30</v>
      </c>
      <c r="F331" s="5">
        <v>11550</v>
      </c>
      <c r="G331" s="5">
        <f>Data[[#This Row],[Amount]]-Data[[#This Row],[Profit]]</f>
        <v>6450</v>
      </c>
      <c r="H331" s="5">
        <v>5100</v>
      </c>
      <c r="I331" s="5" t="s">
        <v>8</v>
      </c>
    </row>
    <row r="332" spans="1:9" ht="12.75" x14ac:dyDescent="0.2">
      <c r="A332" s="3">
        <v>39467</v>
      </c>
      <c r="B332" s="3" t="str">
        <f>IF(MONTH(Data[[#This Row],[Date]])&gt;3,YEAR(Data[[#This Row],[Date]])&amp;"-"&amp;YEAR(Data[[#This Row],[Date]])+1,YEAR(Data[[#This Row],[Date]])-1&amp;"-"&amp;YEAR(Data[[#This Row],[Date]]))</f>
        <v>2007-2008</v>
      </c>
      <c r="C332" s="3" t="str">
        <f>"Q"&amp;CEILING(MONTH(EDATE(Data[[#This Row],[Date]],-3)),3)/3</f>
        <v>Q4</v>
      </c>
      <c r="D332" s="4" t="s">
        <v>27</v>
      </c>
      <c r="E332" s="4" t="s">
        <v>17</v>
      </c>
      <c r="F332" s="5">
        <v>13850</v>
      </c>
      <c r="G332" s="5">
        <f>Data[[#This Row],[Amount]]-Data[[#This Row],[Profit]]</f>
        <v>8790</v>
      </c>
      <c r="H332" s="5">
        <v>5060</v>
      </c>
      <c r="I332" s="5" t="s">
        <v>22</v>
      </c>
    </row>
    <row r="333" spans="1:9" ht="12.75" x14ac:dyDescent="0.2">
      <c r="A333" s="3">
        <v>39754</v>
      </c>
      <c r="B333" s="3" t="str">
        <f>IF(MONTH(Data[[#This Row],[Date]])&gt;3,YEAR(Data[[#This Row],[Date]])&amp;"-"&amp;YEAR(Data[[#This Row],[Date]])+1,YEAR(Data[[#This Row],[Date]])-1&amp;"-"&amp;YEAR(Data[[#This Row],[Date]]))</f>
        <v>2008-2009</v>
      </c>
      <c r="C333" s="3" t="str">
        <f>"Q"&amp;CEILING(MONTH(EDATE(Data[[#This Row],[Date]],-3)),3)/3</f>
        <v>Q3</v>
      </c>
      <c r="D333" s="4" t="s">
        <v>32</v>
      </c>
      <c r="E333" s="4" t="s">
        <v>13</v>
      </c>
      <c r="F333" s="5">
        <v>14500</v>
      </c>
      <c r="G333" s="5">
        <f>Data[[#This Row],[Amount]]-Data[[#This Row],[Profit]]</f>
        <v>9280</v>
      </c>
      <c r="H333" s="5">
        <v>5220</v>
      </c>
      <c r="I333" s="5" t="s">
        <v>8</v>
      </c>
    </row>
    <row r="334" spans="1:9" ht="12.75" x14ac:dyDescent="0.2">
      <c r="A334" s="3">
        <v>39355</v>
      </c>
      <c r="B334" s="3" t="str">
        <f>IF(MONTH(Data[[#This Row],[Date]])&gt;3,YEAR(Data[[#This Row],[Date]])&amp;"-"&amp;YEAR(Data[[#This Row],[Date]])+1,YEAR(Data[[#This Row],[Date]])-1&amp;"-"&amp;YEAR(Data[[#This Row],[Date]]))</f>
        <v>2007-2008</v>
      </c>
      <c r="C334" s="3" t="str">
        <f>"Q"&amp;CEILING(MONTH(EDATE(Data[[#This Row],[Date]],-3)),3)/3</f>
        <v>Q2</v>
      </c>
      <c r="D334" s="4" t="s">
        <v>27</v>
      </c>
      <c r="E334" s="4" t="s">
        <v>30</v>
      </c>
      <c r="F334" s="5">
        <v>13250</v>
      </c>
      <c r="G334" s="5">
        <f>Data[[#This Row],[Amount]]-Data[[#This Row],[Profit]]</f>
        <v>9190</v>
      </c>
      <c r="H334" s="5">
        <v>4060</v>
      </c>
      <c r="I334" s="5" t="s">
        <v>15</v>
      </c>
    </row>
    <row r="335" spans="1:9" ht="12.75" x14ac:dyDescent="0.2">
      <c r="A335" s="3">
        <v>38366</v>
      </c>
      <c r="B335" s="3" t="str">
        <f>IF(MONTH(Data[[#This Row],[Date]])&gt;3,YEAR(Data[[#This Row],[Date]])&amp;"-"&amp;YEAR(Data[[#This Row],[Date]])+1,YEAR(Data[[#This Row],[Date]])-1&amp;"-"&amp;YEAR(Data[[#This Row],[Date]]))</f>
        <v>2004-2005</v>
      </c>
      <c r="C335" s="3" t="str">
        <f>"Q"&amp;CEILING(MONTH(EDATE(Data[[#This Row],[Date]],-3)),3)/3</f>
        <v>Q4</v>
      </c>
      <c r="D335" s="4" t="s">
        <v>6</v>
      </c>
      <c r="E335" s="4" t="s">
        <v>10</v>
      </c>
      <c r="F335" s="5">
        <v>10850</v>
      </c>
      <c r="G335" s="5">
        <f>Data[[#This Row],[Amount]]-Data[[#This Row],[Profit]]</f>
        <v>8630</v>
      </c>
      <c r="H335" s="5">
        <v>2220</v>
      </c>
      <c r="I335" s="5" t="s">
        <v>15</v>
      </c>
    </row>
    <row r="336" spans="1:9" ht="12.75" x14ac:dyDescent="0.2">
      <c r="A336" s="3">
        <v>39704</v>
      </c>
      <c r="B336" s="3" t="str">
        <f>IF(MONTH(Data[[#This Row],[Date]])&gt;3,YEAR(Data[[#This Row],[Date]])&amp;"-"&amp;YEAR(Data[[#This Row],[Date]])+1,YEAR(Data[[#This Row],[Date]])-1&amp;"-"&amp;YEAR(Data[[#This Row],[Date]]))</f>
        <v>2008-2009</v>
      </c>
      <c r="C336" s="3" t="str">
        <f>"Q"&amp;CEILING(MONTH(EDATE(Data[[#This Row],[Date]],-3)),3)/3</f>
        <v>Q2</v>
      </c>
      <c r="D336" s="4" t="s">
        <v>18</v>
      </c>
      <c r="E336" s="4" t="s">
        <v>21</v>
      </c>
      <c r="F336" s="5">
        <v>10050</v>
      </c>
      <c r="G336" s="5">
        <f>Data[[#This Row],[Amount]]-Data[[#This Row],[Profit]]</f>
        <v>5750</v>
      </c>
      <c r="H336" s="5">
        <v>4300</v>
      </c>
      <c r="I336" s="5" t="s">
        <v>22</v>
      </c>
    </row>
    <row r="337" spans="1:9" ht="12.75" x14ac:dyDescent="0.2">
      <c r="A337" s="3">
        <v>38783</v>
      </c>
      <c r="B337" s="3" t="str">
        <f>IF(MONTH(Data[[#This Row],[Date]])&gt;3,YEAR(Data[[#This Row],[Date]])&amp;"-"&amp;YEAR(Data[[#This Row],[Date]])+1,YEAR(Data[[#This Row],[Date]])-1&amp;"-"&amp;YEAR(Data[[#This Row],[Date]]))</f>
        <v>2005-2006</v>
      </c>
      <c r="C337" s="3" t="str">
        <f>"Q"&amp;CEILING(MONTH(EDATE(Data[[#This Row],[Date]],-3)),3)/3</f>
        <v>Q4</v>
      </c>
      <c r="D337" s="4" t="s">
        <v>23</v>
      </c>
      <c r="E337" s="4" t="s">
        <v>30</v>
      </c>
      <c r="F337" s="5">
        <v>13600</v>
      </c>
      <c r="G337" s="5">
        <f>Data[[#This Row],[Amount]]-Data[[#This Row],[Profit]]</f>
        <v>8320</v>
      </c>
      <c r="H337" s="5">
        <v>5280</v>
      </c>
      <c r="I337" s="5" t="s">
        <v>15</v>
      </c>
    </row>
    <row r="338" spans="1:9" ht="12.75" x14ac:dyDescent="0.2">
      <c r="A338" s="3">
        <v>38712</v>
      </c>
      <c r="B338" s="3" t="str">
        <f>IF(MONTH(Data[[#This Row],[Date]])&gt;3,YEAR(Data[[#This Row],[Date]])&amp;"-"&amp;YEAR(Data[[#This Row],[Date]])+1,YEAR(Data[[#This Row],[Date]])-1&amp;"-"&amp;YEAR(Data[[#This Row],[Date]]))</f>
        <v>2005-2006</v>
      </c>
      <c r="C338" s="3" t="str">
        <f>"Q"&amp;CEILING(MONTH(EDATE(Data[[#This Row],[Date]],-3)),3)/3</f>
        <v>Q3</v>
      </c>
      <c r="D338" s="4" t="s">
        <v>20</v>
      </c>
      <c r="E338" s="4" t="s">
        <v>29</v>
      </c>
      <c r="F338" s="5">
        <v>12300</v>
      </c>
      <c r="G338" s="5">
        <f>Data[[#This Row],[Amount]]-Data[[#This Row],[Profit]]</f>
        <v>10180</v>
      </c>
      <c r="H338" s="5">
        <v>2120</v>
      </c>
      <c r="I338" s="5" t="s">
        <v>15</v>
      </c>
    </row>
    <row r="339" spans="1:9" ht="12.75" x14ac:dyDescent="0.2">
      <c r="A339" s="3">
        <v>39330</v>
      </c>
      <c r="B339" s="3" t="str">
        <f>IF(MONTH(Data[[#This Row],[Date]])&gt;3,YEAR(Data[[#This Row],[Date]])&amp;"-"&amp;YEAR(Data[[#This Row],[Date]])+1,YEAR(Data[[#This Row],[Date]])-1&amp;"-"&amp;YEAR(Data[[#This Row],[Date]]))</f>
        <v>2007-2008</v>
      </c>
      <c r="C339" s="3" t="str">
        <f>"Q"&amp;CEILING(MONTH(EDATE(Data[[#This Row],[Date]],-3)),3)/3</f>
        <v>Q2</v>
      </c>
      <c r="D339" s="4" t="s">
        <v>9</v>
      </c>
      <c r="E339" s="4" t="s">
        <v>7</v>
      </c>
      <c r="F339" s="5">
        <v>14750</v>
      </c>
      <c r="G339" s="5">
        <f>Data[[#This Row],[Amount]]-Data[[#This Row],[Profit]]</f>
        <v>10570</v>
      </c>
      <c r="H339" s="5">
        <v>4180</v>
      </c>
      <c r="I339" s="5" t="s">
        <v>11</v>
      </c>
    </row>
    <row r="340" spans="1:9" ht="12.75" x14ac:dyDescent="0.2">
      <c r="A340" s="3">
        <v>39529</v>
      </c>
      <c r="B340" s="3" t="str">
        <f>IF(MONTH(Data[[#This Row],[Date]])&gt;3,YEAR(Data[[#This Row],[Date]])&amp;"-"&amp;YEAR(Data[[#This Row],[Date]])+1,YEAR(Data[[#This Row],[Date]])-1&amp;"-"&amp;YEAR(Data[[#This Row],[Date]]))</f>
        <v>2007-2008</v>
      </c>
      <c r="C340" s="3" t="str">
        <f>"Q"&amp;CEILING(MONTH(EDATE(Data[[#This Row],[Date]],-3)),3)/3</f>
        <v>Q4</v>
      </c>
      <c r="D340" s="4" t="s">
        <v>25</v>
      </c>
      <c r="E340" s="4" t="s">
        <v>30</v>
      </c>
      <c r="F340" s="5">
        <v>11950</v>
      </c>
      <c r="G340" s="5">
        <f>Data[[#This Row],[Amount]]-Data[[#This Row],[Profit]]</f>
        <v>7050</v>
      </c>
      <c r="H340" s="5">
        <v>4900</v>
      </c>
      <c r="I340" s="5" t="s">
        <v>11</v>
      </c>
    </row>
    <row r="341" spans="1:9" ht="12.75" x14ac:dyDescent="0.2">
      <c r="A341" s="3">
        <v>38815</v>
      </c>
      <c r="B341" s="3" t="str">
        <f>IF(MONTH(Data[[#This Row],[Date]])&gt;3,YEAR(Data[[#This Row],[Date]])&amp;"-"&amp;YEAR(Data[[#This Row],[Date]])+1,YEAR(Data[[#This Row],[Date]])-1&amp;"-"&amp;YEAR(Data[[#This Row],[Date]]))</f>
        <v>2006-2007</v>
      </c>
      <c r="C341" s="3" t="str">
        <f>"Q"&amp;CEILING(MONTH(EDATE(Data[[#This Row],[Date]],-3)),3)/3</f>
        <v>Q1</v>
      </c>
      <c r="D341" s="4" t="s">
        <v>25</v>
      </c>
      <c r="E341" s="4" t="s">
        <v>24</v>
      </c>
      <c r="F341" s="5">
        <v>12600</v>
      </c>
      <c r="G341" s="5">
        <f>Data[[#This Row],[Amount]]-Data[[#This Row],[Profit]]</f>
        <v>9680</v>
      </c>
      <c r="H341" s="5">
        <v>2920</v>
      </c>
      <c r="I341" s="5" t="s">
        <v>22</v>
      </c>
    </row>
    <row r="342" spans="1:9" ht="12.75" x14ac:dyDescent="0.2">
      <c r="A342" s="3">
        <v>39794</v>
      </c>
      <c r="B342" s="3" t="str">
        <f>IF(MONTH(Data[[#This Row],[Date]])&gt;3,YEAR(Data[[#This Row],[Date]])&amp;"-"&amp;YEAR(Data[[#This Row],[Date]])+1,YEAR(Data[[#This Row],[Date]])-1&amp;"-"&amp;YEAR(Data[[#This Row],[Date]]))</f>
        <v>2008-2009</v>
      </c>
      <c r="C342" s="3" t="str">
        <f>"Q"&amp;CEILING(MONTH(EDATE(Data[[#This Row],[Date]],-3)),3)/3</f>
        <v>Q3</v>
      </c>
      <c r="D342" s="4" t="s">
        <v>16</v>
      </c>
      <c r="E342" s="4" t="s">
        <v>7</v>
      </c>
      <c r="F342" s="5">
        <v>12650</v>
      </c>
      <c r="G342" s="5">
        <f>Data[[#This Row],[Amount]]-Data[[#This Row],[Profit]]</f>
        <v>8690</v>
      </c>
      <c r="H342" s="5">
        <v>3960</v>
      </c>
      <c r="I342" s="5" t="s">
        <v>8</v>
      </c>
    </row>
    <row r="343" spans="1:9" ht="12.75" x14ac:dyDescent="0.2">
      <c r="A343" s="3">
        <v>39367</v>
      </c>
      <c r="B343" s="3" t="str">
        <f>IF(MONTH(Data[[#This Row],[Date]])&gt;3,YEAR(Data[[#This Row],[Date]])&amp;"-"&amp;YEAR(Data[[#This Row],[Date]])+1,YEAR(Data[[#This Row],[Date]])-1&amp;"-"&amp;YEAR(Data[[#This Row],[Date]]))</f>
        <v>2007-2008</v>
      </c>
      <c r="C343" s="3" t="str">
        <f>"Q"&amp;CEILING(MONTH(EDATE(Data[[#This Row],[Date]],-3)),3)/3</f>
        <v>Q3</v>
      </c>
      <c r="D343" s="4" t="s">
        <v>32</v>
      </c>
      <c r="E343" s="4" t="s">
        <v>33</v>
      </c>
      <c r="F343" s="5">
        <v>11800</v>
      </c>
      <c r="G343" s="5">
        <f>Data[[#This Row],[Amount]]-Data[[#This Row],[Profit]]</f>
        <v>7580</v>
      </c>
      <c r="H343" s="5">
        <v>4220</v>
      </c>
      <c r="I343" s="5" t="s">
        <v>15</v>
      </c>
    </row>
    <row r="344" spans="1:9" ht="12.75" x14ac:dyDescent="0.2">
      <c r="A344" s="3">
        <v>39771</v>
      </c>
      <c r="B344" s="3" t="str">
        <f>IF(MONTH(Data[[#This Row],[Date]])&gt;3,YEAR(Data[[#This Row],[Date]])&amp;"-"&amp;YEAR(Data[[#This Row],[Date]])+1,YEAR(Data[[#This Row],[Date]])-1&amp;"-"&amp;YEAR(Data[[#This Row],[Date]]))</f>
        <v>2008-2009</v>
      </c>
      <c r="C344" s="3" t="str">
        <f>"Q"&amp;CEILING(MONTH(EDATE(Data[[#This Row],[Date]],-3)),3)/3</f>
        <v>Q3</v>
      </c>
      <c r="D344" s="4" t="s">
        <v>31</v>
      </c>
      <c r="E344" s="4" t="s">
        <v>21</v>
      </c>
      <c r="F344" s="5">
        <v>13050</v>
      </c>
      <c r="G344" s="5">
        <f>Data[[#This Row],[Amount]]-Data[[#This Row],[Profit]]</f>
        <v>9490</v>
      </c>
      <c r="H344" s="5">
        <v>3560</v>
      </c>
      <c r="I344" s="5" t="s">
        <v>8</v>
      </c>
    </row>
    <row r="345" spans="1:9" ht="12.75" x14ac:dyDescent="0.2">
      <c r="A345" s="3">
        <v>39254</v>
      </c>
      <c r="B345" s="3" t="str">
        <f>IF(MONTH(Data[[#This Row],[Date]])&gt;3,YEAR(Data[[#This Row],[Date]])&amp;"-"&amp;YEAR(Data[[#This Row],[Date]])+1,YEAR(Data[[#This Row],[Date]])-1&amp;"-"&amp;YEAR(Data[[#This Row],[Date]]))</f>
        <v>2007-2008</v>
      </c>
      <c r="C345" s="3" t="str">
        <f>"Q"&amp;CEILING(MONTH(EDATE(Data[[#This Row],[Date]],-3)),3)/3</f>
        <v>Q1</v>
      </c>
      <c r="D345" s="4" t="s">
        <v>27</v>
      </c>
      <c r="E345" s="4" t="s">
        <v>29</v>
      </c>
      <c r="F345" s="5">
        <v>11550</v>
      </c>
      <c r="G345" s="5">
        <f>Data[[#This Row],[Amount]]-Data[[#This Row],[Profit]]</f>
        <v>8170</v>
      </c>
      <c r="H345" s="5">
        <v>3380</v>
      </c>
      <c r="I345" s="5" t="s">
        <v>22</v>
      </c>
    </row>
    <row r="346" spans="1:9" ht="12.75" x14ac:dyDescent="0.2">
      <c r="A346" s="3">
        <v>39521</v>
      </c>
      <c r="B346" s="3" t="str">
        <f>IF(MONTH(Data[[#This Row],[Date]])&gt;3,YEAR(Data[[#This Row],[Date]])&amp;"-"&amp;YEAR(Data[[#This Row],[Date]])+1,YEAR(Data[[#This Row],[Date]])-1&amp;"-"&amp;YEAR(Data[[#This Row],[Date]]))</f>
        <v>2007-2008</v>
      </c>
      <c r="C346" s="3" t="str">
        <f>"Q"&amp;CEILING(MONTH(EDATE(Data[[#This Row],[Date]],-3)),3)/3</f>
        <v>Q4</v>
      </c>
      <c r="D346" s="4" t="s">
        <v>20</v>
      </c>
      <c r="E346" s="4" t="s">
        <v>30</v>
      </c>
      <c r="F346" s="5">
        <v>14200</v>
      </c>
      <c r="G346" s="5">
        <f>Data[[#This Row],[Amount]]-Data[[#This Row],[Profit]]</f>
        <v>10280</v>
      </c>
      <c r="H346" s="5">
        <v>3920</v>
      </c>
      <c r="I346" s="5" t="s">
        <v>8</v>
      </c>
    </row>
    <row r="347" spans="1:9" ht="12.75" x14ac:dyDescent="0.2">
      <c r="A347" s="3">
        <v>38832</v>
      </c>
      <c r="B347" s="3" t="str">
        <f>IF(MONTH(Data[[#This Row],[Date]])&gt;3,YEAR(Data[[#This Row],[Date]])&amp;"-"&amp;YEAR(Data[[#This Row],[Date]])+1,YEAR(Data[[#This Row],[Date]])-1&amp;"-"&amp;YEAR(Data[[#This Row],[Date]]))</f>
        <v>2006-2007</v>
      </c>
      <c r="C347" s="3" t="str">
        <f>"Q"&amp;CEILING(MONTH(EDATE(Data[[#This Row],[Date]],-3)),3)/3</f>
        <v>Q1</v>
      </c>
      <c r="D347" s="4" t="s">
        <v>20</v>
      </c>
      <c r="E347" s="4" t="s">
        <v>10</v>
      </c>
      <c r="F347" s="5">
        <v>11650</v>
      </c>
      <c r="G347" s="5">
        <f>Data[[#This Row],[Amount]]-Data[[#This Row],[Profit]]</f>
        <v>8390</v>
      </c>
      <c r="H347" s="5">
        <v>3260</v>
      </c>
      <c r="I347" s="5" t="s">
        <v>22</v>
      </c>
    </row>
    <row r="348" spans="1:9" ht="12.75" x14ac:dyDescent="0.2">
      <c r="A348" s="3">
        <v>39395</v>
      </c>
      <c r="B348" s="3" t="str">
        <f>IF(MONTH(Data[[#This Row],[Date]])&gt;3,YEAR(Data[[#This Row],[Date]])&amp;"-"&amp;YEAR(Data[[#This Row],[Date]])+1,YEAR(Data[[#This Row],[Date]])-1&amp;"-"&amp;YEAR(Data[[#This Row],[Date]]))</f>
        <v>2007-2008</v>
      </c>
      <c r="C348" s="3" t="str">
        <f>"Q"&amp;CEILING(MONTH(EDATE(Data[[#This Row],[Date]],-3)),3)/3</f>
        <v>Q3</v>
      </c>
      <c r="D348" s="4" t="s">
        <v>18</v>
      </c>
      <c r="E348" s="4" t="s">
        <v>29</v>
      </c>
      <c r="F348" s="5">
        <v>10200</v>
      </c>
      <c r="G348" s="5">
        <f>Data[[#This Row],[Amount]]-Data[[#This Row],[Profit]]</f>
        <v>5600</v>
      </c>
      <c r="H348" s="5">
        <v>4600</v>
      </c>
      <c r="I348" s="5" t="s">
        <v>22</v>
      </c>
    </row>
    <row r="349" spans="1:9" ht="12.75" x14ac:dyDescent="0.2">
      <c r="A349" s="3">
        <v>38525</v>
      </c>
      <c r="B349" s="3" t="str">
        <f>IF(MONTH(Data[[#This Row],[Date]])&gt;3,YEAR(Data[[#This Row],[Date]])&amp;"-"&amp;YEAR(Data[[#This Row],[Date]])+1,YEAR(Data[[#This Row],[Date]])-1&amp;"-"&amp;YEAR(Data[[#This Row],[Date]]))</f>
        <v>2005-2006</v>
      </c>
      <c r="C349" s="3" t="str">
        <f>"Q"&amp;CEILING(MONTH(EDATE(Data[[#This Row],[Date]],-3)),3)/3</f>
        <v>Q1</v>
      </c>
      <c r="D349" s="4" t="s">
        <v>20</v>
      </c>
      <c r="E349" s="4" t="s">
        <v>10</v>
      </c>
      <c r="F349" s="5">
        <v>15000</v>
      </c>
      <c r="G349" s="5">
        <f>Data[[#This Row],[Amount]]-Data[[#This Row],[Profit]]</f>
        <v>11920</v>
      </c>
      <c r="H349" s="5">
        <v>3080</v>
      </c>
      <c r="I349" s="5" t="s">
        <v>22</v>
      </c>
    </row>
    <row r="350" spans="1:9" ht="12.75" x14ac:dyDescent="0.2">
      <c r="A350" s="3">
        <v>38559</v>
      </c>
      <c r="B350" s="3" t="str">
        <f>IF(MONTH(Data[[#This Row],[Date]])&gt;3,YEAR(Data[[#This Row],[Date]])&amp;"-"&amp;YEAR(Data[[#This Row],[Date]])+1,YEAR(Data[[#This Row],[Date]])-1&amp;"-"&amp;YEAR(Data[[#This Row],[Date]]))</f>
        <v>2005-2006</v>
      </c>
      <c r="C350" s="3" t="str">
        <f>"Q"&amp;CEILING(MONTH(EDATE(Data[[#This Row],[Date]],-3)),3)/3</f>
        <v>Q2</v>
      </c>
      <c r="D350" s="4" t="s">
        <v>27</v>
      </c>
      <c r="E350" s="4" t="s">
        <v>17</v>
      </c>
      <c r="F350" s="5">
        <v>12400</v>
      </c>
      <c r="G350" s="5">
        <f>Data[[#This Row],[Amount]]-Data[[#This Row],[Profit]]</f>
        <v>6900</v>
      </c>
      <c r="H350" s="5">
        <v>5500</v>
      </c>
      <c r="I350" s="5" t="s">
        <v>15</v>
      </c>
    </row>
    <row r="351" spans="1:9" ht="12.75" x14ac:dyDescent="0.2">
      <c r="A351" s="3">
        <v>39304</v>
      </c>
      <c r="B351" s="3" t="str">
        <f>IF(MONTH(Data[[#This Row],[Date]])&gt;3,YEAR(Data[[#This Row],[Date]])&amp;"-"&amp;YEAR(Data[[#This Row],[Date]])+1,YEAR(Data[[#This Row],[Date]])-1&amp;"-"&amp;YEAR(Data[[#This Row],[Date]]))</f>
        <v>2007-2008</v>
      </c>
      <c r="C351" s="3" t="str">
        <f>"Q"&amp;CEILING(MONTH(EDATE(Data[[#This Row],[Date]],-3)),3)/3</f>
        <v>Q2</v>
      </c>
      <c r="D351" s="4" t="s">
        <v>9</v>
      </c>
      <c r="E351" s="4" t="s">
        <v>19</v>
      </c>
      <c r="F351" s="5">
        <v>11400</v>
      </c>
      <c r="G351" s="5">
        <f>Data[[#This Row],[Amount]]-Data[[#This Row],[Profit]]</f>
        <v>6280</v>
      </c>
      <c r="H351" s="5">
        <v>5120</v>
      </c>
      <c r="I351" s="5" t="s">
        <v>22</v>
      </c>
    </row>
    <row r="352" spans="1:9" ht="12.75" x14ac:dyDescent="0.2">
      <c r="A352" s="3">
        <v>39365</v>
      </c>
      <c r="B352" s="3" t="str">
        <f>IF(MONTH(Data[[#This Row],[Date]])&gt;3,YEAR(Data[[#This Row],[Date]])&amp;"-"&amp;YEAR(Data[[#This Row],[Date]])+1,YEAR(Data[[#This Row],[Date]])-1&amp;"-"&amp;YEAR(Data[[#This Row],[Date]]))</f>
        <v>2007-2008</v>
      </c>
      <c r="C352" s="3" t="str">
        <f>"Q"&amp;CEILING(MONTH(EDATE(Data[[#This Row],[Date]],-3)),3)/3</f>
        <v>Q3</v>
      </c>
      <c r="D352" s="4" t="s">
        <v>14</v>
      </c>
      <c r="E352" s="4" t="s">
        <v>19</v>
      </c>
      <c r="F352" s="5">
        <v>12800</v>
      </c>
      <c r="G352" s="5">
        <f>Data[[#This Row],[Amount]]-Data[[#This Row],[Profit]]</f>
        <v>9480</v>
      </c>
      <c r="H352" s="5">
        <v>3320</v>
      </c>
      <c r="I352" s="5" t="s">
        <v>11</v>
      </c>
    </row>
    <row r="353" spans="1:9" ht="12.75" x14ac:dyDescent="0.2">
      <c r="A353" s="3">
        <v>39253</v>
      </c>
      <c r="B353" s="3" t="str">
        <f>IF(MONTH(Data[[#This Row],[Date]])&gt;3,YEAR(Data[[#This Row],[Date]])&amp;"-"&amp;YEAR(Data[[#This Row],[Date]])+1,YEAR(Data[[#This Row],[Date]])-1&amp;"-"&amp;YEAR(Data[[#This Row],[Date]]))</f>
        <v>2007-2008</v>
      </c>
      <c r="C353" s="3" t="str">
        <f>"Q"&amp;CEILING(MONTH(EDATE(Data[[#This Row],[Date]],-3)),3)/3</f>
        <v>Q1</v>
      </c>
      <c r="D353" s="4" t="s">
        <v>25</v>
      </c>
      <c r="E353" s="4" t="s">
        <v>28</v>
      </c>
      <c r="F353" s="5">
        <v>10600</v>
      </c>
      <c r="G353" s="5">
        <f>Data[[#This Row],[Amount]]-Data[[#This Row],[Profit]]</f>
        <v>5540</v>
      </c>
      <c r="H353" s="5">
        <v>5060</v>
      </c>
      <c r="I353" s="5" t="s">
        <v>11</v>
      </c>
    </row>
    <row r="354" spans="1:9" ht="12.75" x14ac:dyDescent="0.2">
      <c r="A354" s="3">
        <v>39203</v>
      </c>
      <c r="B354" s="3" t="str">
        <f>IF(MONTH(Data[[#This Row],[Date]])&gt;3,YEAR(Data[[#This Row],[Date]])&amp;"-"&amp;YEAR(Data[[#This Row],[Date]])+1,YEAR(Data[[#This Row],[Date]])-1&amp;"-"&amp;YEAR(Data[[#This Row],[Date]]))</f>
        <v>2007-2008</v>
      </c>
      <c r="C354" s="3" t="str">
        <f>"Q"&amp;CEILING(MONTH(EDATE(Data[[#This Row],[Date]],-3)),3)/3</f>
        <v>Q1</v>
      </c>
      <c r="D354" s="4" t="s">
        <v>27</v>
      </c>
      <c r="E354" s="4" t="s">
        <v>29</v>
      </c>
      <c r="F354" s="5">
        <v>12850</v>
      </c>
      <c r="G354" s="5">
        <f>Data[[#This Row],[Amount]]-Data[[#This Row],[Profit]]</f>
        <v>9970</v>
      </c>
      <c r="H354" s="5">
        <v>2880</v>
      </c>
      <c r="I354" s="5" t="s">
        <v>22</v>
      </c>
    </row>
    <row r="355" spans="1:9" ht="12.75" x14ac:dyDescent="0.2">
      <c r="A355" s="3">
        <v>39703</v>
      </c>
      <c r="B355" s="3" t="str">
        <f>IF(MONTH(Data[[#This Row],[Date]])&gt;3,YEAR(Data[[#This Row],[Date]])&amp;"-"&amp;YEAR(Data[[#This Row],[Date]])+1,YEAR(Data[[#This Row],[Date]])-1&amp;"-"&amp;YEAR(Data[[#This Row],[Date]]))</f>
        <v>2008-2009</v>
      </c>
      <c r="C355" s="3" t="str">
        <f>"Q"&amp;CEILING(MONTH(EDATE(Data[[#This Row],[Date]],-3)),3)/3</f>
        <v>Q2</v>
      </c>
      <c r="D355" s="4" t="s">
        <v>6</v>
      </c>
      <c r="E355" s="4" t="s">
        <v>13</v>
      </c>
      <c r="F355" s="5">
        <v>13900</v>
      </c>
      <c r="G355" s="5">
        <f>Data[[#This Row],[Amount]]-Data[[#This Row],[Profit]]</f>
        <v>9660</v>
      </c>
      <c r="H355" s="5">
        <v>4240</v>
      </c>
      <c r="I355" s="5" t="s">
        <v>22</v>
      </c>
    </row>
    <row r="356" spans="1:9" ht="12.75" x14ac:dyDescent="0.2">
      <c r="A356" s="3">
        <v>38866</v>
      </c>
      <c r="B356" s="3" t="str">
        <f>IF(MONTH(Data[[#This Row],[Date]])&gt;3,YEAR(Data[[#This Row],[Date]])&amp;"-"&amp;YEAR(Data[[#This Row],[Date]])+1,YEAR(Data[[#This Row],[Date]])-1&amp;"-"&amp;YEAR(Data[[#This Row],[Date]]))</f>
        <v>2006-2007</v>
      </c>
      <c r="C356" s="3" t="str">
        <f>"Q"&amp;CEILING(MONTH(EDATE(Data[[#This Row],[Date]],-3)),3)/3</f>
        <v>Q1</v>
      </c>
      <c r="D356" s="4" t="s">
        <v>16</v>
      </c>
      <c r="E356" s="4" t="s">
        <v>30</v>
      </c>
      <c r="F356" s="5">
        <v>14650</v>
      </c>
      <c r="G356" s="5">
        <f>Data[[#This Row],[Amount]]-Data[[#This Row],[Profit]]</f>
        <v>9610</v>
      </c>
      <c r="H356" s="5">
        <v>5040</v>
      </c>
      <c r="I356" s="5" t="s">
        <v>8</v>
      </c>
    </row>
    <row r="357" spans="1:9" ht="12.75" x14ac:dyDescent="0.2">
      <c r="A357" s="3">
        <v>39398</v>
      </c>
      <c r="B357" s="3" t="str">
        <f>IF(MONTH(Data[[#This Row],[Date]])&gt;3,YEAR(Data[[#This Row],[Date]])&amp;"-"&amp;YEAR(Data[[#This Row],[Date]])+1,YEAR(Data[[#This Row],[Date]])-1&amp;"-"&amp;YEAR(Data[[#This Row],[Date]]))</f>
        <v>2007-2008</v>
      </c>
      <c r="C357" s="3" t="str">
        <f>"Q"&amp;CEILING(MONTH(EDATE(Data[[#This Row],[Date]],-3)),3)/3</f>
        <v>Q3</v>
      </c>
      <c r="D357" s="4" t="s">
        <v>6</v>
      </c>
      <c r="E357" s="4" t="s">
        <v>13</v>
      </c>
      <c r="F357" s="5">
        <v>13700</v>
      </c>
      <c r="G357" s="5">
        <f>Data[[#This Row],[Amount]]-Data[[#This Row],[Profit]]</f>
        <v>9660</v>
      </c>
      <c r="H357" s="5">
        <v>4040</v>
      </c>
      <c r="I357" s="5" t="s">
        <v>8</v>
      </c>
    </row>
    <row r="358" spans="1:9" ht="12.75" x14ac:dyDescent="0.2">
      <c r="A358" s="3">
        <v>38541</v>
      </c>
      <c r="B358" s="3" t="str">
        <f>IF(MONTH(Data[[#This Row],[Date]])&gt;3,YEAR(Data[[#This Row],[Date]])&amp;"-"&amp;YEAR(Data[[#This Row],[Date]])+1,YEAR(Data[[#This Row],[Date]])-1&amp;"-"&amp;YEAR(Data[[#This Row],[Date]]))</f>
        <v>2005-2006</v>
      </c>
      <c r="C358" s="3" t="str">
        <f>"Q"&amp;CEILING(MONTH(EDATE(Data[[#This Row],[Date]],-3)),3)/3</f>
        <v>Q2</v>
      </c>
      <c r="D358" s="4" t="s">
        <v>9</v>
      </c>
      <c r="E358" s="4" t="s">
        <v>26</v>
      </c>
      <c r="F358" s="5">
        <v>14600</v>
      </c>
      <c r="G358" s="5">
        <f>Data[[#This Row],[Amount]]-Data[[#This Row],[Profit]]</f>
        <v>9320</v>
      </c>
      <c r="H358" s="5">
        <v>5280</v>
      </c>
      <c r="I358" s="5" t="s">
        <v>8</v>
      </c>
    </row>
    <row r="359" spans="1:9" ht="12.75" x14ac:dyDescent="0.2">
      <c r="A359" s="3">
        <v>39764</v>
      </c>
      <c r="B359" s="3" t="str">
        <f>IF(MONTH(Data[[#This Row],[Date]])&gt;3,YEAR(Data[[#This Row],[Date]])&amp;"-"&amp;YEAR(Data[[#This Row],[Date]])+1,YEAR(Data[[#This Row],[Date]])-1&amp;"-"&amp;YEAR(Data[[#This Row],[Date]]))</f>
        <v>2008-2009</v>
      </c>
      <c r="C359" s="3" t="str">
        <f>"Q"&amp;CEILING(MONTH(EDATE(Data[[#This Row],[Date]],-3)),3)/3</f>
        <v>Q3</v>
      </c>
      <c r="D359" s="4" t="s">
        <v>20</v>
      </c>
      <c r="E359" s="4" t="s">
        <v>10</v>
      </c>
      <c r="F359" s="5">
        <v>11400</v>
      </c>
      <c r="G359" s="5">
        <f>Data[[#This Row],[Amount]]-Data[[#This Row],[Profit]]</f>
        <v>7720</v>
      </c>
      <c r="H359" s="5">
        <v>3680</v>
      </c>
      <c r="I359" s="5" t="s">
        <v>22</v>
      </c>
    </row>
    <row r="360" spans="1:9" ht="12.75" x14ac:dyDescent="0.2">
      <c r="A360" s="3">
        <v>39468</v>
      </c>
      <c r="B360" s="3" t="str">
        <f>IF(MONTH(Data[[#This Row],[Date]])&gt;3,YEAR(Data[[#This Row],[Date]])&amp;"-"&amp;YEAR(Data[[#This Row],[Date]])+1,YEAR(Data[[#This Row],[Date]])-1&amp;"-"&amp;YEAR(Data[[#This Row],[Date]]))</f>
        <v>2007-2008</v>
      </c>
      <c r="C360" s="3" t="str">
        <f>"Q"&amp;CEILING(MONTH(EDATE(Data[[#This Row],[Date]],-3)),3)/3</f>
        <v>Q4</v>
      </c>
      <c r="D360" s="4" t="s">
        <v>6</v>
      </c>
      <c r="E360" s="4" t="s">
        <v>19</v>
      </c>
      <c r="F360" s="5">
        <v>10050</v>
      </c>
      <c r="G360" s="5">
        <f>Data[[#This Row],[Amount]]-Data[[#This Row],[Profit]]</f>
        <v>6350</v>
      </c>
      <c r="H360" s="5">
        <v>3700</v>
      </c>
      <c r="I360" s="5" t="s">
        <v>15</v>
      </c>
    </row>
    <row r="361" spans="1:9" ht="12.75" x14ac:dyDescent="0.2">
      <c r="A361" s="3">
        <v>38514</v>
      </c>
      <c r="B361" s="3" t="str">
        <f>IF(MONTH(Data[[#This Row],[Date]])&gt;3,YEAR(Data[[#This Row],[Date]])&amp;"-"&amp;YEAR(Data[[#This Row],[Date]])+1,YEAR(Data[[#This Row],[Date]])-1&amp;"-"&amp;YEAR(Data[[#This Row],[Date]]))</f>
        <v>2005-2006</v>
      </c>
      <c r="C361" s="3" t="str">
        <f>"Q"&amp;CEILING(MONTH(EDATE(Data[[#This Row],[Date]],-3)),3)/3</f>
        <v>Q1</v>
      </c>
      <c r="D361" s="4" t="s">
        <v>16</v>
      </c>
      <c r="E361" s="4" t="s">
        <v>29</v>
      </c>
      <c r="F361" s="5">
        <v>10950</v>
      </c>
      <c r="G361" s="5">
        <f>Data[[#This Row],[Amount]]-Data[[#This Row],[Profit]]</f>
        <v>5350</v>
      </c>
      <c r="H361" s="5">
        <v>5600</v>
      </c>
      <c r="I361" s="5" t="s">
        <v>22</v>
      </c>
    </row>
    <row r="362" spans="1:9" ht="12.75" x14ac:dyDescent="0.2">
      <c r="A362" s="3">
        <v>39568</v>
      </c>
      <c r="B362" s="3" t="str">
        <f>IF(MONTH(Data[[#This Row],[Date]])&gt;3,YEAR(Data[[#This Row],[Date]])&amp;"-"&amp;YEAR(Data[[#This Row],[Date]])+1,YEAR(Data[[#This Row],[Date]])-1&amp;"-"&amp;YEAR(Data[[#This Row],[Date]]))</f>
        <v>2008-2009</v>
      </c>
      <c r="C362" s="3" t="str">
        <f>"Q"&amp;CEILING(MONTH(EDATE(Data[[#This Row],[Date]],-3)),3)/3</f>
        <v>Q1</v>
      </c>
      <c r="D362" s="4" t="s">
        <v>31</v>
      </c>
      <c r="E362" s="4" t="s">
        <v>19</v>
      </c>
      <c r="F362" s="5">
        <v>12300</v>
      </c>
      <c r="G362" s="5">
        <f>Data[[#This Row],[Amount]]-Data[[#This Row],[Profit]]</f>
        <v>9880</v>
      </c>
      <c r="H362" s="5">
        <v>2420</v>
      </c>
      <c r="I362" s="5" t="s">
        <v>15</v>
      </c>
    </row>
    <row r="363" spans="1:9" ht="12.75" x14ac:dyDescent="0.2">
      <c r="A363" s="3">
        <v>39312</v>
      </c>
      <c r="B363" s="3" t="str">
        <f>IF(MONTH(Data[[#This Row],[Date]])&gt;3,YEAR(Data[[#This Row],[Date]])&amp;"-"&amp;YEAR(Data[[#This Row],[Date]])+1,YEAR(Data[[#This Row],[Date]])-1&amp;"-"&amp;YEAR(Data[[#This Row],[Date]]))</f>
        <v>2007-2008</v>
      </c>
      <c r="C363" s="3" t="str">
        <f>"Q"&amp;CEILING(MONTH(EDATE(Data[[#This Row],[Date]],-3)),3)/3</f>
        <v>Q2</v>
      </c>
      <c r="D363" s="4" t="s">
        <v>9</v>
      </c>
      <c r="E363" s="4" t="s">
        <v>7</v>
      </c>
      <c r="F363" s="5">
        <v>10100</v>
      </c>
      <c r="G363" s="5">
        <f>Data[[#This Row],[Amount]]-Data[[#This Row],[Profit]]</f>
        <v>7020</v>
      </c>
      <c r="H363" s="5">
        <v>3080</v>
      </c>
      <c r="I363" s="5" t="s">
        <v>8</v>
      </c>
    </row>
    <row r="364" spans="1:9" ht="12.75" x14ac:dyDescent="0.2">
      <c r="A364" s="3">
        <v>38738</v>
      </c>
      <c r="B364" s="3" t="str">
        <f>IF(MONTH(Data[[#This Row],[Date]])&gt;3,YEAR(Data[[#This Row],[Date]])&amp;"-"&amp;YEAR(Data[[#This Row],[Date]])+1,YEAR(Data[[#This Row],[Date]])-1&amp;"-"&amp;YEAR(Data[[#This Row],[Date]]))</f>
        <v>2005-2006</v>
      </c>
      <c r="C364" s="3" t="str">
        <f>"Q"&amp;CEILING(MONTH(EDATE(Data[[#This Row],[Date]],-3)),3)/3</f>
        <v>Q4</v>
      </c>
      <c r="D364" s="4" t="s">
        <v>25</v>
      </c>
      <c r="E364" s="4" t="s">
        <v>7</v>
      </c>
      <c r="F364" s="5">
        <v>13750</v>
      </c>
      <c r="G364" s="5">
        <f>Data[[#This Row],[Amount]]-Data[[#This Row],[Profit]]</f>
        <v>10410</v>
      </c>
      <c r="H364" s="5">
        <v>3340</v>
      </c>
      <c r="I364" s="5" t="s">
        <v>11</v>
      </c>
    </row>
    <row r="365" spans="1:9" ht="12.75" x14ac:dyDescent="0.2">
      <c r="A365" s="3">
        <v>39046</v>
      </c>
      <c r="B365" s="3" t="str">
        <f>IF(MONTH(Data[[#This Row],[Date]])&gt;3,YEAR(Data[[#This Row],[Date]])&amp;"-"&amp;YEAR(Data[[#This Row],[Date]])+1,YEAR(Data[[#This Row],[Date]])-1&amp;"-"&amp;YEAR(Data[[#This Row],[Date]]))</f>
        <v>2006-2007</v>
      </c>
      <c r="C365" s="3" t="str">
        <f>"Q"&amp;CEILING(MONTH(EDATE(Data[[#This Row],[Date]],-3)),3)/3</f>
        <v>Q3</v>
      </c>
      <c r="D365" s="4" t="s">
        <v>18</v>
      </c>
      <c r="E365" s="4" t="s">
        <v>10</v>
      </c>
      <c r="F365" s="5">
        <v>14900</v>
      </c>
      <c r="G365" s="5">
        <f>Data[[#This Row],[Amount]]-Data[[#This Row],[Profit]]</f>
        <v>10260</v>
      </c>
      <c r="H365" s="5">
        <v>4640</v>
      </c>
      <c r="I365" s="5" t="s">
        <v>11</v>
      </c>
    </row>
    <row r="366" spans="1:9" ht="12.75" x14ac:dyDescent="0.2">
      <c r="A366" s="3">
        <v>38767</v>
      </c>
      <c r="B366" s="3" t="str">
        <f>IF(MONTH(Data[[#This Row],[Date]])&gt;3,YEAR(Data[[#This Row],[Date]])&amp;"-"&amp;YEAR(Data[[#This Row],[Date]])+1,YEAR(Data[[#This Row],[Date]])-1&amp;"-"&amp;YEAR(Data[[#This Row],[Date]]))</f>
        <v>2005-2006</v>
      </c>
      <c r="C366" s="3" t="str">
        <f>"Q"&amp;CEILING(MONTH(EDATE(Data[[#This Row],[Date]],-3)),3)/3</f>
        <v>Q4</v>
      </c>
      <c r="D366" s="4" t="s">
        <v>23</v>
      </c>
      <c r="E366" s="4" t="s">
        <v>30</v>
      </c>
      <c r="F366" s="5">
        <v>13300</v>
      </c>
      <c r="G366" s="5">
        <f>Data[[#This Row],[Amount]]-Data[[#This Row],[Profit]]</f>
        <v>9520</v>
      </c>
      <c r="H366" s="5">
        <v>3780</v>
      </c>
      <c r="I366" s="5" t="s">
        <v>22</v>
      </c>
    </row>
    <row r="367" spans="1:9" ht="12.75" x14ac:dyDescent="0.2">
      <c r="A367" s="3">
        <v>38809</v>
      </c>
      <c r="B367" s="3" t="str">
        <f>IF(MONTH(Data[[#This Row],[Date]])&gt;3,YEAR(Data[[#This Row],[Date]])&amp;"-"&amp;YEAR(Data[[#This Row],[Date]])+1,YEAR(Data[[#This Row],[Date]])-1&amp;"-"&amp;YEAR(Data[[#This Row],[Date]]))</f>
        <v>2006-2007</v>
      </c>
      <c r="C367" s="3" t="str">
        <f>"Q"&amp;CEILING(MONTH(EDATE(Data[[#This Row],[Date]],-3)),3)/3</f>
        <v>Q1</v>
      </c>
      <c r="D367" s="4" t="s">
        <v>6</v>
      </c>
      <c r="E367" s="4" t="s">
        <v>10</v>
      </c>
      <c r="F367" s="5">
        <v>13100</v>
      </c>
      <c r="G367" s="5">
        <f>Data[[#This Row],[Amount]]-Data[[#This Row],[Profit]]</f>
        <v>11040</v>
      </c>
      <c r="H367" s="5">
        <v>2060</v>
      </c>
      <c r="I367" s="5" t="s">
        <v>15</v>
      </c>
    </row>
    <row r="368" spans="1:9" ht="12.75" x14ac:dyDescent="0.2">
      <c r="A368" s="3">
        <v>39130</v>
      </c>
      <c r="B368" s="3" t="str">
        <f>IF(MONTH(Data[[#This Row],[Date]])&gt;3,YEAR(Data[[#This Row],[Date]])&amp;"-"&amp;YEAR(Data[[#This Row],[Date]])+1,YEAR(Data[[#This Row],[Date]])-1&amp;"-"&amp;YEAR(Data[[#This Row],[Date]]))</f>
        <v>2006-2007</v>
      </c>
      <c r="C368" s="3" t="str">
        <f>"Q"&amp;CEILING(MONTH(EDATE(Data[[#This Row],[Date]],-3)),3)/3</f>
        <v>Q4</v>
      </c>
      <c r="D368" s="4" t="s">
        <v>14</v>
      </c>
      <c r="E368" s="4" t="s">
        <v>29</v>
      </c>
      <c r="F368" s="5">
        <v>10800</v>
      </c>
      <c r="G368" s="5">
        <f>Data[[#This Row],[Amount]]-Data[[#This Row],[Profit]]</f>
        <v>8140</v>
      </c>
      <c r="H368" s="5">
        <v>2660</v>
      </c>
      <c r="I368" s="5" t="s">
        <v>11</v>
      </c>
    </row>
    <row r="369" spans="1:9" ht="12.75" x14ac:dyDescent="0.2">
      <c r="A369" s="3">
        <v>39466</v>
      </c>
      <c r="B369" s="3" t="str">
        <f>IF(MONTH(Data[[#This Row],[Date]])&gt;3,YEAR(Data[[#This Row],[Date]])&amp;"-"&amp;YEAR(Data[[#This Row],[Date]])+1,YEAR(Data[[#This Row],[Date]])-1&amp;"-"&amp;YEAR(Data[[#This Row],[Date]]))</f>
        <v>2007-2008</v>
      </c>
      <c r="C369" s="3" t="str">
        <f>"Q"&amp;CEILING(MONTH(EDATE(Data[[#This Row],[Date]],-3)),3)/3</f>
        <v>Q4</v>
      </c>
      <c r="D369" s="4" t="s">
        <v>27</v>
      </c>
      <c r="E369" s="4" t="s">
        <v>10</v>
      </c>
      <c r="F369" s="5">
        <v>10450</v>
      </c>
      <c r="G369" s="5">
        <f>Data[[#This Row],[Amount]]-Data[[#This Row],[Profit]]</f>
        <v>7330</v>
      </c>
      <c r="H369" s="5">
        <v>3120</v>
      </c>
      <c r="I369" s="5" t="s">
        <v>8</v>
      </c>
    </row>
    <row r="370" spans="1:9" ht="12.75" x14ac:dyDescent="0.2">
      <c r="A370" s="3">
        <v>39795</v>
      </c>
      <c r="B370" s="3" t="str">
        <f>IF(MONTH(Data[[#This Row],[Date]])&gt;3,YEAR(Data[[#This Row],[Date]])&amp;"-"&amp;YEAR(Data[[#This Row],[Date]])+1,YEAR(Data[[#This Row],[Date]])-1&amp;"-"&amp;YEAR(Data[[#This Row],[Date]]))</f>
        <v>2008-2009</v>
      </c>
      <c r="C370" s="3" t="str">
        <f>"Q"&amp;CEILING(MONTH(EDATE(Data[[#This Row],[Date]],-3)),3)/3</f>
        <v>Q3</v>
      </c>
      <c r="D370" s="4" t="s">
        <v>25</v>
      </c>
      <c r="E370" s="4" t="s">
        <v>19</v>
      </c>
      <c r="F370" s="5">
        <v>14750</v>
      </c>
      <c r="G370" s="5">
        <f>Data[[#This Row],[Amount]]-Data[[#This Row],[Profit]]</f>
        <v>12630</v>
      </c>
      <c r="H370" s="5">
        <v>2120</v>
      </c>
      <c r="I370" s="5" t="s">
        <v>22</v>
      </c>
    </row>
    <row r="371" spans="1:9" ht="12.75" x14ac:dyDescent="0.2">
      <c r="A371" s="3">
        <v>38429</v>
      </c>
      <c r="B371" s="3" t="str">
        <f>IF(MONTH(Data[[#This Row],[Date]])&gt;3,YEAR(Data[[#This Row],[Date]])&amp;"-"&amp;YEAR(Data[[#This Row],[Date]])+1,YEAR(Data[[#This Row],[Date]])-1&amp;"-"&amp;YEAR(Data[[#This Row],[Date]]))</f>
        <v>2004-2005</v>
      </c>
      <c r="C371" s="3" t="str">
        <f>"Q"&amp;CEILING(MONTH(EDATE(Data[[#This Row],[Date]],-3)),3)/3</f>
        <v>Q4</v>
      </c>
      <c r="D371" s="4" t="s">
        <v>23</v>
      </c>
      <c r="E371" s="4" t="s">
        <v>29</v>
      </c>
      <c r="F371" s="5">
        <v>14700</v>
      </c>
      <c r="G371" s="5">
        <f>Data[[#This Row],[Amount]]-Data[[#This Row],[Profit]]</f>
        <v>11520</v>
      </c>
      <c r="H371" s="5">
        <v>3180</v>
      </c>
      <c r="I371" s="5" t="s">
        <v>8</v>
      </c>
    </row>
    <row r="372" spans="1:9" ht="12.75" x14ac:dyDescent="0.2">
      <c r="A372" s="3">
        <v>39530</v>
      </c>
      <c r="B372" s="3" t="str">
        <f>IF(MONTH(Data[[#This Row],[Date]])&gt;3,YEAR(Data[[#This Row],[Date]])&amp;"-"&amp;YEAR(Data[[#This Row],[Date]])+1,YEAR(Data[[#This Row],[Date]])-1&amp;"-"&amp;YEAR(Data[[#This Row],[Date]]))</f>
        <v>2007-2008</v>
      </c>
      <c r="C372" s="3" t="str">
        <f>"Q"&amp;CEILING(MONTH(EDATE(Data[[#This Row],[Date]],-3)),3)/3</f>
        <v>Q4</v>
      </c>
      <c r="D372" s="4" t="s">
        <v>31</v>
      </c>
      <c r="E372" s="4" t="s">
        <v>19</v>
      </c>
      <c r="F372" s="5">
        <v>14700</v>
      </c>
      <c r="G372" s="5">
        <f>Data[[#This Row],[Amount]]-Data[[#This Row],[Profit]]</f>
        <v>10940</v>
      </c>
      <c r="H372" s="5">
        <v>3760</v>
      </c>
      <c r="I372" s="5" t="s">
        <v>11</v>
      </c>
    </row>
    <row r="373" spans="1:9" ht="12.75" x14ac:dyDescent="0.2">
      <c r="A373" s="3">
        <v>39088</v>
      </c>
      <c r="B373" s="3" t="str">
        <f>IF(MONTH(Data[[#This Row],[Date]])&gt;3,YEAR(Data[[#This Row],[Date]])&amp;"-"&amp;YEAR(Data[[#This Row],[Date]])+1,YEAR(Data[[#This Row],[Date]])-1&amp;"-"&amp;YEAR(Data[[#This Row],[Date]]))</f>
        <v>2006-2007</v>
      </c>
      <c r="C373" s="3" t="str">
        <f>"Q"&amp;CEILING(MONTH(EDATE(Data[[#This Row],[Date]],-3)),3)/3</f>
        <v>Q4</v>
      </c>
      <c r="D373" s="4" t="s">
        <v>12</v>
      </c>
      <c r="E373" s="4" t="s">
        <v>24</v>
      </c>
      <c r="F373" s="5">
        <v>12850</v>
      </c>
      <c r="G373" s="5">
        <f>Data[[#This Row],[Amount]]-Data[[#This Row],[Profit]]</f>
        <v>7470</v>
      </c>
      <c r="H373" s="5">
        <v>5380</v>
      </c>
      <c r="I373" s="5" t="s">
        <v>22</v>
      </c>
    </row>
    <row r="374" spans="1:9" ht="12.75" x14ac:dyDescent="0.2">
      <c r="A374" s="3">
        <v>39521</v>
      </c>
      <c r="B374" s="3" t="str">
        <f>IF(MONTH(Data[[#This Row],[Date]])&gt;3,YEAR(Data[[#This Row],[Date]])&amp;"-"&amp;YEAR(Data[[#This Row],[Date]])+1,YEAR(Data[[#This Row],[Date]])-1&amp;"-"&amp;YEAR(Data[[#This Row],[Date]]))</f>
        <v>2007-2008</v>
      </c>
      <c r="C374" s="3" t="str">
        <f>"Q"&amp;CEILING(MONTH(EDATE(Data[[#This Row],[Date]],-3)),3)/3</f>
        <v>Q4</v>
      </c>
      <c r="D374" s="4" t="s">
        <v>14</v>
      </c>
      <c r="E374" s="4" t="s">
        <v>7</v>
      </c>
      <c r="F374" s="5">
        <v>11300</v>
      </c>
      <c r="G374" s="5">
        <f>Data[[#This Row],[Amount]]-Data[[#This Row],[Profit]]</f>
        <v>5960</v>
      </c>
      <c r="H374" s="5">
        <v>5340</v>
      </c>
      <c r="I374" s="5" t="s">
        <v>15</v>
      </c>
    </row>
    <row r="375" spans="1:9" ht="12.75" x14ac:dyDescent="0.2">
      <c r="A375" s="3">
        <v>39296</v>
      </c>
      <c r="B375" s="3" t="str">
        <f>IF(MONTH(Data[[#This Row],[Date]])&gt;3,YEAR(Data[[#This Row],[Date]])&amp;"-"&amp;YEAR(Data[[#This Row],[Date]])+1,YEAR(Data[[#This Row],[Date]])-1&amp;"-"&amp;YEAR(Data[[#This Row],[Date]]))</f>
        <v>2007-2008</v>
      </c>
      <c r="C375" s="3" t="str">
        <f>"Q"&amp;CEILING(MONTH(EDATE(Data[[#This Row],[Date]],-3)),3)/3</f>
        <v>Q2</v>
      </c>
      <c r="D375" s="4" t="s">
        <v>23</v>
      </c>
      <c r="E375" s="4" t="s">
        <v>28</v>
      </c>
      <c r="F375" s="5">
        <v>12100</v>
      </c>
      <c r="G375" s="5">
        <f>Data[[#This Row],[Amount]]-Data[[#This Row],[Profit]]</f>
        <v>7560</v>
      </c>
      <c r="H375" s="5">
        <v>4540</v>
      </c>
      <c r="I375" s="5" t="s">
        <v>11</v>
      </c>
    </row>
    <row r="376" spans="1:9" ht="12.75" x14ac:dyDescent="0.2">
      <c r="A376" s="3">
        <v>38981</v>
      </c>
      <c r="B376" s="3" t="str">
        <f>IF(MONTH(Data[[#This Row],[Date]])&gt;3,YEAR(Data[[#This Row],[Date]])&amp;"-"&amp;YEAR(Data[[#This Row],[Date]])+1,YEAR(Data[[#This Row],[Date]])-1&amp;"-"&amp;YEAR(Data[[#This Row],[Date]]))</f>
        <v>2006-2007</v>
      </c>
      <c r="C376" s="3" t="str">
        <f>"Q"&amp;CEILING(MONTH(EDATE(Data[[#This Row],[Date]],-3)),3)/3</f>
        <v>Q2</v>
      </c>
      <c r="D376" s="4" t="s">
        <v>12</v>
      </c>
      <c r="E376" s="4" t="s">
        <v>21</v>
      </c>
      <c r="F376" s="5">
        <v>13600</v>
      </c>
      <c r="G376" s="5">
        <f>Data[[#This Row],[Amount]]-Data[[#This Row],[Profit]]</f>
        <v>11140</v>
      </c>
      <c r="H376" s="5">
        <v>2460</v>
      </c>
      <c r="I376" s="5" t="s">
        <v>15</v>
      </c>
    </row>
    <row r="377" spans="1:9" ht="12.75" x14ac:dyDescent="0.2">
      <c r="A377" s="3">
        <v>39696</v>
      </c>
      <c r="B377" s="3" t="str">
        <f>IF(MONTH(Data[[#This Row],[Date]])&gt;3,YEAR(Data[[#This Row],[Date]])&amp;"-"&amp;YEAR(Data[[#This Row],[Date]])+1,YEAR(Data[[#This Row],[Date]])-1&amp;"-"&amp;YEAR(Data[[#This Row],[Date]]))</f>
        <v>2008-2009</v>
      </c>
      <c r="C377" s="3" t="str">
        <f>"Q"&amp;CEILING(MONTH(EDATE(Data[[#This Row],[Date]],-3)),3)/3</f>
        <v>Q2</v>
      </c>
      <c r="D377" s="4" t="s">
        <v>9</v>
      </c>
      <c r="E377" s="4" t="s">
        <v>13</v>
      </c>
      <c r="F377" s="5">
        <v>10100</v>
      </c>
      <c r="G377" s="5">
        <f>Data[[#This Row],[Amount]]-Data[[#This Row],[Profit]]</f>
        <v>7380</v>
      </c>
      <c r="H377" s="5">
        <v>2720</v>
      </c>
      <c r="I377" s="5" t="s">
        <v>22</v>
      </c>
    </row>
    <row r="378" spans="1:9" ht="12.75" x14ac:dyDescent="0.2">
      <c r="A378" s="3">
        <v>38908</v>
      </c>
      <c r="B378" s="3" t="str">
        <f>IF(MONTH(Data[[#This Row],[Date]])&gt;3,YEAR(Data[[#This Row],[Date]])&amp;"-"&amp;YEAR(Data[[#This Row],[Date]])+1,YEAR(Data[[#This Row],[Date]])-1&amp;"-"&amp;YEAR(Data[[#This Row],[Date]]))</f>
        <v>2006-2007</v>
      </c>
      <c r="C378" s="3" t="str">
        <f>"Q"&amp;CEILING(MONTH(EDATE(Data[[#This Row],[Date]],-3)),3)/3</f>
        <v>Q2</v>
      </c>
      <c r="D378" s="4" t="s">
        <v>23</v>
      </c>
      <c r="E378" s="4" t="s">
        <v>13</v>
      </c>
      <c r="F378" s="5">
        <v>13750</v>
      </c>
      <c r="G378" s="5">
        <f>Data[[#This Row],[Amount]]-Data[[#This Row],[Profit]]</f>
        <v>9150</v>
      </c>
      <c r="H378" s="5">
        <v>4600</v>
      </c>
      <c r="I378" s="5" t="s">
        <v>15</v>
      </c>
    </row>
    <row r="379" spans="1:9" ht="12.75" x14ac:dyDescent="0.2">
      <c r="A379" s="3">
        <v>38541</v>
      </c>
      <c r="B379" s="3" t="str">
        <f>IF(MONTH(Data[[#This Row],[Date]])&gt;3,YEAR(Data[[#This Row],[Date]])&amp;"-"&amp;YEAR(Data[[#This Row],[Date]])+1,YEAR(Data[[#This Row],[Date]])-1&amp;"-"&amp;YEAR(Data[[#This Row],[Date]]))</f>
        <v>2005-2006</v>
      </c>
      <c r="C379" s="3" t="str">
        <f>"Q"&amp;CEILING(MONTH(EDATE(Data[[#This Row],[Date]],-3)),3)/3</f>
        <v>Q2</v>
      </c>
      <c r="D379" s="4" t="s">
        <v>18</v>
      </c>
      <c r="E379" s="4" t="s">
        <v>30</v>
      </c>
      <c r="F379" s="5">
        <v>10150</v>
      </c>
      <c r="G379" s="5">
        <f>Data[[#This Row],[Amount]]-Data[[#This Row],[Profit]]</f>
        <v>6590</v>
      </c>
      <c r="H379" s="5">
        <v>3560</v>
      </c>
      <c r="I379" s="5" t="s">
        <v>15</v>
      </c>
    </row>
    <row r="380" spans="1:9" ht="12.75" x14ac:dyDescent="0.2">
      <c r="A380" s="3">
        <v>39507</v>
      </c>
      <c r="B380" s="3" t="str">
        <f>IF(MONTH(Data[[#This Row],[Date]])&gt;3,YEAR(Data[[#This Row],[Date]])&amp;"-"&amp;YEAR(Data[[#This Row],[Date]])+1,YEAR(Data[[#This Row],[Date]])-1&amp;"-"&amp;YEAR(Data[[#This Row],[Date]]))</f>
        <v>2007-2008</v>
      </c>
      <c r="C380" s="3" t="str">
        <f>"Q"&amp;CEILING(MONTH(EDATE(Data[[#This Row],[Date]],-3)),3)/3</f>
        <v>Q4</v>
      </c>
      <c r="D380" s="4" t="s">
        <v>9</v>
      </c>
      <c r="E380" s="4" t="s">
        <v>17</v>
      </c>
      <c r="F380" s="5">
        <v>13100</v>
      </c>
      <c r="G380" s="5">
        <f>Data[[#This Row],[Amount]]-Data[[#This Row],[Profit]]</f>
        <v>11060</v>
      </c>
      <c r="H380" s="5">
        <v>2040</v>
      </c>
      <c r="I380" s="5" t="s">
        <v>15</v>
      </c>
    </row>
    <row r="381" spans="1:9" ht="12.75" x14ac:dyDescent="0.2">
      <c r="A381" s="3">
        <v>38988</v>
      </c>
      <c r="B381" s="3" t="str">
        <f>IF(MONTH(Data[[#This Row],[Date]])&gt;3,YEAR(Data[[#This Row],[Date]])&amp;"-"&amp;YEAR(Data[[#This Row],[Date]])+1,YEAR(Data[[#This Row],[Date]])-1&amp;"-"&amp;YEAR(Data[[#This Row],[Date]]))</f>
        <v>2006-2007</v>
      </c>
      <c r="C381" s="3" t="str">
        <f>"Q"&amp;CEILING(MONTH(EDATE(Data[[#This Row],[Date]],-3)),3)/3</f>
        <v>Q2</v>
      </c>
      <c r="D381" s="4" t="s">
        <v>25</v>
      </c>
      <c r="E381" s="4" t="s">
        <v>7</v>
      </c>
      <c r="F381" s="5">
        <v>10300</v>
      </c>
      <c r="G381" s="5">
        <f>Data[[#This Row],[Amount]]-Data[[#This Row],[Profit]]</f>
        <v>6260</v>
      </c>
      <c r="H381" s="5">
        <v>4040</v>
      </c>
      <c r="I381" s="5" t="s">
        <v>11</v>
      </c>
    </row>
    <row r="382" spans="1:9" ht="12.75" x14ac:dyDescent="0.2">
      <c r="A382" s="3">
        <v>38606</v>
      </c>
      <c r="B382" s="3" t="str">
        <f>IF(MONTH(Data[[#This Row],[Date]])&gt;3,YEAR(Data[[#This Row],[Date]])&amp;"-"&amp;YEAR(Data[[#This Row],[Date]])+1,YEAR(Data[[#This Row],[Date]])-1&amp;"-"&amp;YEAR(Data[[#This Row],[Date]]))</f>
        <v>2005-2006</v>
      </c>
      <c r="C382" s="3" t="str">
        <f>"Q"&amp;CEILING(MONTH(EDATE(Data[[#This Row],[Date]],-3)),3)/3</f>
        <v>Q2</v>
      </c>
      <c r="D382" s="4" t="s">
        <v>16</v>
      </c>
      <c r="E382" s="4" t="s">
        <v>24</v>
      </c>
      <c r="F382" s="5">
        <v>11600</v>
      </c>
      <c r="G382" s="5">
        <f>Data[[#This Row],[Amount]]-Data[[#This Row],[Profit]]</f>
        <v>9540</v>
      </c>
      <c r="H382" s="5">
        <v>2060</v>
      </c>
      <c r="I382" s="5" t="s">
        <v>8</v>
      </c>
    </row>
    <row r="383" spans="1:9" ht="12.75" x14ac:dyDescent="0.2">
      <c r="A383" s="3">
        <v>39736</v>
      </c>
      <c r="B383" s="3" t="str">
        <f>IF(MONTH(Data[[#This Row],[Date]])&gt;3,YEAR(Data[[#This Row],[Date]])&amp;"-"&amp;YEAR(Data[[#This Row],[Date]])+1,YEAR(Data[[#This Row],[Date]])-1&amp;"-"&amp;YEAR(Data[[#This Row],[Date]]))</f>
        <v>2008-2009</v>
      </c>
      <c r="C383" s="3" t="str">
        <f>"Q"&amp;CEILING(MONTH(EDATE(Data[[#This Row],[Date]],-3)),3)/3</f>
        <v>Q3</v>
      </c>
      <c r="D383" s="4" t="s">
        <v>32</v>
      </c>
      <c r="E383" s="4" t="s">
        <v>17</v>
      </c>
      <c r="F383" s="5">
        <v>12400</v>
      </c>
      <c r="G383" s="5">
        <f>Data[[#This Row],[Amount]]-Data[[#This Row],[Profit]]</f>
        <v>8380</v>
      </c>
      <c r="H383" s="5">
        <v>4020</v>
      </c>
      <c r="I383" s="5" t="s">
        <v>15</v>
      </c>
    </row>
    <row r="384" spans="1:9" ht="12.75" x14ac:dyDescent="0.2">
      <c r="A384" s="3">
        <v>38848</v>
      </c>
      <c r="B384" s="3" t="str">
        <f>IF(MONTH(Data[[#This Row],[Date]])&gt;3,YEAR(Data[[#This Row],[Date]])&amp;"-"&amp;YEAR(Data[[#This Row],[Date]])+1,YEAR(Data[[#This Row],[Date]])-1&amp;"-"&amp;YEAR(Data[[#This Row],[Date]]))</f>
        <v>2006-2007</v>
      </c>
      <c r="C384" s="3" t="str">
        <f>"Q"&amp;CEILING(MONTH(EDATE(Data[[#This Row],[Date]],-3)),3)/3</f>
        <v>Q1</v>
      </c>
      <c r="D384" s="4" t="s">
        <v>18</v>
      </c>
      <c r="E384" s="4" t="s">
        <v>17</v>
      </c>
      <c r="F384" s="5">
        <v>14900</v>
      </c>
      <c r="G384" s="5">
        <f>Data[[#This Row],[Amount]]-Data[[#This Row],[Profit]]</f>
        <v>12080</v>
      </c>
      <c r="H384" s="5">
        <v>2820</v>
      </c>
      <c r="I384" s="5" t="s">
        <v>15</v>
      </c>
    </row>
    <row r="385" spans="1:9" ht="12.75" x14ac:dyDescent="0.2">
      <c r="A385" s="3">
        <v>39498</v>
      </c>
      <c r="B385" s="3" t="str">
        <f>IF(MONTH(Data[[#This Row],[Date]])&gt;3,YEAR(Data[[#This Row],[Date]])&amp;"-"&amp;YEAR(Data[[#This Row],[Date]])+1,YEAR(Data[[#This Row],[Date]])-1&amp;"-"&amp;YEAR(Data[[#This Row],[Date]]))</f>
        <v>2007-2008</v>
      </c>
      <c r="C385" s="3" t="str">
        <f>"Q"&amp;CEILING(MONTH(EDATE(Data[[#This Row],[Date]],-3)),3)/3</f>
        <v>Q4</v>
      </c>
      <c r="D385" s="4" t="s">
        <v>14</v>
      </c>
      <c r="E385" s="4" t="s">
        <v>24</v>
      </c>
      <c r="F385" s="5">
        <v>10300</v>
      </c>
      <c r="G385" s="5">
        <f>Data[[#This Row],[Amount]]-Data[[#This Row],[Profit]]</f>
        <v>5700</v>
      </c>
      <c r="H385" s="5">
        <v>4600</v>
      </c>
      <c r="I385" s="5" t="s">
        <v>15</v>
      </c>
    </row>
    <row r="386" spans="1:9" ht="12.75" x14ac:dyDescent="0.2">
      <c r="A386" s="3">
        <v>39810</v>
      </c>
      <c r="B386" s="3" t="str">
        <f>IF(MONTH(Data[[#This Row],[Date]])&gt;3,YEAR(Data[[#This Row],[Date]])&amp;"-"&amp;YEAR(Data[[#This Row],[Date]])+1,YEAR(Data[[#This Row],[Date]])-1&amp;"-"&amp;YEAR(Data[[#This Row],[Date]]))</f>
        <v>2008-2009</v>
      </c>
      <c r="C386" s="3" t="str">
        <f>"Q"&amp;CEILING(MONTH(EDATE(Data[[#This Row],[Date]],-3)),3)/3</f>
        <v>Q3</v>
      </c>
      <c r="D386" s="4" t="s">
        <v>9</v>
      </c>
      <c r="E386" s="4" t="s">
        <v>17</v>
      </c>
      <c r="F386" s="5">
        <v>13450</v>
      </c>
      <c r="G386" s="5">
        <f>Data[[#This Row],[Amount]]-Data[[#This Row],[Profit]]</f>
        <v>10310</v>
      </c>
      <c r="H386" s="5">
        <v>3140</v>
      </c>
      <c r="I386" s="5" t="s">
        <v>11</v>
      </c>
    </row>
    <row r="387" spans="1:9" ht="12.75" x14ac:dyDescent="0.2">
      <c r="A387" s="3">
        <v>39138</v>
      </c>
      <c r="B387" s="3" t="str">
        <f>IF(MONTH(Data[[#This Row],[Date]])&gt;3,YEAR(Data[[#This Row],[Date]])&amp;"-"&amp;YEAR(Data[[#This Row],[Date]])+1,YEAR(Data[[#This Row],[Date]])-1&amp;"-"&amp;YEAR(Data[[#This Row],[Date]]))</f>
        <v>2006-2007</v>
      </c>
      <c r="C387" s="3" t="str">
        <f>"Q"&amp;CEILING(MONTH(EDATE(Data[[#This Row],[Date]],-3)),3)/3</f>
        <v>Q4</v>
      </c>
      <c r="D387" s="4" t="s">
        <v>6</v>
      </c>
      <c r="E387" s="4" t="s">
        <v>19</v>
      </c>
      <c r="F387" s="5">
        <v>13900</v>
      </c>
      <c r="G387" s="5">
        <f>Data[[#This Row],[Amount]]-Data[[#This Row],[Profit]]</f>
        <v>10880</v>
      </c>
      <c r="H387" s="5">
        <v>3020</v>
      </c>
      <c r="I387" s="5" t="s">
        <v>8</v>
      </c>
    </row>
    <row r="388" spans="1:9" ht="12.75" x14ac:dyDescent="0.2">
      <c r="A388" s="3">
        <v>39693</v>
      </c>
      <c r="B388" s="3" t="str">
        <f>IF(MONTH(Data[[#This Row],[Date]])&gt;3,YEAR(Data[[#This Row],[Date]])&amp;"-"&amp;YEAR(Data[[#This Row],[Date]])+1,YEAR(Data[[#This Row],[Date]])-1&amp;"-"&amp;YEAR(Data[[#This Row],[Date]]))</f>
        <v>2008-2009</v>
      </c>
      <c r="C388" s="3" t="str">
        <f>"Q"&amp;CEILING(MONTH(EDATE(Data[[#This Row],[Date]],-3)),3)/3</f>
        <v>Q2</v>
      </c>
      <c r="D388" s="4" t="s">
        <v>25</v>
      </c>
      <c r="E388" s="4" t="s">
        <v>24</v>
      </c>
      <c r="F388" s="5">
        <v>10600</v>
      </c>
      <c r="G388" s="5">
        <f>Data[[#This Row],[Amount]]-Data[[#This Row],[Profit]]</f>
        <v>6520</v>
      </c>
      <c r="H388" s="5">
        <v>4080</v>
      </c>
      <c r="I388" s="5" t="s">
        <v>15</v>
      </c>
    </row>
    <row r="389" spans="1:9" ht="12.75" x14ac:dyDescent="0.2">
      <c r="A389" s="3">
        <v>39251</v>
      </c>
      <c r="B389" s="3" t="str">
        <f>IF(MONTH(Data[[#This Row],[Date]])&gt;3,YEAR(Data[[#This Row],[Date]])&amp;"-"&amp;YEAR(Data[[#This Row],[Date]])+1,YEAR(Data[[#This Row],[Date]])-1&amp;"-"&amp;YEAR(Data[[#This Row],[Date]]))</f>
        <v>2007-2008</v>
      </c>
      <c r="C389" s="3" t="str">
        <f>"Q"&amp;CEILING(MONTH(EDATE(Data[[#This Row],[Date]],-3)),3)/3</f>
        <v>Q1</v>
      </c>
      <c r="D389" s="4" t="s">
        <v>18</v>
      </c>
      <c r="E389" s="4" t="s">
        <v>21</v>
      </c>
      <c r="F389" s="5">
        <v>13350</v>
      </c>
      <c r="G389" s="5">
        <f>Data[[#This Row],[Amount]]-Data[[#This Row],[Profit]]</f>
        <v>8910</v>
      </c>
      <c r="H389" s="5">
        <v>4440</v>
      </c>
      <c r="I389" s="5" t="s">
        <v>22</v>
      </c>
    </row>
    <row r="390" spans="1:9" ht="12.75" x14ac:dyDescent="0.2">
      <c r="A390" s="3">
        <v>39521</v>
      </c>
      <c r="B390" s="3" t="str">
        <f>IF(MONTH(Data[[#This Row],[Date]])&gt;3,YEAR(Data[[#This Row],[Date]])&amp;"-"&amp;YEAR(Data[[#This Row],[Date]])+1,YEAR(Data[[#This Row],[Date]])-1&amp;"-"&amp;YEAR(Data[[#This Row],[Date]]))</f>
        <v>2007-2008</v>
      </c>
      <c r="C390" s="3" t="str">
        <f>"Q"&amp;CEILING(MONTH(EDATE(Data[[#This Row],[Date]],-3)),3)/3</f>
        <v>Q4</v>
      </c>
      <c r="D390" s="4" t="s">
        <v>27</v>
      </c>
      <c r="E390" s="4" t="s">
        <v>30</v>
      </c>
      <c r="F390" s="5">
        <v>11500</v>
      </c>
      <c r="G390" s="5">
        <f>Data[[#This Row],[Amount]]-Data[[#This Row],[Profit]]</f>
        <v>9080</v>
      </c>
      <c r="H390" s="5">
        <v>2420</v>
      </c>
      <c r="I390" s="5" t="s">
        <v>8</v>
      </c>
    </row>
    <row r="391" spans="1:9" ht="12.75" x14ac:dyDescent="0.2">
      <c r="A391" s="3">
        <v>39060</v>
      </c>
      <c r="B391" s="3" t="str">
        <f>IF(MONTH(Data[[#This Row],[Date]])&gt;3,YEAR(Data[[#This Row],[Date]])&amp;"-"&amp;YEAR(Data[[#This Row],[Date]])+1,YEAR(Data[[#This Row],[Date]])-1&amp;"-"&amp;YEAR(Data[[#This Row],[Date]]))</f>
        <v>2006-2007</v>
      </c>
      <c r="C391" s="3" t="str">
        <f>"Q"&amp;CEILING(MONTH(EDATE(Data[[#This Row],[Date]],-3)),3)/3</f>
        <v>Q3</v>
      </c>
      <c r="D391" s="4" t="s">
        <v>27</v>
      </c>
      <c r="E391" s="4" t="s">
        <v>21</v>
      </c>
      <c r="F391" s="5">
        <v>12650</v>
      </c>
      <c r="G391" s="5">
        <f>Data[[#This Row],[Amount]]-Data[[#This Row],[Profit]]</f>
        <v>8490</v>
      </c>
      <c r="H391" s="5">
        <v>4160</v>
      </c>
      <c r="I391" s="5" t="s">
        <v>22</v>
      </c>
    </row>
    <row r="392" spans="1:9" ht="12.75" x14ac:dyDescent="0.2">
      <c r="A392" s="3">
        <v>39703</v>
      </c>
      <c r="B392" s="3" t="str">
        <f>IF(MONTH(Data[[#This Row],[Date]])&gt;3,YEAR(Data[[#This Row],[Date]])&amp;"-"&amp;YEAR(Data[[#This Row],[Date]])+1,YEAR(Data[[#This Row],[Date]])-1&amp;"-"&amp;YEAR(Data[[#This Row],[Date]]))</f>
        <v>2008-2009</v>
      </c>
      <c r="C392" s="3" t="str">
        <f>"Q"&amp;CEILING(MONTH(EDATE(Data[[#This Row],[Date]],-3)),3)/3</f>
        <v>Q2</v>
      </c>
      <c r="D392" s="4" t="s">
        <v>18</v>
      </c>
      <c r="E392" s="4" t="s">
        <v>33</v>
      </c>
      <c r="F392" s="5">
        <v>10050</v>
      </c>
      <c r="G392" s="5">
        <f>Data[[#This Row],[Amount]]-Data[[#This Row],[Profit]]</f>
        <v>6070</v>
      </c>
      <c r="H392" s="5">
        <v>3980</v>
      </c>
      <c r="I392" s="5" t="s">
        <v>8</v>
      </c>
    </row>
    <row r="393" spans="1:9" ht="12.75" x14ac:dyDescent="0.2">
      <c r="A393" s="3">
        <v>38930</v>
      </c>
      <c r="B393" s="3" t="str">
        <f>IF(MONTH(Data[[#This Row],[Date]])&gt;3,YEAR(Data[[#This Row],[Date]])&amp;"-"&amp;YEAR(Data[[#This Row],[Date]])+1,YEAR(Data[[#This Row],[Date]])-1&amp;"-"&amp;YEAR(Data[[#This Row],[Date]]))</f>
        <v>2006-2007</v>
      </c>
      <c r="C393" s="3" t="str">
        <f>"Q"&amp;CEILING(MONTH(EDATE(Data[[#This Row],[Date]],-3)),3)/3</f>
        <v>Q2</v>
      </c>
      <c r="D393" s="4" t="s">
        <v>31</v>
      </c>
      <c r="E393" s="4" t="s">
        <v>10</v>
      </c>
      <c r="F393" s="5">
        <v>14000</v>
      </c>
      <c r="G393" s="5">
        <f>Data[[#This Row],[Amount]]-Data[[#This Row],[Profit]]</f>
        <v>10000</v>
      </c>
      <c r="H393" s="5">
        <v>4000</v>
      </c>
      <c r="I393" s="5" t="s">
        <v>11</v>
      </c>
    </row>
    <row r="394" spans="1:9" ht="12.75" x14ac:dyDescent="0.2">
      <c r="A394" s="3">
        <v>39685</v>
      </c>
      <c r="B394" s="3" t="str">
        <f>IF(MONTH(Data[[#This Row],[Date]])&gt;3,YEAR(Data[[#This Row],[Date]])&amp;"-"&amp;YEAR(Data[[#This Row],[Date]])+1,YEAR(Data[[#This Row],[Date]])-1&amp;"-"&amp;YEAR(Data[[#This Row],[Date]]))</f>
        <v>2008-2009</v>
      </c>
      <c r="C394" s="3" t="str">
        <f>"Q"&amp;CEILING(MONTH(EDATE(Data[[#This Row],[Date]],-3)),3)/3</f>
        <v>Q2</v>
      </c>
      <c r="D394" s="4" t="s">
        <v>6</v>
      </c>
      <c r="E394" s="4" t="s">
        <v>30</v>
      </c>
      <c r="F394" s="5">
        <v>13300</v>
      </c>
      <c r="G394" s="5">
        <f>Data[[#This Row],[Amount]]-Data[[#This Row],[Profit]]</f>
        <v>9780</v>
      </c>
      <c r="H394" s="5">
        <v>3520</v>
      </c>
      <c r="I394" s="5" t="s">
        <v>15</v>
      </c>
    </row>
    <row r="395" spans="1:9" ht="12.75" x14ac:dyDescent="0.2">
      <c r="A395" s="3">
        <v>39478</v>
      </c>
      <c r="B395" s="3" t="str">
        <f>IF(MONTH(Data[[#This Row],[Date]])&gt;3,YEAR(Data[[#This Row],[Date]])&amp;"-"&amp;YEAR(Data[[#This Row],[Date]])+1,YEAR(Data[[#This Row],[Date]])-1&amp;"-"&amp;YEAR(Data[[#This Row],[Date]]))</f>
        <v>2007-2008</v>
      </c>
      <c r="C395" s="3" t="str">
        <f>"Q"&amp;CEILING(MONTH(EDATE(Data[[#This Row],[Date]],-3)),3)/3</f>
        <v>Q4</v>
      </c>
      <c r="D395" s="4" t="s">
        <v>6</v>
      </c>
      <c r="E395" s="4" t="s">
        <v>28</v>
      </c>
      <c r="F395" s="5">
        <v>14650</v>
      </c>
      <c r="G395" s="5">
        <f>Data[[#This Row],[Amount]]-Data[[#This Row],[Profit]]</f>
        <v>10030</v>
      </c>
      <c r="H395" s="5">
        <v>4620</v>
      </c>
      <c r="I395" s="5" t="s">
        <v>11</v>
      </c>
    </row>
    <row r="396" spans="1:9" ht="12.75" x14ac:dyDescent="0.2">
      <c r="A396" s="3">
        <v>38510</v>
      </c>
      <c r="B396" s="3" t="str">
        <f>IF(MONTH(Data[[#This Row],[Date]])&gt;3,YEAR(Data[[#This Row],[Date]])&amp;"-"&amp;YEAR(Data[[#This Row],[Date]])+1,YEAR(Data[[#This Row],[Date]])-1&amp;"-"&amp;YEAR(Data[[#This Row],[Date]]))</f>
        <v>2005-2006</v>
      </c>
      <c r="C396" s="3" t="str">
        <f>"Q"&amp;CEILING(MONTH(EDATE(Data[[#This Row],[Date]],-3)),3)/3</f>
        <v>Q1</v>
      </c>
      <c r="D396" s="4" t="s">
        <v>16</v>
      </c>
      <c r="E396" s="4" t="s">
        <v>21</v>
      </c>
      <c r="F396" s="5">
        <v>10100</v>
      </c>
      <c r="G396" s="5">
        <f>Data[[#This Row],[Amount]]-Data[[#This Row],[Profit]]</f>
        <v>6720</v>
      </c>
      <c r="H396" s="5">
        <v>3380</v>
      </c>
      <c r="I396" s="5" t="s">
        <v>11</v>
      </c>
    </row>
    <row r="397" spans="1:9" ht="12.75" x14ac:dyDescent="0.2">
      <c r="A397" s="3">
        <v>39584</v>
      </c>
      <c r="B397" s="3" t="str">
        <f>IF(MONTH(Data[[#This Row],[Date]])&gt;3,YEAR(Data[[#This Row],[Date]])&amp;"-"&amp;YEAR(Data[[#This Row],[Date]])+1,YEAR(Data[[#This Row],[Date]])-1&amp;"-"&amp;YEAR(Data[[#This Row],[Date]]))</f>
        <v>2008-2009</v>
      </c>
      <c r="C397" s="3" t="str">
        <f>"Q"&amp;CEILING(MONTH(EDATE(Data[[#This Row],[Date]],-3)),3)/3</f>
        <v>Q1</v>
      </c>
      <c r="D397" s="4" t="s">
        <v>6</v>
      </c>
      <c r="E397" s="4" t="s">
        <v>33</v>
      </c>
      <c r="F397" s="5">
        <v>10500</v>
      </c>
      <c r="G397" s="5">
        <f>Data[[#This Row],[Amount]]-Data[[#This Row],[Profit]]</f>
        <v>7700</v>
      </c>
      <c r="H397" s="5">
        <v>2800</v>
      </c>
      <c r="I397" s="5" t="s">
        <v>15</v>
      </c>
    </row>
    <row r="398" spans="1:9" ht="12.75" x14ac:dyDescent="0.2">
      <c r="A398" s="3">
        <v>38566</v>
      </c>
      <c r="B398" s="3" t="str">
        <f>IF(MONTH(Data[[#This Row],[Date]])&gt;3,YEAR(Data[[#This Row],[Date]])&amp;"-"&amp;YEAR(Data[[#This Row],[Date]])+1,YEAR(Data[[#This Row],[Date]])-1&amp;"-"&amp;YEAR(Data[[#This Row],[Date]]))</f>
        <v>2005-2006</v>
      </c>
      <c r="C398" s="3" t="str">
        <f>"Q"&amp;CEILING(MONTH(EDATE(Data[[#This Row],[Date]],-3)),3)/3</f>
        <v>Q2</v>
      </c>
      <c r="D398" s="4" t="s">
        <v>32</v>
      </c>
      <c r="E398" s="4" t="s">
        <v>19</v>
      </c>
      <c r="F398" s="5">
        <v>10550</v>
      </c>
      <c r="G398" s="5">
        <f>Data[[#This Row],[Amount]]-Data[[#This Row],[Profit]]</f>
        <v>8450</v>
      </c>
      <c r="H398" s="5">
        <v>2100</v>
      </c>
      <c r="I398" s="5" t="s">
        <v>8</v>
      </c>
    </row>
    <row r="399" spans="1:9" ht="12.75" x14ac:dyDescent="0.2">
      <c r="A399" s="3">
        <v>38668</v>
      </c>
      <c r="B399" s="3" t="str">
        <f>IF(MONTH(Data[[#This Row],[Date]])&gt;3,YEAR(Data[[#This Row],[Date]])&amp;"-"&amp;YEAR(Data[[#This Row],[Date]])+1,YEAR(Data[[#This Row],[Date]])-1&amp;"-"&amp;YEAR(Data[[#This Row],[Date]]))</f>
        <v>2005-2006</v>
      </c>
      <c r="C399" s="3" t="str">
        <f>"Q"&amp;CEILING(MONTH(EDATE(Data[[#This Row],[Date]],-3)),3)/3</f>
        <v>Q3</v>
      </c>
      <c r="D399" s="4" t="s">
        <v>31</v>
      </c>
      <c r="E399" s="4" t="s">
        <v>10</v>
      </c>
      <c r="F399" s="5">
        <v>13750</v>
      </c>
      <c r="G399" s="5">
        <f>Data[[#This Row],[Amount]]-Data[[#This Row],[Profit]]</f>
        <v>9250</v>
      </c>
      <c r="H399" s="5">
        <v>4500</v>
      </c>
      <c r="I399" s="5" t="s">
        <v>11</v>
      </c>
    </row>
    <row r="400" spans="1:9" ht="12.75" x14ac:dyDescent="0.2">
      <c r="A400" s="3">
        <v>38617</v>
      </c>
      <c r="B400" s="3" t="str">
        <f>IF(MONTH(Data[[#This Row],[Date]])&gt;3,YEAR(Data[[#This Row],[Date]])&amp;"-"&amp;YEAR(Data[[#This Row],[Date]])+1,YEAR(Data[[#This Row],[Date]])-1&amp;"-"&amp;YEAR(Data[[#This Row],[Date]]))</f>
        <v>2005-2006</v>
      </c>
      <c r="C400" s="3" t="str">
        <f>"Q"&amp;CEILING(MONTH(EDATE(Data[[#This Row],[Date]],-3)),3)/3</f>
        <v>Q2</v>
      </c>
      <c r="D400" s="4" t="s">
        <v>31</v>
      </c>
      <c r="E400" s="4" t="s">
        <v>29</v>
      </c>
      <c r="F400" s="5">
        <v>10400</v>
      </c>
      <c r="G400" s="5">
        <f>Data[[#This Row],[Amount]]-Data[[#This Row],[Profit]]</f>
        <v>6860</v>
      </c>
      <c r="H400" s="5">
        <v>3540</v>
      </c>
      <c r="I400" s="5" t="s">
        <v>8</v>
      </c>
    </row>
    <row r="401" spans="1:9" ht="12.75" x14ac:dyDescent="0.2">
      <c r="A401" s="3">
        <v>39701</v>
      </c>
      <c r="B401" s="3" t="str">
        <f>IF(MONTH(Data[[#This Row],[Date]])&gt;3,YEAR(Data[[#This Row],[Date]])&amp;"-"&amp;YEAR(Data[[#This Row],[Date]])+1,YEAR(Data[[#This Row],[Date]])-1&amp;"-"&amp;YEAR(Data[[#This Row],[Date]]))</f>
        <v>2008-2009</v>
      </c>
      <c r="C401" s="3" t="str">
        <f>"Q"&amp;CEILING(MONTH(EDATE(Data[[#This Row],[Date]],-3)),3)/3</f>
        <v>Q2</v>
      </c>
      <c r="D401" s="4" t="s">
        <v>14</v>
      </c>
      <c r="E401" s="4" t="s">
        <v>28</v>
      </c>
      <c r="F401" s="5">
        <v>13750</v>
      </c>
      <c r="G401" s="5">
        <f>Data[[#This Row],[Amount]]-Data[[#This Row],[Profit]]</f>
        <v>11690</v>
      </c>
      <c r="H401" s="5">
        <v>2060</v>
      </c>
      <c r="I401" s="5" t="s">
        <v>8</v>
      </c>
    </row>
    <row r="402" spans="1:9" ht="12.75" x14ac:dyDescent="0.2">
      <c r="A402" s="3">
        <v>38364</v>
      </c>
      <c r="B402" s="3" t="str">
        <f>IF(MONTH(Data[[#This Row],[Date]])&gt;3,YEAR(Data[[#This Row],[Date]])&amp;"-"&amp;YEAR(Data[[#This Row],[Date]])+1,YEAR(Data[[#This Row],[Date]])-1&amp;"-"&amp;YEAR(Data[[#This Row],[Date]]))</f>
        <v>2004-2005</v>
      </c>
      <c r="C402" s="3" t="str">
        <f>"Q"&amp;CEILING(MONTH(EDATE(Data[[#This Row],[Date]],-3)),3)/3</f>
        <v>Q4</v>
      </c>
      <c r="D402" s="4" t="s">
        <v>31</v>
      </c>
      <c r="E402" s="4" t="s">
        <v>7</v>
      </c>
      <c r="F402" s="5">
        <v>14300</v>
      </c>
      <c r="G402" s="5">
        <f>Data[[#This Row],[Amount]]-Data[[#This Row],[Profit]]</f>
        <v>11440</v>
      </c>
      <c r="H402" s="5">
        <v>2860</v>
      </c>
      <c r="I402" s="5" t="s">
        <v>11</v>
      </c>
    </row>
    <row r="403" spans="1:9" ht="12.75" x14ac:dyDescent="0.2">
      <c r="A403" s="3">
        <v>39765</v>
      </c>
      <c r="B403" s="3" t="str">
        <f>IF(MONTH(Data[[#This Row],[Date]])&gt;3,YEAR(Data[[#This Row],[Date]])&amp;"-"&amp;YEAR(Data[[#This Row],[Date]])+1,YEAR(Data[[#This Row],[Date]])-1&amp;"-"&amp;YEAR(Data[[#This Row],[Date]]))</f>
        <v>2008-2009</v>
      </c>
      <c r="C403" s="3" t="str">
        <f>"Q"&amp;CEILING(MONTH(EDATE(Data[[#This Row],[Date]],-3)),3)/3</f>
        <v>Q3</v>
      </c>
      <c r="D403" s="4" t="s">
        <v>9</v>
      </c>
      <c r="E403" s="4" t="s">
        <v>28</v>
      </c>
      <c r="F403" s="5">
        <v>10750</v>
      </c>
      <c r="G403" s="5">
        <f>Data[[#This Row],[Amount]]-Data[[#This Row],[Profit]]</f>
        <v>6150</v>
      </c>
      <c r="H403" s="5">
        <v>4600</v>
      </c>
      <c r="I403" s="5" t="s">
        <v>22</v>
      </c>
    </row>
    <row r="404" spans="1:9" ht="12.75" x14ac:dyDescent="0.2">
      <c r="A404" s="3">
        <v>38697</v>
      </c>
      <c r="B404" s="3" t="str">
        <f>IF(MONTH(Data[[#This Row],[Date]])&gt;3,YEAR(Data[[#This Row],[Date]])&amp;"-"&amp;YEAR(Data[[#This Row],[Date]])+1,YEAR(Data[[#This Row],[Date]])-1&amp;"-"&amp;YEAR(Data[[#This Row],[Date]]))</f>
        <v>2005-2006</v>
      </c>
      <c r="C404" s="3" t="str">
        <f>"Q"&amp;CEILING(MONTH(EDATE(Data[[#This Row],[Date]],-3)),3)/3</f>
        <v>Q3</v>
      </c>
      <c r="D404" s="4" t="s">
        <v>32</v>
      </c>
      <c r="E404" s="4" t="s">
        <v>26</v>
      </c>
      <c r="F404" s="5">
        <v>13000</v>
      </c>
      <c r="G404" s="5">
        <f>Data[[#This Row],[Amount]]-Data[[#This Row],[Profit]]</f>
        <v>7900</v>
      </c>
      <c r="H404" s="5">
        <v>5100</v>
      </c>
      <c r="I404" s="5" t="s">
        <v>15</v>
      </c>
    </row>
    <row r="405" spans="1:9" ht="12.75" x14ac:dyDescent="0.2">
      <c r="A405" s="3">
        <v>39491</v>
      </c>
      <c r="B405" s="3" t="str">
        <f>IF(MONTH(Data[[#This Row],[Date]])&gt;3,YEAR(Data[[#This Row],[Date]])&amp;"-"&amp;YEAR(Data[[#This Row],[Date]])+1,YEAR(Data[[#This Row],[Date]])-1&amp;"-"&amp;YEAR(Data[[#This Row],[Date]]))</f>
        <v>2007-2008</v>
      </c>
      <c r="C405" s="3" t="str">
        <f>"Q"&amp;CEILING(MONTH(EDATE(Data[[#This Row],[Date]],-3)),3)/3</f>
        <v>Q4</v>
      </c>
      <c r="D405" s="4" t="s">
        <v>25</v>
      </c>
      <c r="E405" s="4" t="s">
        <v>13</v>
      </c>
      <c r="F405" s="5">
        <v>11450</v>
      </c>
      <c r="G405" s="5">
        <f>Data[[#This Row],[Amount]]-Data[[#This Row],[Profit]]</f>
        <v>8750</v>
      </c>
      <c r="H405" s="5">
        <v>2700</v>
      </c>
      <c r="I405" s="5" t="s">
        <v>22</v>
      </c>
    </row>
    <row r="406" spans="1:9" ht="12.75" x14ac:dyDescent="0.2">
      <c r="A406" s="3">
        <v>38495</v>
      </c>
      <c r="B406" s="3" t="str">
        <f>IF(MONTH(Data[[#This Row],[Date]])&gt;3,YEAR(Data[[#This Row],[Date]])&amp;"-"&amp;YEAR(Data[[#This Row],[Date]])+1,YEAR(Data[[#This Row],[Date]])-1&amp;"-"&amp;YEAR(Data[[#This Row],[Date]]))</f>
        <v>2005-2006</v>
      </c>
      <c r="C406" s="3" t="str">
        <f>"Q"&amp;CEILING(MONTH(EDATE(Data[[#This Row],[Date]],-3)),3)/3</f>
        <v>Q1</v>
      </c>
      <c r="D406" s="4" t="s">
        <v>9</v>
      </c>
      <c r="E406" s="4" t="s">
        <v>24</v>
      </c>
      <c r="F406" s="5">
        <v>12600</v>
      </c>
      <c r="G406" s="5">
        <f>Data[[#This Row],[Amount]]-Data[[#This Row],[Profit]]</f>
        <v>8700</v>
      </c>
      <c r="H406" s="5">
        <v>3900</v>
      </c>
      <c r="I406" s="5" t="s">
        <v>22</v>
      </c>
    </row>
    <row r="407" spans="1:9" ht="12.75" x14ac:dyDescent="0.2">
      <c r="A407" s="3">
        <v>38481</v>
      </c>
      <c r="B407" s="3" t="str">
        <f>IF(MONTH(Data[[#This Row],[Date]])&gt;3,YEAR(Data[[#This Row],[Date]])&amp;"-"&amp;YEAR(Data[[#This Row],[Date]])+1,YEAR(Data[[#This Row],[Date]])-1&amp;"-"&amp;YEAR(Data[[#This Row],[Date]]))</f>
        <v>2005-2006</v>
      </c>
      <c r="C407" s="3" t="str">
        <f>"Q"&amp;CEILING(MONTH(EDATE(Data[[#This Row],[Date]],-3)),3)/3</f>
        <v>Q1</v>
      </c>
      <c r="D407" s="4" t="s">
        <v>23</v>
      </c>
      <c r="E407" s="4" t="s">
        <v>17</v>
      </c>
      <c r="F407" s="5">
        <v>11750</v>
      </c>
      <c r="G407" s="5">
        <f>Data[[#This Row],[Amount]]-Data[[#This Row],[Profit]]</f>
        <v>7470</v>
      </c>
      <c r="H407" s="5">
        <v>4280</v>
      </c>
      <c r="I407" s="5" t="s">
        <v>11</v>
      </c>
    </row>
    <row r="408" spans="1:9" ht="12.75" x14ac:dyDescent="0.2">
      <c r="A408" s="3">
        <v>39756</v>
      </c>
      <c r="B408" s="3" t="str">
        <f>IF(MONTH(Data[[#This Row],[Date]])&gt;3,YEAR(Data[[#This Row],[Date]])&amp;"-"&amp;YEAR(Data[[#This Row],[Date]])+1,YEAR(Data[[#This Row],[Date]])-1&amp;"-"&amp;YEAR(Data[[#This Row],[Date]]))</f>
        <v>2008-2009</v>
      </c>
      <c r="C408" s="3" t="str">
        <f>"Q"&amp;CEILING(MONTH(EDATE(Data[[#This Row],[Date]],-3)),3)/3</f>
        <v>Q3</v>
      </c>
      <c r="D408" s="4" t="s">
        <v>27</v>
      </c>
      <c r="E408" s="4" t="s">
        <v>17</v>
      </c>
      <c r="F408" s="5">
        <v>14200</v>
      </c>
      <c r="G408" s="5">
        <f>Data[[#This Row],[Amount]]-Data[[#This Row],[Profit]]</f>
        <v>8880</v>
      </c>
      <c r="H408" s="5">
        <v>5320</v>
      </c>
      <c r="I408" s="5" t="s">
        <v>8</v>
      </c>
    </row>
    <row r="409" spans="1:9" ht="12.75" x14ac:dyDescent="0.2">
      <c r="A409" s="3">
        <v>39345</v>
      </c>
      <c r="B409" s="3" t="str">
        <f>IF(MONTH(Data[[#This Row],[Date]])&gt;3,YEAR(Data[[#This Row],[Date]])&amp;"-"&amp;YEAR(Data[[#This Row],[Date]])+1,YEAR(Data[[#This Row],[Date]])-1&amp;"-"&amp;YEAR(Data[[#This Row],[Date]]))</f>
        <v>2007-2008</v>
      </c>
      <c r="C409" s="3" t="str">
        <f>"Q"&amp;CEILING(MONTH(EDATE(Data[[#This Row],[Date]],-3)),3)/3</f>
        <v>Q2</v>
      </c>
      <c r="D409" s="4" t="s">
        <v>9</v>
      </c>
      <c r="E409" s="4" t="s">
        <v>7</v>
      </c>
      <c r="F409" s="5">
        <v>10150</v>
      </c>
      <c r="G409" s="5">
        <f>Data[[#This Row],[Amount]]-Data[[#This Row],[Profit]]</f>
        <v>7450</v>
      </c>
      <c r="H409" s="5">
        <v>2700</v>
      </c>
      <c r="I409" s="5" t="s">
        <v>15</v>
      </c>
    </row>
    <row r="410" spans="1:9" ht="12.75" x14ac:dyDescent="0.2">
      <c r="A410" s="3">
        <v>38387</v>
      </c>
      <c r="B410" s="3" t="str">
        <f>IF(MONTH(Data[[#This Row],[Date]])&gt;3,YEAR(Data[[#This Row],[Date]])&amp;"-"&amp;YEAR(Data[[#This Row],[Date]])+1,YEAR(Data[[#This Row],[Date]])-1&amp;"-"&amp;YEAR(Data[[#This Row],[Date]]))</f>
        <v>2004-2005</v>
      </c>
      <c r="C410" s="3" t="str">
        <f>"Q"&amp;CEILING(MONTH(EDATE(Data[[#This Row],[Date]],-3)),3)/3</f>
        <v>Q4</v>
      </c>
      <c r="D410" s="4" t="s">
        <v>20</v>
      </c>
      <c r="E410" s="4" t="s">
        <v>29</v>
      </c>
      <c r="F410" s="5">
        <v>13350</v>
      </c>
      <c r="G410" s="5">
        <f>Data[[#This Row],[Amount]]-Data[[#This Row],[Profit]]</f>
        <v>10590</v>
      </c>
      <c r="H410" s="5">
        <v>2760</v>
      </c>
      <c r="I410" s="5" t="s">
        <v>8</v>
      </c>
    </row>
    <row r="411" spans="1:9" ht="12.75" x14ac:dyDescent="0.2">
      <c r="A411" s="3">
        <v>38564</v>
      </c>
      <c r="B411" s="3" t="str">
        <f>IF(MONTH(Data[[#This Row],[Date]])&gt;3,YEAR(Data[[#This Row],[Date]])&amp;"-"&amp;YEAR(Data[[#This Row],[Date]])+1,YEAR(Data[[#This Row],[Date]])-1&amp;"-"&amp;YEAR(Data[[#This Row],[Date]]))</f>
        <v>2005-2006</v>
      </c>
      <c r="C411" s="3" t="str">
        <f>"Q"&amp;CEILING(MONTH(EDATE(Data[[#This Row],[Date]],-3)),3)/3</f>
        <v>Q2</v>
      </c>
      <c r="D411" s="4" t="s">
        <v>25</v>
      </c>
      <c r="E411" s="4" t="s">
        <v>24</v>
      </c>
      <c r="F411" s="5">
        <v>13600</v>
      </c>
      <c r="G411" s="5">
        <f>Data[[#This Row],[Amount]]-Data[[#This Row],[Profit]]</f>
        <v>9280</v>
      </c>
      <c r="H411" s="5">
        <v>4320</v>
      </c>
      <c r="I411" s="5" t="s">
        <v>15</v>
      </c>
    </row>
    <row r="412" spans="1:9" ht="12.75" x14ac:dyDescent="0.2">
      <c r="A412" s="3">
        <v>39341</v>
      </c>
      <c r="B412" s="3" t="str">
        <f>IF(MONTH(Data[[#This Row],[Date]])&gt;3,YEAR(Data[[#This Row],[Date]])&amp;"-"&amp;YEAR(Data[[#This Row],[Date]])+1,YEAR(Data[[#This Row],[Date]])-1&amp;"-"&amp;YEAR(Data[[#This Row],[Date]]))</f>
        <v>2007-2008</v>
      </c>
      <c r="C412" s="3" t="str">
        <f>"Q"&amp;CEILING(MONTH(EDATE(Data[[#This Row],[Date]],-3)),3)/3</f>
        <v>Q2</v>
      </c>
      <c r="D412" s="4" t="s">
        <v>6</v>
      </c>
      <c r="E412" s="4" t="s">
        <v>28</v>
      </c>
      <c r="F412" s="5">
        <v>10600</v>
      </c>
      <c r="G412" s="5">
        <f>Data[[#This Row],[Amount]]-Data[[#This Row],[Profit]]</f>
        <v>8180</v>
      </c>
      <c r="H412" s="5">
        <v>2420</v>
      </c>
      <c r="I412" s="5" t="s">
        <v>8</v>
      </c>
    </row>
    <row r="413" spans="1:9" ht="12.75" x14ac:dyDescent="0.2">
      <c r="A413" s="3">
        <v>39367</v>
      </c>
      <c r="B413" s="3" t="str">
        <f>IF(MONTH(Data[[#This Row],[Date]])&gt;3,YEAR(Data[[#This Row],[Date]])&amp;"-"&amp;YEAR(Data[[#This Row],[Date]])+1,YEAR(Data[[#This Row],[Date]])-1&amp;"-"&amp;YEAR(Data[[#This Row],[Date]]))</f>
        <v>2007-2008</v>
      </c>
      <c r="C413" s="3" t="str">
        <f>"Q"&amp;CEILING(MONTH(EDATE(Data[[#This Row],[Date]],-3)),3)/3</f>
        <v>Q3</v>
      </c>
      <c r="D413" s="4" t="s">
        <v>9</v>
      </c>
      <c r="E413" s="4" t="s">
        <v>28</v>
      </c>
      <c r="F413" s="5">
        <v>12050</v>
      </c>
      <c r="G413" s="5">
        <f>Data[[#This Row],[Amount]]-Data[[#This Row],[Profit]]</f>
        <v>9830</v>
      </c>
      <c r="H413" s="5">
        <v>2220</v>
      </c>
      <c r="I413" s="5" t="s">
        <v>8</v>
      </c>
    </row>
    <row r="414" spans="1:9" ht="12.75" x14ac:dyDescent="0.2">
      <c r="A414" s="3">
        <v>38500</v>
      </c>
      <c r="B414" s="3" t="str">
        <f>IF(MONTH(Data[[#This Row],[Date]])&gt;3,YEAR(Data[[#This Row],[Date]])&amp;"-"&amp;YEAR(Data[[#This Row],[Date]])+1,YEAR(Data[[#This Row],[Date]])-1&amp;"-"&amp;YEAR(Data[[#This Row],[Date]]))</f>
        <v>2005-2006</v>
      </c>
      <c r="C414" s="3" t="str">
        <f>"Q"&amp;CEILING(MONTH(EDATE(Data[[#This Row],[Date]],-3)),3)/3</f>
        <v>Q1</v>
      </c>
      <c r="D414" s="4" t="s">
        <v>23</v>
      </c>
      <c r="E414" s="4" t="s">
        <v>33</v>
      </c>
      <c r="F414" s="5">
        <v>14300</v>
      </c>
      <c r="G414" s="5">
        <f>Data[[#This Row],[Amount]]-Data[[#This Row],[Profit]]</f>
        <v>10380</v>
      </c>
      <c r="H414" s="5">
        <v>3920</v>
      </c>
      <c r="I414" s="5" t="s">
        <v>11</v>
      </c>
    </row>
    <row r="415" spans="1:9" ht="12.75" x14ac:dyDescent="0.2">
      <c r="A415" s="3">
        <v>39559</v>
      </c>
      <c r="B415" s="3" t="str">
        <f>IF(MONTH(Data[[#This Row],[Date]])&gt;3,YEAR(Data[[#This Row],[Date]])&amp;"-"&amp;YEAR(Data[[#This Row],[Date]])+1,YEAR(Data[[#This Row],[Date]])-1&amp;"-"&amp;YEAR(Data[[#This Row],[Date]]))</f>
        <v>2008-2009</v>
      </c>
      <c r="C415" s="3" t="str">
        <f>"Q"&amp;CEILING(MONTH(EDATE(Data[[#This Row],[Date]],-3)),3)/3</f>
        <v>Q1</v>
      </c>
      <c r="D415" s="4" t="s">
        <v>18</v>
      </c>
      <c r="E415" s="4" t="s">
        <v>24</v>
      </c>
      <c r="F415" s="5">
        <v>14450</v>
      </c>
      <c r="G415" s="5">
        <f>Data[[#This Row],[Amount]]-Data[[#This Row],[Profit]]</f>
        <v>9650</v>
      </c>
      <c r="H415" s="5">
        <v>4800</v>
      </c>
      <c r="I415" s="5" t="s">
        <v>15</v>
      </c>
    </row>
    <row r="416" spans="1:9" ht="12.75" x14ac:dyDescent="0.2">
      <c r="A416" s="3">
        <v>39520</v>
      </c>
      <c r="B416" s="3" t="str">
        <f>IF(MONTH(Data[[#This Row],[Date]])&gt;3,YEAR(Data[[#This Row],[Date]])&amp;"-"&amp;YEAR(Data[[#This Row],[Date]])+1,YEAR(Data[[#This Row],[Date]])-1&amp;"-"&amp;YEAR(Data[[#This Row],[Date]]))</f>
        <v>2007-2008</v>
      </c>
      <c r="C416" s="3" t="str">
        <f>"Q"&amp;CEILING(MONTH(EDATE(Data[[#This Row],[Date]],-3)),3)/3</f>
        <v>Q4</v>
      </c>
      <c r="D416" s="4" t="s">
        <v>27</v>
      </c>
      <c r="E416" s="4" t="s">
        <v>19</v>
      </c>
      <c r="F416" s="5">
        <v>11350</v>
      </c>
      <c r="G416" s="5">
        <f>Data[[#This Row],[Amount]]-Data[[#This Row],[Profit]]</f>
        <v>9050</v>
      </c>
      <c r="H416" s="5">
        <v>2300</v>
      </c>
      <c r="I416" s="5" t="s">
        <v>22</v>
      </c>
    </row>
    <row r="417" spans="1:9" ht="12.75" x14ac:dyDescent="0.2">
      <c r="A417" s="3">
        <v>38910</v>
      </c>
      <c r="B417" s="3" t="str">
        <f>IF(MONTH(Data[[#This Row],[Date]])&gt;3,YEAR(Data[[#This Row],[Date]])&amp;"-"&amp;YEAR(Data[[#This Row],[Date]])+1,YEAR(Data[[#This Row],[Date]])-1&amp;"-"&amp;YEAR(Data[[#This Row],[Date]]))</f>
        <v>2006-2007</v>
      </c>
      <c r="C417" s="3" t="str">
        <f>"Q"&amp;CEILING(MONTH(EDATE(Data[[#This Row],[Date]],-3)),3)/3</f>
        <v>Q2</v>
      </c>
      <c r="D417" s="4" t="s">
        <v>25</v>
      </c>
      <c r="E417" s="4" t="s">
        <v>33</v>
      </c>
      <c r="F417" s="5">
        <v>13700</v>
      </c>
      <c r="G417" s="5">
        <f>Data[[#This Row],[Amount]]-Data[[#This Row],[Profit]]</f>
        <v>9720</v>
      </c>
      <c r="H417" s="5">
        <v>3980</v>
      </c>
      <c r="I417" s="5" t="s">
        <v>8</v>
      </c>
    </row>
    <row r="418" spans="1:9" ht="12.75" x14ac:dyDescent="0.2">
      <c r="A418" s="3">
        <v>39756</v>
      </c>
      <c r="B418" s="3" t="str">
        <f>IF(MONTH(Data[[#This Row],[Date]])&gt;3,YEAR(Data[[#This Row],[Date]])&amp;"-"&amp;YEAR(Data[[#This Row],[Date]])+1,YEAR(Data[[#This Row],[Date]])-1&amp;"-"&amp;YEAR(Data[[#This Row],[Date]]))</f>
        <v>2008-2009</v>
      </c>
      <c r="C418" s="3" t="str">
        <f>"Q"&amp;CEILING(MONTH(EDATE(Data[[#This Row],[Date]],-3)),3)/3</f>
        <v>Q3</v>
      </c>
      <c r="D418" s="4" t="s">
        <v>18</v>
      </c>
      <c r="E418" s="4" t="s">
        <v>17</v>
      </c>
      <c r="F418" s="5">
        <v>10350</v>
      </c>
      <c r="G418" s="5">
        <f>Data[[#This Row],[Amount]]-Data[[#This Row],[Profit]]</f>
        <v>7750</v>
      </c>
      <c r="H418" s="5">
        <v>2600</v>
      </c>
      <c r="I418" s="5" t="s">
        <v>22</v>
      </c>
    </row>
    <row r="419" spans="1:9" ht="12.75" x14ac:dyDescent="0.2">
      <c r="A419" s="3">
        <v>39559</v>
      </c>
      <c r="B419" s="3" t="str">
        <f>IF(MONTH(Data[[#This Row],[Date]])&gt;3,YEAR(Data[[#This Row],[Date]])&amp;"-"&amp;YEAR(Data[[#This Row],[Date]])+1,YEAR(Data[[#This Row],[Date]])-1&amp;"-"&amp;YEAR(Data[[#This Row],[Date]]))</f>
        <v>2008-2009</v>
      </c>
      <c r="C419" s="3" t="str">
        <f>"Q"&amp;CEILING(MONTH(EDATE(Data[[#This Row],[Date]],-3)),3)/3</f>
        <v>Q1</v>
      </c>
      <c r="D419" s="4" t="s">
        <v>18</v>
      </c>
      <c r="E419" s="4" t="s">
        <v>30</v>
      </c>
      <c r="F419" s="5">
        <v>14250</v>
      </c>
      <c r="G419" s="5">
        <f>Data[[#This Row],[Amount]]-Data[[#This Row],[Profit]]</f>
        <v>11430</v>
      </c>
      <c r="H419" s="5">
        <v>2820</v>
      </c>
      <c r="I419" s="5" t="s">
        <v>8</v>
      </c>
    </row>
    <row r="420" spans="1:9" ht="12.75" x14ac:dyDescent="0.2">
      <c r="A420" s="3">
        <v>39311</v>
      </c>
      <c r="B420" s="3" t="str">
        <f>IF(MONTH(Data[[#This Row],[Date]])&gt;3,YEAR(Data[[#This Row],[Date]])&amp;"-"&amp;YEAR(Data[[#This Row],[Date]])+1,YEAR(Data[[#This Row],[Date]])-1&amp;"-"&amp;YEAR(Data[[#This Row],[Date]]))</f>
        <v>2007-2008</v>
      </c>
      <c r="C420" s="3" t="str">
        <f>"Q"&amp;CEILING(MONTH(EDATE(Data[[#This Row],[Date]],-3)),3)/3</f>
        <v>Q2</v>
      </c>
      <c r="D420" s="4" t="s">
        <v>25</v>
      </c>
      <c r="E420" s="4" t="s">
        <v>17</v>
      </c>
      <c r="F420" s="5">
        <v>13300</v>
      </c>
      <c r="G420" s="5">
        <f>Data[[#This Row],[Amount]]-Data[[#This Row],[Profit]]</f>
        <v>7760</v>
      </c>
      <c r="H420" s="5">
        <v>5540</v>
      </c>
      <c r="I420" s="5" t="s">
        <v>15</v>
      </c>
    </row>
    <row r="421" spans="1:9" ht="12.75" x14ac:dyDescent="0.2">
      <c r="A421" s="3">
        <v>38926</v>
      </c>
      <c r="B421" s="3" t="str">
        <f>IF(MONTH(Data[[#This Row],[Date]])&gt;3,YEAR(Data[[#This Row],[Date]])&amp;"-"&amp;YEAR(Data[[#This Row],[Date]])+1,YEAR(Data[[#This Row],[Date]])-1&amp;"-"&amp;YEAR(Data[[#This Row],[Date]]))</f>
        <v>2006-2007</v>
      </c>
      <c r="C421" s="3" t="str">
        <f>"Q"&amp;CEILING(MONTH(EDATE(Data[[#This Row],[Date]],-3)),3)/3</f>
        <v>Q2</v>
      </c>
      <c r="D421" s="4" t="s">
        <v>31</v>
      </c>
      <c r="E421" s="4" t="s">
        <v>13</v>
      </c>
      <c r="F421" s="5">
        <v>14800</v>
      </c>
      <c r="G421" s="5">
        <f>Data[[#This Row],[Amount]]-Data[[#This Row],[Profit]]</f>
        <v>9000</v>
      </c>
      <c r="H421" s="5">
        <v>5800</v>
      </c>
      <c r="I421" s="5" t="s">
        <v>22</v>
      </c>
    </row>
    <row r="422" spans="1:9" ht="12.75" x14ac:dyDescent="0.2">
      <c r="A422" s="3">
        <v>39488</v>
      </c>
      <c r="B422" s="3" t="str">
        <f>IF(MONTH(Data[[#This Row],[Date]])&gt;3,YEAR(Data[[#This Row],[Date]])&amp;"-"&amp;YEAR(Data[[#This Row],[Date]])+1,YEAR(Data[[#This Row],[Date]])-1&amp;"-"&amp;YEAR(Data[[#This Row],[Date]]))</f>
        <v>2007-2008</v>
      </c>
      <c r="C422" s="3" t="str">
        <f>"Q"&amp;CEILING(MONTH(EDATE(Data[[#This Row],[Date]],-3)),3)/3</f>
        <v>Q4</v>
      </c>
      <c r="D422" s="4" t="s">
        <v>23</v>
      </c>
      <c r="E422" s="4" t="s">
        <v>13</v>
      </c>
      <c r="F422" s="5">
        <v>14950</v>
      </c>
      <c r="G422" s="5">
        <f>Data[[#This Row],[Amount]]-Data[[#This Row],[Profit]]</f>
        <v>9210</v>
      </c>
      <c r="H422" s="5">
        <v>5740</v>
      </c>
      <c r="I422" s="5" t="s">
        <v>15</v>
      </c>
    </row>
    <row r="423" spans="1:9" ht="12.75" x14ac:dyDescent="0.2">
      <c r="A423" s="3">
        <v>39171</v>
      </c>
      <c r="B423" s="3" t="str">
        <f>IF(MONTH(Data[[#This Row],[Date]])&gt;3,YEAR(Data[[#This Row],[Date]])&amp;"-"&amp;YEAR(Data[[#This Row],[Date]])+1,YEAR(Data[[#This Row],[Date]])-1&amp;"-"&amp;YEAR(Data[[#This Row],[Date]]))</f>
        <v>2006-2007</v>
      </c>
      <c r="C423" s="3" t="str">
        <f>"Q"&amp;CEILING(MONTH(EDATE(Data[[#This Row],[Date]],-3)),3)/3</f>
        <v>Q4</v>
      </c>
      <c r="D423" s="4" t="s">
        <v>12</v>
      </c>
      <c r="E423" s="4" t="s">
        <v>13</v>
      </c>
      <c r="F423" s="5">
        <v>12300</v>
      </c>
      <c r="G423" s="5">
        <f>Data[[#This Row],[Amount]]-Data[[#This Row],[Profit]]</f>
        <v>8640</v>
      </c>
      <c r="H423" s="5">
        <v>3660</v>
      </c>
      <c r="I423" s="5" t="s">
        <v>15</v>
      </c>
    </row>
    <row r="424" spans="1:9" ht="12.75" x14ac:dyDescent="0.2">
      <c r="A424" s="3">
        <v>38635</v>
      </c>
      <c r="B424" s="3" t="str">
        <f>IF(MONTH(Data[[#This Row],[Date]])&gt;3,YEAR(Data[[#This Row],[Date]])&amp;"-"&amp;YEAR(Data[[#This Row],[Date]])+1,YEAR(Data[[#This Row],[Date]])-1&amp;"-"&amp;YEAR(Data[[#This Row],[Date]]))</f>
        <v>2005-2006</v>
      </c>
      <c r="C424" s="3" t="str">
        <f>"Q"&amp;CEILING(MONTH(EDATE(Data[[#This Row],[Date]],-3)),3)/3</f>
        <v>Q3</v>
      </c>
      <c r="D424" s="4" t="s">
        <v>25</v>
      </c>
      <c r="E424" s="4" t="s">
        <v>28</v>
      </c>
      <c r="F424" s="5">
        <v>11850</v>
      </c>
      <c r="G424" s="5">
        <f>Data[[#This Row],[Amount]]-Data[[#This Row],[Profit]]</f>
        <v>9390</v>
      </c>
      <c r="H424" s="5">
        <v>2460</v>
      </c>
      <c r="I424" s="5" t="s">
        <v>22</v>
      </c>
    </row>
    <row r="425" spans="1:9" ht="12.75" x14ac:dyDescent="0.2">
      <c r="A425" s="3">
        <v>39066</v>
      </c>
      <c r="B425" s="3" t="str">
        <f>IF(MONTH(Data[[#This Row],[Date]])&gt;3,YEAR(Data[[#This Row],[Date]])&amp;"-"&amp;YEAR(Data[[#This Row],[Date]])+1,YEAR(Data[[#This Row],[Date]])-1&amp;"-"&amp;YEAR(Data[[#This Row],[Date]]))</f>
        <v>2006-2007</v>
      </c>
      <c r="C425" s="3" t="str">
        <f>"Q"&amp;CEILING(MONTH(EDATE(Data[[#This Row],[Date]],-3)),3)/3</f>
        <v>Q3</v>
      </c>
      <c r="D425" s="4" t="s">
        <v>9</v>
      </c>
      <c r="E425" s="4" t="s">
        <v>19</v>
      </c>
      <c r="F425" s="5">
        <v>12350</v>
      </c>
      <c r="G425" s="5">
        <f>Data[[#This Row],[Amount]]-Data[[#This Row],[Profit]]</f>
        <v>9730</v>
      </c>
      <c r="H425" s="5">
        <v>2620</v>
      </c>
      <c r="I425" s="5" t="s">
        <v>22</v>
      </c>
    </row>
    <row r="426" spans="1:9" ht="12.75" x14ac:dyDescent="0.2">
      <c r="A426" s="3">
        <v>38803</v>
      </c>
      <c r="B426" s="3" t="str">
        <f>IF(MONTH(Data[[#This Row],[Date]])&gt;3,YEAR(Data[[#This Row],[Date]])&amp;"-"&amp;YEAR(Data[[#This Row],[Date]])+1,YEAR(Data[[#This Row],[Date]])-1&amp;"-"&amp;YEAR(Data[[#This Row],[Date]]))</f>
        <v>2005-2006</v>
      </c>
      <c r="C426" s="3" t="str">
        <f>"Q"&amp;CEILING(MONTH(EDATE(Data[[#This Row],[Date]],-3)),3)/3</f>
        <v>Q4</v>
      </c>
      <c r="D426" s="4" t="s">
        <v>23</v>
      </c>
      <c r="E426" s="4" t="s">
        <v>21</v>
      </c>
      <c r="F426" s="5">
        <v>10550</v>
      </c>
      <c r="G426" s="5">
        <f>Data[[#This Row],[Amount]]-Data[[#This Row],[Profit]]</f>
        <v>7470</v>
      </c>
      <c r="H426" s="5">
        <v>3080</v>
      </c>
      <c r="I426" s="5" t="s">
        <v>8</v>
      </c>
    </row>
    <row r="427" spans="1:9" ht="12.75" x14ac:dyDescent="0.2">
      <c r="A427" s="3">
        <v>39381</v>
      </c>
      <c r="B427" s="3" t="str">
        <f>IF(MONTH(Data[[#This Row],[Date]])&gt;3,YEAR(Data[[#This Row],[Date]])&amp;"-"&amp;YEAR(Data[[#This Row],[Date]])+1,YEAR(Data[[#This Row],[Date]])-1&amp;"-"&amp;YEAR(Data[[#This Row],[Date]]))</f>
        <v>2007-2008</v>
      </c>
      <c r="C427" s="3" t="str">
        <f>"Q"&amp;CEILING(MONTH(EDATE(Data[[#This Row],[Date]],-3)),3)/3</f>
        <v>Q3</v>
      </c>
      <c r="D427" s="4" t="s">
        <v>6</v>
      </c>
      <c r="E427" s="4" t="s">
        <v>7</v>
      </c>
      <c r="F427" s="5">
        <v>14700</v>
      </c>
      <c r="G427" s="5">
        <f>Data[[#This Row],[Amount]]-Data[[#This Row],[Profit]]</f>
        <v>10140</v>
      </c>
      <c r="H427" s="5">
        <v>4560</v>
      </c>
      <c r="I427" s="5" t="s">
        <v>15</v>
      </c>
    </row>
    <row r="428" spans="1:9" ht="12.75" x14ac:dyDescent="0.2">
      <c r="A428" s="3">
        <v>39127</v>
      </c>
      <c r="B428" s="3" t="str">
        <f>IF(MONTH(Data[[#This Row],[Date]])&gt;3,YEAR(Data[[#This Row],[Date]])&amp;"-"&amp;YEAR(Data[[#This Row],[Date]])+1,YEAR(Data[[#This Row],[Date]])-1&amp;"-"&amp;YEAR(Data[[#This Row],[Date]]))</f>
        <v>2006-2007</v>
      </c>
      <c r="C428" s="3" t="str">
        <f>"Q"&amp;CEILING(MONTH(EDATE(Data[[#This Row],[Date]],-3)),3)/3</f>
        <v>Q4</v>
      </c>
      <c r="D428" s="4" t="s">
        <v>16</v>
      </c>
      <c r="E428" s="4" t="s">
        <v>26</v>
      </c>
      <c r="F428" s="5">
        <v>11450</v>
      </c>
      <c r="G428" s="5">
        <f>Data[[#This Row],[Amount]]-Data[[#This Row],[Profit]]</f>
        <v>7650</v>
      </c>
      <c r="H428" s="5">
        <v>3800</v>
      </c>
      <c r="I428" s="5" t="s">
        <v>8</v>
      </c>
    </row>
    <row r="429" spans="1:9" ht="12.75" x14ac:dyDescent="0.2">
      <c r="A429" s="3">
        <v>38435</v>
      </c>
      <c r="B429" s="3" t="str">
        <f>IF(MONTH(Data[[#This Row],[Date]])&gt;3,YEAR(Data[[#This Row],[Date]])&amp;"-"&amp;YEAR(Data[[#This Row],[Date]])+1,YEAR(Data[[#This Row],[Date]])-1&amp;"-"&amp;YEAR(Data[[#This Row],[Date]]))</f>
        <v>2004-2005</v>
      </c>
      <c r="C429" s="3" t="str">
        <f>"Q"&amp;CEILING(MONTH(EDATE(Data[[#This Row],[Date]],-3)),3)/3</f>
        <v>Q4</v>
      </c>
      <c r="D429" s="4" t="s">
        <v>9</v>
      </c>
      <c r="E429" s="4" t="s">
        <v>33</v>
      </c>
      <c r="F429" s="5">
        <v>14500</v>
      </c>
      <c r="G429" s="5">
        <f>Data[[#This Row],[Amount]]-Data[[#This Row],[Profit]]</f>
        <v>9240</v>
      </c>
      <c r="H429" s="5">
        <v>5260</v>
      </c>
      <c r="I429" s="5" t="s">
        <v>15</v>
      </c>
    </row>
    <row r="430" spans="1:9" ht="12.75" x14ac:dyDescent="0.2">
      <c r="A430" s="3">
        <v>39078</v>
      </c>
      <c r="B430" s="3" t="str">
        <f>IF(MONTH(Data[[#This Row],[Date]])&gt;3,YEAR(Data[[#This Row],[Date]])&amp;"-"&amp;YEAR(Data[[#This Row],[Date]])+1,YEAR(Data[[#This Row],[Date]])-1&amp;"-"&amp;YEAR(Data[[#This Row],[Date]]))</f>
        <v>2006-2007</v>
      </c>
      <c r="C430" s="3" t="str">
        <f>"Q"&amp;CEILING(MONTH(EDATE(Data[[#This Row],[Date]],-3)),3)/3</f>
        <v>Q3</v>
      </c>
      <c r="D430" s="4" t="s">
        <v>25</v>
      </c>
      <c r="E430" s="4" t="s">
        <v>30</v>
      </c>
      <c r="F430" s="5">
        <v>12000</v>
      </c>
      <c r="G430" s="5">
        <f>Data[[#This Row],[Amount]]-Data[[#This Row],[Profit]]</f>
        <v>8360</v>
      </c>
      <c r="H430" s="5">
        <v>3640</v>
      </c>
      <c r="I430" s="5" t="s">
        <v>8</v>
      </c>
    </row>
    <row r="431" spans="1:9" ht="12.75" x14ac:dyDescent="0.2">
      <c r="A431" s="3">
        <v>39468</v>
      </c>
      <c r="B431" s="3" t="str">
        <f>IF(MONTH(Data[[#This Row],[Date]])&gt;3,YEAR(Data[[#This Row],[Date]])&amp;"-"&amp;YEAR(Data[[#This Row],[Date]])+1,YEAR(Data[[#This Row],[Date]])-1&amp;"-"&amp;YEAR(Data[[#This Row],[Date]]))</f>
        <v>2007-2008</v>
      </c>
      <c r="C431" s="3" t="str">
        <f>"Q"&amp;CEILING(MONTH(EDATE(Data[[#This Row],[Date]],-3)),3)/3</f>
        <v>Q4</v>
      </c>
      <c r="D431" s="4" t="s">
        <v>14</v>
      </c>
      <c r="E431" s="4" t="s">
        <v>19</v>
      </c>
      <c r="F431" s="5">
        <v>14500</v>
      </c>
      <c r="G431" s="5">
        <f>Data[[#This Row],[Amount]]-Data[[#This Row],[Profit]]</f>
        <v>8780</v>
      </c>
      <c r="H431" s="5">
        <v>5720</v>
      </c>
      <c r="I431" s="5" t="s">
        <v>11</v>
      </c>
    </row>
    <row r="432" spans="1:9" ht="12.75" x14ac:dyDescent="0.2">
      <c r="A432" s="3">
        <v>38903</v>
      </c>
      <c r="B432" s="3" t="str">
        <f>IF(MONTH(Data[[#This Row],[Date]])&gt;3,YEAR(Data[[#This Row],[Date]])&amp;"-"&amp;YEAR(Data[[#This Row],[Date]])+1,YEAR(Data[[#This Row],[Date]])-1&amp;"-"&amp;YEAR(Data[[#This Row],[Date]]))</f>
        <v>2006-2007</v>
      </c>
      <c r="C432" s="3" t="str">
        <f>"Q"&amp;CEILING(MONTH(EDATE(Data[[#This Row],[Date]],-3)),3)/3</f>
        <v>Q2</v>
      </c>
      <c r="D432" s="4" t="s">
        <v>25</v>
      </c>
      <c r="E432" s="4" t="s">
        <v>30</v>
      </c>
      <c r="F432" s="5">
        <v>12150</v>
      </c>
      <c r="G432" s="5">
        <f>Data[[#This Row],[Amount]]-Data[[#This Row],[Profit]]</f>
        <v>8930</v>
      </c>
      <c r="H432" s="5">
        <v>3220</v>
      </c>
      <c r="I432" s="5" t="s">
        <v>11</v>
      </c>
    </row>
    <row r="433" spans="1:9" ht="12.75" x14ac:dyDescent="0.2">
      <c r="A433" s="3">
        <v>39145</v>
      </c>
      <c r="B433" s="3" t="str">
        <f>IF(MONTH(Data[[#This Row],[Date]])&gt;3,YEAR(Data[[#This Row],[Date]])&amp;"-"&amp;YEAR(Data[[#This Row],[Date]])+1,YEAR(Data[[#This Row],[Date]])-1&amp;"-"&amp;YEAR(Data[[#This Row],[Date]]))</f>
        <v>2006-2007</v>
      </c>
      <c r="C433" s="3" t="str">
        <f>"Q"&amp;CEILING(MONTH(EDATE(Data[[#This Row],[Date]],-3)),3)/3</f>
        <v>Q4</v>
      </c>
      <c r="D433" s="4" t="s">
        <v>27</v>
      </c>
      <c r="E433" s="4" t="s">
        <v>33</v>
      </c>
      <c r="F433" s="5">
        <v>12100</v>
      </c>
      <c r="G433" s="5">
        <f>Data[[#This Row],[Amount]]-Data[[#This Row],[Profit]]</f>
        <v>9800</v>
      </c>
      <c r="H433" s="5">
        <v>2300</v>
      </c>
      <c r="I433" s="5" t="s">
        <v>11</v>
      </c>
    </row>
    <row r="434" spans="1:9" ht="12.75" x14ac:dyDescent="0.2">
      <c r="A434" s="3">
        <v>39033</v>
      </c>
      <c r="B434" s="3" t="str">
        <f>IF(MONTH(Data[[#This Row],[Date]])&gt;3,YEAR(Data[[#This Row],[Date]])&amp;"-"&amp;YEAR(Data[[#This Row],[Date]])+1,YEAR(Data[[#This Row],[Date]])-1&amp;"-"&amp;YEAR(Data[[#This Row],[Date]]))</f>
        <v>2006-2007</v>
      </c>
      <c r="C434" s="3" t="str">
        <f>"Q"&amp;CEILING(MONTH(EDATE(Data[[#This Row],[Date]],-3)),3)/3</f>
        <v>Q3</v>
      </c>
      <c r="D434" s="4" t="s">
        <v>6</v>
      </c>
      <c r="E434" s="4" t="s">
        <v>28</v>
      </c>
      <c r="F434" s="5">
        <v>11700</v>
      </c>
      <c r="G434" s="5">
        <f>Data[[#This Row],[Amount]]-Data[[#This Row],[Profit]]</f>
        <v>8860</v>
      </c>
      <c r="H434" s="5">
        <v>2840</v>
      </c>
      <c r="I434" s="5" t="s">
        <v>8</v>
      </c>
    </row>
    <row r="435" spans="1:9" ht="12.75" x14ac:dyDescent="0.2">
      <c r="A435" s="3">
        <v>39404</v>
      </c>
      <c r="B435" s="3" t="str">
        <f>IF(MONTH(Data[[#This Row],[Date]])&gt;3,YEAR(Data[[#This Row],[Date]])&amp;"-"&amp;YEAR(Data[[#This Row],[Date]])+1,YEAR(Data[[#This Row],[Date]])-1&amp;"-"&amp;YEAR(Data[[#This Row],[Date]]))</f>
        <v>2007-2008</v>
      </c>
      <c r="C435" s="3" t="str">
        <f>"Q"&amp;CEILING(MONTH(EDATE(Data[[#This Row],[Date]],-3)),3)/3</f>
        <v>Q3</v>
      </c>
      <c r="D435" s="4" t="s">
        <v>23</v>
      </c>
      <c r="E435" s="4" t="s">
        <v>21</v>
      </c>
      <c r="F435" s="5">
        <v>12700</v>
      </c>
      <c r="G435" s="5">
        <f>Data[[#This Row],[Amount]]-Data[[#This Row],[Profit]]</f>
        <v>10600</v>
      </c>
      <c r="H435" s="5">
        <v>2100</v>
      </c>
      <c r="I435" s="5" t="s">
        <v>11</v>
      </c>
    </row>
    <row r="436" spans="1:9" ht="12.75" x14ac:dyDescent="0.2">
      <c r="A436" s="3">
        <v>38600</v>
      </c>
      <c r="B436" s="3" t="str">
        <f>IF(MONTH(Data[[#This Row],[Date]])&gt;3,YEAR(Data[[#This Row],[Date]])&amp;"-"&amp;YEAR(Data[[#This Row],[Date]])+1,YEAR(Data[[#This Row],[Date]])-1&amp;"-"&amp;YEAR(Data[[#This Row],[Date]]))</f>
        <v>2005-2006</v>
      </c>
      <c r="C436" s="3" t="str">
        <f>"Q"&amp;CEILING(MONTH(EDATE(Data[[#This Row],[Date]],-3)),3)/3</f>
        <v>Q2</v>
      </c>
      <c r="D436" s="4" t="s">
        <v>14</v>
      </c>
      <c r="E436" s="4" t="s">
        <v>21</v>
      </c>
      <c r="F436" s="5">
        <v>10700</v>
      </c>
      <c r="G436" s="5">
        <f>Data[[#This Row],[Amount]]-Data[[#This Row],[Profit]]</f>
        <v>8620</v>
      </c>
      <c r="H436" s="5">
        <v>2080</v>
      </c>
      <c r="I436" s="5" t="s">
        <v>8</v>
      </c>
    </row>
    <row r="437" spans="1:9" ht="12.75" x14ac:dyDescent="0.2">
      <c r="A437" s="3">
        <v>38572</v>
      </c>
      <c r="B437" s="3" t="str">
        <f>IF(MONTH(Data[[#This Row],[Date]])&gt;3,YEAR(Data[[#This Row],[Date]])&amp;"-"&amp;YEAR(Data[[#This Row],[Date]])+1,YEAR(Data[[#This Row],[Date]])-1&amp;"-"&amp;YEAR(Data[[#This Row],[Date]]))</f>
        <v>2005-2006</v>
      </c>
      <c r="C437" s="3" t="str">
        <f>"Q"&amp;CEILING(MONTH(EDATE(Data[[#This Row],[Date]],-3)),3)/3</f>
        <v>Q2</v>
      </c>
      <c r="D437" s="4" t="s">
        <v>23</v>
      </c>
      <c r="E437" s="4" t="s">
        <v>13</v>
      </c>
      <c r="F437" s="5">
        <v>13350</v>
      </c>
      <c r="G437" s="5">
        <f>Data[[#This Row],[Amount]]-Data[[#This Row],[Profit]]</f>
        <v>10450</v>
      </c>
      <c r="H437" s="5">
        <v>2900</v>
      </c>
      <c r="I437" s="5" t="s">
        <v>11</v>
      </c>
    </row>
    <row r="438" spans="1:9" ht="12.75" x14ac:dyDescent="0.2">
      <c r="A438" s="3">
        <v>39661</v>
      </c>
      <c r="B438" s="3" t="str">
        <f>IF(MONTH(Data[[#This Row],[Date]])&gt;3,YEAR(Data[[#This Row],[Date]])&amp;"-"&amp;YEAR(Data[[#This Row],[Date]])+1,YEAR(Data[[#This Row],[Date]])-1&amp;"-"&amp;YEAR(Data[[#This Row],[Date]]))</f>
        <v>2008-2009</v>
      </c>
      <c r="C438" s="3" t="str">
        <f>"Q"&amp;CEILING(MONTH(EDATE(Data[[#This Row],[Date]],-3)),3)/3</f>
        <v>Q2</v>
      </c>
      <c r="D438" s="4" t="s">
        <v>18</v>
      </c>
      <c r="E438" s="4" t="s">
        <v>26</v>
      </c>
      <c r="F438" s="5">
        <v>11300</v>
      </c>
      <c r="G438" s="5">
        <f>Data[[#This Row],[Amount]]-Data[[#This Row],[Profit]]</f>
        <v>8600</v>
      </c>
      <c r="H438" s="5">
        <v>2700</v>
      </c>
      <c r="I438" s="5" t="s">
        <v>8</v>
      </c>
    </row>
    <row r="439" spans="1:9" ht="12.75" x14ac:dyDescent="0.2">
      <c r="A439" s="3">
        <v>39169</v>
      </c>
      <c r="B439" s="3" t="str">
        <f>IF(MONTH(Data[[#This Row],[Date]])&gt;3,YEAR(Data[[#This Row],[Date]])&amp;"-"&amp;YEAR(Data[[#This Row],[Date]])+1,YEAR(Data[[#This Row],[Date]])-1&amp;"-"&amp;YEAR(Data[[#This Row],[Date]]))</f>
        <v>2006-2007</v>
      </c>
      <c r="C439" s="3" t="str">
        <f>"Q"&amp;CEILING(MONTH(EDATE(Data[[#This Row],[Date]],-3)),3)/3</f>
        <v>Q4</v>
      </c>
      <c r="D439" s="4" t="s">
        <v>23</v>
      </c>
      <c r="E439" s="4" t="s">
        <v>19</v>
      </c>
      <c r="F439" s="5">
        <v>12350</v>
      </c>
      <c r="G439" s="5">
        <f>Data[[#This Row],[Amount]]-Data[[#This Row],[Profit]]</f>
        <v>6930</v>
      </c>
      <c r="H439" s="5">
        <v>5420</v>
      </c>
      <c r="I439" s="5" t="s">
        <v>15</v>
      </c>
    </row>
    <row r="440" spans="1:9" ht="12.75" x14ac:dyDescent="0.2">
      <c r="A440" s="3">
        <v>39676</v>
      </c>
      <c r="B440" s="3" t="str">
        <f>IF(MONTH(Data[[#This Row],[Date]])&gt;3,YEAR(Data[[#This Row],[Date]])&amp;"-"&amp;YEAR(Data[[#This Row],[Date]])+1,YEAR(Data[[#This Row],[Date]])-1&amp;"-"&amp;YEAR(Data[[#This Row],[Date]]))</f>
        <v>2008-2009</v>
      </c>
      <c r="C440" s="3" t="str">
        <f>"Q"&amp;CEILING(MONTH(EDATE(Data[[#This Row],[Date]],-3)),3)/3</f>
        <v>Q2</v>
      </c>
      <c r="D440" s="4" t="s">
        <v>25</v>
      </c>
      <c r="E440" s="4" t="s">
        <v>19</v>
      </c>
      <c r="F440" s="5">
        <v>12200</v>
      </c>
      <c r="G440" s="5">
        <f>Data[[#This Row],[Amount]]-Data[[#This Row],[Profit]]</f>
        <v>9040</v>
      </c>
      <c r="H440" s="5">
        <v>3160</v>
      </c>
      <c r="I440" s="5" t="s">
        <v>15</v>
      </c>
    </row>
    <row r="441" spans="1:9" ht="12.75" x14ac:dyDescent="0.2">
      <c r="A441" s="3">
        <v>39542</v>
      </c>
      <c r="B441" s="3" t="str">
        <f>IF(MONTH(Data[[#This Row],[Date]])&gt;3,YEAR(Data[[#This Row],[Date]])&amp;"-"&amp;YEAR(Data[[#This Row],[Date]])+1,YEAR(Data[[#This Row],[Date]])-1&amp;"-"&amp;YEAR(Data[[#This Row],[Date]]))</f>
        <v>2008-2009</v>
      </c>
      <c r="C441" s="3" t="str">
        <f>"Q"&amp;CEILING(MONTH(EDATE(Data[[#This Row],[Date]],-3)),3)/3</f>
        <v>Q1</v>
      </c>
      <c r="D441" s="4" t="s">
        <v>12</v>
      </c>
      <c r="E441" s="4" t="s">
        <v>28</v>
      </c>
      <c r="F441" s="5">
        <v>12550</v>
      </c>
      <c r="G441" s="5">
        <f>Data[[#This Row],[Amount]]-Data[[#This Row],[Profit]]</f>
        <v>8910</v>
      </c>
      <c r="H441" s="5">
        <v>3640</v>
      </c>
      <c r="I441" s="5" t="s">
        <v>15</v>
      </c>
    </row>
    <row r="442" spans="1:9" ht="12.75" x14ac:dyDescent="0.2">
      <c r="A442" s="3">
        <v>38392</v>
      </c>
      <c r="B442" s="3" t="str">
        <f>IF(MONTH(Data[[#This Row],[Date]])&gt;3,YEAR(Data[[#This Row],[Date]])&amp;"-"&amp;YEAR(Data[[#This Row],[Date]])+1,YEAR(Data[[#This Row],[Date]])-1&amp;"-"&amp;YEAR(Data[[#This Row],[Date]]))</f>
        <v>2004-2005</v>
      </c>
      <c r="C442" s="3" t="str">
        <f>"Q"&amp;CEILING(MONTH(EDATE(Data[[#This Row],[Date]],-3)),3)/3</f>
        <v>Q4</v>
      </c>
      <c r="D442" s="4" t="s">
        <v>20</v>
      </c>
      <c r="E442" s="4" t="s">
        <v>10</v>
      </c>
      <c r="F442" s="5">
        <v>10100</v>
      </c>
      <c r="G442" s="5">
        <f>Data[[#This Row],[Amount]]-Data[[#This Row],[Profit]]</f>
        <v>7320</v>
      </c>
      <c r="H442" s="5">
        <v>2780</v>
      </c>
      <c r="I442" s="5" t="s">
        <v>11</v>
      </c>
    </row>
    <row r="443" spans="1:9" ht="12.75" x14ac:dyDescent="0.2">
      <c r="A443" s="3">
        <v>38533</v>
      </c>
      <c r="B443" s="3" t="str">
        <f>IF(MONTH(Data[[#This Row],[Date]])&gt;3,YEAR(Data[[#This Row],[Date]])&amp;"-"&amp;YEAR(Data[[#This Row],[Date]])+1,YEAR(Data[[#This Row],[Date]])-1&amp;"-"&amp;YEAR(Data[[#This Row],[Date]]))</f>
        <v>2005-2006</v>
      </c>
      <c r="C443" s="3" t="str">
        <f>"Q"&amp;CEILING(MONTH(EDATE(Data[[#This Row],[Date]],-3)),3)/3</f>
        <v>Q1</v>
      </c>
      <c r="D443" s="4" t="s">
        <v>12</v>
      </c>
      <c r="E443" s="4" t="s">
        <v>24</v>
      </c>
      <c r="F443" s="5">
        <v>14150</v>
      </c>
      <c r="G443" s="5">
        <f>Data[[#This Row],[Amount]]-Data[[#This Row],[Profit]]</f>
        <v>10850</v>
      </c>
      <c r="H443" s="5">
        <v>3300</v>
      </c>
      <c r="I443" s="5" t="s">
        <v>22</v>
      </c>
    </row>
    <row r="444" spans="1:9" ht="12.75" x14ac:dyDescent="0.2">
      <c r="A444" s="3">
        <v>39732</v>
      </c>
      <c r="B444" s="3" t="str">
        <f>IF(MONTH(Data[[#This Row],[Date]])&gt;3,YEAR(Data[[#This Row],[Date]])&amp;"-"&amp;YEAR(Data[[#This Row],[Date]])+1,YEAR(Data[[#This Row],[Date]])-1&amp;"-"&amp;YEAR(Data[[#This Row],[Date]]))</f>
        <v>2008-2009</v>
      </c>
      <c r="C444" s="3" t="str">
        <f>"Q"&amp;CEILING(MONTH(EDATE(Data[[#This Row],[Date]],-3)),3)/3</f>
        <v>Q3</v>
      </c>
      <c r="D444" s="4" t="s">
        <v>32</v>
      </c>
      <c r="E444" s="4" t="s">
        <v>21</v>
      </c>
      <c r="F444" s="5">
        <v>12950</v>
      </c>
      <c r="G444" s="5">
        <f>Data[[#This Row],[Amount]]-Data[[#This Row],[Profit]]</f>
        <v>10770</v>
      </c>
      <c r="H444" s="5">
        <v>2180</v>
      </c>
      <c r="I444" s="5" t="s">
        <v>11</v>
      </c>
    </row>
    <row r="445" spans="1:9" ht="12.75" x14ac:dyDescent="0.2">
      <c r="A445" s="3">
        <v>39604</v>
      </c>
      <c r="B445" s="3" t="str">
        <f>IF(MONTH(Data[[#This Row],[Date]])&gt;3,YEAR(Data[[#This Row],[Date]])&amp;"-"&amp;YEAR(Data[[#This Row],[Date]])+1,YEAR(Data[[#This Row],[Date]])-1&amp;"-"&amp;YEAR(Data[[#This Row],[Date]]))</f>
        <v>2008-2009</v>
      </c>
      <c r="C445" s="3" t="str">
        <f>"Q"&amp;CEILING(MONTH(EDATE(Data[[#This Row],[Date]],-3)),3)/3</f>
        <v>Q1</v>
      </c>
      <c r="D445" s="4" t="s">
        <v>6</v>
      </c>
      <c r="E445" s="4" t="s">
        <v>7</v>
      </c>
      <c r="F445" s="5">
        <v>13800</v>
      </c>
      <c r="G445" s="5">
        <f>Data[[#This Row],[Amount]]-Data[[#This Row],[Profit]]</f>
        <v>10640</v>
      </c>
      <c r="H445" s="5">
        <v>3160</v>
      </c>
      <c r="I445" s="5" t="s">
        <v>22</v>
      </c>
    </row>
    <row r="446" spans="1:9" ht="12.75" x14ac:dyDescent="0.2">
      <c r="A446" s="3">
        <v>38414</v>
      </c>
      <c r="B446" s="3" t="str">
        <f>IF(MONTH(Data[[#This Row],[Date]])&gt;3,YEAR(Data[[#This Row],[Date]])&amp;"-"&amp;YEAR(Data[[#This Row],[Date]])+1,YEAR(Data[[#This Row],[Date]])-1&amp;"-"&amp;YEAR(Data[[#This Row],[Date]]))</f>
        <v>2004-2005</v>
      </c>
      <c r="C446" s="3" t="str">
        <f>"Q"&amp;CEILING(MONTH(EDATE(Data[[#This Row],[Date]],-3)),3)/3</f>
        <v>Q4</v>
      </c>
      <c r="D446" s="4" t="s">
        <v>14</v>
      </c>
      <c r="E446" s="4" t="s">
        <v>26</v>
      </c>
      <c r="F446" s="5">
        <v>11800</v>
      </c>
      <c r="G446" s="5">
        <f>Data[[#This Row],[Amount]]-Data[[#This Row],[Profit]]</f>
        <v>7680</v>
      </c>
      <c r="H446" s="5">
        <v>4120</v>
      </c>
      <c r="I446" s="5" t="s">
        <v>15</v>
      </c>
    </row>
    <row r="447" spans="1:9" ht="12.75" x14ac:dyDescent="0.2">
      <c r="A447" s="3">
        <v>38679</v>
      </c>
      <c r="B447" s="3" t="str">
        <f>IF(MONTH(Data[[#This Row],[Date]])&gt;3,YEAR(Data[[#This Row],[Date]])&amp;"-"&amp;YEAR(Data[[#This Row],[Date]])+1,YEAR(Data[[#This Row],[Date]])-1&amp;"-"&amp;YEAR(Data[[#This Row],[Date]]))</f>
        <v>2005-2006</v>
      </c>
      <c r="C447" s="3" t="str">
        <f>"Q"&amp;CEILING(MONTH(EDATE(Data[[#This Row],[Date]],-3)),3)/3</f>
        <v>Q3</v>
      </c>
      <c r="D447" s="4" t="s">
        <v>14</v>
      </c>
      <c r="E447" s="4" t="s">
        <v>13</v>
      </c>
      <c r="F447" s="5">
        <v>10900</v>
      </c>
      <c r="G447" s="5">
        <f>Data[[#This Row],[Amount]]-Data[[#This Row],[Profit]]</f>
        <v>8340</v>
      </c>
      <c r="H447" s="5">
        <v>2560</v>
      </c>
      <c r="I447" s="5" t="s">
        <v>22</v>
      </c>
    </row>
    <row r="448" spans="1:9" ht="12.75" x14ac:dyDescent="0.2">
      <c r="A448" s="3">
        <v>38526</v>
      </c>
      <c r="B448" s="3" t="str">
        <f>IF(MONTH(Data[[#This Row],[Date]])&gt;3,YEAR(Data[[#This Row],[Date]])&amp;"-"&amp;YEAR(Data[[#This Row],[Date]])+1,YEAR(Data[[#This Row],[Date]])-1&amp;"-"&amp;YEAR(Data[[#This Row],[Date]]))</f>
        <v>2005-2006</v>
      </c>
      <c r="C448" s="3" t="str">
        <f>"Q"&amp;CEILING(MONTH(EDATE(Data[[#This Row],[Date]],-3)),3)/3</f>
        <v>Q1</v>
      </c>
      <c r="D448" s="4" t="s">
        <v>27</v>
      </c>
      <c r="E448" s="4" t="s">
        <v>26</v>
      </c>
      <c r="F448" s="5">
        <v>13450</v>
      </c>
      <c r="G448" s="5">
        <f>Data[[#This Row],[Amount]]-Data[[#This Row],[Profit]]</f>
        <v>10850</v>
      </c>
      <c r="H448" s="5">
        <v>2600</v>
      </c>
      <c r="I448" s="5" t="s">
        <v>11</v>
      </c>
    </row>
    <row r="449" spans="1:9" ht="12.75" x14ac:dyDescent="0.2">
      <c r="A449" s="3">
        <v>38725</v>
      </c>
      <c r="B449" s="3" t="str">
        <f>IF(MONTH(Data[[#This Row],[Date]])&gt;3,YEAR(Data[[#This Row],[Date]])&amp;"-"&amp;YEAR(Data[[#This Row],[Date]])+1,YEAR(Data[[#This Row],[Date]])-1&amp;"-"&amp;YEAR(Data[[#This Row],[Date]]))</f>
        <v>2005-2006</v>
      </c>
      <c r="C449" s="3" t="str">
        <f>"Q"&amp;CEILING(MONTH(EDATE(Data[[#This Row],[Date]],-3)),3)/3</f>
        <v>Q4</v>
      </c>
      <c r="D449" s="4" t="s">
        <v>18</v>
      </c>
      <c r="E449" s="4" t="s">
        <v>29</v>
      </c>
      <c r="F449" s="5">
        <v>10600</v>
      </c>
      <c r="G449" s="5">
        <f>Data[[#This Row],[Amount]]-Data[[#This Row],[Profit]]</f>
        <v>6720</v>
      </c>
      <c r="H449" s="5">
        <v>3880</v>
      </c>
      <c r="I449" s="5" t="s">
        <v>15</v>
      </c>
    </row>
    <row r="450" spans="1:9" ht="12.75" x14ac:dyDescent="0.2">
      <c r="A450" s="3">
        <v>39434</v>
      </c>
      <c r="B450" s="3" t="str">
        <f>IF(MONTH(Data[[#This Row],[Date]])&gt;3,YEAR(Data[[#This Row],[Date]])&amp;"-"&amp;YEAR(Data[[#This Row],[Date]])+1,YEAR(Data[[#This Row],[Date]])-1&amp;"-"&amp;YEAR(Data[[#This Row],[Date]]))</f>
        <v>2007-2008</v>
      </c>
      <c r="C450" s="3" t="str">
        <f>"Q"&amp;CEILING(MONTH(EDATE(Data[[#This Row],[Date]],-3)),3)/3</f>
        <v>Q3</v>
      </c>
      <c r="D450" s="4" t="s">
        <v>16</v>
      </c>
      <c r="E450" s="4" t="s">
        <v>19</v>
      </c>
      <c r="F450" s="5">
        <v>14750</v>
      </c>
      <c r="G450" s="5">
        <f>Data[[#This Row],[Amount]]-Data[[#This Row],[Profit]]</f>
        <v>12450</v>
      </c>
      <c r="H450" s="5">
        <v>2300</v>
      </c>
      <c r="I450" s="5" t="s">
        <v>22</v>
      </c>
    </row>
    <row r="451" spans="1:9" ht="12.75" x14ac:dyDescent="0.2">
      <c r="A451" s="3">
        <v>38560</v>
      </c>
      <c r="B451" s="3" t="str">
        <f>IF(MONTH(Data[[#This Row],[Date]])&gt;3,YEAR(Data[[#This Row],[Date]])&amp;"-"&amp;YEAR(Data[[#This Row],[Date]])+1,YEAR(Data[[#This Row],[Date]])-1&amp;"-"&amp;YEAR(Data[[#This Row],[Date]]))</f>
        <v>2005-2006</v>
      </c>
      <c r="C451" s="3" t="str">
        <f>"Q"&amp;CEILING(MONTH(EDATE(Data[[#This Row],[Date]],-3)),3)/3</f>
        <v>Q2</v>
      </c>
      <c r="D451" s="4" t="s">
        <v>27</v>
      </c>
      <c r="E451" s="4" t="s">
        <v>21</v>
      </c>
      <c r="F451" s="5">
        <v>12800</v>
      </c>
      <c r="G451" s="5">
        <f>Data[[#This Row],[Amount]]-Data[[#This Row],[Profit]]</f>
        <v>8600</v>
      </c>
      <c r="H451" s="5">
        <v>4200</v>
      </c>
      <c r="I451" s="5" t="s">
        <v>22</v>
      </c>
    </row>
    <row r="452" spans="1:9" ht="12.75" x14ac:dyDescent="0.2">
      <c r="A452" s="3">
        <v>39134</v>
      </c>
      <c r="B452" s="3" t="str">
        <f>IF(MONTH(Data[[#This Row],[Date]])&gt;3,YEAR(Data[[#This Row],[Date]])&amp;"-"&amp;YEAR(Data[[#This Row],[Date]])+1,YEAR(Data[[#This Row],[Date]])-1&amp;"-"&amp;YEAR(Data[[#This Row],[Date]]))</f>
        <v>2006-2007</v>
      </c>
      <c r="C452" s="3" t="str">
        <f>"Q"&amp;CEILING(MONTH(EDATE(Data[[#This Row],[Date]],-3)),3)/3</f>
        <v>Q4</v>
      </c>
      <c r="D452" s="4" t="s">
        <v>31</v>
      </c>
      <c r="E452" s="4" t="s">
        <v>13</v>
      </c>
      <c r="F452" s="5">
        <v>12400</v>
      </c>
      <c r="G452" s="5">
        <f>Data[[#This Row],[Amount]]-Data[[#This Row],[Profit]]</f>
        <v>7420</v>
      </c>
      <c r="H452" s="5">
        <v>4980</v>
      </c>
      <c r="I452" s="5" t="s">
        <v>8</v>
      </c>
    </row>
    <row r="453" spans="1:9" ht="12.75" x14ac:dyDescent="0.2">
      <c r="A453" s="3">
        <v>38777</v>
      </c>
      <c r="B453" s="3" t="str">
        <f>IF(MONTH(Data[[#This Row],[Date]])&gt;3,YEAR(Data[[#This Row],[Date]])&amp;"-"&amp;YEAR(Data[[#This Row],[Date]])+1,YEAR(Data[[#This Row],[Date]])-1&amp;"-"&amp;YEAR(Data[[#This Row],[Date]]))</f>
        <v>2005-2006</v>
      </c>
      <c r="C453" s="3" t="str">
        <f>"Q"&amp;CEILING(MONTH(EDATE(Data[[#This Row],[Date]],-3)),3)/3</f>
        <v>Q4</v>
      </c>
      <c r="D453" s="4" t="s">
        <v>27</v>
      </c>
      <c r="E453" s="4" t="s">
        <v>13</v>
      </c>
      <c r="F453" s="5">
        <v>13600</v>
      </c>
      <c r="G453" s="5">
        <f>Data[[#This Row],[Amount]]-Data[[#This Row],[Profit]]</f>
        <v>8780</v>
      </c>
      <c r="H453" s="5">
        <v>4820</v>
      </c>
      <c r="I453" s="5" t="s">
        <v>22</v>
      </c>
    </row>
    <row r="454" spans="1:9" ht="12.75" x14ac:dyDescent="0.2">
      <c r="A454" s="3">
        <v>39750</v>
      </c>
      <c r="B454" s="3" t="str">
        <f>IF(MONTH(Data[[#This Row],[Date]])&gt;3,YEAR(Data[[#This Row],[Date]])&amp;"-"&amp;YEAR(Data[[#This Row],[Date]])+1,YEAR(Data[[#This Row],[Date]])-1&amp;"-"&amp;YEAR(Data[[#This Row],[Date]]))</f>
        <v>2008-2009</v>
      </c>
      <c r="C454" s="3" t="str">
        <f>"Q"&amp;CEILING(MONTH(EDATE(Data[[#This Row],[Date]],-3)),3)/3</f>
        <v>Q3</v>
      </c>
      <c r="D454" s="4" t="s">
        <v>32</v>
      </c>
      <c r="E454" s="4" t="s">
        <v>19</v>
      </c>
      <c r="F454" s="5">
        <v>11250</v>
      </c>
      <c r="G454" s="5">
        <f>Data[[#This Row],[Amount]]-Data[[#This Row],[Profit]]</f>
        <v>7470</v>
      </c>
      <c r="H454" s="5">
        <v>3780</v>
      </c>
      <c r="I454" s="5" t="s">
        <v>11</v>
      </c>
    </row>
    <row r="455" spans="1:9" ht="12.75" x14ac:dyDescent="0.2">
      <c r="A455" s="3">
        <v>38518</v>
      </c>
      <c r="B455" s="3" t="str">
        <f>IF(MONTH(Data[[#This Row],[Date]])&gt;3,YEAR(Data[[#This Row],[Date]])&amp;"-"&amp;YEAR(Data[[#This Row],[Date]])+1,YEAR(Data[[#This Row],[Date]])-1&amp;"-"&amp;YEAR(Data[[#This Row],[Date]]))</f>
        <v>2005-2006</v>
      </c>
      <c r="C455" s="3" t="str">
        <f>"Q"&amp;CEILING(MONTH(EDATE(Data[[#This Row],[Date]],-3)),3)/3</f>
        <v>Q1</v>
      </c>
      <c r="D455" s="4" t="s">
        <v>14</v>
      </c>
      <c r="E455" s="4" t="s">
        <v>17</v>
      </c>
      <c r="F455" s="5">
        <v>11900</v>
      </c>
      <c r="G455" s="5">
        <f>Data[[#This Row],[Amount]]-Data[[#This Row],[Profit]]</f>
        <v>9200</v>
      </c>
      <c r="H455" s="5">
        <v>2700</v>
      </c>
      <c r="I455" s="5" t="s">
        <v>8</v>
      </c>
    </row>
    <row r="456" spans="1:9" ht="12.75" x14ac:dyDescent="0.2">
      <c r="A456" s="3">
        <v>39520</v>
      </c>
      <c r="B456" s="3" t="str">
        <f>IF(MONTH(Data[[#This Row],[Date]])&gt;3,YEAR(Data[[#This Row],[Date]])&amp;"-"&amp;YEAR(Data[[#This Row],[Date]])+1,YEAR(Data[[#This Row],[Date]])-1&amp;"-"&amp;YEAR(Data[[#This Row],[Date]]))</f>
        <v>2007-2008</v>
      </c>
      <c r="C456" s="3" t="str">
        <f>"Q"&amp;CEILING(MONTH(EDATE(Data[[#This Row],[Date]],-3)),3)/3</f>
        <v>Q4</v>
      </c>
      <c r="D456" s="4" t="s">
        <v>9</v>
      </c>
      <c r="E456" s="4" t="s">
        <v>33</v>
      </c>
      <c r="F456" s="5">
        <v>11750</v>
      </c>
      <c r="G456" s="5">
        <f>Data[[#This Row],[Amount]]-Data[[#This Row],[Profit]]</f>
        <v>6130</v>
      </c>
      <c r="H456" s="5">
        <v>5620</v>
      </c>
      <c r="I456" s="5" t="s">
        <v>8</v>
      </c>
    </row>
    <row r="457" spans="1:9" ht="12.75" x14ac:dyDescent="0.2">
      <c r="A457" s="3">
        <v>39673</v>
      </c>
      <c r="B457" s="3" t="str">
        <f>IF(MONTH(Data[[#This Row],[Date]])&gt;3,YEAR(Data[[#This Row],[Date]])&amp;"-"&amp;YEAR(Data[[#This Row],[Date]])+1,YEAR(Data[[#This Row],[Date]])-1&amp;"-"&amp;YEAR(Data[[#This Row],[Date]]))</f>
        <v>2008-2009</v>
      </c>
      <c r="C457" s="3" t="str">
        <f>"Q"&amp;CEILING(MONTH(EDATE(Data[[#This Row],[Date]],-3)),3)/3</f>
        <v>Q2</v>
      </c>
      <c r="D457" s="4" t="s">
        <v>25</v>
      </c>
      <c r="E457" s="4" t="s">
        <v>13</v>
      </c>
      <c r="F457" s="5">
        <v>12100</v>
      </c>
      <c r="G457" s="5">
        <f>Data[[#This Row],[Amount]]-Data[[#This Row],[Profit]]</f>
        <v>10020</v>
      </c>
      <c r="H457" s="5">
        <v>2080</v>
      </c>
      <c r="I457" s="5" t="s">
        <v>11</v>
      </c>
    </row>
    <row r="458" spans="1:9" ht="12.75" x14ac:dyDescent="0.2">
      <c r="A458" s="3">
        <v>39452</v>
      </c>
      <c r="B458" s="3" t="str">
        <f>IF(MONTH(Data[[#This Row],[Date]])&gt;3,YEAR(Data[[#This Row],[Date]])&amp;"-"&amp;YEAR(Data[[#This Row],[Date]])+1,YEAR(Data[[#This Row],[Date]])-1&amp;"-"&amp;YEAR(Data[[#This Row],[Date]]))</f>
        <v>2007-2008</v>
      </c>
      <c r="C458" s="3" t="str">
        <f>"Q"&amp;CEILING(MONTH(EDATE(Data[[#This Row],[Date]],-3)),3)/3</f>
        <v>Q4</v>
      </c>
      <c r="D458" s="4" t="s">
        <v>18</v>
      </c>
      <c r="E458" s="4" t="s">
        <v>24</v>
      </c>
      <c r="F458" s="5">
        <v>13850</v>
      </c>
      <c r="G458" s="5">
        <f>Data[[#This Row],[Amount]]-Data[[#This Row],[Profit]]</f>
        <v>8730</v>
      </c>
      <c r="H458" s="5">
        <v>5120</v>
      </c>
      <c r="I458" s="5" t="s">
        <v>15</v>
      </c>
    </row>
    <row r="459" spans="1:9" ht="12.75" x14ac:dyDescent="0.2">
      <c r="A459" s="3">
        <v>39183</v>
      </c>
      <c r="B459" s="3" t="str">
        <f>IF(MONTH(Data[[#This Row],[Date]])&gt;3,YEAR(Data[[#This Row],[Date]])&amp;"-"&amp;YEAR(Data[[#This Row],[Date]])+1,YEAR(Data[[#This Row],[Date]])-1&amp;"-"&amp;YEAR(Data[[#This Row],[Date]]))</f>
        <v>2007-2008</v>
      </c>
      <c r="C459" s="3" t="str">
        <f>"Q"&amp;CEILING(MONTH(EDATE(Data[[#This Row],[Date]],-3)),3)/3</f>
        <v>Q1</v>
      </c>
      <c r="D459" s="4" t="s">
        <v>31</v>
      </c>
      <c r="E459" s="4" t="s">
        <v>28</v>
      </c>
      <c r="F459" s="5">
        <v>10000</v>
      </c>
      <c r="G459" s="5">
        <f>Data[[#This Row],[Amount]]-Data[[#This Row],[Profit]]</f>
        <v>6700</v>
      </c>
      <c r="H459" s="5">
        <v>3300</v>
      </c>
      <c r="I459" s="5" t="s">
        <v>15</v>
      </c>
    </row>
    <row r="460" spans="1:9" ht="12.75" x14ac:dyDescent="0.2">
      <c r="A460" s="3">
        <v>39568</v>
      </c>
      <c r="B460" s="3" t="str">
        <f>IF(MONTH(Data[[#This Row],[Date]])&gt;3,YEAR(Data[[#This Row],[Date]])&amp;"-"&amp;YEAR(Data[[#This Row],[Date]])+1,YEAR(Data[[#This Row],[Date]])-1&amp;"-"&amp;YEAR(Data[[#This Row],[Date]]))</f>
        <v>2008-2009</v>
      </c>
      <c r="C460" s="3" t="str">
        <f>"Q"&amp;CEILING(MONTH(EDATE(Data[[#This Row],[Date]],-3)),3)/3</f>
        <v>Q1</v>
      </c>
      <c r="D460" s="4" t="s">
        <v>12</v>
      </c>
      <c r="E460" s="4" t="s">
        <v>29</v>
      </c>
      <c r="F460" s="5">
        <v>13800</v>
      </c>
      <c r="G460" s="5">
        <f>Data[[#This Row],[Amount]]-Data[[#This Row],[Profit]]</f>
        <v>10280</v>
      </c>
      <c r="H460" s="5">
        <v>3520</v>
      </c>
      <c r="I460" s="5" t="s">
        <v>22</v>
      </c>
    </row>
    <row r="461" spans="1:9" ht="12.75" x14ac:dyDescent="0.2">
      <c r="A461" s="3">
        <v>38875</v>
      </c>
      <c r="B461" s="3" t="str">
        <f>IF(MONTH(Data[[#This Row],[Date]])&gt;3,YEAR(Data[[#This Row],[Date]])&amp;"-"&amp;YEAR(Data[[#This Row],[Date]])+1,YEAR(Data[[#This Row],[Date]])-1&amp;"-"&amp;YEAR(Data[[#This Row],[Date]]))</f>
        <v>2006-2007</v>
      </c>
      <c r="C461" s="3" t="str">
        <f>"Q"&amp;CEILING(MONTH(EDATE(Data[[#This Row],[Date]],-3)),3)/3</f>
        <v>Q1</v>
      </c>
      <c r="D461" s="4" t="s">
        <v>20</v>
      </c>
      <c r="E461" s="4" t="s">
        <v>21</v>
      </c>
      <c r="F461" s="5">
        <v>10450</v>
      </c>
      <c r="G461" s="5">
        <f>Data[[#This Row],[Amount]]-Data[[#This Row],[Profit]]</f>
        <v>5850</v>
      </c>
      <c r="H461" s="5">
        <v>4600</v>
      </c>
      <c r="I461" s="5" t="s">
        <v>11</v>
      </c>
    </row>
    <row r="462" spans="1:9" ht="12.75" x14ac:dyDescent="0.2">
      <c r="A462" s="3">
        <v>38898</v>
      </c>
      <c r="B462" s="3" t="str">
        <f>IF(MONTH(Data[[#This Row],[Date]])&gt;3,YEAR(Data[[#This Row],[Date]])&amp;"-"&amp;YEAR(Data[[#This Row],[Date]])+1,YEAR(Data[[#This Row],[Date]])-1&amp;"-"&amp;YEAR(Data[[#This Row],[Date]]))</f>
        <v>2006-2007</v>
      </c>
      <c r="C462" s="3" t="str">
        <f>"Q"&amp;CEILING(MONTH(EDATE(Data[[#This Row],[Date]],-3)),3)/3</f>
        <v>Q1</v>
      </c>
      <c r="D462" s="4" t="s">
        <v>31</v>
      </c>
      <c r="E462" s="4" t="s">
        <v>28</v>
      </c>
      <c r="F462" s="5">
        <v>12700</v>
      </c>
      <c r="G462" s="5">
        <f>Data[[#This Row],[Amount]]-Data[[#This Row],[Profit]]</f>
        <v>7620</v>
      </c>
      <c r="H462" s="5">
        <v>5080</v>
      </c>
      <c r="I462" s="5" t="s">
        <v>15</v>
      </c>
    </row>
    <row r="463" spans="1:9" ht="12.75" x14ac:dyDescent="0.2">
      <c r="A463" s="3">
        <v>39196</v>
      </c>
      <c r="B463" s="3" t="str">
        <f>IF(MONTH(Data[[#This Row],[Date]])&gt;3,YEAR(Data[[#This Row],[Date]])&amp;"-"&amp;YEAR(Data[[#This Row],[Date]])+1,YEAR(Data[[#This Row],[Date]])-1&amp;"-"&amp;YEAR(Data[[#This Row],[Date]]))</f>
        <v>2007-2008</v>
      </c>
      <c r="C463" s="3" t="str">
        <f>"Q"&amp;CEILING(MONTH(EDATE(Data[[#This Row],[Date]],-3)),3)/3</f>
        <v>Q1</v>
      </c>
      <c r="D463" s="4" t="s">
        <v>18</v>
      </c>
      <c r="E463" s="4" t="s">
        <v>17</v>
      </c>
      <c r="F463" s="5">
        <v>13950</v>
      </c>
      <c r="G463" s="5">
        <f>Data[[#This Row],[Amount]]-Data[[#This Row],[Profit]]</f>
        <v>11170</v>
      </c>
      <c r="H463" s="5">
        <v>2780</v>
      </c>
      <c r="I463" s="5" t="s">
        <v>11</v>
      </c>
    </row>
    <row r="464" spans="1:9" ht="12.75" x14ac:dyDescent="0.2">
      <c r="A464" s="3">
        <v>39608</v>
      </c>
      <c r="B464" s="3" t="str">
        <f>IF(MONTH(Data[[#This Row],[Date]])&gt;3,YEAR(Data[[#This Row],[Date]])&amp;"-"&amp;YEAR(Data[[#This Row],[Date]])+1,YEAR(Data[[#This Row],[Date]])-1&amp;"-"&amp;YEAR(Data[[#This Row],[Date]]))</f>
        <v>2008-2009</v>
      </c>
      <c r="C464" s="3" t="str">
        <f>"Q"&amp;CEILING(MONTH(EDATE(Data[[#This Row],[Date]],-3)),3)/3</f>
        <v>Q1</v>
      </c>
      <c r="D464" s="4" t="s">
        <v>18</v>
      </c>
      <c r="E464" s="4" t="s">
        <v>30</v>
      </c>
      <c r="F464" s="5">
        <v>11850</v>
      </c>
      <c r="G464" s="5">
        <f>Data[[#This Row],[Amount]]-Data[[#This Row],[Profit]]</f>
        <v>8230</v>
      </c>
      <c r="H464" s="5">
        <v>3620</v>
      </c>
      <c r="I464" s="5" t="s">
        <v>15</v>
      </c>
    </row>
    <row r="465" spans="1:9" ht="12.75" x14ac:dyDescent="0.2">
      <c r="A465" s="3">
        <v>39728</v>
      </c>
      <c r="B465" s="3" t="str">
        <f>IF(MONTH(Data[[#This Row],[Date]])&gt;3,YEAR(Data[[#This Row],[Date]])&amp;"-"&amp;YEAR(Data[[#This Row],[Date]])+1,YEAR(Data[[#This Row],[Date]])-1&amp;"-"&amp;YEAR(Data[[#This Row],[Date]]))</f>
        <v>2008-2009</v>
      </c>
      <c r="C465" s="3" t="str">
        <f>"Q"&amp;CEILING(MONTH(EDATE(Data[[#This Row],[Date]],-3)),3)/3</f>
        <v>Q3</v>
      </c>
      <c r="D465" s="4" t="s">
        <v>16</v>
      </c>
      <c r="E465" s="4" t="s">
        <v>26</v>
      </c>
      <c r="F465" s="5">
        <v>14300</v>
      </c>
      <c r="G465" s="5">
        <f>Data[[#This Row],[Amount]]-Data[[#This Row],[Profit]]</f>
        <v>11860</v>
      </c>
      <c r="H465" s="5">
        <v>2440</v>
      </c>
      <c r="I465" s="5" t="s">
        <v>22</v>
      </c>
    </row>
    <row r="466" spans="1:9" ht="12.75" x14ac:dyDescent="0.2">
      <c r="A466" s="3">
        <v>38499</v>
      </c>
      <c r="B466" s="3" t="str">
        <f>IF(MONTH(Data[[#This Row],[Date]])&gt;3,YEAR(Data[[#This Row],[Date]])&amp;"-"&amp;YEAR(Data[[#This Row],[Date]])+1,YEAR(Data[[#This Row],[Date]])-1&amp;"-"&amp;YEAR(Data[[#This Row],[Date]]))</f>
        <v>2005-2006</v>
      </c>
      <c r="C466" s="3" t="str">
        <f>"Q"&amp;CEILING(MONTH(EDATE(Data[[#This Row],[Date]],-3)),3)/3</f>
        <v>Q1</v>
      </c>
      <c r="D466" s="4" t="s">
        <v>27</v>
      </c>
      <c r="E466" s="4" t="s">
        <v>33</v>
      </c>
      <c r="F466" s="5">
        <v>12750</v>
      </c>
      <c r="G466" s="5">
        <f>Data[[#This Row],[Amount]]-Data[[#This Row],[Profit]]</f>
        <v>7230</v>
      </c>
      <c r="H466" s="5">
        <v>5520</v>
      </c>
      <c r="I466" s="5" t="s">
        <v>11</v>
      </c>
    </row>
    <row r="467" spans="1:9" ht="12.75" x14ac:dyDescent="0.2">
      <c r="A467" s="3">
        <v>38628</v>
      </c>
      <c r="B467" s="3" t="str">
        <f>IF(MONTH(Data[[#This Row],[Date]])&gt;3,YEAR(Data[[#This Row],[Date]])&amp;"-"&amp;YEAR(Data[[#This Row],[Date]])+1,YEAR(Data[[#This Row],[Date]])-1&amp;"-"&amp;YEAR(Data[[#This Row],[Date]]))</f>
        <v>2005-2006</v>
      </c>
      <c r="C467" s="3" t="str">
        <f>"Q"&amp;CEILING(MONTH(EDATE(Data[[#This Row],[Date]],-3)),3)/3</f>
        <v>Q3</v>
      </c>
      <c r="D467" s="4" t="s">
        <v>14</v>
      </c>
      <c r="E467" s="4" t="s">
        <v>7</v>
      </c>
      <c r="F467" s="5">
        <v>10450</v>
      </c>
      <c r="G467" s="5">
        <f>Data[[#This Row],[Amount]]-Data[[#This Row],[Profit]]</f>
        <v>8350</v>
      </c>
      <c r="H467" s="5">
        <v>2100</v>
      </c>
      <c r="I467" s="5" t="s">
        <v>11</v>
      </c>
    </row>
    <row r="468" spans="1:9" ht="12.75" x14ac:dyDescent="0.2">
      <c r="A468" s="3">
        <v>39181</v>
      </c>
      <c r="B468" s="3" t="str">
        <f>IF(MONTH(Data[[#This Row],[Date]])&gt;3,YEAR(Data[[#This Row],[Date]])&amp;"-"&amp;YEAR(Data[[#This Row],[Date]])+1,YEAR(Data[[#This Row],[Date]])-1&amp;"-"&amp;YEAR(Data[[#This Row],[Date]]))</f>
        <v>2007-2008</v>
      </c>
      <c r="C468" s="3" t="str">
        <f>"Q"&amp;CEILING(MONTH(EDATE(Data[[#This Row],[Date]],-3)),3)/3</f>
        <v>Q1</v>
      </c>
      <c r="D468" s="4" t="s">
        <v>12</v>
      </c>
      <c r="E468" s="4" t="s">
        <v>33</v>
      </c>
      <c r="F468" s="5">
        <v>13850</v>
      </c>
      <c r="G468" s="5">
        <f>Data[[#This Row],[Amount]]-Data[[#This Row],[Profit]]</f>
        <v>10290</v>
      </c>
      <c r="H468" s="5">
        <v>3560</v>
      </c>
      <c r="I468" s="5" t="s">
        <v>8</v>
      </c>
    </row>
    <row r="469" spans="1:9" ht="12.75" x14ac:dyDescent="0.2">
      <c r="A469" s="3">
        <v>39474</v>
      </c>
      <c r="B469" s="3" t="str">
        <f>IF(MONTH(Data[[#This Row],[Date]])&gt;3,YEAR(Data[[#This Row],[Date]])&amp;"-"&amp;YEAR(Data[[#This Row],[Date]])+1,YEAR(Data[[#This Row],[Date]])-1&amp;"-"&amp;YEAR(Data[[#This Row],[Date]]))</f>
        <v>2007-2008</v>
      </c>
      <c r="C469" s="3" t="str">
        <f>"Q"&amp;CEILING(MONTH(EDATE(Data[[#This Row],[Date]],-3)),3)/3</f>
        <v>Q4</v>
      </c>
      <c r="D469" s="4" t="s">
        <v>20</v>
      </c>
      <c r="E469" s="4" t="s">
        <v>30</v>
      </c>
      <c r="F469" s="5">
        <v>12100</v>
      </c>
      <c r="G469" s="5">
        <f>Data[[#This Row],[Amount]]-Data[[#This Row],[Profit]]</f>
        <v>6580</v>
      </c>
      <c r="H469" s="5">
        <v>5520</v>
      </c>
      <c r="I469" s="5" t="s">
        <v>11</v>
      </c>
    </row>
    <row r="470" spans="1:9" ht="12.75" x14ac:dyDescent="0.2">
      <c r="A470" s="3">
        <v>39288</v>
      </c>
      <c r="B470" s="3" t="str">
        <f>IF(MONTH(Data[[#This Row],[Date]])&gt;3,YEAR(Data[[#This Row],[Date]])&amp;"-"&amp;YEAR(Data[[#This Row],[Date]])+1,YEAR(Data[[#This Row],[Date]])-1&amp;"-"&amp;YEAR(Data[[#This Row],[Date]]))</f>
        <v>2007-2008</v>
      </c>
      <c r="C470" s="3" t="str">
        <f>"Q"&amp;CEILING(MONTH(EDATE(Data[[#This Row],[Date]],-3)),3)/3</f>
        <v>Q2</v>
      </c>
      <c r="D470" s="4" t="s">
        <v>23</v>
      </c>
      <c r="E470" s="4" t="s">
        <v>26</v>
      </c>
      <c r="F470" s="5">
        <v>14900</v>
      </c>
      <c r="G470" s="5">
        <f>Data[[#This Row],[Amount]]-Data[[#This Row],[Profit]]</f>
        <v>9420</v>
      </c>
      <c r="H470" s="5">
        <v>5480</v>
      </c>
      <c r="I470" s="5" t="s">
        <v>22</v>
      </c>
    </row>
    <row r="471" spans="1:9" ht="12.75" x14ac:dyDescent="0.2">
      <c r="A471" s="3">
        <v>38502</v>
      </c>
      <c r="B471" s="3" t="str">
        <f>IF(MONTH(Data[[#This Row],[Date]])&gt;3,YEAR(Data[[#This Row],[Date]])&amp;"-"&amp;YEAR(Data[[#This Row],[Date]])+1,YEAR(Data[[#This Row],[Date]])-1&amp;"-"&amp;YEAR(Data[[#This Row],[Date]]))</f>
        <v>2005-2006</v>
      </c>
      <c r="C471" s="3" t="str">
        <f>"Q"&amp;CEILING(MONTH(EDATE(Data[[#This Row],[Date]],-3)),3)/3</f>
        <v>Q1</v>
      </c>
      <c r="D471" s="4" t="s">
        <v>27</v>
      </c>
      <c r="E471" s="4" t="s">
        <v>26</v>
      </c>
      <c r="F471" s="5">
        <v>11350</v>
      </c>
      <c r="G471" s="5">
        <f>Data[[#This Row],[Amount]]-Data[[#This Row],[Profit]]</f>
        <v>6010</v>
      </c>
      <c r="H471" s="5">
        <v>5340</v>
      </c>
      <c r="I471" s="5" t="s">
        <v>22</v>
      </c>
    </row>
    <row r="472" spans="1:9" ht="12.75" x14ac:dyDescent="0.2">
      <c r="A472" s="3">
        <v>38680</v>
      </c>
      <c r="B472" s="3" t="str">
        <f>IF(MONTH(Data[[#This Row],[Date]])&gt;3,YEAR(Data[[#This Row],[Date]])&amp;"-"&amp;YEAR(Data[[#This Row],[Date]])+1,YEAR(Data[[#This Row],[Date]])-1&amp;"-"&amp;YEAR(Data[[#This Row],[Date]]))</f>
        <v>2005-2006</v>
      </c>
      <c r="C472" s="3" t="str">
        <f>"Q"&amp;CEILING(MONTH(EDATE(Data[[#This Row],[Date]],-3)),3)/3</f>
        <v>Q3</v>
      </c>
      <c r="D472" s="4" t="s">
        <v>27</v>
      </c>
      <c r="E472" s="4" t="s">
        <v>26</v>
      </c>
      <c r="F472" s="5">
        <v>10050</v>
      </c>
      <c r="G472" s="5">
        <f>Data[[#This Row],[Amount]]-Data[[#This Row],[Profit]]</f>
        <v>7330</v>
      </c>
      <c r="H472" s="5">
        <v>2720</v>
      </c>
      <c r="I472" s="5" t="s">
        <v>15</v>
      </c>
    </row>
    <row r="473" spans="1:9" ht="12.75" x14ac:dyDescent="0.2">
      <c r="A473" s="3">
        <v>39397</v>
      </c>
      <c r="B473" s="3" t="str">
        <f>IF(MONTH(Data[[#This Row],[Date]])&gt;3,YEAR(Data[[#This Row],[Date]])&amp;"-"&amp;YEAR(Data[[#This Row],[Date]])+1,YEAR(Data[[#This Row],[Date]])-1&amp;"-"&amp;YEAR(Data[[#This Row],[Date]]))</f>
        <v>2007-2008</v>
      </c>
      <c r="C473" s="3" t="str">
        <f>"Q"&amp;CEILING(MONTH(EDATE(Data[[#This Row],[Date]],-3)),3)/3</f>
        <v>Q3</v>
      </c>
      <c r="D473" s="4" t="s">
        <v>9</v>
      </c>
      <c r="E473" s="4" t="s">
        <v>24</v>
      </c>
      <c r="F473" s="5">
        <v>12100</v>
      </c>
      <c r="G473" s="5">
        <f>Data[[#This Row],[Amount]]-Data[[#This Row],[Profit]]</f>
        <v>8560</v>
      </c>
      <c r="H473" s="5">
        <v>3540</v>
      </c>
      <c r="I473" s="5" t="s">
        <v>11</v>
      </c>
    </row>
    <row r="474" spans="1:9" ht="12.75" x14ac:dyDescent="0.2">
      <c r="A474" s="3">
        <v>39790</v>
      </c>
      <c r="B474" s="3" t="str">
        <f>IF(MONTH(Data[[#This Row],[Date]])&gt;3,YEAR(Data[[#This Row],[Date]])&amp;"-"&amp;YEAR(Data[[#This Row],[Date]])+1,YEAR(Data[[#This Row],[Date]])-1&amp;"-"&amp;YEAR(Data[[#This Row],[Date]]))</f>
        <v>2008-2009</v>
      </c>
      <c r="C474" s="3" t="str">
        <f>"Q"&amp;CEILING(MONTH(EDATE(Data[[#This Row],[Date]],-3)),3)/3</f>
        <v>Q3</v>
      </c>
      <c r="D474" s="4" t="s">
        <v>23</v>
      </c>
      <c r="E474" s="4" t="s">
        <v>17</v>
      </c>
      <c r="F474" s="5">
        <v>10850</v>
      </c>
      <c r="G474" s="5">
        <f>Data[[#This Row],[Amount]]-Data[[#This Row],[Profit]]</f>
        <v>5730</v>
      </c>
      <c r="H474" s="5">
        <v>5120</v>
      </c>
      <c r="I474" s="5" t="s">
        <v>8</v>
      </c>
    </row>
    <row r="475" spans="1:9" ht="12.75" x14ac:dyDescent="0.2">
      <c r="A475" s="3">
        <v>38498</v>
      </c>
      <c r="B475" s="3" t="str">
        <f>IF(MONTH(Data[[#This Row],[Date]])&gt;3,YEAR(Data[[#This Row],[Date]])&amp;"-"&amp;YEAR(Data[[#This Row],[Date]])+1,YEAR(Data[[#This Row],[Date]])-1&amp;"-"&amp;YEAR(Data[[#This Row],[Date]]))</f>
        <v>2005-2006</v>
      </c>
      <c r="C475" s="3" t="str">
        <f>"Q"&amp;CEILING(MONTH(EDATE(Data[[#This Row],[Date]],-3)),3)/3</f>
        <v>Q1</v>
      </c>
      <c r="D475" s="4" t="s">
        <v>9</v>
      </c>
      <c r="E475" s="4" t="s">
        <v>7</v>
      </c>
      <c r="F475" s="5">
        <v>14650</v>
      </c>
      <c r="G475" s="5">
        <f>Data[[#This Row],[Amount]]-Data[[#This Row],[Profit]]</f>
        <v>12290</v>
      </c>
      <c r="H475" s="5">
        <v>2360</v>
      </c>
      <c r="I475" s="5" t="s">
        <v>8</v>
      </c>
    </row>
    <row r="476" spans="1:9" ht="12.75" x14ac:dyDescent="0.2">
      <c r="A476" s="3">
        <v>39587</v>
      </c>
      <c r="B476" s="3" t="str">
        <f>IF(MONTH(Data[[#This Row],[Date]])&gt;3,YEAR(Data[[#This Row],[Date]])&amp;"-"&amp;YEAR(Data[[#This Row],[Date]])+1,YEAR(Data[[#This Row],[Date]])-1&amp;"-"&amp;YEAR(Data[[#This Row],[Date]]))</f>
        <v>2008-2009</v>
      </c>
      <c r="C476" s="3" t="str">
        <f>"Q"&amp;CEILING(MONTH(EDATE(Data[[#This Row],[Date]],-3)),3)/3</f>
        <v>Q1</v>
      </c>
      <c r="D476" s="4" t="s">
        <v>9</v>
      </c>
      <c r="E476" s="4" t="s">
        <v>10</v>
      </c>
      <c r="F476" s="5">
        <v>11400</v>
      </c>
      <c r="G476" s="5">
        <f>Data[[#This Row],[Amount]]-Data[[#This Row],[Profit]]</f>
        <v>7140</v>
      </c>
      <c r="H476" s="5">
        <v>4260</v>
      </c>
      <c r="I476" s="5" t="s">
        <v>22</v>
      </c>
    </row>
    <row r="477" spans="1:9" ht="12.75" x14ac:dyDescent="0.2">
      <c r="A477" s="3">
        <v>38681</v>
      </c>
      <c r="B477" s="3" t="str">
        <f>IF(MONTH(Data[[#This Row],[Date]])&gt;3,YEAR(Data[[#This Row],[Date]])&amp;"-"&amp;YEAR(Data[[#This Row],[Date]])+1,YEAR(Data[[#This Row],[Date]])-1&amp;"-"&amp;YEAR(Data[[#This Row],[Date]]))</f>
        <v>2005-2006</v>
      </c>
      <c r="C477" s="3" t="str">
        <f>"Q"&amp;CEILING(MONTH(EDATE(Data[[#This Row],[Date]],-3)),3)/3</f>
        <v>Q3</v>
      </c>
      <c r="D477" s="4" t="s">
        <v>31</v>
      </c>
      <c r="E477" s="4" t="s">
        <v>21</v>
      </c>
      <c r="F477" s="5">
        <v>14000</v>
      </c>
      <c r="G477" s="5">
        <f>Data[[#This Row],[Amount]]-Data[[#This Row],[Profit]]</f>
        <v>11360</v>
      </c>
      <c r="H477" s="5">
        <v>2640</v>
      </c>
      <c r="I477" s="5" t="s">
        <v>11</v>
      </c>
    </row>
    <row r="478" spans="1:9" ht="12.75" x14ac:dyDescent="0.2">
      <c r="A478" s="3">
        <v>38853</v>
      </c>
      <c r="B478" s="3" t="str">
        <f>IF(MONTH(Data[[#This Row],[Date]])&gt;3,YEAR(Data[[#This Row],[Date]])&amp;"-"&amp;YEAR(Data[[#This Row],[Date]])+1,YEAR(Data[[#This Row],[Date]])-1&amp;"-"&amp;YEAR(Data[[#This Row],[Date]]))</f>
        <v>2006-2007</v>
      </c>
      <c r="C478" s="3" t="str">
        <f>"Q"&amp;CEILING(MONTH(EDATE(Data[[#This Row],[Date]],-3)),3)/3</f>
        <v>Q1</v>
      </c>
      <c r="D478" s="4" t="s">
        <v>12</v>
      </c>
      <c r="E478" s="4" t="s">
        <v>10</v>
      </c>
      <c r="F478" s="5">
        <v>10200</v>
      </c>
      <c r="G478" s="5">
        <f>Data[[#This Row],[Amount]]-Data[[#This Row],[Profit]]</f>
        <v>5220</v>
      </c>
      <c r="H478" s="5">
        <v>4980</v>
      </c>
      <c r="I478" s="5" t="s">
        <v>22</v>
      </c>
    </row>
    <row r="479" spans="1:9" ht="12.75" x14ac:dyDescent="0.2">
      <c r="A479" s="3">
        <v>38852</v>
      </c>
      <c r="B479" s="3" t="str">
        <f>IF(MONTH(Data[[#This Row],[Date]])&gt;3,YEAR(Data[[#This Row],[Date]])&amp;"-"&amp;YEAR(Data[[#This Row],[Date]])+1,YEAR(Data[[#This Row],[Date]])-1&amp;"-"&amp;YEAR(Data[[#This Row],[Date]]))</f>
        <v>2006-2007</v>
      </c>
      <c r="C479" s="3" t="str">
        <f>"Q"&amp;CEILING(MONTH(EDATE(Data[[#This Row],[Date]],-3)),3)/3</f>
        <v>Q1</v>
      </c>
      <c r="D479" s="4" t="s">
        <v>16</v>
      </c>
      <c r="E479" s="4" t="s">
        <v>28</v>
      </c>
      <c r="F479" s="5">
        <v>10500</v>
      </c>
      <c r="G479" s="5">
        <f>Data[[#This Row],[Amount]]-Data[[#This Row],[Profit]]</f>
        <v>4860</v>
      </c>
      <c r="H479" s="5">
        <v>5640</v>
      </c>
      <c r="I479" s="5" t="s">
        <v>11</v>
      </c>
    </row>
    <row r="480" spans="1:9" ht="12.75" x14ac:dyDescent="0.2">
      <c r="A480" s="3">
        <v>39575</v>
      </c>
      <c r="B480" s="3" t="str">
        <f>IF(MONTH(Data[[#This Row],[Date]])&gt;3,YEAR(Data[[#This Row],[Date]])&amp;"-"&amp;YEAR(Data[[#This Row],[Date]])+1,YEAR(Data[[#This Row],[Date]])-1&amp;"-"&amp;YEAR(Data[[#This Row],[Date]]))</f>
        <v>2008-2009</v>
      </c>
      <c r="C480" s="3" t="str">
        <f>"Q"&amp;CEILING(MONTH(EDATE(Data[[#This Row],[Date]],-3)),3)/3</f>
        <v>Q1</v>
      </c>
      <c r="D480" s="4" t="s">
        <v>9</v>
      </c>
      <c r="E480" s="4" t="s">
        <v>19</v>
      </c>
      <c r="F480" s="5">
        <v>12850</v>
      </c>
      <c r="G480" s="5">
        <f>Data[[#This Row],[Amount]]-Data[[#This Row],[Profit]]</f>
        <v>7270</v>
      </c>
      <c r="H480" s="5">
        <v>5580</v>
      </c>
      <c r="I480" s="5" t="s">
        <v>22</v>
      </c>
    </row>
    <row r="481" spans="1:9" ht="12.75" x14ac:dyDescent="0.2">
      <c r="A481" s="3">
        <v>39265</v>
      </c>
      <c r="B481" s="3" t="str">
        <f>IF(MONTH(Data[[#This Row],[Date]])&gt;3,YEAR(Data[[#This Row],[Date]])&amp;"-"&amp;YEAR(Data[[#This Row],[Date]])+1,YEAR(Data[[#This Row],[Date]])-1&amp;"-"&amp;YEAR(Data[[#This Row],[Date]]))</f>
        <v>2007-2008</v>
      </c>
      <c r="C481" s="3" t="str">
        <f>"Q"&amp;CEILING(MONTH(EDATE(Data[[#This Row],[Date]],-3)),3)/3</f>
        <v>Q2</v>
      </c>
      <c r="D481" s="4" t="s">
        <v>27</v>
      </c>
      <c r="E481" s="4" t="s">
        <v>13</v>
      </c>
      <c r="F481" s="5">
        <v>14500</v>
      </c>
      <c r="G481" s="5">
        <f>Data[[#This Row],[Amount]]-Data[[#This Row],[Profit]]</f>
        <v>9800</v>
      </c>
      <c r="H481" s="5">
        <v>4700</v>
      </c>
      <c r="I481" s="5" t="s">
        <v>8</v>
      </c>
    </row>
    <row r="482" spans="1:9" ht="12.75" x14ac:dyDescent="0.2">
      <c r="A482" s="3">
        <v>39518</v>
      </c>
      <c r="B482" s="3" t="str">
        <f>IF(MONTH(Data[[#This Row],[Date]])&gt;3,YEAR(Data[[#This Row],[Date]])&amp;"-"&amp;YEAR(Data[[#This Row],[Date]])+1,YEAR(Data[[#This Row],[Date]])-1&amp;"-"&amp;YEAR(Data[[#This Row],[Date]]))</f>
        <v>2007-2008</v>
      </c>
      <c r="C482" s="3" t="str">
        <f>"Q"&amp;CEILING(MONTH(EDATE(Data[[#This Row],[Date]],-3)),3)/3</f>
        <v>Q4</v>
      </c>
      <c r="D482" s="4" t="s">
        <v>23</v>
      </c>
      <c r="E482" s="4" t="s">
        <v>28</v>
      </c>
      <c r="F482" s="5">
        <v>12400</v>
      </c>
      <c r="G482" s="5">
        <f>Data[[#This Row],[Amount]]-Data[[#This Row],[Profit]]</f>
        <v>7320</v>
      </c>
      <c r="H482" s="5">
        <v>5080</v>
      </c>
      <c r="I482" s="5" t="s">
        <v>22</v>
      </c>
    </row>
    <row r="483" spans="1:9" ht="12.75" x14ac:dyDescent="0.2">
      <c r="A483" s="3">
        <v>38435</v>
      </c>
      <c r="B483" s="3" t="str">
        <f>IF(MONTH(Data[[#This Row],[Date]])&gt;3,YEAR(Data[[#This Row],[Date]])&amp;"-"&amp;YEAR(Data[[#This Row],[Date]])+1,YEAR(Data[[#This Row],[Date]])-1&amp;"-"&amp;YEAR(Data[[#This Row],[Date]]))</f>
        <v>2004-2005</v>
      </c>
      <c r="C483" s="3" t="str">
        <f>"Q"&amp;CEILING(MONTH(EDATE(Data[[#This Row],[Date]],-3)),3)/3</f>
        <v>Q4</v>
      </c>
      <c r="D483" s="4" t="s">
        <v>31</v>
      </c>
      <c r="E483" s="4" t="s">
        <v>17</v>
      </c>
      <c r="F483" s="5">
        <v>13450</v>
      </c>
      <c r="G483" s="5">
        <f>Data[[#This Row],[Amount]]-Data[[#This Row],[Profit]]</f>
        <v>7850</v>
      </c>
      <c r="H483" s="5">
        <v>5600</v>
      </c>
      <c r="I483" s="5" t="s">
        <v>11</v>
      </c>
    </row>
    <row r="484" spans="1:9" ht="12.75" x14ac:dyDescent="0.2">
      <c r="A484" s="3">
        <v>39659</v>
      </c>
      <c r="B484" s="3" t="str">
        <f>IF(MONTH(Data[[#This Row],[Date]])&gt;3,YEAR(Data[[#This Row],[Date]])&amp;"-"&amp;YEAR(Data[[#This Row],[Date]])+1,YEAR(Data[[#This Row],[Date]])-1&amp;"-"&amp;YEAR(Data[[#This Row],[Date]]))</f>
        <v>2008-2009</v>
      </c>
      <c r="C484" s="3" t="str">
        <f>"Q"&amp;CEILING(MONTH(EDATE(Data[[#This Row],[Date]],-3)),3)/3</f>
        <v>Q2</v>
      </c>
      <c r="D484" s="4" t="s">
        <v>6</v>
      </c>
      <c r="E484" s="4" t="s">
        <v>28</v>
      </c>
      <c r="F484" s="5">
        <v>12750</v>
      </c>
      <c r="G484" s="5">
        <f>Data[[#This Row],[Amount]]-Data[[#This Row],[Profit]]</f>
        <v>10110</v>
      </c>
      <c r="H484" s="5">
        <v>2640</v>
      </c>
      <c r="I484" s="5" t="s">
        <v>22</v>
      </c>
    </row>
    <row r="485" spans="1:9" ht="12.75" x14ac:dyDescent="0.2">
      <c r="A485" s="3">
        <v>39774</v>
      </c>
      <c r="B485" s="3" t="str">
        <f>IF(MONTH(Data[[#This Row],[Date]])&gt;3,YEAR(Data[[#This Row],[Date]])&amp;"-"&amp;YEAR(Data[[#This Row],[Date]])+1,YEAR(Data[[#This Row],[Date]])-1&amp;"-"&amp;YEAR(Data[[#This Row],[Date]]))</f>
        <v>2008-2009</v>
      </c>
      <c r="C485" s="3" t="str">
        <f>"Q"&amp;CEILING(MONTH(EDATE(Data[[#This Row],[Date]],-3)),3)/3</f>
        <v>Q3</v>
      </c>
      <c r="D485" s="4" t="s">
        <v>16</v>
      </c>
      <c r="E485" s="4" t="s">
        <v>29</v>
      </c>
      <c r="F485" s="5">
        <v>11000</v>
      </c>
      <c r="G485" s="5">
        <f>Data[[#This Row],[Amount]]-Data[[#This Row],[Profit]]</f>
        <v>7300</v>
      </c>
      <c r="H485" s="5">
        <v>3700</v>
      </c>
      <c r="I485" s="5" t="s">
        <v>11</v>
      </c>
    </row>
    <row r="486" spans="1:9" ht="12.75" x14ac:dyDescent="0.2">
      <c r="A486" s="3">
        <v>38466</v>
      </c>
      <c r="B486" s="3" t="str">
        <f>IF(MONTH(Data[[#This Row],[Date]])&gt;3,YEAR(Data[[#This Row],[Date]])&amp;"-"&amp;YEAR(Data[[#This Row],[Date]])+1,YEAR(Data[[#This Row],[Date]])-1&amp;"-"&amp;YEAR(Data[[#This Row],[Date]]))</f>
        <v>2005-2006</v>
      </c>
      <c r="C486" s="3" t="str">
        <f>"Q"&amp;CEILING(MONTH(EDATE(Data[[#This Row],[Date]],-3)),3)/3</f>
        <v>Q1</v>
      </c>
      <c r="D486" s="4" t="s">
        <v>31</v>
      </c>
      <c r="E486" s="4" t="s">
        <v>7</v>
      </c>
      <c r="F486" s="5">
        <v>11200</v>
      </c>
      <c r="G486" s="5">
        <f>Data[[#This Row],[Amount]]-Data[[#This Row],[Profit]]</f>
        <v>6780</v>
      </c>
      <c r="H486" s="5">
        <v>4420</v>
      </c>
      <c r="I486" s="5" t="s">
        <v>8</v>
      </c>
    </row>
    <row r="487" spans="1:9" ht="12.75" x14ac:dyDescent="0.2">
      <c r="A487" s="3">
        <v>38564</v>
      </c>
      <c r="B487" s="3" t="str">
        <f>IF(MONTH(Data[[#This Row],[Date]])&gt;3,YEAR(Data[[#This Row],[Date]])&amp;"-"&amp;YEAR(Data[[#This Row],[Date]])+1,YEAR(Data[[#This Row],[Date]])-1&amp;"-"&amp;YEAR(Data[[#This Row],[Date]]))</f>
        <v>2005-2006</v>
      </c>
      <c r="C487" s="3" t="str">
        <f>"Q"&amp;CEILING(MONTH(EDATE(Data[[#This Row],[Date]],-3)),3)/3</f>
        <v>Q2</v>
      </c>
      <c r="D487" s="4" t="s">
        <v>31</v>
      </c>
      <c r="E487" s="4" t="s">
        <v>10</v>
      </c>
      <c r="F487" s="5">
        <v>13900</v>
      </c>
      <c r="G487" s="5">
        <f>Data[[#This Row],[Amount]]-Data[[#This Row],[Profit]]</f>
        <v>10100</v>
      </c>
      <c r="H487" s="5">
        <v>3800</v>
      </c>
      <c r="I487" s="5" t="s">
        <v>11</v>
      </c>
    </row>
    <row r="488" spans="1:9" ht="12.75" x14ac:dyDescent="0.2">
      <c r="A488" s="3">
        <v>39146</v>
      </c>
      <c r="B488" s="3" t="str">
        <f>IF(MONTH(Data[[#This Row],[Date]])&gt;3,YEAR(Data[[#This Row],[Date]])&amp;"-"&amp;YEAR(Data[[#This Row],[Date]])+1,YEAR(Data[[#This Row],[Date]])-1&amp;"-"&amp;YEAR(Data[[#This Row],[Date]]))</f>
        <v>2006-2007</v>
      </c>
      <c r="C488" s="3" t="str">
        <f>"Q"&amp;CEILING(MONTH(EDATE(Data[[#This Row],[Date]],-3)),3)/3</f>
        <v>Q4</v>
      </c>
      <c r="D488" s="4" t="s">
        <v>14</v>
      </c>
      <c r="E488" s="4" t="s">
        <v>30</v>
      </c>
      <c r="F488" s="5">
        <v>14200</v>
      </c>
      <c r="G488" s="5">
        <f>Data[[#This Row],[Amount]]-Data[[#This Row],[Profit]]</f>
        <v>11740</v>
      </c>
      <c r="H488" s="5">
        <v>2460</v>
      </c>
      <c r="I488" s="5" t="s">
        <v>22</v>
      </c>
    </row>
    <row r="489" spans="1:9" ht="12.75" x14ac:dyDescent="0.2">
      <c r="A489" s="3">
        <v>38907</v>
      </c>
      <c r="B489" s="3" t="str">
        <f>IF(MONTH(Data[[#This Row],[Date]])&gt;3,YEAR(Data[[#This Row],[Date]])&amp;"-"&amp;YEAR(Data[[#This Row],[Date]])+1,YEAR(Data[[#This Row],[Date]])-1&amp;"-"&amp;YEAR(Data[[#This Row],[Date]]))</f>
        <v>2006-2007</v>
      </c>
      <c r="C489" s="3" t="str">
        <f>"Q"&amp;CEILING(MONTH(EDATE(Data[[#This Row],[Date]],-3)),3)/3</f>
        <v>Q2</v>
      </c>
      <c r="D489" s="4" t="s">
        <v>12</v>
      </c>
      <c r="E489" s="4" t="s">
        <v>7</v>
      </c>
      <c r="F489" s="5">
        <v>14100</v>
      </c>
      <c r="G489" s="5">
        <f>Data[[#This Row],[Amount]]-Data[[#This Row],[Profit]]</f>
        <v>10280</v>
      </c>
      <c r="H489" s="5">
        <v>3820</v>
      </c>
      <c r="I489" s="5" t="s">
        <v>15</v>
      </c>
    </row>
    <row r="490" spans="1:9" ht="12.75" x14ac:dyDescent="0.2">
      <c r="A490" s="3">
        <v>39648</v>
      </c>
      <c r="B490" s="3" t="str">
        <f>IF(MONTH(Data[[#This Row],[Date]])&gt;3,YEAR(Data[[#This Row],[Date]])&amp;"-"&amp;YEAR(Data[[#This Row],[Date]])+1,YEAR(Data[[#This Row],[Date]])-1&amp;"-"&amp;YEAR(Data[[#This Row],[Date]]))</f>
        <v>2008-2009</v>
      </c>
      <c r="C490" s="3" t="str">
        <f>"Q"&amp;CEILING(MONTH(EDATE(Data[[#This Row],[Date]],-3)),3)/3</f>
        <v>Q2</v>
      </c>
      <c r="D490" s="4" t="s">
        <v>16</v>
      </c>
      <c r="E490" s="4" t="s">
        <v>33</v>
      </c>
      <c r="F490" s="5">
        <v>14150</v>
      </c>
      <c r="G490" s="5">
        <f>Data[[#This Row],[Amount]]-Data[[#This Row],[Profit]]</f>
        <v>9610</v>
      </c>
      <c r="H490" s="5">
        <v>4540</v>
      </c>
      <c r="I490" s="5" t="s">
        <v>15</v>
      </c>
    </row>
    <row r="491" spans="1:9" ht="12.75" x14ac:dyDescent="0.2">
      <c r="A491" s="3">
        <v>39282</v>
      </c>
      <c r="B491" s="3" t="str">
        <f>IF(MONTH(Data[[#This Row],[Date]])&gt;3,YEAR(Data[[#This Row],[Date]])&amp;"-"&amp;YEAR(Data[[#This Row],[Date]])+1,YEAR(Data[[#This Row],[Date]])-1&amp;"-"&amp;YEAR(Data[[#This Row],[Date]]))</f>
        <v>2007-2008</v>
      </c>
      <c r="C491" s="3" t="str">
        <f>"Q"&amp;CEILING(MONTH(EDATE(Data[[#This Row],[Date]],-3)),3)/3</f>
        <v>Q2</v>
      </c>
      <c r="D491" s="4" t="s">
        <v>27</v>
      </c>
      <c r="E491" s="4" t="s">
        <v>26</v>
      </c>
      <c r="F491" s="5">
        <v>12200</v>
      </c>
      <c r="G491" s="5">
        <f>Data[[#This Row],[Amount]]-Data[[#This Row],[Profit]]</f>
        <v>6720</v>
      </c>
      <c r="H491" s="5">
        <v>5480</v>
      </c>
      <c r="I491" s="5" t="s">
        <v>22</v>
      </c>
    </row>
    <row r="492" spans="1:9" ht="12.75" x14ac:dyDescent="0.2">
      <c r="A492" s="3">
        <v>39634</v>
      </c>
      <c r="B492" s="3" t="str">
        <f>IF(MONTH(Data[[#This Row],[Date]])&gt;3,YEAR(Data[[#This Row],[Date]])&amp;"-"&amp;YEAR(Data[[#This Row],[Date]])+1,YEAR(Data[[#This Row],[Date]])-1&amp;"-"&amp;YEAR(Data[[#This Row],[Date]]))</f>
        <v>2008-2009</v>
      </c>
      <c r="C492" s="3" t="str">
        <f>"Q"&amp;CEILING(MONTH(EDATE(Data[[#This Row],[Date]],-3)),3)/3</f>
        <v>Q2</v>
      </c>
      <c r="D492" s="4" t="s">
        <v>12</v>
      </c>
      <c r="E492" s="4" t="s">
        <v>19</v>
      </c>
      <c r="F492" s="5">
        <v>14300</v>
      </c>
      <c r="G492" s="5">
        <f>Data[[#This Row],[Amount]]-Data[[#This Row],[Profit]]</f>
        <v>9180</v>
      </c>
      <c r="H492" s="5">
        <v>5120</v>
      </c>
      <c r="I492" s="5" t="s">
        <v>22</v>
      </c>
    </row>
    <row r="493" spans="1:9" ht="12.75" x14ac:dyDescent="0.2">
      <c r="A493" s="3">
        <v>39006</v>
      </c>
      <c r="B493" s="3" t="str">
        <f>IF(MONTH(Data[[#This Row],[Date]])&gt;3,YEAR(Data[[#This Row],[Date]])&amp;"-"&amp;YEAR(Data[[#This Row],[Date]])+1,YEAR(Data[[#This Row],[Date]])-1&amp;"-"&amp;YEAR(Data[[#This Row],[Date]]))</f>
        <v>2006-2007</v>
      </c>
      <c r="C493" s="3" t="str">
        <f>"Q"&amp;CEILING(MONTH(EDATE(Data[[#This Row],[Date]],-3)),3)/3</f>
        <v>Q3</v>
      </c>
      <c r="D493" s="4" t="s">
        <v>12</v>
      </c>
      <c r="E493" s="4" t="s">
        <v>28</v>
      </c>
      <c r="F493" s="5">
        <v>10700</v>
      </c>
      <c r="G493" s="5">
        <f>Data[[#This Row],[Amount]]-Data[[#This Row],[Profit]]</f>
        <v>4900</v>
      </c>
      <c r="H493" s="5">
        <v>5800</v>
      </c>
      <c r="I493" s="5" t="s">
        <v>15</v>
      </c>
    </row>
    <row r="494" spans="1:9" ht="12.75" x14ac:dyDescent="0.2">
      <c r="A494" s="3">
        <v>38921</v>
      </c>
      <c r="B494" s="3" t="str">
        <f>IF(MONTH(Data[[#This Row],[Date]])&gt;3,YEAR(Data[[#This Row],[Date]])&amp;"-"&amp;YEAR(Data[[#This Row],[Date]])+1,YEAR(Data[[#This Row],[Date]])-1&amp;"-"&amp;YEAR(Data[[#This Row],[Date]]))</f>
        <v>2006-2007</v>
      </c>
      <c r="C494" s="3" t="str">
        <f>"Q"&amp;CEILING(MONTH(EDATE(Data[[#This Row],[Date]],-3)),3)/3</f>
        <v>Q2</v>
      </c>
      <c r="D494" s="4" t="s">
        <v>18</v>
      </c>
      <c r="E494" s="4" t="s">
        <v>30</v>
      </c>
      <c r="F494" s="5">
        <v>13200</v>
      </c>
      <c r="G494" s="5">
        <f>Data[[#This Row],[Amount]]-Data[[#This Row],[Profit]]</f>
        <v>11140</v>
      </c>
      <c r="H494" s="5">
        <v>2060</v>
      </c>
      <c r="I494" s="5" t="s">
        <v>11</v>
      </c>
    </row>
    <row r="495" spans="1:9" ht="12.75" x14ac:dyDescent="0.2">
      <c r="A495" s="3">
        <v>38829</v>
      </c>
      <c r="B495" s="3" t="str">
        <f>IF(MONTH(Data[[#This Row],[Date]])&gt;3,YEAR(Data[[#This Row],[Date]])&amp;"-"&amp;YEAR(Data[[#This Row],[Date]])+1,YEAR(Data[[#This Row],[Date]])-1&amp;"-"&amp;YEAR(Data[[#This Row],[Date]]))</f>
        <v>2006-2007</v>
      </c>
      <c r="C495" s="3" t="str">
        <f>"Q"&amp;CEILING(MONTH(EDATE(Data[[#This Row],[Date]],-3)),3)/3</f>
        <v>Q1</v>
      </c>
      <c r="D495" s="4" t="s">
        <v>12</v>
      </c>
      <c r="E495" s="4" t="s">
        <v>33</v>
      </c>
      <c r="F495" s="5">
        <v>11950</v>
      </c>
      <c r="G495" s="5">
        <f>Data[[#This Row],[Amount]]-Data[[#This Row],[Profit]]</f>
        <v>9010</v>
      </c>
      <c r="H495" s="5">
        <v>2940</v>
      </c>
      <c r="I495" s="5" t="s">
        <v>15</v>
      </c>
    </row>
    <row r="496" spans="1:9" ht="12.75" x14ac:dyDescent="0.2">
      <c r="A496" s="3">
        <v>39519</v>
      </c>
      <c r="B496" s="3" t="str">
        <f>IF(MONTH(Data[[#This Row],[Date]])&gt;3,YEAR(Data[[#This Row],[Date]])&amp;"-"&amp;YEAR(Data[[#This Row],[Date]])+1,YEAR(Data[[#This Row],[Date]])-1&amp;"-"&amp;YEAR(Data[[#This Row],[Date]]))</f>
        <v>2007-2008</v>
      </c>
      <c r="C496" s="3" t="str">
        <f>"Q"&amp;CEILING(MONTH(EDATE(Data[[#This Row],[Date]],-3)),3)/3</f>
        <v>Q4</v>
      </c>
      <c r="D496" s="4" t="s">
        <v>12</v>
      </c>
      <c r="E496" s="4" t="s">
        <v>21</v>
      </c>
      <c r="F496" s="5">
        <v>14450</v>
      </c>
      <c r="G496" s="5">
        <f>Data[[#This Row],[Amount]]-Data[[#This Row],[Profit]]</f>
        <v>10590</v>
      </c>
      <c r="H496" s="5">
        <v>3860</v>
      </c>
      <c r="I496" s="5" t="s">
        <v>15</v>
      </c>
    </row>
    <row r="497" spans="1:9" ht="12.75" x14ac:dyDescent="0.2">
      <c r="A497" s="3">
        <v>38648</v>
      </c>
      <c r="B497" s="3" t="str">
        <f>IF(MONTH(Data[[#This Row],[Date]])&gt;3,YEAR(Data[[#This Row],[Date]])&amp;"-"&amp;YEAR(Data[[#This Row],[Date]])+1,YEAR(Data[[#This Row],[Date]])-1&amp;"-"&amp;YEAR(Data[[#This Row],[Date]]))</f>
        <v>2005-2006</v>
      </c>
      <c r="C497" s="3" t="str">
        <f>"Q"&amp;CEILING(MONTH(EDATE(Data[[#This Row],[Date]],-3)),3)/3</f>
        <v>Q3</v>
      </c>
      <c r="D497" s="4" t="s">
        <v>6</v>
      </c>
      <c r="E497" s="4" t="s">
        <v>13</v>
      </c>
      <c r="F497" s="5">
        <v>13750</v>
      </c>
      <c r="G497" s="5">
        <f>Data[[#This Row],[Amount]]-Data[[#This Row],[Profit]]</f>
        <v>8450</v>
      </c>
      <c r="H497" s="5">
        <v>5300</v>
      </c>
      <c r="I497" s="5" t="s">
        <v>15</v>
      </c>
    </row>
    <row r="498" spans="1:9" ht="12.75" x14ac:dyDescent="0.2">
      <c r="A498" s="3">
        <v>39154</v>
      </c>
      <c r="B498" s="3" t="str">
        <f>IF(MONTH(Data[[#This Row],[Date]])&gt;3,YEAR(Data[[#This Row],[Date]])&amp;"-"&amp;YEAR(Data[[#This Row],[Date]])+1,YEAR(Data[[#This Row],[Date]])-1&amp;"-"&amp;YEAR(Data[[#This Row],[Date]]))</f>
        <v>2006-2007</v>
      </c>
      <c r="C498" s="3" t="str">
        <f>"Q"&amp;CEILING(MONTH(EDATE(Data[[#This Row],[Date]],-3)),3)/3</f>
        <v>Q4</v>
      </c>
      <c r="D498" s="4" t="s">
        <v>25</v>
      </c>
      <c r="E498" s="4" t="s">
        <v>29</v>
      </c>
      <c r="F498" s="5">
        <v>11800</v>
      </c>
      <c r="G498" s="5">
        <f>Data[[#This Row],[Amount]]-Data[[#This Row],[Profit]]</f>
        <v>6760</v>
      </c>
      <c r="H498" s="5">
        <v>5040</v>
      </c>
      <c r="I498" s="5" t="s">
        <v>8</v>
      </c>
    </row>
    <row r="499" spans="1:9" ht="12.75" x14ac:dyDescent="0.2">
      <c r="A499" s="3">
        <v>38672</v>
      </c>
      <c r="B499" s="3" t="str">
        <f>IF(MONTH(Data[[#This Row],[Date]])&gt;3,YEAR(Data[[#This Row],[Date]])&amp;"-"&amp;YEAR(Data[[#This Row],[Date]])+1,YEAR(Data[[#This Row],[Date]])-1&amp;"-"&amp;YEAR(Data[[#This Row],[Date]]))</f>
        <v>2005-2006</v>
      </c>
      <c r="C499" s="3" t="str">
        <f>"Q"&amp;CEILING(MONTH(EDATE(Data[[#This Row],[Date]],-3)),3)/3</f>
        <v>Q3</v>
      </c>
      <c r="D499" s="4" t="s">
        <v>16</v>
      </c>
      <c r="E499" s="4" t="s">
        <v>30</v>
      </c>
      <c r="F499" s="5">
        <v>14550</v>
      </c>
      <c r="G499" s="5">
        <f>Data[[#This Row],[Amount]]-Data[[#This Row],[Profit]]</f>
        <v>9870</v>
      </c>
      <c r="H499" s="5">
        <v>4680</v>
      </c>
      <c r="I499" s="5" t="s">
        <v>15</v>
      </c>
    </row>
    <row r="500" spans="1:9" ht="12.75" x14ac:dyDescent="0.2">
      <c r="A500" s="3">
        <v>38873</v>
      </c>
      <c r="B500" s="3" t="str">
        <f>IF(MONTH(Data[[#This Row],[Date]])&gt;3,YEAR(Data[[#This Row],[Date]])&amp;"-"&amp;YEAR(Data[[#This Row],[Date]])+1,YEAR(Data[[#This Row],[Date]])-1&amp;"-"&amp;YEAR(Data[[#This Row],[Date]]))</f>
        <v>2006-2007</v>
      </c>
      <c r="C500" s="3" t="str">
        <f>"Q"&amp;CEILING(MONTH(EDATE(Data[[#This Row],[Date]],-3)),3)/3</f>
        <v>Q1</v>
      </c>
      <c r="D500" s="4" t="s">
        <v>23</v>
      </c>
      <c r="E500" s="4" t="s">
        <v>28</v>
      </c>
      <c r="F500" s="5">
        <v>14900</v>
      </c>
      <c r="G500" s="5">
        <f>Data[[#This Row],[Amount]]-Data[[#This Row],[Profit]]</f>
        <v>9120</v>
      </c>
      <c r="H500" s="5">
        <v>5780</v>
      </c>
      <c r="I500" s="5" t="s">
        <v>22</v>
      </c>
    </row>
    <row r="501" spans="1:9" ht="12.75" x14ac:dyDescent="0.2">
      <c r="A501" s="3">
        <v>38698</v>
      </c>
      <c r="B501" s="3" t="str">
        <f>IF(MONTH(Data[[#This Row],[Date]])&gt;3,YEAR(Data[[#This Row],[Date]])&amp;"-"&amp;YEAR(Data[[#This Row],[Date]])+1,YEAR(Data[[#This Row],[Date]])-1&amp;"-"&amp;YEAR(Data[[#This Row],[Date]]))</f>
        <v>2005-2006</v>
      </c>
      <c r="C501" s="3" t="str">
        <f>"Q"&amp;CEILING(MONTH(EDATE(Data[[#This Row],[Date]],-3)),3)/3</f>
        <v>Q3</v>
      </c>
      <c r="D501" s="4" t="s">
        <v>12</v>
      </c>
      <c r="E501" s="4" t="s">
        <v>29</v>
      </c>
      <c r="F501" s="5">
        <v>13300</v>
      </c>
      <c r="G501" s="5">
        <f>Data[[#This Row],[Amount]]-Data[[#This Row],[Profit]]</f>
        <v>7620</v>
      </c>
      <c r="H501" s="5">
        <v>5680</v>
      </c>
      <c r="I501" s="5" t="s">
        <v>11</v>
      </c>
    </row>
    <row r="502" spans="1:9" ht="12.75" x14ac:dyDescent="0.2">
      <c r="A502" s="3">
        <v>39535</v>
      </c>
      <c r="B502" s="3" t="str">
        <f>IF(MONTH(Data[[#This Row],[Date]])&gt;3,YEAR(Data[[#This Row],[Date]])&amp;"-"&amp;YEAR(Data[[#This Row],[Date]])+1,YEAR(Data[[#This Row],[Date]])-1&amp;"-"&amp;YEAR(Data[[#This Row],[Date]]))</f>
        <v>2007-2008</v>
      </c>
      <c r="C502" s="3" t="str">
        <f>"Q"&amp;CEILING(MONTH(EDATE(Data[[#This Row],[Date]],-3)),3)/3</f>
        <v>Q4</v>
      </c>
      <c r="D502" s="4" t="s">
        <v>32</v>
      </c>
      <c r="E502" s="4" t="s">
        <v>17</v>
      </c>
      <c r="F502" s="5">
        <v>11250</v>
      </c>
      <c r="G502" s="5">
        <f>Data[[#This Row],[Amount]]-Data[[#This Row],[Profit]]</f>
        <v>6370</v>
      </c>
      <c r="H502" s="5">
        <v>4880</v>
      </c>
      <c r="I502" s="5" t="s">
        <v>8</v>
      </c>
    </row>
    <row r="503" spans="1:9" ht="12.75" x14ac:dyDescent="0.2">
      <c r="A503" s="3">
        <v>39751</v>
      </c>
      <c r="B503" s="3" t="str">
        <f>IF(MONTH(Data[[#This Row],[Date]])&gt;3,YEAR(Data[[#This Row],[Date]])&amp;"-"&amp;YEAR(Data[[#This Row],[Date]])+1,YEAR(Data[[#This Row],[Date]])-1&amp;"-"&amp;YEAR(Data[[#This Row],[Date]]))</f>
        <v>2008-2009</v>
      </c>
      <c r="C503" s="3" t="str">
        <f>"Q"&amp;CEILING(MONTH(EDATE(Data[[#This Row],[Date]],-3)),3)/3</f>
        <v>Q3</v>
      </c>
      <c r="D503" s="4" t="s">
        <v>16</v>
      </c>
      <c r="E503" s="4" t="s">
        <v>10</v>
      </c>
      <c r="F503" s="5">
        <v>13000</v>
      </c>
      <c r="G503" s="5">
        <f>Data[[#This Row],[Amount]]-Data[[#This Row],[Profit]]</f>
        <v>7540</v>
      </c>
      <c r="H503" s="5">
        <v>5460</v>
      </c>
      <c r="I503" s="5" t="s">
        <v>8</v>
      </c>
    </row>
    <row r="504" spans="1:9" ht="12.75" x14ac:dyDescent="0.2">
      <c r="A504" s="3">
        <v>38602</v>
      </c>
      <c r="B504" s="3" t="str">
        <f>IF(MONTH(Data[[#This Row],[Date]])&gt;3,YEAR(Data[[#This Row],[Date]])&amp;"-"&amp;YEAR(Data[[#This Row],[Date]])+1,YEAR(Data[[#This Row],[Date]])-1&amp;"-"&amp;YEAR(Data[[#This Row],[Date]]))</f>
        <v>2005-2006</v>
      </c>
      <c r="C504" s="3" t="str">
        <f>"Q"&amp;CEILING(MONTH(EDATE(Data[[#This Row],[Date]],-3)),3)/3</f>
        <v>Q2</v>
      </c>
      <c r="D504" s="4" t="s">
        <v>27</v>
      </c>
      <c r="E504" s="4" t="s">
        <v>28</v>
      </c>
      <c r="F504" s="5">
        <v>11400</v>
      </c>
      <c r="G504" s="5">
        <f>Data[[#This Row],[Amount]]-Data[[#This Row],[Profit]]</f>
        <v>7900</v>
      </c>
      <c r="H504" s="5">
        <v>3500</v>
      </c>
      <c r="I504" s="5" t="s">
        <v>11</v>
      </c>
    </row>
    <row r="505" spans="1:9" ht="12.75" x14ac:dyDescent="0.2">
      <c r="A505" s="3">
        <v>38896</v>
      </c>
      <c r="B505" s="3" t="str">
        <f>IF(MONTH(Data[[#This Row],[Date]])&gt;3,YEAR(Data[[#This Row],[Date]])&amp;"-"&amp;YEAR(Data[[#This Row],[Date]])+1,YEAR(Data[[#This Row],[Date]])-1&amp;"-"&amp;YEAR(Data[[#This Row],[Date]]))</f>
        <v>2006-2007</v>
      </c>
      <c r="C505" s="3" t="str">
        <f>"Q"&amp;CEILING(MONTH(EDATE(Data[[#This Row],[Date]],-3)),3)/3</f>
        <v>Q1</v>
      </c>
      <c r="D505" s="4" t="s">
        <v>6</v>
      </c>
      <c r="E505" s="4" t="s">
        <v>19</v>
      </c>
      <c r="F505" s="5">
        <v>13650</v>
      </c>
      <c r="G505" s="5">
        <f>Data[[#This Row],[Amount]]-Data[[#This Row],[Profit]]</f>
        <v>8370</v>
      </c>
      <c r="H505" s="5">
        <v>5280</v>
      </c>
      <c r="I505" s="5" t="s">
        <v>8</v>
      </c>
    </row>
    <row r="506" spans="1:9" ht="12.75" x14ac:dyDescent="0.2">
      <c r="A506" s="3">
        <v>39296</v>
      </c>
      <c r="B506" s="3" t="str">
        <f>IF(MONTH(Data[[#This Row],[Date]])&gt;3,YEAR(Data[[#This Row],[Date]])&amp;"-"&amp;YEAR(Data[[#This Row],[Date]])+1,YEAR(Data[[#This Row],[Date]])-1&amp;"-"&amp;YEAR(Data[[#This Row],[Date]]))</f>
        <v>2007-2008</v>
      </c>
      <c r="C506" s="3" t="str">
        <f>"Q"&amp;CEILING(MONTH(EDATE(Data[[#This Row],[Date]],-3)),3)/3</f>
        <v>Q2</v>
      </c>
      <c r="D506" s="4" t="s">
        <v>25</v>
      </c>
      <c r="E506" s="4" t="s">
        <v>21</v>
      </c>
      <c r="F506" s="5">
        <v>14950</v>
      </c>
      <c r="G506" s="5">
        <f>Data[[#This Row],[Amount]]-Data[[#This Row],[Profit]]</f>
        <v>10890</v>
      </c>
      <c r="H506" s="5">
        <v>4060</v>
      </c>
      <c r="I506" s="5" t="s">
        <v>22</v>
      </c>
    </row>
    <row r="507" spans="1:9" ht="12.75" x14ac:dyDescent="0.2">
      <c r="A507" s="3">
        <v>39443</v>
      </c>
      <c r="B507" s="3" t="str">
        <f>IF(MONTH(Data[[#This Row],[Date]])&gt;3,YEAR(Data[[#This Row],[Date]])&amp;"-"&amp;YEAR(Data[[#This Row],[Date]])+1,YEAR(Data[[#This Row],[Date]])-1&amp;"-"&amp;YEAR(Data[[#This Row],[Date]]))</f>
        <v>2007-2008</v>
      </c>
      <c r="C507" s="3" t="str">
        <f>"Q"&amp;CEILING(MONTH(EDATE(Data[[#This Row],[Date]],-3)),3)/3</f>
        <v>Q3</v>
      </c>
      <c r="D507" s="4" t="s">
        <v>20</v>
      </c>
      <c r="E507" s="4" t="s">
        <v>30</v>
      </c>
      <c r="F507" s="5">
        <v>14850</v>
      </c>
      <c r="G507" s="5">
        <f>Data[[#This Row],[Amount]]-Data[[#This Row],[Profit]]</f>
        <v>10570</v>
      </c>
      <c r="H507" s="5">
        <v>4280</v>
      </c>
      <c r="I507" s="5" t="s">
        <v>22</v>
      </c>
    </row>
    <row r="508" spans="1:9" ht="12.75" x14ac:dyDescent="0.2">
      <c r="A508" s="3">
        <v>38759</v>
      </c>
      <c r="B508" s="3" t="str">
        <f>IF(MONTH(Data[[#This Row],[Date]])&gt;3,YEAR(Data[[#This Row],[Date]])&amp;"-"&amp;YEAR(Data[[#This Row],[Date]])+1,YEAR(Data[[#This Row],[Date]])-1&amp;"-"&amp;YEAR(Data[[#This Row],[Date]]))</f>
        <v>2005-2006</v>
      </c>
      <c r="C508" s="3" t="str">
        <f>"Q"&amp;CEILING(MONTH(EDATE(Data[[#This Row],[Date]],-3)),3)/3</f>
        <v>Q4</v>
      </c>
      <c r="D508" s="4" t="s">
        <v>16</v>
      </c>
      <c r="E508" s="4" t="s">
        <v>30</v>
      </c>
      <c r="F508" s="5">
        <v>11500</v>
      </c>
      <c r="G508" s="5">
        <f>Data[[#This Row],[Amount]]-Data[[#This Row],[Profit]]</f>
        <v>9340</v>
      </c>
      <c r="H508" s="5">
        <v>2160</v>
      </c>
      <c r="I508" s="5" t="s">
        <v>15</v>
      </c>
    </row>
    <row r="509" spans="1:9" ht="12.75" x14ac:dyDescent="0.2">
      <c r="A509" s="3">
        <v>38945</v>
      </c>
      <c r="B509" s="3" t="str">
        <f>IF(MONTH(Data[[#This Row],[Date]])&gt;3,YEAR(Data[[#This Row],[Date]])&amp;"-"&amp;YEAR(Data[[#This Row],[Date]])+1,YEAR(Data[[#This Row],[Date]])-1&amp;"-"&amp;YEAR(Data[[#This Row],[Date]]))</f>
        <v>2006-2007</v>
      </c>
      <c r="C509" s="3" t="str">
        <f>"Q"&amp;CEILING(MONTH(EDATE(Data[[#This Row],[Date]],-3)),3)/3</f>
        <v>Q2</v>
      </c>
      <c r="D509" s="4" t="s">
        <v>16</v>
      </c>
      <c r="E509" s="4" t="s">
        <v>21</v>
      </c>
      <c r="F509" s="5">
        <v>12650</v>
      </c>
      <c r="G509" s="5">
        <f>Data[[#This Row],[Amount]]-Data[[#This Row],[Profit]]</f>
        <v>7830</v>
      </c>
      <c r="H509" s="5">
        <v>4820</v>
      </c>
      <c r="I509" s="5" t="s">
        <v>11</v>
      </c>
    </row>
    <row r="510" spans="1:9" ht="12.75" x14ac:dyDescent="0.2">
      <c r="A510" s="3">
        <v>39647</v>
      </c>
      <c r="B510" s="3" t="str">
        <f>IF(MONTH(Data[[#This Row],[Date]])&gt;3,YEAR(Data[[#This Row],[Date]])&amp;"-"&amp;YEAR(Data[[#This Row],[Date]])+1,YEAR(Data[[#This Row],[Date]])-1&amp;"-"&amp;YEAR(Data[[#This Row],[Date]]))</f>
        <v>2008-2009</v>
      </c>
      <c r="C510" s="3" t="str">
        <f>"Q"&amp;CEILING(MONTH(EDATE(Data[[#This Row],[Date]],-3)),3)/3</f>
        <v>Q2</v>
      </c>
      <c r="D510" s="4" t="s">
        <v>16</v>
      </c>
      <c r="E510" s="4" t="s">
        <v>24</v>
      </c>
      <c r="F510" s="5">
        <v>14950</v>
      </c>
      <c r="G510" s="5">
        <f>Data[[#This Row],[Amount]]-Data[[#This Row],[Profit]]</f>
        <v>11430</v>
      </c>
      <c r="H510" s="5">
        <v>3520</v>
      </c>
      <c r="I510" s="5" t="s">
        <v>22</v>
      </c>
    </row>
    <row r="511" spans="1:9" ht="12.75" x14ac:dyDescent="0.2">
      <c r="A511" s="3">
        <v>38482</v>
      </c>
      <c r="B511" s="3" t="str">
        <f>IF(MONTH(Data[[#This Row],[Date]])&gt;3,YEAR(Data[[#This Row],[Date]])&amp;"-"&amp;YEAR(Data[[#This Row],[Date]])+1,YEAR(Data[[#This Row],[Date]])-1&amp;"-"&amp;YEAR(Data[[#This Row],[Date]]))</f>
        <v>2005-2006</v>
      </c>
      <c r="C511" s="3" t="str">
        <f>"Q"&amp;CEILING(MONTH(EDATE(Data[[#This Row],[Date]],-3)),3)/3</f>
        <v>Q1</v>
      </c>
      <c r="D511" s="4" t="s">
        <v>18</v>
      </c>
      <c r="E511" s="4" t="s">
        <v>29</v>
      </c>
      <c r="F511" s="5">
        <v>12500</v>
      </c>
      <c r="G511" s="5">
        <f>Data[[#This Row],[Amount]]-Data[[#This Row],[Profit]]</f>
        <v>7440</v>
      </c>
      <c r="H511" s="5">
        <v>5060</v>
      </c>
      <c r="I511" s="5" t="s">
        <v>22</v>
      </c>
    </row>
    <row r="512" spans="1:9" ht="12.75" x14ac:dyDescent="0.2">
      <c r="A512" s="3">
        <v>39060</v>
      </c>
      <c r="B512" s="3" t="str">
        <f>IF(MONTH(Data[[#This Row],[Date]])&gt;3,YEAR(Data[[#This Row],[Date]])&amp;"-"&amp;YEAR(Data[[#This Row],[Date]])+1,YEAR(Data[[#This Row],[Date]])-1&amp;"-"&amp;YEAR(Data[[#This Row],[Date]]))</f>
        <v>2006-2007</v>
      </c>
      <c r="C512" s="3" t="str">
        <f>"Q"&amp;CEILING(MONTH(EDATE(Data[[#This Row],[Date]],-3)),3)/3</f>
        <v>Q3</v>
      </c>
      <c r="D512" s="4" t="s">
        <v>14</v>
      </c>
      <c r="E512" s="4" t="s">
        <v>7</v>
      </c>
      <c r="F512" s="5">
        <v>12150</v>
      </c>
      <c r="G512" s="5">
        <f>Data[[#This Row],[Amount]]-Data[[#This Row],[Profit]]</f>
        <v>8310</v>
      </c>
      <c r="H512" s="5">
        <v>3840</v>
      </c>
      <c r="I512" s="5" t="s">
        <v>8</v>
      </c>
    </row>
    <row r="513" spans="1:9" ht="12.75" x14ac:dyDescent="0.2">
      <c r="A513" s="3">
        <v>39291</v>
      </c>
      <c r="B513" s="3" t="str">
        <f>IF(MONTH(Data[[#This Row],[Date]])&gt;3,YEAR(Data[[#This Row],[Date]])&amp;"-"&amp;YEAR(Data[[#This Row],[Date]])+1,YEAR(Data[[#This Row],[Date]])-1&amp;"-"&amp;YEAR(Data[[#This Row],[Date]]))</f>
        <v>2007-2008</v>
      </c>
      <c r="C513" s="3" t="str">
        <f>"Q"&amp;CEILING(MONTH(EDATE(Data[[#This Row],[Date]],-3)),3)/3</f>
        <v>Q2</v>
      </c>
      <c r="D513" s="4" t="s">
        <v>32</v>
      </c>
      <c r="E513" s="4" t="s">
        <v>13</v>
      </c>
      <c r="F513" s="5">
        <v>10400</v>
      </c>
      <c r="G513" s="5">
        <f>Data[[#This Row],[Amount]]-Data[[#This Row],[Profit]]</f>
        <v>8400</v>
      </c>
      <c r="H513" s="5">
        <v>2000</v>
      </c>
      <c r="I513" s="5" t="s">
        <v>11</v>
      </c>
    </row>
    <row r="514" spans="1:9" ht="12.75" x14ac:dyDescent="0.2">
      <c r="A514" s="3">
        <v>39327</v>
      </c>
      <c r="B514" s="3" t="str">
        <f>IF(MONTH(Data[[#This Row],[Date]])&gt;3,YEAR(Data[[#This Row],[Date]])&amp;"-"&amp;YEAR(Data[[#This Row],[Date]])+1,YEAR(Data[[#This Row],[Date]])-1&amp;"-"&amp;YEAR(Data[[#This Row],[Date]]))</f>
        <v>2007-2008</v>
      </c>
      <c r="C514" s="3" t="str">
        <f>"Q"&amp;CEILING(MONTH(EDATE(Data[[#This Row],[Date]],-3)),3)/3</f>
        <v>Q2</v>
      </c>
      <c r="D514" s="4" t="s">
        <v>32</v>
      </c>
      <c r="E514" s="4" t="s">
        <v>26</v>
      </c>
      <c r="F514" s="5">
        <v>13000</v>
      </c>
      <c r="G514" s="5">
        <f>Data[[#This Row],[Amount]]-Data[[#This Row],[Profit]]</f>
        <v>7720</v>
      </c>
      <c r="H514" s="5">
        <v>5280</v>
      </c>
      <c r="I514" s="5" t="s">
        <v>15</v>
      </c>
    </row>
    <row r="515" spans="1:9" ht="12.75" x14ac:dyDescent="0.2">
      <c r="A515" s="3">
        <v>39103</v>
      </c>
      <c r="B515" s="3" t="str">
        <f>IF(MONTH(Data[[#This Row],[Date]])&gt;3,YEAR(Data[[#This Row],[Date]])&amp;"-"&amp;YEAR(Data[[#This Row],[Date]])+1,YEAR(Data[[#This Row],[Date]])-1&amp;"-"&amp;YEAR(Data[[#This Row],[Date]]))</f>
        <v>2006-2007</v>
      </c>
      <c r="C515" s="3" t="str">
        <f>"Q"&amp;CEILING(MONTH(EDATE(Data[[#This Row],[Date]],-3)),3)/3</f>
        <v>Q4</v>
      </c>
      <c r="D515" s="4" t="s">
        <v>9</v>
      </c>
      <c r="E515" s="4" t="s">
        <v>26</v>
      </c>
      <c r="F515" s="5">
        <v>13500</v>
      </c>
      <c r="G515" s="5">
        <f>Data[[#This Row],[Amount]]-Data[[#This Row],[Profit]]</f>
        <v>9840</v>
      </c>
      <c r="H515" s="5">
        <v>3660</v>
      </c>
      <c r="I515" s="5" t="s">
        <v>22</v>
      </c>
    </row>
    <row r="516" spans="1:9" ht="12.75" x14ac:dyDescent="0.2">
      <c r="A516" s="3">
        <v>38460</v>
      </c>
      <c r="B516" s="3" t="str">
        <f>IF(MONTH(Data[[#This Row],[Date]])&gt;3,YEAR(Data[[#This Row],[Date]])&amp;"-"&amp;YEAR(Data[[#This Row],[Date]])+1,YEAR(Data[[#This Row],[Date]])-1&amp;"-"&amp;YEAR(Data[[#This Row],[Date]]))</f>
        <v>2005-2006</v>
      </c>
      <c r="C516" s="3" t="str">
        <f>"Q"&amp;CEILING(MONTH(EDATE(Data[[#This Row],[Date]],-3)),3)/3</f>
        <v>Q1</v>
      </c>
      <c r="D516" s="4" t="s">
        <v>6</v>
      </c>
      <c r="E516" s="4" t="s">
        <v>29</v>
      </c>
      <c r="F516" s="5">
        <v>11500</v>
      </c>
      <c r="G516" s="5">
        <f>Data[[#This Row],[Amount]]-Data[[#This Row],[Profit]]</f>
        <v>7860</v>
      </c>
      <c r="H516" s="5">
        <v>3640</v>
      </c>
      <c r="I516" s="5" t="s">
        <v>22</v>
      </c>
    </row>
    <row r="517" spans="1:9" ht="12.75" x14ac:dyDescent="0.2">
      <c r="A517" s="3">
        <v>38530</v>
      </c>
      <c r="B517" s="3" t="str">
        <f>IF(MONTH(Data[[#This Row],[Date]])&gt;3,YEAR(Data[[#This Row],[Date]])&amp;"-"&amp;YEAR(Data[[#This Row],[Date]])+1,YEAR(Data[[#This Row],[Date]])-1&amp;"-"&amp;YEAR(Data[[#This Row],[Date]]))</f>
        <v>2005-2006</v>
      </c>
      <c r="C517" s="3" t="str">
        <f>"Q"&amp;CEILING(MONTH(EDATE(Data[[#This Row],[Date]],-3)),3)/3</f>
        <v>Q1</v>
      </c>
      <c r="D517" s="4" t="s">
        <v>16</v>
      </c>
      <c r="E517" s="4" t="s">
        <v>17</v>
      </c>
      <c r="F517" s="5">
        <v>11250</v>
      </c>
      <c r="G517" s="5">
        <f>Data[[#This Row],[Amount]]-Data[[#This Row],[Profit]]</f>
        <v>6030</v>
      </c>
      <c r="H517" s="5">
        <v>5220</v>
      </c>
      <c r="I517" s="5" t="s">
        <v>8</v>
      </c>
    </row>
    <row r="518" spans="1:9" ht="12.75" x14ac:dyDescent="0.2">
      <c r="A518" s="3">
        <v>39227</v>
      </c>
      <c r="B518" s="3" t="str">
        <f>IF(MONTH(Data[[#This Row],[Date]])&gt;3,YEAR(Data[[#This Row],[Date]])&amp;"-"&amp;YEAR(Data[[#This Row],[Date]])+1,YEAR(Data[[#This Row],[Date]])-1&amp;"-"&amp;YEAR(Data[[#This Row],[Date]]))</f>
        <v>2007-2008</v>
      </c>
      <c r="C518" s="3" t="str">
        <f>"Q"&amp;CEILING(MONTH(EDATE(Data[[#This Row],[Date]],-3)),3)/3</f>
        <v>Q1</v>
      </c>
      <c r="D518" s="4" t="s">
        <v>14</v>
      </c>
      <c r="E518" s="4" t="s">
        <v>24</v>
      </c>
      <c r="F518" s="5">
        <v>13150</v>
      </c>
      <c r="G518" s="5">
        <f>Data[[#This Row],[Amount]]-Data[[#This Row],[Profit]]</f>
        <v>10970</v>
      </c>
      <c r="H518" s="5">
        <v>2180</v>
      </c>
      <c r="I518" s="5" t="s">
        <v>8</v>
      </c>
    </row>
    <row r="519" spans="1:9" ht="12.75" x14ac:dyDescent="0.2">
      <c r="A519" s="3">
        <v>38971</v>
      </c>
      <c r="B519" s="3" t="str">
        <f>IF(MONTH(Data[[#This Row],[Date]])&gt;3,YEAR(Data[[#This Row],[Date]])&amp;"-"&amp;YEAR(Data[[#This Row],[Date]])+1,YEAR(Data[[#This Row],[Date]])-1&amp;"-"&amp;YEAR(Data[[#This Row],[Date]]))</f>
        <v>2006-2007</v>
      </c>
      <c r="C519" s="3" t="str">
        <f>"Q"&amp;CEILING(MONTH(EDATE(Data[[#This Row],[Date]],-3)),3)/3</f>
        <v>Q2</v>
      </c>
      <c r="D519" s="4" t="s">
        <v>6</v>
      </c>
      <c r="E519" s="4" t="s">
        <v>19</v>
      </c>
      <c r="F519" s="5">
        <v>13450</v>
      </c>
      <c r="G519" s="5">
        <f>Data[[#This Row],[Amount]]-Data[[#This Row],[Profit]]</f>
        <v>10270</v>
      </c>
      <c r="H519" s="5">
        <v>3180</v>
      </c>
      <c r="I519" s="5" t="s">
        <v>15</v>
      </c>
    </row>
    <row r="520" spans="1:9" ht="12.75" x14ac:dyDescent="0.2">
      <c r="A520" s="3">
        <v>39692</v>
      </c>
      <c r="B520" s="3" t="str">
        <f>IF(MONTH(Data[[#This Row],[Date]])&gt;3,YEAR(Data[[#This Row],[Date]])&amp;"-"&amp;YEAR(Data[[#This Row],[Date]])+1,YEAR(Data[[#This Row],[Date]])-1&amp;"-"&amp;YEAR(Data[[#This Row],[Date]]))</f>
        <v>2008-2009</v>
      </c>
      <c r="C520" s="3" t="str">
        <f>"Q"&amp;CEILING(MONTH(EDATE(Data[[#This Row],[Date]],-3)),3)/3</f>
        <v>Q2</v>
      </c>
      <c r="D520" s="4" t="s">
        <v>32</v>
      </c>
      <c r="E520" s="4" t="s">
        <v>33</v>
      </c>
      <c r="F520" s="5">
        <v>10450</v>
      </c>
      <c r="G520" s="5">
        <f>Data[[#This Row],[Amount]]-Data[[#This Row],[Profit]]</f>
        <v>8410</v>
      </c>
      <c r="H520" s="5">
        <v>2040</v>
      </c>
      <c r="I520" s="5" t="s">
        <v>8</v>
      </c>
    </row>
    <row r="521" spans="1:9" ht="12.75" x14ac:dyDescent="0.2">
      <c r="A521" s="3">
        <v>38717</v>
      </c>
      <c r="B521" s="3" t="str">
        <f>IF(MONTH(Data[[#This Row],[Date]])&gt;3,YEAR(Data[[#This Row],[Date]])&amp;"-"&amp;YEAR(Data[[#This Row],[Date]])+1,YEAR(Data[[#This Row],[Date]])-1&amp;"-"&amp;YEAR(Data[[#This Row],[Date]]))</f>
        <v>2005-2006</v>
      </c>
      <c r="C521" s="3" t="str">
        <f>"Q"&amp;CEILING(MONTH(EDATE(Data[[#This Row],[Date]],-3)),3)/3</f>
        <v>Q3</v>
      </c>
      <c r="D521" s="4" t="s">
        <v>12</v>
      </c>
      <c r="E521" s="4" t="s">
        <v>30</v>
      </c>
      <c r="F521" s="5">
        <v>12250</v>
      </c>
      <c r="G521" s="5">
        <f>Data[[#This Row],[Amount]]-Data[[#This Row],[Profit]]</f>
        <v>7710</v>
      </c>
      <c r="H521" s="5">
        <v>4540</v>
      </c>
      <c r="I521" s="5" t="s">
        <v>15</v>
      </c>
    </row>
    <row r="522" spans="1:9" ht="12.75" x14ac:dyDescent="0.2">
      <c r="A522" s="3">
        <v>39603</v>
      </c>
      <c r="B522" s="3" t="str">
        <f>IF(MONTH(Data[[#This Row],[Date]])&gt;3,YEAR(Data[[#This Row],[Date]])&amp;"-"&amp;YEAR(Data[[#This Row],[Date]])+1,YEAR(Data[[#This Row],[Date]])-1&amp;"-"&amp;YEAR(Data[[#This Row],[Date]]))</f>
        <v>2008-2009</v>
      </c>
      <c r="C522" s="3" t="str">
        <f>"Q"&amp;CEILING(MONTH(EDATE(Data[[#This Row],[Date]],-3)),3)/3</f>
        <v>Q1</v>
      </c>
      <c r="D522" s="4" t="s">
        <v>25</v>
      </c>
      <c r="E522" s="4" t="s">
        <v>29</v>
      </c>
      <c r="F522" s="5">
        <v>13600</v>
      </c>
      <c r="G522" s="5">
        <f>Data[[#This Row],[Amount]]-Data[[#This Row],[Profit]]</f>
        <v>7840</v>
      </c>
      <c r="H522" s="5">
        <v>5760</v>
      </c>
      <c r="I522" s="5" t="s">
        <v>8</v>
      </c>
    </row>
    <row r="523" spans="1:9" ht="12.75" x14ac:dyDescent="0.2">
      <c r="A523" s="3">
        <v>38932</v>
      </c>
      <c r="B523" s="3" t="str">
        <f>IF(MONTH(Data[[#This Row],[Date]])&gt;3,YEAR(Data[[#This Row],[Date]])&amp;"-"&amp;YEAR(Data[[#This Row],[Date]])+1,YEAR(Data[[#This Row],[Date]])-1&amp;"-"&amp;YEAR(Data[[#This Row],[Date]]))</f>
        <v>2006-2007</v>
      </c>
      <c r="C523" s="3" t="str">
        <f>"Q"&amp;CEILING(MONTH(EDATE(Data[[#This Row],[Date]],-3)),3)/3</f>
        <v>Q2</v>
      </c>
      <c r="D523" s="4" t="s">
        <v>14</v>
      </c>
      <c r="E523" s="4" t="s">
        <v>10</v>
      </c>
      <c r="F523" s="5">
        <v>13850</v>
      </c>
      <c r="G523" s="5">
        <f>Data[[#This Row],[Amount]]-Data[[#This Row],[Profit]]</f>
        <v>9710</v>
      </c>
      <c r="H523" s="5">
        <v>4140</v>
      </c>
      <c r="I523" s="5" t="s">
        <v>8</v>
      </c>
    </row>
    <row r="524" spans="1:9" ht="12.75" x14ac:dyDescent="0.2">
      <c r="A524" s="3">
        <v>38632</v>
      </c>
      <c r="B524" s="3" t="str">
        <f>IF(MONTH(Data[[#This Row],[Date]])&gt;3,YEAR(Data[[#This Row],[Date]])&amp;"-"&amp;YEAR(Data[[#This Row],[Date]])+1,YEAR(Data[[#This Row],[Date]])-1&amp;"-"&amp;YEAR(Data[[#This Row],[Date]]))</f>
        <v>2005-2006</v>
      </c>
      <c r="C524" s="3" t="str">
        <f>"Q"&amp;CEILING(MONTH(EDATE(Data[[#This Row],[Date]],-3)),3)/3</f>
        <v>Q3</v>
      </c>
      <c r="D524" s="4" t="s">
        <v>23</v>
      </c>
      <c r="E524" s="4" t="s">
        <v>24</v>
      </c>
      <c r="F524" s="5">
        <v>13700</v>
      </c>
      <c r="G524" s="5">
        <f>Data[[#This Row],[Amount]]-Data[[#This Row],[Profit]]</f>
        <v>8000</v>
      </c>
      <c r="H524" s="5">
        <v>5700</v>
      </c>
      <c r="I524" s="5" t="s">
        <v>22</v>
      </c>
    </row>
    <row r="525" spans="1:9" ht="12.75" x14ac:dyDescent="0.2">
      <c r="A525" s="3">
        <v>39235</v>
      </c>
      <c r="B525" s="3" t="str">
        <f>IF(MONTH(Data[[#This Row],[Date]])&gt;3,YEAR(Data[[#This Row],[Date]])&amp;"-"&amp;YEAR(Data[[#This Row],[Date]])+1,YEAR(Data[[#This Row],[Date]])-1&amp;"-"&amp;YEAR(Data[[#This Row],[Date]]))</f>
        <v>2007-2008</v>
      </c>
      <c r="C525" s="3" t="str">
        <f>"Q"&amp;CEILING(MONTH(EDATE(Data[[#This Row],[Date]],-3)),3)/3</f>
        <v>Q1</v>
      </c>
      <c r="D525" s="4" t="s">
        <v>31</v>
      </c>
      <c r="E525" s="4" t="s">
        <v>19</v>
      </c>
      <c r="F525" s="5">
        <v>13450</v>
      </c>
      <c r="G525" s="5">
        <f>Data[[#This Row],[Amount]]-Data[[#This Row],[Profit]]</f>
        <v>8630</v>
      </c>
      <c r="H525" s="5">
        <v>4820</v>
      </c>
      <c r="I525" s="5" t="s">
        <v>15</v>
      </c>
    </row>
    <row r="526" spans="1:9" ht="12.75" x14ac:dyDescent="0.2">
      <c r="A526" s="3">
        <v>39261</v>
      </c>
      <c r="B526" s="3" t="str">
        <f>IF(MONTH(Data[[#This Row],[Date]])&gt;3,YEAR(Data[[#This Row],[Date]])&amp;"-"&amp;YEAR(Data[[#This Row],[Date]])+1,YEAR(Data[[#This Row],[Date]])-1&amp;"-"&amp;YEAR(Data[[#This Row],[Date]]))</f>
        <v>2007-2008</v>
      </c>
      <c r="C526" s="3" t="str">
        <f>"Q"&amp;CEILING(MONTH(EDATE(Data[[#This Row],[Date]],-3)),3)/3</f>
        <v>Q1</v>
      </c>
      <c r="D526" s="4" t="s">
        <v>23</v>
      </c>
      <c r="E526" s="4" t="s">
        <v>29</v>
      </c>
      <c r="F526" s="5">
        <v>12050</v>
      </c>
      <c r="G526" s="5">
        <f>Data[[#This Row],[Amount]]-Data[[#This Row],[Profit]]</f>
        <v>7210</v>
      </c>
      <c r="H526" s="5">
        <v>4840</v>
      </c>
      <c r="I526" s="5" t="s">
        <v>11</v>
      </c>
    </row>
    <row r="527" spans="1:9" ht="12.75" x14ac:dyDescent="0.2">
      <c r="A527" s="3">
        <v>39292</v>
      </c>
      <c r="B527" s="3" t="str">
        <f>IF(MONTH(Data[[#This Row],[Date]])&gt;3,YEAR(Data[[#This Row],[Date]])&amp;"-"&amp;YEAR(Data[[#This Row],[Date]])+1,YEAR(Data[[#This Row],[Date]])-1&amp;"-"&amp;YEAR(Data[[#This Row],[Date]]))</f>
        <v>2007-2008</v>
      </c>
      <c r="C527" s="3" t="str">
        <f>"Q"&amp;CEILING(MONTH(EDATE(Data[[#This Row],[Date]],-3)),3)/3</f>
        <v>Q2</v>
      </c>
      <c r="D527" s="4" t="s">
        <v>25</v>
      </c>
      <c r="E527" s="4" t="s">
        <v>7</v>
      </c>
      <c r="F527" s="5">
        <v>10850</v>
      </c>
      <c r="G527" s="5">
        <f>Data[[#This Row],[Amount]]-Data[[#This Row],[Profit]]</f>
        <v>5330</v>
      </c>
      <c r="H527" s="5">
        <v>5520</v>
      </c>
      <c r="I527" s="5" t="s">
        <v>15</v>
      </c>
    </row>
    <row r="528" spans="1:9" ht="12.75" x14ac:dyDescent="0.2">
      <c r="A528" s="3">
        <v>39567</v>
      </c>
      <c r="B528" s="3" t="str">
        <f>IF(MONTH(Data[[#This Row],[Date]])&gt;3,YEAR(Data[[#This Row],[Date]])&amp;"-"&amp;YEAR(Data[[#This Row],[Date]])+1,YEAR(Data[[#This Row],[Date]])-1&amp;"-"&amp;YEAR(Data[[#This Row],[Date]]))</f>
        <v>2008-2009</v>
      </c>
      <c r="C528" s="3" t="str">
        <f>"Q"&amp;CEILING(MONTH(EDATE(Data[[#This Row],[Date]],-3)),3)/3</f>
        <v>Q1</v>
      </c>
      <c r="D528" s="4" t="s">
        <v>23</v>
      </c>
      <c r="E528" s="4" t="s">
        <v>26</v>
      </c>
      <c r="F528" s="5">
        <v>11650</v>
      </c>
      <c r="G528" s="5">
        <f>Data[[#This Row],[Amount]]-Data[[#This Row],[Profit]]</f>
        <v>6350</v>
      </c>
      <c r="H528" s="5">
        <v>5300</v>
      </c>
      <c r="I528" s="5" t="s">
        <v>15</v>
      </c>
    </row>
    <row r="529" spans="1:9" ht="12.75" x14ac:dyDescent="0.2">
      <c r="A529" s="3">
        <v>39268</v>
      </c>
      <c r="B529" s="3" t="str">
        <f>IF(MONTH(Data[[#This Row],[Date]])&gt;3,YEAR(Data[[#This Row],[Date]])&amp;"-"&amp;YEAR(Data[[#This Row],[Date]])+1,YEAR(Data[[#This Row],[Date]])-1&amp;"-"&amp;YEAR(Data[[#This Row],[Date]]))</f>
        <v>2007-2008</v>
      </c>
      <c r="C529" s="3" t="str">
        <f>"Q"&amp;CEILING(MONTH(EDATE(Data[[#This Row],[Date]],-3)),3)/3</f>
        <v>Q2</v>
      </c>
      <c r="D529" s="4" t="s">
        <v>31</v>
      </c>
      <c r="E529" s="4" t="s">
        <v>24</v>
      </c>
      <c r="F529" s="5">
        <v>12050</v>
      </c>
      <c r="G529" s="5">
        <f>Data[[#This Row],[Amount]]-Data[[#This Row],[Profit]]</f>
        <v>8330</v>
      </c>
      <c r="H529" s="5">
        <v>3720</v>
      </c>
      <c r="I529" s="5" t="s">
        <v>8</v>
      </c>
    </row>
    <row r="530" spans="1:9" ht="12.75" x14ac:dyDescent="0.2">
      <c r="A530" s="3">
        <v>39188</v>
      </c>
      <c r="B530" s="3" t="str">
        <f>IF(MONTH(Data[[#This Row],[Date]])&gt;3,YEAR(Data[[#This Row],[Date]])&amp;"-"&amp;YEAR(Data[[#This Row],[Date]])+1,YEAR(Data[[#This Row],[Date]])-1&amp;"-"&amp;YEAR(Data[[#This Row],[Date]]))</f>
        <v>2007-2008</v>
      </c>
      <c r="C530" s="3" t="str">
        <f>"Q"&amp;CEILING(MONTH(EDATE(Data[[#This Row],[Date]],-3)),3)/3</f>
        <v>Q1</v>
      </c>
      <c r="D530" s="4" t="s">
        <v>18</v>
      </c>
      <c r="E530" s="4" t="s">
        <v>21</v>
      </c>
      <c r="F530" s="5">
        <v>10250</v>
      </c>
      <c r="G530" s="5">
        <f>Data[[#This Row],[Amount]]-Data[[#This Row],[Profit]]</f>
        <v>4910</v>
      </c>
      <c r="H530" s="5">
        <v>5340</v>
      </c>
      <c r="I530" s="5" t="s">
        <v>8</v>
      </c>
    </row>
    <row r="531" spans="1:9" ht="12.75" x14ac:dyDescent="0.2">
      <c r="A531" s="3">
        <v>39692</v>
      </c>
      <c r="B531" s="3" t="str">
        <f>IF(MONTH(Data[[#This Row],[Date]])&gt;3,YEAR(Data[[#This Row],[Date]])&amp;"-"&amp;YEAR(Data[[#This Row],[Date]])+1,YEAR(Data[[#This Row],[Date]])-1&amp;"-"&amp;YEAR(Data[[#This Row],[Date]]))</f>
        <v>2008-2009</v>
      </c>
      <c r="C531" s="3" t="str">
        <f>"Q"&amp;CEILING(MONTH(EDATE(Data[[#This Row],[Date]],-3)),3)/3</f>
        <v>Q2</v>
      </c>
      <c r="D531" s="4" t="s">
        <v>25</v>
      </c>
      <c r="E531" s="4" t="s">
        <v>28</v>
      </c>
      <c r="F531" s="5">
        <v>13100</v>
      </c>
      <c r="G531" s="5">
        <f>Data[[#This Row],[Amount]]-Data[[#This Row],[Profit]]</f>
        <v>8580</v>
      </c>
      <c r="H531" s="5">
        <v>4520</v>
      </c>
      <c r="I531" s="5" t="s">
        <v>22</v>
      </c>
    </row>
    <row r="532" spans="1:9" ht="12.75" x14ac:dyDescent="0.2">
      <c r="A532" s="3">
        <v>39763</v>
      </c>
      <c r="B532" s="3" t="str">
        <f>IF(MONTH(Data[[#This Row],[Date]])&gt;3,YEAR(Data[[#This Row],[Date]])&amp;"-"&amp;YEAR(Data[[#This Row],[Date]])+1,YEAR(Data[[#This Row],[Date]])-1&amp;"-"&amp;YEAR(Data[[#This Row],[Date]]))</f>
        <v>2008-2009</v>
      </c>
      <c r="C532" s="3" t="str">
        <f>"Q"&amp;CEILING(MONTH(EDATE(Data[[#This Row],[Date]],-3)),3)/3</f>
        <v>Q3</v>
      </c>
      <c r="D532" s="4" t="s">
        <v>16</v>
      </c>
      <c r="E532" s="4" t="s">
        <v>10</v>
      </c>
      <c r="F532" s="5">
        <v>14300</v>
      </c>
      <c r="G532" s="5">
        <f>Data[[#This Row],[Amount]]-Data[[#This Row],[Profit]]</f>
        <v>9080</v>
      </c>
      <c r="H532" s="5">
        <v>5220</v>
      </c>
      <c r="I532" s="5" t="s">
        <v>11</v>
      </c>
    </row>
    <row r="533" spans="1:9" ht="12.75" x14ac:dyDescent="0.2">
      <c r="A533" s="3">
        <v>38403</v>
      </c>
      <c r="B533" s="3" t="str">
        <f>IF(MONTH(Data[[#This Row],[Date]])&gt;3,YEAR(Data[[#This Row],[Date]])&amp;"-"&amp;YEAR(Data[[#This Row],[Date]])+1,YEAR(Data[[#This Row],[Date]])-1&amp;"-"&amp;YEAR(Data[[#This Row],[Date]]))</f>
        <v>2004-2005</v>
      </c>
      <c r="C533" s="3" t="str">
        <f>"Q"&amp;CEILING(MONTH(EDATE(Data[[#This Row],[Date]],-3)),3)/3</f>
        <v>Q4</v>
      </c>
      <c r="D533" s="4" t="s">
        <v>12</v>
      </c>
      <c r="E533" s="4" t="s">
        <v>21</v>
      </c>
      <c r="F533" s="5">
        <v>14250</v>
      </c>
      <c r="G533" s="5">
        <f>Data[[#This Row],[Amount]]-Data[[#This Row],[Profit]]</f>
        <v>11270</v>
      </c>
      <c r="H533" s="5">
        <v>2980</v>
      </c>
      <c r="I533" s="5" t="s">
        <v>15</v>
      </c>
    </row>
    <row r="534" spans="1:9" ht="12.75" x14ac:dyDescent="0.2">
      <c r="A534" s="3">
        <v>39571</v>
      </c>
      <c r="B534" s="3" t="str">
        <f>IF(MONTH(Data[[#This Row],[Date]])&gt;3,YEAR(Data[[#This Row],[Date]])&amp;"-"&amp;YEAR(Data[[#This Row],[Date]])+1,YEAR(Data[[#This Row],[Date]])-1&amp;"-"&amp;YEAR(Data[[#This Row],[Date]]))</f>
        <v>2008-2009</v>
      </c>
      <c r="C534" s="3" t="str">
        <f>"Q"&amp;CEILING(MONTH(EDATE(Data[[#This Row],[Date]],-3)),3)/3</f>
        <v>Q1</v>
      </c>
      <c r="D534" s="4" t="s">
        <v>25</v>
      </c>
      <c r="E534" s="4" t="s">
        <v>19</v>
      </c>
      <c r="F534" s="5">
        <v>14800</v>
      </c>
      <c r="G534" s="5">
        <f>Data[[#This Row],[Amount]]-Data[[#This Row],[Profit]]</f>
        <v>11220</v>
      </c>
      <c r="H534" s="5">
        <v>3580</v>
      </c>
      <c r="I534" s="5" t="s">
        <v>11</v>
      </c>
    </row>
    <row r="535" spans="1:9" ht="12.75" x14ac:dyDescent="0.2">
      <c r="A535" s="3">
        <v>39731</v>
      </c>
      <c r="B535" s="3" t="str">
        <f>IF(MONTH(Data[[#This Row],[Date]])&gt;3,YEAR(Data[[#This Row],[Date]])&amp;"-"&amp;YEAR(Data[[#This Row],[Date]])+1,YEAR(Data[[#This Row],[Date]])-1&amp;"-"&amp;YEAR(Data[[#This Row],[Date]]))</f>
        <v>2008-2009</v>
      </c>
      <c r="C535" s="3" t="str">
        <f>"Q"&amp;CEILING(MONTH(EDATE(Data[[#This Row],[Date]],-3)),3)/3</f>
        <v>Q3</v>
      </c>
      <c r="D535" s="4" t="s">
        <v>14</v>
      </c>
      <c r="E535" s="4" t="s">
        <v>28</v>
      </c>
      <c r="F535" s="5">
        <v>12300</v>
      </c>
      <c r="G535" s="5">
        <f>Data[[#This Row],[Amount]]-Data[[#This Row],[Profit]]</f>
        <v>9840</v>
      </c>
      <c r="H535" s="5">
        <v>2460</v>
      </c>
      <c r="I535" s="5" t="s">
        <v>22</v>
      </c>
    </row>
    <row r="536" spans="1:9" ht="12.75" x14ac:dyDescent="0.2">
      <c r="A536" s="3">
        <v>39327</v>
      </c>
      <c r="B536" s="3" t="str">
        <f>IF(MONTH(Data[[#This Row],[Date]])&gt;3,YEAR(Data[[#This Row],[Date]])&amp;"-"&amp;YEAR(Data[[#This Row],[Date]])+1,YEAR(Data[[#This Row],[Date]])-1&amp;"-"&amp;YEAR(Data[[#This Row],[Date]]))</f>
        <v>2007-2008</v>
      </c>
      <c r="C536" s="3" t="str">
        <f>"Q"&amp;CEILING(MONTH(EDATE(Data[[#This Row],[Date]],-3)),3)/3</f>
        <v>Q2</v>
      </c>
      <c r="D536" s="4" t="s">
        <v>12</v>
      </c>
      <c r="E536" s="4" t="s">
        <v>28</v>
      </c>
      <c r="F536" s="5">
        <v>10150</v>
      </c>
      <c r="G536" s="5">
        <f>Data[[#This Row],[Amount]]-Data[[#This Row],[Profit]]</f>
        <v>7250</v>
      </c>
      <c r="H536" s="5">
        <v>2900</v>
      </c>
      <c r="I536" s="5" t="s">
        <v>11</v>
      </c>
    </row>
    <row r="537" spans="1:9" ht="12.75" x14ac:dyDescent="0.2">
      <c r="A537" s="3">
        <v>39350</v>
      </c>
      <c r="B537" s="3" t="str">
        <f>IF(MONTH(Data[[#This Row],[Date]])&gt;3,YEAR(Data[[#This Row],[Date]])&amp;"-"&amp;YEAR(Data[[#This Row],[Date]])+1,YEAR(Data[[#This Row],[Date]])-1&amp;"-"&amp;YEAR(Data[[#This Row],[Date]]))</f>
        <v>2007-2008</v>
      </c>
      <c r="C537" s="3" t="str">
        <f>"Q"&amp;CEILING(MONTH(EDATE(Data[[#This Row],[Date]],-3)),3)/3</f>
        <v>Q2</v>
      </c>
      <c r="D537" s="4" t="s">
        <v>6</v>
      </c>
      <c r="E537" s="4" t="s">
        <v>29</v>
      </c>
      <c r="F537" s="5">
        <v>13150</v>
      </c>
      <c r="G537" s="5">
        <f>Data[[#This Row],[Amount]]-Data[[#This Row],[Profit]]</f>
        <v>10410</v>
      </c>
      <c r="H537" s="5">
        <v>2740</v>
      </c>
      <c r="I537" s="5" t="s">
        <v>15</v>
      </c>
    </row>
    <row r="538" spans="1:9" ht="12.75" x14ac:dyDescent="0.2">
      <c r="A538" s="3">
        <v>38399</v>
      </c>
      <c r="B538" s="3" t="str">
        <f>IF(MONTH(Data[[#This Row],[Date]])&gt;3,YEAR(Data[[#This Row],[Date]])&amp;"-"&amp;YEAR(Data[[#This Row],[Date]])+1,YEAR(Data[[#This Row],[Date]])-1&amp;"-"&amp;YEAR(Data[[#This Row],[Date]]))</f>
        <v>2004-2005</v>
      </c>
      <c r="C538" s="3" t="str">
        <f>"Q"&amp;CEILING(MONTH(EDATE(Data[[#This Row],[Date]],-3)),3)/3</f>
        <v>Q4</v>
      </c>
      <c r="D538" s="4" t="s">
        <v>27</v>
      </c>
      <c r="E538" s="4" t="s">
        <v>10</v>
      </c>
      <c r="F538" s="5">
        <v>13500</v>
      </c>
      <c r="G538" s="5">
        <f>Data[[#This Row],[Amount]]-Data[[#This Row],[Profit]]</f>
        <v>11420</v>
      </c>
      <c r="H538" s="5">
        <v>2080</v>
      </c>
      <c r="I538" s="5" t="s">
        <v>11</v>
      </c>
    </row>
    <row r="539" spans="1:9" ht="12.75" x14ac:dyDescent="0.2">
      <c r="A539" s="3">
        <v>38397</v>
      </c>
      <c r="B539" s="3" t="str">
        <f>IF(MONTH(Data[[#This Row],[Date]])&gt;3,YEAR(Data[[#This Row],[Date]])&amp;"-"&amp;YEAR(Data[[#This Row],[Date]])+1,YEAR(Data[[#This Row],[Date]])-1&amp;"-"&amp;YEAR(Data[[#This Row],[Date]]))</f>
        <v>2004-2005</v>
      </c>
      <c r="C539" s="3" t="str">
        <f>"Q"&amp;CEILING(MONTH(EDATE(Data[[#This Row],[Date]],-3)),3)/3</f>
        <v>Q4</v>
      </c>
      <c r="D539" s="4" t="s">
        <v>6</v>
      </c>
      <c r="E539" s="4" t="s">
        <v>33</v>
      </c>
      <c r="F539" s="5">
        <v>12500</v>
      </c>
      <c r="G539" s="5">
        <f>Data[[#This Row],[Amount]]-Data[[#This Row],[Profit]]</f>
        <v>7300</v>
      </c>
      <c r="H539" s="5">
        <v>5200</v>
      </c>
      <c r="I539" s="5" t="s">
        <v>11</v>
      </c>
    </row>
    <row r="540" spans="1:9" ht="12.75" x14ac:dyDescent="0.2">
      <c r="A540" s="3">
        <v>38499</v>
      </c>
      <c r="B540" s="3" t="str">
        <f>IF(MONTH(Data[[#This Row],[Date]])&gt;3,YEAR(Data[[#This Row],[Date]])&amp;"-"&amp;YEAR(Data[[#This Row],[Date]])+1,YEAR(Data[[#This Row],[Date]])-1&amp;"-"&amp;YEAR(Data[[#This Row],[Date]]))</f>
        <v>2005-2006</v>
      </c>
      <c r="C540" s="3" t="str">
        <f>"Q"&amp;CEILING(MONTH(EDATE(Data[[#This Row],[Date]],-3)),3)/3</f>
        <v>Q1</v>
      </c>
      <c r="D540" s="4" t="s">
        <v>27</v>
      </c>
      <c r="E540" s="4" t="s">
        <v>24</v>
      </c>
      <c r="F540" s="5">
        <v>14150</v>
      </c>
      <c r="G540" s="5">
        <f>Data[[#This Row],[Amount]]-Data[[#This Row],[Profit]]</f>
        <v>9730</v>
      </c>
      <c r="H540" s="5">
        <v>4420</v>
      </c>
      <c r="I540" s="5" t="s">
        <v>8</v>
      </c>
    </row>
    <row r="541" spans="1:9" ht="12.75" x14ac:dyDescent="0.2">
      <c r="A541" s="3">
        <v>39481</v>
      </c>
      <c r="B541" s="3" t="str">
        <f>IF(MONTH(Data[[#This Row],[Date]])&gt;3,YEAR(Data[[#This Row],[Date]])&amp;"-"&amp;YEAR(Data[[#This Row],[Date]])+1,YEAR(Data[[#This Row],[Date]])-1&amp;"-"&amp;YEAR(Data[[#This Row],[Date]]))</f>
        <v>2007-2008</v>
      </c>
      <c r="C541" s="3" t="str">
        <f>"Q"&amp;CEILING(MONTH(EDATE(Data[[#This Row],[Date]],-3)),3)/3</f>
        <v>Q4</v>
      </c>
      <c r="D541" s="4" t="s">
        <v>31</v>
      </c>
      <c r="E541" s="4" t="s">
        <v>13</v>
      </c>
      <c r="F541" s="5">
        <v>14100</v>
      </c>
      <c r="G541" s="5">
        <f>Data[[#This Row],[Amount]]-Data[[#This Row],[Profit]]</f>
        <v>10300</v>
      </c>
      <c r="H541" s="5">
        <v>3800</v>
      </c>
      <c r="I541" s="5" t="s">
        <v>11</v>
      </c>
    </row>
    <row r="542" spans="1:9" ht="12.75" x14ac:dyDescent="0.2">
      <c r="A542" s="3">
        <v>38675</v>
      </c>
      <c r="B542" s="3" t="str">
        <f>IF(MONTH(Data[[#This Row],[Date]])&gt;3,YEAR(Data[[#This Row],[Date]])&amp;"-"&amp;YEAR(Data[[#This Row],[Date]])+1,YEAR(Data[[#This Row],[Date]])-1&amp;"-"&amp;YEAR(Data[[#This Row],[Date]]))</f>
        <v>2005-2006</v>
      </c>
      <c r="C542" s="3" t="str">
        <f>"Q"&amp;CEILING(MONTH(EDATE(Data[[#This Row],[Date]],-3)),3)/3</f>
        <v>Q3</v>
      </c>
      <c r="D542" s="4" t="s">
        <v>14</v>
      </c>
      <c r="E542" s="4" t="s">
        <v>7</v>
      </c>
      <c r="F542" s="5">
        <v>14950</v>
      </c>
      <c r="G542" s="5">
        <f>Data[[#This Row],[Amount]]-Data[[#This Row],[Profit]]</f>
        <v>9770</v>
      </c>
      <c r="H542" s="5">
        <v>5180</v>
      </c>
      <c r="I542" s="5" t="s">
        <v>11</v>
      </c>
    </row>
    <row r="543" spans="1:9" ht="12.75" x14ac:dyDescent="0.2">
      <c r="A543" s="3">
        <v>38627</v>
      </c>
      <c r="B543" s="3" t="str">
        <f>IF(MONTH(Data[[#This Row],[Date]])&gt;3,YEAR(Data[[#This Row],[Date]])&amp;"-"&amp;YEAR(Data[[#This Row],[Date]])+1,YEAR(Data[[#This Row],[Date]])-1&amp;"-"&amp;YEAR(Data[[#This Row],[Date]]))</f>
        <v>2005-2006</v>
      </c>
      <c r="C543" s="3" t="str">
        <f>"Q"&amp;CEILING(MONTH(EDATE(Data[[#This Row],[Date]],-3)),3)/3</f>
        <v>Q3</v>
      </c>
      <c r="D543" s="4" t="s">
        <v>23</v>
      </c>
      <c r="E543" s="4" t="s">
        <v>17</v>
      </c>
      <c r="F543" s="5">
        <v>13450</v>
      </c>
      <c r="G543" s="5">
        <f>Data[[#This Row],[Amount]]-Data[[#This Row],[Profit]]</f>
        <v>11210</v>
      </c>
      <c r="H543" s="5">
        <v>2240</v>
      </c>
      <c r="I543" s="5" t="s">
        <v>8</v>
      </c>
    </row>
    <row r="544" spans="1:9" ht="12.75" x14ac:dyDescent="0.2">
      <c r="A544" s="3">
        <v>39469</v>
      </c>
      <c r="B544" s="3" t="str">
        <f>IF(MONTH(Data[[#This Row],[Date]])&gt;3,YEAR(Data[[#This Row],[Date]])&amp;"-"&amp;YEAR(Data[[#This Row],[Date]])+1,YEAR(Data[[#This Row],[Date]])-1&amp;"-"&amp;YEAR(Data[[#This Row],[Date]]))</f>
        <v>2007-2008</v>
      </c>
      <c r="C544" s="3" t="str">
        <f>"Q"&amp;CEILING(MONTH(EDATE(Data[[#This Row],[Date]],-3)),3)/3</f>
        <v>Q4</v>
      </c>
      <c r="D544" s="4" t="s">
        <v>27</v>
      </c>
      <c r="E544" s="4" t="s">
        <v>10</v>
      </c>
      <c r="F544" s="5">
        <v>10600</v>
      </c>
      <c r="G544" s="5">
        <f>Data[[#This Row],[Amount]]-Data[[#This Row],[Profit]]</f>
        <v>7120</v>
      </c>
      <c r="H544" s="5">
        <v>3480</v>
      </c>
      <c r="I544" s="5" t="s">
        <v>11</v>
      </c>
    </row>
    <row r="545" spans="1:9" ht="12.75" x14ac:dyDescent="0.2">
      <c r="A545" s="3">
        <v>39263</v>
      </c>
      <c r="B545" s="3" t="str">
        <f>IF(MONTH(Data[[#This Row],[Date]])&gt;3,YEAR(Data[[#This Row],[Date]])&amp;"-"&amp;YEAR(Data[[#This Row],[Date]])+1,YEAR(Data[[#This Row],[Date]])-1&amp;"-"&amp;YEAR(Data[[#This Row],[Date]]))</f>
        <v>2007-2008</v>
      </c>
      <c r="C545" s="3" t="str">
        <f>"Q"&amp;CEILING(MONTH(EDATE(Data[[#This Row],[Date]],-3)),3)/3</f>
        <v>Q1</v>
      </c>
      <c r="D545" s="4" t="s">
        <v>32</v>
      </c>
      <c r="E545" s="4" t="s">
        <v>29</v>
      </c>
      <c r="F545" s="5">
        <v>11600</v>
      </c>
      <c r="G545" s="5">
        <f>Data[[#This Row],[Amount]]-Data[[#This Row],[Profit]]</f>
        <v>6580</v>
      </c>
      <c r="H545" s="5">
        <v>5020</v>
      </c>
      <c r="I545" s="5" t="s">
        <v>22</v>
      </c>
    </row>
    <row r="546" spans="1:9" ht="12.75" x14ac:dyDescent="0.2">
      <c r="A546" s="3">
        <v>39634</v>
      </c>
      <c r="B546" s="3" t="str">
        <f>IF(MONTH(Data[[#This Row],[Date]])&gt;3,YEAR(Data[[#This Row],[Date]])&amp;"-"&amp;YEAR(Data[[#This Row],[Date]])+1,YEAR(Data[[#This Row],[Date]])-1&amp;"-"&amp;YEAR(Data[[#This Row],[Date]]))</f>
        <v>2008-2009</v>
      </c>
      <c r="C546" s="3" t="str">
        <f>"Q"&amp;CEILING(MONTH(EDATE(Data[[#This Row],[Date]],-3)),3)/3</f>
        <v>Q2</v>
      </c>
      <c r="D546" s="4" t="s">
        <v>16</v>
      </c>
      <c r="E546" s="4" t="s">
        <v>28</v>
      </c>
      <c r="F546" s="5">
        <v>12450</v>
      </c>
      <c r="G546" s="5">
        <f>Data[[#This Row],[Amount]]-Data[[#This Row],[Profit]]</f>
        <v>9750</v>
      </c>
      <c r="H546" s="5">
        <v>2700</v>
      </c>
      <c r="I546" s="5" t="s">
        <v>8</v>
      </c>
    </row>
    <row r="547" spans="1:9" ht="12.75" x14ac:dyDescent="0.2">
      <c r="A547" s="3">
        <v>39588</v>
      </c>
      <c r="B547" s="3" t="str">
        <f>IF(MONTH(Data[[#This Row],[Date]])&gt;3,YEAR(Data[[#This Row],[Date]])&amp;"-"&amp;YEAR(Data[[#This Row],[Date]])+1,YEAR(Data[[#This Row],[Date]])-1&amp;"-"&amp;YEAR(Data[[#This Row],[Date]]))</f>
        <v>2008-2009</v>
      </c>
      <c r="C547" s="3" t="str">
        <f>"Q"&amp;CEILING(MONTH(EDATE(Data[[#This Row],[Date]],-3)),3)/3</f>
        <v>Q1</v>
      </c>
      <c r="D547" s="4" t="s">
        <v>25</v>
      </c>
      <c r="E547" s="4" t="s">
        <v>21</v>
      </c>
      <c r="F547" s="5">
        <v>11350</v>
      </c>
      <c r="G547" s="5">
        <f>Data[[#This Row],[Amount]]-Data[[#This Row],[Profit]]</f>
        <v>7830</v>
      </c>
      <c r="H547" s="5">
        <v>3520</v>
      </c>
      <c r="I547" s="5" t="s">
        <v>11</v>
      </c>
    </row>
    <row r="548" spans="1:9" ht="12.75" x14ac:dyDescent="0.2">
      <c r="A548" s="3">
        <v>39558</v>
      </c>
      <c r="B548" s="3" t="str">
        <f>IF(MONTH(Data[[#This Row],[Date]])&gt;3,YEAR(Data[[#This Row],[Date]])&amp;"-"&amp;YEAR(Data[[#This Row],[Date]])+1,YEAR(Data[[#This Row],[Date]])-1&amp;"-"&amp;YEAR(Data[[#This Row],[Date]]))</f>
        <v>2008-2009</v>
      </c>
      <c r="C548" s="3" t="str">
        <f>"Q"&amp;CEILING(MONTH(EDATE(Data[[#This Row],[Date]],-3)),3)/3</f>
        <v>Q1</v>
      </c>
      <c r="D548" s="4" t="s">
        <v>31</v>
      </c>
      <c r="E548" s="4" t="s">
        <v>28</v>
      </c>
      <c r="F548" s="5">
        <v>11750</v>
      </c>
      <c r="G548" s="5">
        <f>Data[[#This Row],[Amount]]-Data[[#This Row],[Profit]]</f>
        <v>6990</v>
      </c>
      <c r="H548" s="5">
        <v>4760</v>
      </c>
      <c r="I548" s="5" t="s">
        <v>15</v>
      </c>
    </row>
    <row r="549" spans="1:9" ht="12.75" x14ac:dyDescent="0.2">
      <c r="A549" s="3">
        <v>38634</v>
      </c>
      <c r="B549" s="3" t="str">
        <f>IF(MONTH(Data[[#This Row],[Date]])&gt;3,YEAR(Data[[#This Row],[Date]])&amp;"-"&amp;YEAR(Data[[#This Row],[Date]])+1,YEAR(Data[[#This Row],[Date]])-1&amp;"-"&amp;YEAR(Data[[#This Row],[Date]]))</f>
        <v>2005-2006</v>
      </c>
      <c r="C549" s="3" t="str">
        <f>"Q"&amp;CEILING(MONTH(EDATE(Data[[#This Row],[Date]],-3)),3)/3</f>
        <v>Q3</v>
      </c>
      <c r="D549" s="4" t="s">
        <v>14</v>
      </c>
      <c r="E549" s="4" t="s">
        <v>30</v>
      </c>
      <c r="F549" s="5">
        <v>11900</v>
      </c>
      <c r="G549" s="5">
        <f>Data[[#This Row],[Amount]]-Data[[#This Row],[Profit]]</f>
        <v>6400</v>
      </c>
      <c r="H549" s="5">
        <v>5500</v>
      </c>
      <c r="I549" s="5" t="s">
        <v>11</v>
      </c>
    </row>
    <row r="550" spans="1:9" ht="12.75" x14ac:dyDescent="0.2">
      <c r="A550" s="3">
        <v>39664</v>
      </c>
      <c r="B550" s="3" t="str">
        <f>IF(MONTH(Data[[#This Row],[Date]])&gt;3,YEAR(Data[[#This Row],[Date]])&amp;"-"&amp;YEAR(Data[[#This Row],[Date]])+1,YEAR(Data[[#This Row],[Date]])-1&amp;"-"&amp;YEAR(Data[[#This Row],[Date]]))</f>
        <v>2008-2009</v>
      </c>
      <c r="C550" s="3" t="str">
        <f>"Q"&amp;CEILING(MONTH(EDATE(Data[[#This Row],[Date]],-3)),3)/3</f>
        <v>Q2</v>
      </c>
      <c r="D550" s="4" t="s">
        <v>31</v>
      </c>
      <c r="E550" s="4" t="s">
        <v>10</v>
      </c>
      <c r="F550" s="5">
        <v>13550</v>
      </c>
      <c r="G550" s="5">
        <f>Data[[#This Row],[Amount]]-Data[[#This Row],[Profit]]</f>
        <v>10030</v>
      </c>
      <c r="H550" s="5">
        <v>3520</v>
      </c>
      <c r="I550" s="5" t="s">
        <v>8</v>
      </c>
    </row>
    <row r="551" spans="1:9" ht="12.75" x14ac:dyDescent="0.2">
      <c r="A551" s="3">
        <v>39357</v>
      </c>
      <c r="B551" s="3" t="str">
        <f>IF(MONTH(Data[[#This Row],[Date]])&gt;3,YEAR(Data[[#This Row],[Date]])&amp;"-"&amp;YEAR(Data[[#This Row],[Date]])+1,YEAR(Data[[#This Row],[Date]])-1&amp;"-"&amp;YEAR(Data[[#This Row],[Date]]))</f>
        <v>2007-2008</v>
      </c>
      <c r="C551" s="3" t="str">
        <f>"Q"&amp;CEILING(MONTH(EDATE(Data[[#This Row],[Date]],-3)),3)/3</f>
        <v>Q3</v>
      </c>
      <c r="D551" s="4" t="s">
        <v>12</v>
      </c>
      <c r="E551" s="4" t="s">
        <v>13</v>
      </c>
      <c r="F551" s="5">
        <v>12700</v>
      </c>
      <c r="G551" s="5">
        <f>Data[[#This Row],[Amount]]-Data[[#This Row],[Profit]]</f>
        <v>8700</v>
      </c>
      <c r="H551" s="5">
        <v>4000</v>
      </c>
      <c r="I551" s="5" t="s">
        <v>15</v>
      </c>
    </row>
    <row r="552" spans="1:9" ht="12.75" x14ac:dyDescent="0.2">
      <c r="A552" s="3">
        <v>38762</v>
      </c>
      <c r="B552" s="3" t="str">
        <f>IF(MONTH(Data[[#This Row],[Date]])&gt;3,YEAR(Data[[#This Row],[Date]])&amp;"-"&amp;YEAR(Data[[#This Row],[Date]])+1,YEAR(Data[[#This Row],[Date]])-1&amp;"-"&amp;YEAR(Data[[#This Row],[Date]]))</f>
        <v>2005-2006</v>
      </c>
      <c r="C552" s="3" t="str">
        <f>"Q"&amp;CEILING(MONTH(EDATE(Data[[#This Row],[Date]],-3)),3)/3</f>
        <v>Q4</v>
      </c>
      <c r="D552" s="4" t="s">
        <v>20</v>
      </c>
      <c r="E552" s="4" t="s">
        <v>19</v>
      </c>
      <c r="F552" s="5">
        <v>12050</v>
      </c>
      <c r="G552" s="5">
        <f>Data[[#This Row],[Amount]]-Data[[#This Row],[Profit]]</f>
        <v>6410</v>
      </c>
      <c r="H552" s="5">
        <v>5640</v>
      </c>
      <c r="I552" s="5" t="s">
        <v>15</v>
      </c>
    </row>
    <row r="553" spans="1:9" ht="12.75" x14ac:dyDescent="0.2">
      <c r="A553" s="3">
        <v>38618</v>
      </c>
      <c r="B553" s="3" t="str">
        <f>IF(MONTH(Data[[#This Row],[Date]])&gt;3,YEAR(Data[[#This Row],[Date]])&amp;"-"&amp;YEAR(Data[[#This Row],[Date]])+1,YEAR(Data[[#This Row],[Date]])-1&amp;"-"&amp;YEAR(Data[[#This Row],[Date]]))</f>
        <v>2005-2006</v>
      </c>
      <c r="C553" s="3" t="str">
        <f>"Q"&amp;CEILING(MONTH(EDATE(Data[[#This Row],[Date]],-3)),3)/3</f>
        <v>Q2</v>
      </c>
      <c r="D553" s="4" t="s">
        <v>14</v>
      </c>
      <c r="E553" s="4" t="s">
        <v>10</v>
      </c>
      <c r="F553" s="5">
        <v>11950</v>
      </c>
      <c r="G553" s="5">
        <f>Data[[#This Row],[Amount]]-Data[[#This Row],[Profit]]</f>
        <v>9830</v>
      </c>
      <c r="H553" s="5">
        <v>2120</v>
      </c>
      <c r="I553" s="5" t="s">
        <v>15</v>
      </c>
    </row>
    <row r="554" spans="1:9" ht="12.75" x14ac:dyDescent="0.2">
      <c r="A554" s="3">
        <v>39022</v>
      </c>
      <c r="B554" s="3" t="str">
        <f>IF(MONTH(Data[[#This Row],[Date]])&gt;3,YEAR(Data[[#This Row],[Date]])&amp;"-"&amp;YEAR(Data[[#This Row],[Date]])+1,YEAR(Data[[#This Row],[Date]])-1&amp;"-"&amp;YEAR(Data[[#This Row],[Date]]))</f>
        <v>2006-2007</v>
      </c>
      <c r="C554" s="3" t="str">
        <f>"Q"&amp;CEILING(MONTH(EDATE(Data[[#This Row],[Date]],-3)),3)/3</f>
        <v>Q3</v>
      </c>
      <c r="D554" s="4" t="s">
        <v>25</v>
      </c>
      <c r="E554" s="4" t="s">
        <v>21</v>
      </c>
      <c r="F554" s="5">
        <v>12900</v>
      </c>
      <c r="G554" s="5">
        <f>Data[[#This Row],[Amount]]-Data[[#This Row],[Profit]]</f>
        <v>10160</v>
      </c>
      <c r="H554" s="5">
        <v>2740</v>
      </c>
      <c r="I554" s="5" t="s">
        <v>11</v>
      </c>
    </row>
    <row r="555" spans="1:9" ht="12.75" x14ac:dyDescent="0.2">
      <c r="A555" s="3">
        <v>38745</v>
      </c>
      <c r="B555" s="3" t="str">
        <f>IF(MONTH(Data[[#This Row],[Date]])&gt;3,YEAR(Data[[#This Row],[Date]])&amp;"-"&amp;YEAR(Data[[#This Row],[Date]])+1,YEAR(Data[[#This Row],[Date]])-1&amp;"-"&amp;YEAR(Data[[#This Row],[Date]]))</f>
        <v>2005-2006</v>
      </c>
      <c r="C555" s="3" t="str">
        <f>"Q"&amp;CEILING(MONTH(EDATE(Data[[#This Row],[Date]],-3)),3)/3</f>
        <v>Q4</v>
      </c>
      <c r="D555" s="4" t="s">
        <v>25</v>
      </c>
      <c r="E555" s="4" t="s">
        <v>29</v>
      </c>
      <c r="F555" s="5">
        <v>10900</v>
      </c>
      <c r="G555" s="5">
        <f>Data[[#This Row],[Amount]]-Data[[#This Row],[Profit]]</f>
        <v>7520</v>
      </c>
      <c r="H555" s="5">
        <v>3380</v>
      </c>
      <c r="I555" s="5" t="s">
        <v>8</v>
      </c>
    </row>
    <row r="556" spans="1:9" ht="12.75" x14ac:dyDescent="0.2">
      <c r="A556" s="3">
        <v>38941</v>
      </c>
      <c r="B556" s="3" t="str">
        <f>IF(MONTH(Data[[#This Row],[Date]])&gt;3,YEAR(Data[[#This Row],[Date]])&amp;"-"&amp;YEAR(Data[[#This Row],[Date]])+1,YEAR(Data[[#This Row],[Date]])-1&amp;"-"&amp;YEAR(Data[[#This Row],[Date]]))</f>
        <v>2006-2007</v>
      </c>
      <c r="C556" s="3" t="str">
        <f>"Q"&amp;CEILING(MONTH(EDATE(Data[[#This Row],[Date]],-3)),3)/3</f>
        <v>Q2</v>
      </c>
      <c r="D556" s="4" t="s">
        <v>31</v>
      </c>
      <c r="E556" s="4" t="s">
        <v>30</v>
      </c>
      <c r="F556" s="5">
        <v>13000</v>
      </c>
      <c r="G556" s="5">
        <f>Data[[#This Row],[Amount]]-Data[[#This Row],[Profit]]</f>
        <v>11000</v>
      </c>
      <c r="H556" s="5">
        <v>2000</v>
      </c>
      <c r="I556" s="5" t="s">
        <v>22</v>
      </c>
    </row>
    <row r="557" spans="1:9" ht="12.75" x14ac:dyDescent="0.2">
      <c r="A557" s="3">
        <v>39489</v>
      </c>
      <c r="B557" s="3" t="str">
        <f>IF(MONTH(Data[[#This Row],[Date]])&gt;3,YEAR(Data[[#This Row],[Date]])&amp;"-"&amp;YEAR(Data[[#This Row],[Date]])+1,YEAR(Data[[#This Row],[Date]])-1&amp;"-"&amp;YEAR(Data[[#This Row],[Date]]))</f>
        <v>2007-2008</v>
      </c>
      <c r="C557" s="3" t="str">
        <f>"Q"&amp;CEILING(MONTH(EDATE(Data[[#This Row],[Date]],-3)),3)/3</f>
        <v>Q4</v>
      </c>
      <c r="D557" s="4" t="s">
        <v>27</v>
      </c>
      <c r="E557" s="4" t="s">
        <v>24</v>
      </c>
      <c r="F557" s="5">
        <v>12950</v>
      </c>
      <c r="G557" s="5">
        <f>Data[[#This Row],[Amount]]-Data[[#This Row],[Profit]]</f>
        <v>9270</v>
      </c>
      <c r="H557" s="5">
        <v>3680</v>
      </c>
      <c r="I557" s="5" t="s">
        <v>15</v>
      </c>
    </row>
    <row r="558" spans="1:9" ht="12.75" x14ac:dyDescent="0.2">
      <c r="A558" s="3">
        <v>39364</v>
      </c>
      <c r="B558" s="3" t="str">
        <f>IF(MONTH(Data[[#This Row],[Date]])&gt;3,YEAR(Data[[#This Row],[Date]])&amp;"-"&amp;YEAR(Data[[#This Row],[Date]])+1,YEAR(Data[[#This Row],[Date]])-1&amp;"-"&amp;YEAR(Data[[#This Row],[Date]]))</f>
        <v>2007-2008</v>
      </c>
      <c r="C558" s="3" t="str">
        <f>"Q"&amp;CEILING(MONTH(EDATE(Data[[#This Row],[Date]],-3)),3)/3</f>
        <v>Q3</v>
      </c>
      <c r="D558" s="4" t="s">
        <v>25</v>
      </c>
      <c r="E558" s="4" t="s">
        <v>30</v>
      </c>
      <c r="F558" s="5">
        <v>14100</v>
      </c>
      <c r="G558" s="5">
        <f>Data[[#This Row],[Amount]]-Data[[#This Row],[Profit]]</f>
        <v>12000</v>
      </c>
      <c r="H558" s="5">
        <v>2100</v>
      </c>
      <c r="I558" s="5" t="s">
        <v>8</v>
      </c>
    </row>
    <row r="559" spans="1:9" ht="12.75" x14ac:dyDescent="0.2">
      <c r="A559" s="3">
        <v>39446</v>
      </c>
      <c r="B559" s="3" t="str">
        <f>IF(MONTH(Data[[#This Row],[Date]])&gt;3,YEAR(Data[[#This Row],[Date]])&amp;"-"&amp;YEAR(Data[[#This Row],[Date]])+1,YEAR(Data[[#This Row],[Date]])-1&amp;"-"&amp;YEAR(Data[[#This Row],[Date]]))</f>
        <v>2007-2008</v>
      </c>
      <c r="C559" s="3" t="str">
        <f>"Q"&amp;CEILING(MONTH(EDATE(Data[[#This Row],[Date]],-3)),3)/3</f>
        <v>Q3</v>
      </c>
      <c r="D559" s="4" t="s">
        <v>6</v>
      </c>
      <c r="E559" s="4" t="s">
        <v>26</v>
      </c>
      <c r="F559" s="5">
        <v>13300</v>
      </c>
      <c r="G559" s="5">
        <f>Data[[#This Row],[Amount]]-Data[[#This Row],[Profit]]</f>
        <v>9840</v>
      </c>
      <c r="H559" s="5">
        <v>3460</v>
      </c>
      <c r="I559" s="5" t="s">
        <v>8</v>
      </c>
    </row>
    <row r="560" spans="1:9" ht="12.75" x14ac:dyDescent="0.2">
      <c r="A560" s="3">
        <v>39514</v>
      </c>
      <c r="B560" s="3" t="str">
        <f>IF(MONTH(Data[[#This Row],[Date]])&gt;3,YEAR(Data[[#This Row],[Date]])&amp;"-"&amp;YEAR(Data[[#This Row],[Date]])+1,YEAR(Data[[#This Row],[Date]])-1&amp;"-"&amp;YEAR(Data[[#This Row],[Date]]))</f>
        <v>2007-2008</v>
      </c>
      <c r="C560" s="3" t="str">
        <f>"Q"&amp;CEILING(MONTH(EDATE(Data[[#This Row],[Date]],-3)),3)/3</f>
        <v>Q4</v>
      </c>
      <c r="D560" s="4" t="s">
        <v>20</v>
      </c>
      <c r="E560" s="4" t="s">
        <v>21</v>
      </c>
      <c r="F560" s="5">
        <v>11000</v>
      </c>
      <c r="G560" s="5">
        <f>Data[[#This Row],[Amount]]-Data[[#This Row],[Profit]]</f>
        <v>8120</v>
      </c>
      <c r="H560" s="5">
        <v>2880</v>
      </c>
      <c r="I560" s="5" t="s">
        <v>22</v>
      </c>
    </row>
    <row r="561" spans="1:9" ht="12.75" x14ac:dyDescent="0.2">
      <c r="A561" s="3">
        <v>39162</v>
      </c>
      <c r="B561" s="3" t="str">
        <f>IF(MONTH(Data[[#This Row],[Date]])&gt;3,YEAR(Data[[#This Row],[Date]])&amp;"-"&amp;YEAR(Data[[#This Row],[Date]])+1,YEAR(Data[[#This Row],[Date]])-1&amp;"-"&amp;YEAR(Data[[#This Row],[Date]]))</f>
        <v>2006-2007</v>
      </c>
      <c r="C561" s="3" t="str">
        <f>"Q"&amp;CEILING(MONTH(EDATE(Data[[#This Row],[Date]],-3)),3)/3</f>
        <v>Q4</v>
      </c>
      <c r="D561" s="4" t="s">
        <v>14</v>
      </c>
      <c r="E561" s="4" t="s">
        <v>13</v>
      </c>
      <c r="F561" s="5">
        <v>12300</v>
      </c>
      <c r="G561" s="5">
        <f>Data[[#This Row],[Amount]]-Data[[#This Row],[Profit]]</f>
        <v>10260</v>
      </c>
      <c r="H561" s="5">
        <v>2040</v>
      </c>
      <c r="I561" s="5" t="s">
        <v>22</v>
      </c>
    </row>
    <row r="562" spans="1:9" ht="12.75" x14ac:dyDescent="0.2">
      <c r="A562" s="3">
        <v>38516</v>
      </c>
      <c r="B562" s="3" t="str">
        <f>IF(MONTH(Data[[#This Row],[Date]])&gt;3,YEAR(Data[[#This Row],[Date]])&amp;"-"&amp;YEAR(Data[[#This Row],[Date]])+1,YEAR(Data[[#This Row],[Date]])-1&amp;"-"&amp;YEAR(Data[[#This Row],[Date]]))</f>
        <v>2005-2006</v>
      </c>
      <c r="C562" s="3" t="str">
        <f>"Q"&amp;CEILING(MONTH(EDATE(Data[[#This Row],[Date]],-3)),3)/3</f>
        <v>Q1</v>
      </c>
      <c r="D562" s="4" t="s">
        <v>16</v>
      </c>
      <c r="E562" s="4" t="s">
        <v>17</v>
      </c>
      <c r="F562" s="5">
        <v>11850</v>
      </c>
      <c r="G562" s="5">
        <f>Data[[#This Row],[Amount]]-Data[[#This Row],[Profit]]</f>
        <v>8630</v>
      </c>
      <c r="H562" s="5">
        <v>3220</v>
      </c>
      <c r="I562" s="5" t="s">
        <v>22</v>
      </c>
    </row>
    <row r="563" spans="1:9" ht="12.75" x14ac:dyDescent="0.2">
      <c r="A563" s="3">
        <v>39624</v>
      </c>
      <c r="B563" s="3" t="str">
        <f>IF(MONTH(Data[[#This Row],[Date]])&gt;3,YEAR(Data[[#This Row],[Date]])&amp;"-"&amp;YEAR(Data[[#This Row],[Date]])+1,YEAR(Data[[#This Row],[Date]])-1&amp;"-"&amp;YEAR(Data[[#This Row],[Date]]))</f>
        <v>2008-2009</v>
      </c>
      <c r="C563" s="3" t="str">
        <f>"Q"&amp;CEILING(MONTH(EDATE(Data[[#This Row],[Date]],-3)),3)/3</f>
        <v>Q1</v>
      </c>
      <c r="D563" s="4" t="s">
        <v>6</v>
      </c>
      <c r="E563" s="4" t="s">
        <v>33</v>
      </c>
      <c r="F563" s="5">
        <v>14550</v>
      </c>
      <c r="G563" s="5">
        <f>Data[[#This Row],[Amount]]-Data[[#This Row],[Profit]]</f>
        <v>11750</v>
      </c>
      <c r="H563" s="5">
        <v>2800</v>
      </c>
      <c r="I563" s="5" t="s">
        <v>15</v>
      </c>
    </row>
    <row r="564" spans="1:9" ht="12.75" x14ac:dyDescent="0.2">
      <c r="A564" s="3">
        <v>39578</v>
      </c>
      <c r="B564" s="3" t="str">
        <f>IF(MONTH(Data[[#This Row],[Date]])&gt;3,YEAR(Data[[#This Row],[Date]])&amp;"-"&amp;YEAR(Data[[#This Row],[Date]])+1,YEAR(Data[[#This Row],[Date]])-1&amp;"-"&amp;YEAR(Data[[#This Row],[Date]]))</f>
        <v>2008-2009</v>
      </c>
      <c r="C564" s="3" t="str">
        <f>"Q"&amp;CEILING(MONTH(EDATE(Data[[#This Row],[Date]],-3)),3)/3</f>
        <v>Q1</v>
      </c>
      <c r="D564" s="4" t="s">
        <v>6</v>
      </c>
      <c r="E564" s="4" t="s">
        <v>7</v>
      </c>
      <c r="F564" s="5">
        <v>14950</v>
      </c>
      <c r="G564" s="5">
        <f>Data[[#This Row],[Amount]]-Data[[#This Row],[Profit]]</f>
        <v>9330</v>
      </c>
      <c r="H564" s="5">
        <v>5620</v>
      </c>
      <c r="I564" s="5" t="s">
        <v>11</v>
      </c>
    </row>
    <row r="565" spans="1:9" ht="12.75" x14ac:dyDescent="0.2">
      <c r="A565" s="3">
        <v>39604</v>
      </c>
      <c r="B565" s="3" t="str">
        <f>IF(MONTH(Data[[#This Row],[Date]])&gt;3,YEAR(Data[[#This Row],[Date]])&amp;"-"&amp;YEAR(Data[[#This Row],[Date]])+1,YEAR(Data[[#This Row],[Date]])-1&amp;"-"&amp;YEAR(Data[[#This Row],[Date]]))</f>
        <v>2008-2009</v>
      </c>
      <c r="C565" s="3" t="str">
        <f>"Q"&amp;CEILING(MONTH(EDATE(Data[[#This Row],[Date]],-3)),3)/3</f>
        <v>Q1</v>
      </c>
      <c r="D565" s="4" t="s">
        <v>25</v>
      </c>
      <c r="E565" s="4" t="s">
        <v>29</v>
      </c>
      <c r="F565" s="5">
        <v>12100</v>
      </c>
      <c r="G565" s="5">
        <f>Data[[#This Row],[Amount]]-Data[[#This Row],[Profit]]</f>
        <v>8100</v>
      </c>
      <c r="H565" s="5">
        <v>4000</v>
      </c>
      <c r="I565" s="5" t="s">
        <v>22</v>
      </c>
    </row>
    <row r="566" spans="1:9" ht="12.75" x14ac:dyDescent="0.2">
      <c r="A566" s="3">
        <v>38420</v>
      </c>
      <c r="B566" s="3" t="str">
        <f>IF(MONTH(Data[[#This Row],[Date]])&gt;3,YEAR(Data[[#This Row],[Date]])&amp;"-"&amp;YEAR(Data[[#This Row],[Date]])+1,YEAR(Data[[#This Row],[Date]])-1&amp;"-"&amp;YEAR(Data[[#This Row],[Date]]))</f>
        <v>2004-2005</v>
      </c>
      <c r="C566" s="3" t="str">
        <f>"Q"&amp;CEILING(MONTH(EDATE(Data[[#This Row],[Date]],-3)),3)/3</f>
        <v>Q4</v>
      </c>
      <c r="D566" s="4" t="s">
        <v>27</v>
      </c>
      <c r="E566" s="4" t="s">
        <v>19</v>
      </c>
      <c r="F566" s="5">
        <v>14400</v>
      </c>
      <c r="G566" s="5">
        <f>Data[[#This Row],[Amount]]-Data[[#This Row],[Profit]]</f>
        <v>9740</v>
      </c>
      <c r="H566" s="5">
        <v>4660</v>
      </c>
      <c r="I566" s="5" t="s">
        <v>15</v>
      </c>
    </row>
    <row r="567" spans="1:9" ht="12.75" x14ac:dyDescent="0.2">
      <c r="A567" s="3">
        <v>39644</v>
      </c>
      <c r="B567" s="3" t="str">
        <f>IF(MONTH(Data[[#This Row],[Date]])&gt;3,YEAR(Data[[#This Row],[Date]])&amp;"-"&amp;YEAR(Data[[#This Row],[Date]])+1,YEAR(Data[[#This Row],[Date]])-1&amp;"-"&amp;YEAR(Data[[#This Row],[Date]]))</f>
        <v>2008-2009</v>
      </c>
      <c r="C567" s="3" t="str">
        <f>"Q"&amp;CEILING(MONTH(EDATE(Data[[#This Row],[Date]],-3)),3)/3</f>
        <v>Q2</v>
      </c>
      <c r="D567" s="4" t="s">
        <v>6</v>
      </c>
      <c r="E567" s="4" t="s">
        <v>19</v>
      </c>
      <c r="F567" s="5">
        <v>14050</v>
      </c>
      <c r="G567" s="5">
        <f>Data[[#This Row],[Amount]]-Data[[#This Row],[Profit]]</f>
        <v>11790</v>
      </c>
      <c r="H567" s="5">
        <v>2260</v>
      </c>
      <c r="I567" s="5" t="s">
        <v>22</v>
      </c>
    </row>
    <row r="568" spans="1:9" ht="12.75" x14ac:dyDescent="0.2">
      <c r="A568" s="3">
        <v>38676</v>
      </c>
      <c r="B568" s="3" t="str">
        <f>IF(MONTH(Data[[#This Row],[Date]])&gt;3,YEAR(Data[[#This Row],[Date]])&amp;"-"&amp;YEAR(Data[[#This Row],[Date]])+1,YEAR(Data[[#This Row],[Date]])-1&amp;"-"&amp;YEAR(Data[[#This Row],[Date]]))</f>
        <v>2005-2006</v>
      </c>
      <c r="C568" s="3" t="str">
        <f>"Q"&amp;CEILING(MONTH(EDATE(Data[[#This Row],[Date]],-3)),3)/3</f>
        <v>Q3</v>
      </c>
      <c r="D568" s="4" t="s">
        <v>23</v>
      </c>
      <c r="E568" s="4" t="s">
        <v>26</v>
      </c>
      <c r="F568" s="5">
        <v>11100</v>
      </c>
      <c r="G568" s="5">
        <f>Data[[#This Row],[Amount]]-Data[[#This Row],[Profit]]</f>
        <v>7740</v>
      </c>
      <c r="H568" s="5">
        <v>3360</v>
      </c>
      <c r="I568" s="5" t="s">
        <v>11</v>
      </c>
    </row>
    <row r="569" spans="1:9" ht="12.75" x14ac:dyDescent="0.2">
      <c r="A569" s="3">
        <v>38403</v>
      </c>
      <c r="B569" s="3" t="str">
        <f>IF(MONTH(Data[[#This Row],[Date]])&gt;3,YEAR(Data[[#This Row],[Date]])&amp;"-"&amp;YEAR(Data[[#This Row],[Date]])+1,YEAR(Data[[#This Row],[Date]])-1&amp;"-"&amp;YEAR(Data[[#This Row],[Date]]))</f>
        <v>2004-2005</v>
      </c>
      <c r="C569" s="3" t="str">
        <f>"Q"&amp;CEILING(MONTH(EDATE(Data[[#This Row],[Date]],-3)),3)/3</f>
        <v>Q4</v>
      </c>
      <c r="D569" s="4" t="s">
        <v>14</v>
      </c>
      <c r="E569" s="4" t="s">
        <v>33</v>
      </c>
      <c r="F569" s="5">
        <v>13050</v>
      </c>
      <c r="G569" s="5">
        <f>Data[[#This Row],[Amount]]-Data[[#This Row],[Profit]]</f>
        <v>7830</v>
      </c>
      <c r="H569" s="5">
        <v>5220</v>
      </c>
      <c r="I569" s="5" t="s">
        <v>8</v>
      </c>
    </row>
    <row r="570" spans="1:9" ht="12.75" x14ac:dyDescent="0.2">
      <c r="A570" s="3">
        <v>38524</v>
      </c>
      <c r="B570" s="3" t="str">
        <f>IF(MONTH(Data[[#This Row],[Date]])&gt;3,YEAR(Data[[#This Row],[Date]])&amp;"-"&amp;YEAR(Data[[#This Row],[Date]])+1,YEAR(Data[[#This Row],[Date]])-1&amp;"-"&amp;YEAR(Data[[#This Row],[Date]]))</f>
        <v>2005-2006</v>
      </c>
      <c r="C570" s="3" t="str">
        <f>"Q"&amp;CEILING(MONTH(EDATE(Data[[#This Row],[Date]],-3)),3)/3</f>
        <v>Q1</v>
      </c>
      <c r="D570" s="4" t="s">
        <v>27</v>
      </c>
      <c r="E570" s="4" t="s">
        <v>28</v>
      </c>
      <c r="F570" s="5">
        <v>10500</v>
      </c>
      <c r="G570" s="5">
        <f>Data[[#This Row],[Amount]]-Data[[#This Row],[Profit]]</f>
        <v>5800</v>
      </c>
      <c r="H570" s="5">
        <v>4700</v>
      </c>
      <c r="I570" s="5" t="s">
        <v>15</v>
      </c>
    </row>
    <row r="571" spans="1:9" ht="12.75" x14ac:dyDescent="0.2">
      <c r="A571" s="3">
        <v>39300</v>
      </c>
      <c r="B571" s="3" t="str">
        <f>IF(MONTH(Data[[#This Row],[Date]])&gt;3,YEAR(Data[[#This Row],[Date]])&amp;"-"&amp;YEAR(Data[[#This Row],[Date]])+1,YEAR(Data[[#This Row],[Date]])-1&amp;"-"&amp;YEAR(Data[[#This Row],[Date]]))</f>
        <v>2007-2008</v>
      </c>
      <c r="C571" s="3" t="str">
        <f>"Q"&amp;CEILING(MONTH(EDATE(Data[[#This Row],[Date]],-3)),3)/3</f>
        <v>Q2</v>
      </c>
      <c r="D571" s="4" t="s">
        <v>32</v>
      </c>
      <c r="E571" s="4" t="s">
        <v>10</v>
      </c>
      <c r="F571" s="5">
        <v>12400</v>
      </c>
      <c r="G571" s="5">
        <f>Data[[#This Row],[Amount]]-Data[[#This Row],[Profit]]</f>
        <v>9900</v>
      </c>
      <c r="H571" s="5">
        <v>2500</v>
      </c>
      <c r="I571" s="5" t="s">
        <v>22</v>
      </c>
    </row>
    <row r="572" spans="1:9" ht="12.75" x14ac:dyDescent="0.2">
      <c r="A572" s="3">
        <v>38388</v>
      </c>
      <c r="B572" s="3" t="str">
        <f>IF(MONTH(Data[[#This Row],[Date]])&gt;3,YEAR(Data[[#This Row],[Date]])&amp;"-"&amp;YEAR(Data[[#This Row],[Date]])+1,YEAR(Data[[#This Row],[Date]])-1&amp;"-"&amp;YEAR(Data[[#This Row],[Date]]))</f>
        <v>2004-2005</v>
      </c>
      <c r="C572" s="3" t="str">
        <f>"Q"&amp;CEILING(MONTH(EDATE(Data[[#This Row],[Date]],-3)),3)/3</f>
        <v>Q4</v>
      </c>
      <c r="D572" s="4" t="s">
        <v>31</v>
      </c>
      <c r="E572" s="4" t="s">
        <v>26</v>
      </c>
      <c r="F572" s="5">
        <v>12550</v>
      </c>
      <c r="G572" s="5">
        <f>Data[[#This Row],[Amount]]-Data[[#This Row],[Profit]]</f>
        <v>7910</v>
      </c>
      <c r="H572" s="5">
        <v>4640</v>
      </c>
      <c r="I572" s="5" t="s">
        <v>8</v>
      </c>
    </row>
    <row r="573" spans="1:9" ht="12.75" x14ac:dyDescent="0.2">
      <c r="A573" s="3">
        <v>38696</v>
      </c>
      <c r="B573" s="3" t="str">
        <f>IF(MONTH(Data[[#This Row],[Date]])&gt;3,YEAR(Data[[#This Row],[Date]])&amp;"-"&amp;YEAR(Data[[#This Row],[Date]])+1,YEAR(Data[[#This Row],[Date]])-1&amp;"-"&amp;YEAR(Data[[#This Row],[Date]]))</f>
        <v>2005-2006</v>
      </c>
      <c r="C573" s="3" t="str">
        <f>"Q"&amp;CEILING(MONTH(EDATE(Data[[#This Row],[Date]],-3)),3)/3</f>
        <v>Q3</v>
      </c>
      <c r="D573" s="4" t="s">
        <v>25</v>
      </c>
      <c r="E573" s="4" t="s">
        <v>13</v>
      </c>
      <c r="F573" s="5">
        <v>13050</v>
      </c>
      <c r="G573" s="5">
        <f>Data[[#This Row],[Amount]]-Data[[#This Row],[Profit]]</f>
        <v>10690</v>
      </c>
      <c r="H573" s="5">
        <v>2360</v>
      </c>
      <c r="I573" s="5" t="s">
        <v>11</v>
      </c>
    </row>
    <row r="574" spans="1:9" ht="12.75" x14ac:dyDescent="0.2">
      <c r="A574" s="3">
        <v>39403</v>
      </c>
      <c r="B574" s="3" t="str">
        <f>IF(MONTH(Data[[#This Row],[Date]])&gt;3,YEAR(Data[[#This Row],[Date]])&amp;"-"&amp;YEAR(Data[[#This Row],[Date]])+1,YEAR(Data[[#This Row],[Date]])-1&amp;"-"&amp;YEAR(Data[[#This Row],[Date]]))</f>
        <v>2007-2008</v>
      </c>
      <c r="C574" s="3" t="str">
        <f>"Q"&amp;CEILING(MONTH(EDATE(Data[[#This Row],[Date]],-3)),3)/3</f>
        <v>Q3</v>
      </c>
      <c r="D574" s="4" t="s">
        <v>20</v>
      </c>
      <c r="E574" s="4" t="s">
        <v>19</v>
      </c>
      <c r="F574" s="5">
        <v>10300</v>
      </c>
      <c r="G574" s="5">
        <f>Data[[#This Row],[Amount]]-Data[[#This Row],[Profit]]</f>
        <v>6800</v>
      </c>
      <c r="H574" s="5">
        <v>3500</v>
      </c>
      <c r="I574" s="5" t="s">
        <v>8</v>
      </c>
    </row>
    <row r="575" spans="1:9" ht="12.75" x14ac:dyDescent="0.2">
      <c r="A575" s="3">
        <v>39456</v>
      </c>
      <c r="B575" s="3" t="str">
        <f>IF(MONTH(Data[[#This Row],[Date]])&gt;3,YEAR(Data[[#This Row],[Date]])&amp;"-"&amp;YEAR(Data[[#This Row],[Date]])+1,YEAR(Data[[#This Row],[Date]])-1&amp;"-"&amp;YEAR(Data[[#This Row],[Date]]))</f>
        <v>2007-2008</v>
      </c>
      <c r="C575" s="3" t="str">
        <f>"Q"&amp;CEILING(MONTH(EDATE(Data[[#This Row],[Date]],-3)),3)/3</f>
        <v>Q4</v>
      </c>
      <c r="D575" s="4" t="s">
        <v>9</v>
      </c>
      <c r="E575" s="4" t="s">
        <v>7</v>
      </c>
      <c r="F575" s="5">
        <v>10750</v>
      </c>
      <c r="G575" s="5">
        <f>Data[[#This Row],[Amount]]-Data[[#This Row],[Profit]]</f>
        <v>8210</v>
      </c>
      <c r="H575" s="5">
        <v>2540</v>
      </c>
      <c r="I575" s="5" t="s">
        <v>22</v>
      </c>
    </row>
    <row r="576" spans="1:9" ht="12.75" x14ac:dyDescent="0.2">
      <c r="A576" s="3">
        <v>39524</v>
      </c>
      <c r="B576" s="3" t="str">
        <f>IF(MONTH(Data[[#This Row],[Date]])&gt;3,YEAR(Data[[#This Row],[Date]])&amp;"-"&amp;YEAR(Data[[#This Row],[Date]])+1,YEAR(Data[[#This Row],[Date]])-1&amp;"-"&amp;YEAR(Data[[#This Row],[Date]]))</f>
        <v>2007-2008</v>
      </c>
      <c r="C576" s="3" t="str">
        <f>"Q"&amp;CEILING(MONTH(EDATE(Data[[#This Row],[Date]],-3)),3)/3</f>
        <v>Q4</v>
      </c>
      <c r="D576" s="4" t="s">
        <v>9</v>
      </c>
      <c r="E576" s="4" t="s">
        <v>10</v>
      </c>
      <c r="F576" s="5">
        <v>10100</v>
      </c>
      <c r="G576" s="5">
        <f>Data[[#This Row],[Amount]]-Data[[#This Row],[Profit]]</f>
        <v>7800</v>
      </c>
      <c r="H576" s="5">
        <v>2300</v>
      </c>
      <c r="I576" s="5" t="s">
        <v>11</v>
      </c>
    </row>
    <row r="577" spans="1:9" ht="12.75" x14ac:dyDescent="0.2">
      <c r="A577" s="3">
        <v>38577</v>
      </c>
      <c r="B577" s="3" t="str">
        <f>IF(MONTH(Data[[#This Row],[Date]])&gt;3,YEAR(Data[[#This Row],[Date]])&amp;"-"&amp;YEAR(Data[[#This Row],[Date]])+1,YEAR(Data[[#This Row],[Date]])-1&amp;"-"&amp;YEAR(Data[[#This Row],[Date]]))</f>
        <v>2005-2006</v>
      </c>
      <c r="C577" s="3" t="str">
        <f>"Q"&amp;CEILING(MONTH(EDATE(Data[[#This Row],[Date]],-3)),3)/3</f>
        <v>Q2</v>
      </c>
      <c r="D577" s="4" t="s">
        <v>32</v>
      </c>
      <c r="E577" s="4" t="s">
        <v>33</v>
      </c>
      <c r="F577" s="5">
        <v>10200</v>
      </c>
      <c r="G577" s="5">
        <f>Data[[#This Row],[Amount]]-Data[[#This Row],[Profit]]</f>
        <v>5780</v>
      </c>
      <c r="H577" s="5">
        <v>4420</v>
      </c>
      <c r="I577" s="5" t="s">
        <v>8</v>
      </c>
    </row>
    <row r="578" spans="1:9" ht="12.75" x14ac:dyDescent="0.2">
      <c r="A578" s="3">
        <v>39567</v>
      </c>
      <c r="B578" s="3" t="str">
        <f>IF(MONTH(Data[[#This Row],[Date]])&gt;3,YEAR(Data[[#This Row],[Date]])&amp;"-"&amp;YEAR(Data[[#This Row],[Date]])+1,YEAR(Data[[#This Row],[Date]])-1&amp;"-"&amp;YEAR(Data[[#This Row],[Date]]))</f>
        <v>2008-2009</v>
      </c>
      <c r="C578" s="3" t="str">
        <f>"Q"&amp;CEILING(MONTH(EDATE(Data[[#This Row],[Date]],-3)),3)/3</f>
        <v>Q1</v>
      </c>
      <c r="D578" s="4" t="s">
        <v>6</v>
      </c>
      <c r="E578" s="4" t="s">
        <v>33</v>
      </c>
      <c r="F578" s="5">
        <v>10400</v>
      </c>
      <c r="G578" s="5">
        <f>Data[[#This Row],[Amount]]-Data[[#This Row],[Profit]]</f>
        <v>6980</v>
      </c>
      <c r="H578" s="5">
        <v>3420</v>
      </c>
      <c r="I578" s="5" t="s">
        <v>22</v>
      </c>
    </row>
    <row r="579" spans="1:9" ht="12.75" x14ac:dyDescent="0.2">
      <c r="A579" s="3">
        <v>39428</v>
      </c>
      <c r="B579" s="3" t="str">
        <f>IF(MONTH(Data[[#This Row],[Date]])&gt;3,YEAR(Data[[#This Row],[Date]])&amp;"-"&amp;YEAR(Data[[#This Row],[Date]])+1,YEAR(Data[[#This Row],[Date]])-1&amp;"-"&amp;YEAR(Data[[#This Row],[Date]]))</f>
        <v>2007-2008</v>
      </c>
      <c r="C579" s="3" t="str">
        <f>"Q"&amp;CEILING(MONTH(EDATE(Data[[#This Row],[Date]],-3)),3)/3</f>
        <v>Q3</v>
      </c>
      <c r="D579" s="4" t="s">
        <v>16</v>
      </c>
      <c r="E579" s="4" t="s">
        <v>13</v>
      </c>
      <c r="F579" s="5">
        <v>11400</v>
      </c>
      <c r="G579" s="5">
        <f>Data[[#This Row],[Amount]]-Data[[#This Row],[Profit]]</f>
        <v>8900</v>
      </c>
      <c r="H579" s="5">
        <v>2500</v>
      </c>
      <c r="I579" s="5" t="s">
        <v>11</v>
      </c>
    </row>
    <row r="580" spans="1:9" ht="12.75" x14ac:dyDescent="0.2">
      <c r="A580" s="3">
        <v>39442</v>
      </c>
      <c r="B580" s="3" t="str">
        <f>IF(MONTH(Data[[#This Row],[Date]])&gt;3,YEAR(Data[[#This Row],[Date]])&amp;"-"&amp;YEAR(Data[[#This Row],[Date]])+1,YEAR(Data[[#This Row],[Date]])-1&amp;"-"&amp;YEAR(Data[[#This Row],[Date]]))</f>
        <v>2007-2008</v>
      </c>
      <c r="C580" s="3" t="str">
        <f>"Q"&amp;CEILING(MONTH(EDATE(Data[[#This Row],[Date]],-3)),3)/3</f>
        <v>Q3</v>
      </c>
      <c r="D580" s="4" t="s">
        <v>18</v>
      </c>
      <c r="E580" s="4" t="s">
        <v>24</v>
      </c>
      <c r="F580" s="5">
        <v>14500</v>
      </c>
      <c r="G580" s="5">
        <f>Data[[#This Row],[Amount]]-Data[[#This Row],[Profit]]</f>
        <v>11680</v>
      </c>
      <c r="H580" s="5">
        <v>2820</v>
      </c>
      <c r="I580" s="5" t="s">
        <v>15</v>
      </c>
    </row>
    <row r="581" spans="1:9" ht="12.75" x14ac:dyDescent="0.2">
      <c r="A581" s="3">
        <v>38818</v>
      </c>
      <c r="B581" s="3" t="str">
        <f>IF(MONTH(Data[[#This Row],[Date]])&gt;3,YEAR(Data[[#This Row],[Date]])&amp;"-"&amp;YEAR(Data[[#This Row],[Date]])+1,YEAR(Data[[#This Row],[Date]])-1&amp;"-"&amp;YEAR(Data[[#This Row],[Date]]))</f>
        <v>2006-2007</v>
      </c>
      <c r="C581" s="3" t="str">
        <f>"Q"&amp;CEILING(MONTH(EDATE(Data[[#This Row],[Date]],-3)),3)/3</f>
        <v>Q1</v>
      </c>
      <c r="D581" s="4" t="s">
        <v>12</v>
      </c>
      <c r="E581" s="4" t="s">
        <v>29</v>
      </c>
      <c r="F581" s="5">
        <v>12850</v>
      </c>
      <c r="G581" s="5">
        <f>Data[[#This Row],[Amount]]-Data[[#This Row],[Profit]]</f>
        <v>7230</v>
      </c>
      <c r="H581" s="5">
        <v>5620</v>
      </c>
      <c r="I581" s="5" t="s">
        <v>8</v>
      </c>
    </row>
    <row r="582" spans="1:9" ht="12.75" x14ac:dyDescent="0.2">
      <c r="A582" s="3">
        <v>38746</v>
      </c>
      <c r="B582" s="3" t="str">
        <f>IF(MONTH(Data[[#This Row],[Date]])&gt;3,YEAR(Data[[#This Row],[Date]])&amp;"-"&amp;YEAR(Data[[#This Row],[Date]])+1,YEAR(Data[[#This Row],[Date]])-1&amp;"-"&amp;YEAR(Data[[#This Row],[Date]]))</f>
        <v>2005-2006</v>
      </c>
      <c r="C582" s="3" t="str">
        <f>"Q"&amp;CEILING(MONTH(EDATE(Data[[#This Row],[Date]],-3)),3)/3</f>
        <v>Q4</v>
      </c>
      <c r="D582" s="4" t="s">
        <v>25</v>
      </c>
      <c r="E582" s="4" t="s">
        <v>26</v>
      </c>
      <c r="F582" s="5">
        <v>11000</v>
      </c>
      <c r="G582" s="5">
        <f>Data[[#This Row],[Amount]]-Data[[#This Row],[Profit]]</f>
        <v>7420</v>
      </c>
      <c r="H582" s="5">
        <v>3580</v>
      </c>
      <c r="I582" s="5" t="s">
        <v>15</v>
      </c>
    </row>
    <row r="583" spans="1:9" ht="12.75" x14ac:dyDescent="0.2">
      <c r="A583" s="3">
        <v>39800</v>
      </c>
      <c r="B583" s="3" t="str">
        <f>IF(MONTH(Data[[#This Row],[Date]])&gt;3,YEAR(Data[[#This Row],[Date]])&amp;"-"&amp;YEAR(Data[[#This Row],[Date]])+1,YEAR(Data[[#This Row],[Date]])-1&amp;"-"&amp;YEAR(Data[[#This Row],[Date]]))</f>
        <v>2008-2009</v>
      </c>
      <c r="C583" s="3" t="str">
        <f>"Q"&amp;CEILING(MONTH(EDATE(Data[[#This Row],[Date]],-3)),3)/3</f>
        <v>Q3</v>
      </c>
      <c r="D583" s="4" t="s">
        <v>20</v>
      </c>
      <c r="E583" s="4" t="s">
        <v>28</v>
      </c>
      <c r="F583" s="5">
        <v>10300</v>
      </c>
      <c r="G583" s="5">
        <f>Data[[#This Row],[Amount]]-Data[[#This Row],[Profit]]</f>
        <v>5840</v>
      </c>
      <c r="H583" s="5">
        <v>4460</v>
      </c>
      <c r="I583" s="5" t="s">
        <v>15</v>
      </c>
    </row>
    <row r="584" spans="1:9" ht="12.75" x14ac:dyDescent="0.2">
      <c r="A584" s="3">
        <v>39502</v>
      </c>
      <c r="B584" s="3" t="str">
        <f>IF(MONTH(Data[[#This Row],[Date]])&gt;3,YEAR(Data[[#This Row],[Date]])&amp;"-"&amp;YEAR(Data[[#This Row],[Date]])+1,YEAR(Data[[#This Row],[Date]])-1&amp;"-"&amp;YEAR(Data[[#This Row],[Date]]))</f>
        <v>2007-2008</v>
      </c>
      <c r="C584" s="3" t="str">
        <f>"Q"&amp;CEILING(MONTH(EDATE(Data[[#This Row],[Date]],-3)),3)/3</f>
        <v>Q4</v>
      </c>
      <c r="D584" s="4" t="s">
        <v>20</v>
      </c>
      <c r="E584" s="4" t="s">
        <v>29</v>
      </c>
      <c r="F584" s="5">
        <v>13600</v>
      </c>
      <c r="G584" s="5">
        <f>Data[[#This Row],[Amount]]-Data[[#This Row],[Profit]]</f>
        <v>10540</v>
      </c>
      <c r="H584" s="5">
        <v>3060</v>
      </c>
      <c r="I584" s="5" t="s">
        <v>15</v>
      </c>
    </row>
    <row r="585" spans="1:9" ht="12.75" x14ac:dyDescent="0.2">
      <c r="A585" s="3">
        <v>39369</v>
      </c>
      <c r="B585" s="3" t="str">
        <f>IF(MONTH(Data[[#This Row],[Date]])&gt;3,YEAR(Data[[#This Row],[Date]])&amp;"-"&amp;YEAR(Data[[#This Row],[Date]])+1,YEAR(Data[[#This Row],[Date]])-1&amp;"-"&amp;YEAR(Data[[#This Row],[Date]]))</f>
        <v>2007-2008</v>
      </c>
      <c r="C585" s="3" t="str">
        <f>"Q"&amp;CEILING(MONTH(EDATE(Data[[#This Row],[Date]],-3)),3)/3</f>
        <v>Q3</v>
      </c>
      <c r="D585" s="4" t="s">
        <v>9</v>
      </c>
      <c r="E585" s="4" t="s">
        <v>21</v>
      </c>
      <c r="F585" s="5">
        <v>11200</v>
      </c>
      <c r="G585" s="5">
        <f>Data[[#This Row],[Amount]]-Data[[#This Row],[Profit]]</f>
        <v>7720</v>
      </c>
      <c r="H585" s="5">
        <v>3480</v>
      </c>
      <c r="I585" s="5" t="s">
        <v>22</v>
      </c>
    </row>
    <row r="586" spans="1:9" ht="12.75" x14ac:dyDescent="0.2">
      <c r="A586" s="3">
        <v>38791</v>
      </c>
      <c r="B586" s="3" t="str">
        <f>IF(MONTH(Data[[#This Row],[Date]])&gt;3,YEAR(Data[[#This Row],[Date]])&amp;"-"&amp;YEAR(Data[[#This Row],[Date]])+1,YEAR(Data[[#This Row],[Date]])-1&amp;"-"&amp;YEAR(Data[[#This Row],[Date]]))</f>
        <v>2005-2006</v>
      </c>
      <c r="C586" s="3" t="str">
        <f>"Q"&amp;CEILING(MONTH(EDATE(Data[[#This Row],[Date]],-3)),3)/3</f>
        <v>Q4</v>
      </c>
      <c r="D586" s="4" t="s">
        <v>12</v>
      </c>
      <c r="E586" s="4" t="s">
        <v>21</v>
      </c>
      <c r="F586" s="5">
        <v>12850</v>
      </c>
      <c r="G586" s="5">
        <f>Data[[#This Row],[Amount]]-Data[[#This Row],[Profit]]</f>
        <v>10130</v>
      </c>
      <c r="H586" s="5">
        <v>2720</v>
      </c>
      <c r="I586" s="5" t="s">
        <v>22</v>
      </c>
    </row>
    <row r="587" spans="1:9" ht="12.75" x14ac:dyDescent="0.2">
      <c r="A587" s="3">
        <v>38483</v>
      </c>
      <c r="B587" s="3" t="str">
        <f>IF(MONTH(Data[[#This Row],[Date]])&gt;3,YEAR(Data[[#This Row],[Date]])&amp;"-"&amp;YEAR(Data[[#This Row],[Date]])+1,YEAR(Data[[#This Row],[Date]])-1&amp;"-"&amp;YEAR(Data[[#This Row],[Date]]))</f>
        <v>2005-2006</v>
      </c>
      <c r="C587" s="3" t="str">
        <f>"Q"&amp;CEILING(MONTH(EDATE(Data[[#This Row],[Date]],-3)),3)/3</f>
        <v>Q1</v>
      </c>
      <c r="D587" s="4" t="s">
        <v>27</v>
      </c>
      <c r="E587" s="4" t="s">
        <v>24</v>
      </c>
      <c r="F587" s="5">
        <v>14000</v>
      </c>
      <c r="G587" s="5">
        <f>Data[[#This Row],[Amount]]-Data[[#This Row],[Profit]]</f>
        <v>12000</v>
      </c>
      <c r="H587" s="5">
        <v>2000</v>
      </c>
      <c r="I587" s="5" t="s">
        <v>11</v>
      </c>
    </row>
    <row r="588" spans="1:9" ht="12.75" x14ac:dyDescent="0.2">
      <c r="A588" s="3">
        <v>38879</v>
      </c>
      <c r="B588" s="3" t="str">
        <f>IF(MONTH(Data[[#This Row],[Date]])&gt;3,YEAR(Data[[#This Row],[Date]])&amp;"-"&amp;YEAR(Data[[#This Row],[Date]])+1,YEAR(Data[[#This Row],[Date]])-1&amp;"-"&amp;YEAR(Data[[#This Row],[Date]]))</f>
        <v>2006-2007</v>
      </c>
      <c r="C588" s="3" t="str">
        <f>"Q"&amp;CEILING(MONTH(EDATE(Data[[#This Row],[Date]],-3)),3)/3</f>
        <v>Q1</v>
      </c>
      <c r="D588" s="4" t="s">
        <v>25</v>
      </c>
      <c r="E588" s="4" t="s">
        <v>17</v>
      </c>
      <c r="F588" s="5">
        <v>13750</v>
      </c>
      <c r="G588" s="5">
        <f>Data[[#This Row],[Amount]]-Data[[#This Row],[Profit]]</f>
        <v>11530</v>
      </c>
      <c r="H588" s="5">
        <v>2220</v>
      </c>
      <c r="I588" s="5" t="s">
        <v>22</v>
      </c>
    </row>
    <row r="589" spans="1:9" ht="12.75" x14ac:dyDescent="0.2">
      <c r="A589" s="3">
        <v>39201</v>
      </c>
      <c r="B589" s="3" t="str">
        <f>IF(MONTH(Data[[#This Row],[Date]])&gt;3,YEAR(Data[[#This Row],[Date]])&amp;"-"&amp;YEAR(Data[[#This Row],[Date]])+1,YEAR(Data[[#This Row],[Date]])-1&amp;"-"&amp;YEAR(Data[[#This Row],[Date]]))</f>
        <v>2007-2008</v>
      </c>
      <c r="C589" s="3" t="str">
        <f>"Q"&amp;CEILING(MONTH(EDATE(Data[[#This Row],[Date]],-3)),3)/3</f>
        <v>Q1</v>
      </c>
      <c r="D589" s="4" t="s">
        <v>14</v>
      </c>
      <c r="E589" s="4" t="s">
        <v>7</v>
      </c>
      <c r="F589" s="5">
        <v>14600</v>
      </c>
      <c r="G589" s="5">
        <f>Data[[#This Row],[Amount]]-Data[[#This Row],[Profit]]</f>
        <v>9880</v>
      </c>
      <c r="H589" s="5">
        <v>4720</v>
      </c>
      <c r="I589" s="5" t="s">
        <v>8</v>
      </c>
    </row>
    <row r="590" spans="1:9" ht="12.75" x14ac:dyDescent="0.2">
      <c r="A590" s="3">
        <v>38981</v>
      </c>
      <c r="B590" s="3" t="str">
        <f>IF(MONTH(Data[[#This Row],[Date]])&gt;3,YEAR(Data[[#This Row],[Date]])&amp;"-"&amp;YEAR(Data[[#This Row],[Date]])+1,YEAR(Data[[#This Row],[Date]])-1&amp;"-"&amp;YEAR(Data[[#This Row],[Date]]))</f>
        <v>2006-2007</v>
      </c>
      <c r="C590" s="3" t="str">
        <f>"Q"&amp;CEILING(MONTH(EDATE(Data[[#This Row],[Date]],-3)),3)/3</f>
        <v>Q2</v>
      </c>
      <c r="D590" s="4" t="s">
        <v>12</v>
      </c>
      <c r="E590" s="4" t="s">
        <v>33</v>
      </c>
      <c r="F590" s="5">
        <v>13550</v>
      </c>
      <c r="G590" s="5">
        <f>Data[[#This Row],[Amount]]-Data[[#This Row],[Profit]]</f>
        <v>10590</v>
      </c>
      <c r="H590" s="5">
        <v>2960</v>
      </c>
      <c r="I590" s="5" t="s">
        <v>22</v>
      </c>
    </row>
    <row r="591" spans="1:9" ht="12.75" x14ac:dyDescent="0.2">
      <c r="A591" s="6">
        <v>39318</v>
      </c>
      <c r="B591" s="6" t="str">
        <f>IF(MONTH(Data[[#This Row],[Date]])&gt;3,YEAR(Data[[#This Row],[Date]])&amp;"-"&amp;YEAR(Data[[#This Row],[Date]])+1,YEAR(Data[[#This Row],[Date]])-1&amp;"-"&amp;YEAR(Data[[#This Row],[Date]]))</f>
        <v>2007-2008</v>
      </c>
      <c r="C591" s="6" t="str">
        <f>"Q"&amp;CEILING(MONTH(EDATE(Data[[#This Row],[Date]],-3)),3)/3</f>
        <v>Q2</v>
      </c>
      <c r="D591" s="7" t="s">
        <v>18</v>
      </c>
      <c r="E591" s="7" t="s">
        <v>7</v>
      </c>
      <c r="F591" s="8">
        <v>14200</v>
      </c>
      <c r="G591" s="8">
        <f>Data[[#This Row],[Amount]]-Data[[#This Row],[Profit]]</f>
        <v>10820</v>
      </c>
      <c r="H591" s="8">
        <v>3380</v>
      </c>
      <c r="I591" s="8" t="s">
        <v>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7FEE-C39F-4A26-9D27-08810B875DD1}">
  <sheetPr codeName="Sheet4"/>
  <dimension ref="A3:B9"/>
  <sheetViews>
    <sheetView workbookViewId="0">
      <selection activeCell="A3" sqref="A3"/>
    </sheetView>
  </sheetViews>
  <sheetFormatPr defaultRowHeight="12" x14ac:dyDescent="0.2"/>
  <cols>
    <col min="1" max="1" width="13.6640625" bestFit="1" customWidth="1"/>
    <col min="2" max="2" width="16.6640625" bestFit="1" customWidth="1"/>
    <col min="3" max="5" width="17.1640625" bestFit="1" customWidth="1"/>
    <col min="6" max="6" width="11.33203125" bestFit="1" customWidth="1"/>
  </cols>
  <sheetData>
    <row r="3" spans="1:2" x14ac:dyDescent="0.2">
      <c r="A3" s="26" t="s">
        <v>102</v>
      </c>
      <c r="B3" t="s">
        <v>104</v>
      </c>
    </row>
    <row r="4" spans="1:2" x14ac:dyDescent="0.2">
      <c r="A4" s="28">
        <v>32</v>
      </c>
      <c r="B4" s="29">
        <v>32</v>
      </c>
    </row>
    <row r="5" spans="1:2" x14ac:dyDescent="0.2">
      <c r="A5" s="28">
        <v>63</v>
      </c>
      <c r="B5" s="29">
        <v>63</v>
      </c>
    </row>
    <row r="6" spans="1:2" x14ac:dyDescent="0.2">
      <c r="A6" s="28">
        <v>69</v>
      </c>
      <c r="B6" s="29">
        <v>69</v>
      </c>
    </row>
    <row r="7" spans="1:2" x14ac:dyDescent="0.2">
      <c r="A7" s="28">
        <v>88</v>
      </c>
      <c r="B7" s="29">
        <v>176</v>
      </c>
    </row>
    <row r="8" spans="1:2" x14ac:dyDescent="0.2">
      <c r="A8" s="28">
        <v>90</v>
      </c>
      <c r="B8" s="29">
        <v>90</v>
      </c>
    </row>
    <row r="9" spans="1:2" x14ac:dyDescent="0.2">
      <c r="A9" s="28" t="s">
        <v>34</v>
      </c>
      <c r="B9" s="29">
        <v>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C87FA-EE26-4D09-9F35-03C422A394EC}">
  <sheetPr codeName="Sheet5"/>
  <dimension ref="A1:C85"/>
  <sheetViews>
    <sheetView zoomScale="250" zoomScaleNormal="250" workbookViewId="0">
      <selection activeCell="A5" sqref="A5:C5"/>
    </sheetView>
  </sheetViews>
  <sheetFormatPr defaultRowHeight="12" x14ac:dyDescent="0.2"/>
  <cols>
    <col min="2" max="2" width="11" bestFit="1" customWidth="1"/>
  </cols>
  <sheetData>
    <row r="1" spans="1:3" x14ac:dyDescent="0.2">
      <c r="A1" t="s">
        <v>106</v>
      </c>
      <c r="B1" t="s">
        <v>78</v>
      </c>
      <c r="C1" t="s">
        <v>96</v>
      </c>
    </row>
    <row r="2" spans="1:3" x14ac:dyDescent="0.2">
      <c r="A2" t="s">
        <v>58</v>
      </c>
      <c r="B2" s="30">
        <v>44592</v>
      </c>
      <c r="C2">
        <v>88</v>
      </c>
    </row>
    <row r="3" spans="1:3" x14ac:dyDescent="0.2">
      <c r="A3" t="s">
        <v>58</v>
      </c>
      <c r="B3" s="30">
        <v>44620</v>
      </c>
      <c r="C3">
        <v>57</v>
      </c>
    </row>
    <row r="4" spans="1:3" x14ac:dyDescent="0.2">
      <c r="A4" t="s">
        <v>58</v>
      </c>
      <c r="B4" s="30">
        <v>44651</v>
      </c>
      <c r="C4">
        <v>85</v>
      </c>
    </row>
    <row r="5" spans="1:3" x14ac:dyDescent="0.2">
      <c r="A5" t="s">
        <v>58</v>
      </c>
      <c r="B5" s="30">
        <v>44681</v>
      </c>
      <c r="C5">
        <v>19</v>
      </c>
    </row>
    <row r="6" spans="1:3" x14ac:dyDescent="0.2">
      <c r="A6" t="s">
        <v>58</v>
      </c>
      <c r="B6" s="30">
        <v>44712</v>
      </c>
      <c r="C6">
        <v>52</v>
      </c>
    </row>
    <row r="7" spans="1:3" x14ac:dyDescent="0.2">
      <c r="A7" t="s">
        <v>58</v>
      </c>
      <c r="B7" s="30">
        <v>44742</v>
      </c>
      <c r="C7">
        <v>38</v>
      </c>
    </row>
    <row r="8" spans="1:3" x14ac:dyDescent="0.2">
      <c r="A8" t="s">
        <v>58</v>
      </c>
      <c r="B8" s="30">
        <v>44773</v>
      </c>
      <c r="C8">
        <v>74</v>
      </c>
    </row>
    <row r="9" spans="1:3" x14ac:dyDescent="0.2">
      <c r="A9" t="s">
        <v>58</v>
      </c>
      <c r="B9" s="30">
        <v>44804</v>
      </c>
      <c r="C9">
        <v>86</v>
      </c>
    </row>
    <row r="10" spans="1:3" x14ac:dyDescent="0.2">
      <c r="A10" t="s">
        <v>58</v>
      </c>
      <c r="B10" s="30">
        <v>44834</v>
      </c>
      <c r="C10">
        <v>26</v>
      </c>
    </row>
    <row r="11" spans="1:3" x14ac:dyDescent="0.2">
      <c r="A11" t="s">
        <v>58</v>
      </c>
      <c r="B11" s="30">
        <v>44865</v>
      </c>
      <c r="C11">
        <v>52</v>
      </c>
    </row>
    <row r="12" spans="1:3" x14ac:dyDescent="0.2">
      <c r="A12" t="s">
        <v>58</v>
      </c>
      <c r="B12" s="30">
        <v>44895</v>
      </c>
      <c r="C12">
        <v>62</v>
      </c>
    </row>
    <row r="13" spans="1:3" x14ac:dyDescent="0.2">
      <c r="A13" t="s">
        <v>58</v>
      </c>
      <c r="B13" s="30">
        <v>44926</v>
      </c>
      <c r="C13">
        <v>31</v>
      </c>
    </row>
    <row r="14" spans="1:3" x14ac:dyDescent="0.2">
      <c r="A14" t="s">
        <v>58</v>
      </c>
      <c r="B14" s="30">
        <v>44957</v>
      </c>
      <c r="C14">
        <v>93</v>
      </c>
    </row>
    <row r="15" spans="1:3" x14ac:dyDescent="0.2">
      <c r="A15" t="s">
        <v>58</v>
      </c>
      <c r="B15" s="30">
        <v>44985</v>
      </c>
      <c r="C15">
        <v>33</v>
      </c>
    </row>
    <row r="16" spans="1:3" x14ac:dyDescent="0.2">
      <c r="A16" t="s">
        <v>59</v>
      </c>
      <c r="B16" s="30">
        <v>44592</v>
      </c>
      <c r="C16">
        <v>69</v>
      </c>
    </row>
    <row r="17" spans="1:3" x14ac:dyDescent="0.2">
      <c r="A17" t="s">
        <v>59</v>
      </c>
      <c r="B17" s="30">
        <v>44620</v>
      </c>
      <c r="C17">
        <v>35</v>
      </c>
    </row>
    <row r="18" spans="1:3" x14ac:dyDescent="0.2">
      <c r="A18" t="s">
        <v>59</v>
      </c>
      <c r="B18" s="30">
        <v>44651</v>
      </c>
      <c r="C18">
        <v>96</v>
      </c>
    </row>
    <row r="19" spans="1:3" x14ac:dyDescent="0.2">
      <c r="A19" t="s">
        <v>59</v>
      </c>
      <c r="B19" s="30">
        <v>44681</v>
      </c>
      <c r="C19">
        <v>38</v>
      </c>
    </row>
    <row r="20" spans="1:3" x14ac:dyDescent="0.2">
      <c r="A20" t="s">
        <v>59</v>
      </c>
      <c r="B20" s="30">
        <v>44712</v>
      </c>
      <c r="C20">
        <v>55</v>
      </c>
    </row>
    <row r="21" spans="1:3" x14ac:dyDescent="0.2">
      <c r="A21" t="s">
        <v>59</v>
      </c>
      <c r="B21" s="30">
        <v>44742</v>
      </c>
      <c r="C21">
        <v>21</v>
      </c>
    </row>
    <row r="22" spans="1:3" x14ac:dyDescent="0.2">
      <c r="A22" t="s">
        <v>59</v>
      </c>
      <c r="B22" s="30">
        <v>44773</v>
      </c>
      <c r="C22">
        <v>41</v>
      </c>
    </row>
    <row r="23" spans="1:3" x14ac:dyDescent="0.2">
      <c r="A23" t="s">
        <v>59</v>
      </c>
      <c r="B23" s="30">
        <v>44804</v>
      </c>
      <c r="C23">
        <v>91</v>
      </c>
    </row>
    <row r="24" spans="1:3" x14ac:dyDescent="0.2">
      <c r="A24" t="s">
        <v>59</v>
      </c>
      <c r="B24" s="30">
        <v>44834</v>
      </c>
      <c r="C24">
        <v>48</v>
      </c>
    </row>
    <row r="25" spans="1:3" x14ac:dyDescent="0.2">
      <c r="A25" t="s">
        <v>59</v>
      </c>
      <c r="B25" s="30">
        <v>44865</v>
      </c>
      <c r="C25">
        <v>82</v>
      </c>
    </row>
    <row r="26" spans="1:3" x14ac:dyDescent="0.2">
      <c r="A26" t="s">
        <v>59</v>
      </c>
      <c r="B26" s="30">
        <v>44895</v>
      </c>
      <c r="C26">
        <v>74</v>
      </c>
    </row>
    <row r="27" spans="1:3" x14ac:dyDescent="0.2">
      <c r="A27" t="s">
        <v>59</v>
      </c>
      <c r="B27" s="30">
        <v>44926</v>
      </c>
      <c r="C27">
        <v>67</v>
      </c>
    </row>
    <row r="28" spans="1:3" x14ac:dyDescent="0.2">
      <c r="A28" t="s">
        <v>59</v>
      </c>
      <c r="B28" s="30">
        <v>44957</v>
      </c>
      <c r="C28">
        <v>69</v>
      </c>
    </row>
    <row r="29" spans="1:3" x14ac:dyDescent="0.2">
      <c r="A29" t="s">
        <v>59</v>
      </c>
      <c r="B29" s="30">
        <v>44985</v>
      </c>
      <c r="C29">
        <v>10</v>
      </c>
    </row>
    <row r="30" spans="1:3" x14ac:dyDescent="0.2">
      <c r="A30" t="s">
        <v>60</v>
      </c>
      <c r="B30" s="30">
        <v>44592</v>
      </c>
      <c r="C30">
        <v>63</v>
      </c>
    </row>
    <row r="31" spans="1:3" x14ac:dyDescent="0.2">
      <c r="A31" t="s">
        <v>60</v>
      </c>
      <c r="B31" s="30">
        <v>44620</v>
      </c>
      <c r="C31">
        <v>71</v>
      </c>
    </row>
    <row r="32" spans="1:3" x14ac:dyDescent="0.2">
      <c r="A32" t="s">
        <v>60</v>
      </c>
      <c r="B32" s="30">
        <v>44651</v>
      </c>
      <c r="C32">
        <v>70</v>
      </c>
    </row>
    <row r="33" spans="1:3" x14ac:dyDescent="0.2">
      <c r="A33" t="s">
        <v>60</v>
      </c>
      <c r="B33" s="30">
        <v>44681</v>
      </c>
      <c r="C33">
        <v>71</v>
      </c>
    </row>
    <row r="34" spans="1:3" x14ac:dyDescent="0.2">
      <c r="A34" t="s">
        <v>60</v>
      </c>
      <c r="B34" s="30">
        <v>44712</v>
      </c>
      <c r="C34">
        <v>68</v>
      </c>
    </row>
    <row r="35" spans="1:3" x14ac:dyDescent="0.2">
      <c r="A35" t="s">
        <v>60</v>
      </c>
      <c r="B35" s="30">
        <v>44742</v>
      </c>
      <c r="C35">
        <v>62</v>
      </c>
    </row>
    <row r="36" spans="1:3" x14ac:dyDescent="0.2">
      <c r="A36" t="s">
        <v>60</v>
      </c>
      <c r="B36" s="30">
        <v>44773</v>
      </c>
      <c r="C36">
        <v>91</v>
      </c>
    </row>
    <row r="37" spans="1:3" x14ac:dyDescent="0.2">
      <c r="A37" t="s">
        <v>60</v>
      </c>
      <c r="B37" s="30">
        <v>44804</v>
      </c>
      <c r="C37">
        <v>100</v>
      </c>
    </row>
    <row r="38" spans="1:3" x14ac:dyDescent="0.2">
      <c r="A38" t="s">
        <v>60</v>
      </c>
      <c r="B38" s="30">
        <v>44834</v>
      </c>
      <c r="C38">
        <v>28</v>
      </c>
    </row>
    <row r="39" spans="1:3" x14ac:dyDescent="0.2">
      <c r="A39" t="s">
        <v>60</v>
      </c>
      <c r="B39" s="30">
        <v>44865</v>
      </c>
      <c r="C39">
        <v>51</v>
      </c>
    </row>
    <row r="40" spans="1:3" x14ac:dyDescent="0.2">
      <c r="A40" t="s">
        <v>60</v>
      </c>
      <c r="B40" s="30">
        <v>44895</v>
      </c>
      <c r="C40">
        <v>51</v>
      </c>
    </row>
    <row r="41" spans="1:3" x14ac:dyDescent="0.2">
      <c r="A41" t="s">
        <v>60</v>
      </c>
      <c r="B41" s="30">
        <v>44926</v>
      </c>
      <c r="C41">
        <v>47</v>
      </c>
    </row>
    <row r="42" spans="1:3" x14ac:dyDescent="0.2">
      <c r="A42" t="s">
        <v>60</v>
      </c>
      <c r="B42" s="30">
        <v>44957</v>
      </c>
      <c r="C42">
        <v>86</v>
      </c>
    </row>
    <row r="43" spans="1:3" x14ac:dyDescent="0.2">
      <c r="A43" t="s">
        <v>60</v>
      </c>
      <c r="B43" s="30">
        <v>44985</v>
      </c>
      <c r="C43">
        <v>70</v>
      </c>
    </row>
    <row r="44" spans="1:3" x14ac:dyDescent="0.2">
      <c r="A44" t="s">
        <v>61</v>
      </c>
      <c r="B44" s="30">
        <v>44592</v>
      </c>
      <c r="C44">
        <v>90</v>
      </c>
    </row>
    <row r="45" spans="1:3" x14ac:dyDescent="0.2">
      <c r="A45" t="s">
        <v>61</v>
      </c>
      <c r="B45" s="30">
        <v>44620</v>
      </c>
      <c r="C45">
        <v>74</v>
      </c>
    </row>
    <row r="46" spans="1:3" x14ac:dyDescent="0.2">
      <c r="A46" t="s">
        <v>61</v>
      </c>
      <c r="B46" s="30">
        <v>44651</v>
      </c>
      <c r="C46">
        <v>50</v>
      </c>
    </row>
    <row r="47" spans="1:3" x14ac:dyDescent="0.2">
      <c r="A47" t="s">
        <v>61</v>
      </c>
      <c r="B47" s="30">
        <v>44681</v>
      </c>
      <c r="C47">
        <v>75</v>
      </c>
    </row>
    <row r="48" spans="1:3" x14ac:dyDescent="0.2">
      <c r="A48" t="s">
        <v>61</v>
      </c>
      <c r="B48" s="30">
        <v>44712</v>
      </c>
      <c r="C48">
        <v>52</v>
      </c>
    </row>
    <row r="49" spans="1:3" x14ac:dyDescent="0.2">
      <c r="A49" t="s">
        <v>61</v>
      </c>
      <c r="B49" s="30">
        <v>44742</v>
      </c>
      <c r="C49">
        <v>62</v>
      </c>
    </row>
    <row r="50" spans="1:3" x14ac:dyDescent="0.2">
      <c r="A50" t="s">
        <v>61</v>
      </c>
      <c r="B50" s="30">
        <v>44773</v>
      </c>
      <c r="C50">
        <v>90</v>
      </c>
    </row>
    <row r="51" spans="1:3" x14ac:dyDescent="0.2">
      <c r="A51" t="s">
        <v>61</v>
      </c>
      <c r="B51" s="30">
        <v>44804</v>
      </c>
      <c r="C51">
        <v>21</v>
      </c>
    </row>
    <row r="52" spans="1:3" x14ac:dyDescent="0.2">
      <c r="A52" t="s">
        <v>61</v>
      </c>
      <c r="B52" s="30">
        <v>44834</v>
      </c>
      <c r="C52">
        <v>47</v>
      </c>
    </row>
    <row r="53" spans="1:3" x14ac:dyDescent="0.2">
      <c r="A53" t="s">
        <v>61</v>
      </c>
      <c r="B53" s="30">
        <v>44865</v>
      </c>
      <c r="C53">
        <v>93</v>
      </c>
    </row>
    <row r="54" spans="1:3" x14ac:dyDescent="0.2">
      <c r="A54" t="s">
        <v>61</v>
      </c>
      <c r="B54" s="30">
        <v>44895</v>
      </c>
      <c r="C54">
        <v>46</v>
      </c>
    </row>
    <row r="55" spans="1:3" x14ac:dyDescent="0.2">
      <c r="A55" t="s">
        <v>61</v>
      </c>
      <c r="B55" s="30">
        <v>44926</v>
      </c>
      <c r="C55">
        <v>10</v>
      </c>
    </row>
    <row r="56" spans="1:3" x14ac:dyDescent="0.2">
      <c r="A56" t="s">
        <v>61</v>
      </c>
      <c r="B56" s="30">
        <v>44957</v>
      </c>
      <c r="C56">
        <v>11</v>
      </c>
    </row>
    <row r="57" spans="1:3" x14ac:dyDescent="0.2">
      <c r="A57" t="s">
        <v>61</v>
      </c>
      <c r="B57" s="30">
        <v>44985</v>
      </c>
      <c r="C57">
        <v>75</v>
      </c>
    </row>
    <row r="58" spans="1:3" x14ac:dyDescent="0.2">
      <c r="A58" t="s">
        <v>62</v>
      </c>
      <c r="B58" s="30">
        <v>44592</v>
      </c>
      <c r="C58">
        <v>88</v>
      </c>
    </row>
    <row r="59" spans="1:3" x14ac:dyDescent="0.2">
      <c r="A59" t="s">
        <v>62</v>
      </c>
      <c r="B59" s="30">
        <v>44620</v>
      </c>
      <c r="C59">
        <v>18</v>
      </c>
    </row>
    <row r="60" spans="1:3" x14ac:dyDescent="0.2">
      <c r="A60" t="s">
        <v>62</v>
      </c>
      <c r="B60" s="30">
        <v>44651</v>
      </c>
      <c r="C60">
        <v>34</v>
      </c>
    </row>
    <row r="61" spans="1:3" x14ac:dyDescent="0.2">
      <c r="A61" t="s">
        <v>62</v>
      </c>
      <c r="B61" s="30">
        <v>44681</v>
      </c>
      <c r="C61">
        <v>92</v>
      </c>
    </row>
    <row r="62" spans="1:3" x14ac:dyDescent="0.2">
      <c r="A62" t="s">
        <v>62</v>
      </c>
      <c r="B62" s="30">
        <v>44712</v>
      </c>
      <c r="C62">
        <v>64</v>
      </c>
    </row>
    <row r="63" spans="1:3" x14ac:dyDescent="0.2">
      <c r="A63" t="s">
        <v>62</v>
      </c>
      <c r="B63" s="30">
        <v>44742</v>
      </c>
      <c r="C63">
        <v>63</v>
      </c>
    </row>
    <row r="64" spans="1:3" x14ac:dyDescent="0.2">
      <c r="A64" t="s">
        <v>62</v>
      </c>
      <c r="B64" s="30">
        <v>44773</v>
      </c>
      <c r="C64">
        <v>78</v>
      </c>
    </row>
    <row r="65" spans="1:3" x14ac:dyDescent="0.2">
      <c r="A65" t="s">
        <v>62</v>
      </c>
      <c r="B65" s="30">
        <v>44804</v>
      </c>
      <c r="C65">
        <v>27</v>
      </c>
    </row>
    <row r="66" spans="1:3" x14ac:dyDescent="0.2">
      <c r="A66" t="s">
        <v>62</v>
      </c>
      <c r="B66" s="30">
        <v>44834</v>
      </c>
      <c r="C66">
        <v>64</v>
      </c>
    </row>
    <row r="67" spans="1:3" x14ac:dyDescent="0.2">
      <c r="A67" t="s">
        <v>62</v>
      </c>
      <c r="B67" s="30">
        <v>44865</v>
      </c>
      <c r="C67">
        <v>37</v>
      </c>
    </row>
    <row r="68" spans="1:3" x14ac:dyDescent="0.2">
      <c r="A68" t="s">
        <v>62</v>
      </c>
      <c r="B68" s="30">
        <v>44895</v>
      </c>
      <c r="C68">
        <v>24</v>
      </c>
    </row>
    <row r="69" spans="1:3" x14ac:dyDescent="0.2">
      <c r="A69" t="s">
        <v>62</v>
      </c>
      <c r="B69" s="30">
        <v>44926</v>
      </c>
      <c r="C69">
        <v>18</v>
      </c>
    </row>
    <row r="70" spans="1:3" x14ac:dyDescent="0.2">
      <c r="A70" t="s">
        <v>62</v>
      </c>
      <c r="B70" s="30">
        <v>44957</v>
      </c>
      <c r="C70">
        <v>17</v>
      </c>
    </row>
    <row r="71" spans="1:3" x14ac:dyDescent="0.2">
      <c r="A71" t="s">
        <v>62</v>
      </c>
      <c r="B71" s="30">
        <v>44985</v>
      </c>
      <c r="C71">
        <v>59</v>
      </c>
    </row>
    <row r="72" spans="1:3" x14ac:dyDescent="0.2">
      <c r="A72" t="s">
        <v>63</v>
      </c>
      <c r="B72" s="30">
        <v>44592</v>
      </c>
      <c r="C72">
        <v>32</v>
      </c>
    </row>
    <row r="73" spans="1:3" x14ac:dyDescent="0.2">
      <c r="A73" t="s">
        <v>63</v>
      </c>
      <c r="B73" s="30">
        <v>44620</v>
      </c>
      <c r="C73">
        <v>38</v>
      </c>
    </row>
    <row r="74" spans="1:3" x14ac:dyDescent="0.2">
      <c r="A74" t="s">
        <v>63</v>
      </c>
      <c r="B74" s="30">
        <v>44651</v>
      </c>
      <c r="C74">
        <v>66</v>
      </c>
    </row>
    <row r="75" spans="1:3" x14ac:dyDescent="0.2">
      <c r="A75" t="s">
        <v>63</v>
      </c>
      <c r="B75" s="30">
        <v>44681</v>
      </c>
      <c r="C75">
        <v>42</v>
      </c>
    </row>
    <row r="76" spans="1:3" x14ac:dyDescent="0.2">
      <c r="A76" t="s">
        <v>63</v>
      </c>
      <c r="B76" s="30">
        <v>44712</v>
      </c>
      <c r="C76">
        <v>81</v>
      </c>
    </row>
    <row r="77" spans="1:3" x14ac:dyDescent="0.2">
      <c r="A77" t="s">
        <v>63</v>
      </c>
      <c r="B77" s="30">
        <v>44742</v>
      </c>
      <c r="C77">
        <v>77</v>
      </c>
    </row>
    <row r="78" spans="1:3" x14ac:dyDescent="0.2">
      <c r="A78" t="s">
        <v>63</v>
      </c>
      <c r="B78" s="30">
        <v>44773</v>
      </c>
      <c r="C78">
        <v>42</v>
      </c>
    </row>
    <row r="79" spans="1:3" x14ac:dyDescent="0.2">
      <c r="A79" t="s">
        <v>63</v>
      </c>
      <c r="B79" s="30">
        <v>44804</v>
      </c>
      <c r="C79">
        <v>40</v>
      </c>
    </row>
    <row r="80" spans="1:3" x14ac:dyDescent="0.2">
      <c r="A80" t="s">
        <v>63</v>
      </c>
      <c r="B80" s="30">
        <v>44834</v>
      </c>
      <c r="C80">
        <v>74</v>
      </c>
    </row>
    <row r="81" spans="1:3" x14ac:dyDescent="0.2">
      <c r="A81" t="s">
        <v>63</v>
      </c>
      <c r="B81" s="30">
        <v>44865</v>
      </c>
      <c r="C81">
        <v>35</v>
      </c>
    </row>
    <row r="82" spans="1:3" x14ac:dyDescent="0.2">
      <c r="A82" t="s">
        <v>63</v>
      </c>
      <c r="B82" s="30">
        <v>44895</v>
      </c>
      <c r="C82">
        <v>65</v>
      </c>
    </row>
    <row r="83" spans="1:3" x14ac:dyDescent="0.2">
      <c r="A83" t="s">
        <v>63</v>
      </c>
      <c r="B83" s="30">
        <v>44926</v>
      </c>
      <c r="C83">
        <v>99</v>
      </c>
    </row>
    <row r="84" spans="1:3" x14ac:dyDescent="0.2">
      <c r="A84" t="s">
        <v>63</v>
      </c>
      <c r="B84" s="30">
        <v>44957</v>
      </c>
      <c r="C84">
        <v>51</v>
      </c>
    </row>
    <row r="85" spans="1:3" x14ac:dyDescent="0.2">
      <c r="A85" t="s">
        <v>63</v>
      </c>
      <c r="B85" s="30">
        <v>44985</v>
      </c>
      <c r="C85">
        <v>58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FC5C3-1EA8-4E91-B1F2-32EC177D8C72}">
  <sheetPr codeName="Sheet6"/>
  <dimension ref="A3:P11"/>
  <sheetViews>
    <sheetView topLeftCell="B1" zoomScale="175" zoomScaleNormal="175" workbookViewId="0">
      <selection activeCell="P11" sqref="P11"/>
    </sheetView>
  </sheetViews>
  <sheetFormatPr defaultRowHeight="12" x14ac:dyDescent="0.2"/>
  <cols>
    <col min="1" max="1" width="13.6640625" bestFit="1" customWidth="1"/>
    <col min="2" max="2" width="17.1640625" bestFit="1" customWidth="1"/>
    <col min="3" max="15" width="10.83203125" bestFit="1" customWidth="1"/>
    <col min="16" max="16" width="11.33203125" bestFit="1" customWidth="1"/>
  </cols>
  <sheetData>
    <row r="3" spans="1:16" x14ac:dyDescent="0.2">
      <c r="A3" s="26" t="s">
        <v>105</v>
      </c>
      <c r="B3" s="26" t="s">
        <v>103</v>
      </c>
    </row>
    <row r="4" spans="1:16" x14ac:dyDescent="0.2">
      <c r="A4" s="26" t="s">
        <v>102</v>
      </c>
      <c r="B4" s="30">
        <v>44592</v>
      </c>
      <c r="C4" s="30">
        <v>44620</v>
      </c>
      <c r="D4" s="30">
        <v>44651</v>
      </c>
      <c r="E4" s="30">
        <v>44681</v>
      </c>
      <c r="F4" s="30">
        <v>44712</v>
      </c>
      <c r="G4" s="30">
        <v>44742</v>
      </c>
      <c r="H4" s="30">
        <v>44773</v>
      </c>
      <c r="I4" s="30">
        <v>44804</v>
      </c>
      <c r="J4" s="30">
        <v>44834</v>
      </c>
      <c r="K4" s="30">
        <v>44865</v>
      </c>
      <c r="L4" s="30">
        <v>44895</v>
      </c>
      <c r="M4" s="30">
        <v>44926</v>
      </c>
      <c r="N4" s="30">
        <v>44957</v>
      </c>
      <c r="O4" s="30">
        <v>44985</v>
      </c>
      <c r="P4" t="s">
        <v>34</v>
      </c>
    </row>
    <row r="5" spans="1:16" x14ac:dyDescent="0.2">
      <c r="A5" s="28" t="s">
        <v>58</v>
      </c>
      <c r="B5" s="29">
        <v>88</v>
      </c>
      <c r="C5" s="29">
        <v>57</v>
      </c>
      <c r="D5" s="29">
        <v>85</v>
      </c>
      <c r="E5" s="29">
        <v>19</v>
      </c>
      <c r="F5" s="29">
        <v>52</v>
      </c>
      <c r="G5" s="29">
        <v>38</v>
      </c>
      <c r="H5" s="29">
        <v>74</v>
      </c>
      <c r="I5" s="29">
        <v>86</v>
      </c>
      <c r="J5" s="29">
        <v>26</v>
      </c>
      <c r="K5" s="29">
        <v>52</v>
      </c>
      <c r="L5" s="29">
        <v>62</v>
      </c>
      <c r="M5" s="29">
        <v>31</v>
      </c>
      <c r="N5" s="29">
        <v>93</v>
      </c>
      <c r="O5" s="29">
        <v>33</v>
      </c>
      <c r="P5" s="29">
        <v>796</v>
      </c>
    </row>
    <row r="6" spans="1:16" x14ac:dyDescent="0.2">
      <c r="A6" s="28" t="s">
        <v>59</v>
      </c>
      <c r="B6" s="29">
        <v>69</v>
      </c>
      <c r="C6" s="29">
        <v>35</v>
      </c>
      <c r="D6" s="29">
        <v>96</v>
      </c>
      <c r="E6" s="29">
        <v>38</v>
      </c>
      <c r="F6" s="29">
        <v>55</v>
      </c>
      <c r="G6" s="29">
        <v>21</v>
      </c>
      <c r="H6" s="29">
        <v>41</v>
      </c>
      <c r="I6" s="29">
        <v>91</v>
      </c>
      <c r="J6" s="29">
        <v>48</v>
      </c>
      <c r="K6" s="29">
        <v>82</v>
      </c>
      <c r="L6" s="29">
        <v>74</v>
      </c>
      <c r="M6" s="29">
        <v>67</v>
      </c>
      <c r="N6" s="29">
        <v>69</v>
      </c>
      <c r="O6" s="29">
        <v>10</v>
      </c>
      <c r="P6" s="29">
        <v>796</v>
      </c>
    </row>
    <row r="7" spans="1:16" x14ac:dyDescent="0.2">
      <c r="A7" s="28" t="s">
        <v>60</v>
      </c>
      <c r="B7" s="29">
        <v>63</v>
      </c>
      <c r="C7" s="29">
        <v>71</v>
      </c>
      <c r="D7" s="29">
        <v>70</v>
      </c>
      <c r="E7" s="29">
        <v>71</v>
      </c>
      <c r="F7" s="29">
        <v>68</v>
      </c>
      <c r="G7" s="29">
        <v>62</v>
      </c>
      <c r="H7" s="29">
        <v>91</v>
      </c>
      <c r="I7" s="29">
        <v>100</v>
      </c>
      <c r="J7" s="29">
        <v>28</v>
      </c>
      <c r="K7" s="29">
        <v>51</v>
      </c>
      <c r="L7" s="29">
        <v>51</v>
      </c>
      <c r="M7" s="29">
        <v>47</v>
      </c>
      <c r="N7" s="29">
        <v>86</v>
      </c>
      <c r="O7" s="29">
        <v>70</v>
      </c>
      <c r="P7" s="29">
        <v>929</v>
      </c>
    </row>
    <row r="8" spans="1:16" x14ac:dyDescent="0.2">
      <c r="A8" s="28" t="s">
        <v>61</v>
      </c>
      <c r="B8" s="29">
        <v>90</v>
      </c>
      <c r="C8" s="29">
        <v>74</v>
      </c>
      <c r="D8" s="29">
        <v>50</v>
      </c>
      <c r="E8" s="29">
        <v>75</v>
      </c>
      <c r="F8" s="29">
        <v>52</v>
      </c>
      <c r="G8" s="29">
        <v>62</v>
      </c>
      <c r="H8" s="29">
        <v>90</v>
      </c>
      <c r="I8" s="29">
        <v>21</v>
      </c>
      <c r="J8" s="29">
        <v>47</v>
      </c>
      <c r="K8" s="29">
        <v>93</v>
      </c>
      <c r="L8" s="29">
        <v>46</v>
      </c>
      <c r="M8" s="29">
        <v>10</v>
      </c>
      <c r="N8" s="29">
        <v>11</v>
      </c>
      <c r="O8" s="29">
        <v>75</v>
      </c>
      <c r="P8" s="29">
        <v>796</v>
      </c>
    </row>
    <row r="9" spans="1:16" x14ac:dyDescent="0.2">
      <c r="A9" s="28" t="s">
        <v>62</v>
      </c>
      <c r="B9" s="29">
        <v>88</v>
      </c>
      <c r="C9" s="29">
        <v>18</v>
      </c>
      <c r="D9" s="29">
        <v>34</v>
      </c>
      <c r="E9" s="29">
        <v>92</v>
      </c>
      <c r="F9" s="29">
        <v>64</v>
      </c>
      <c r="G9" s="29">
        <v>63</v>
      </c>
      <c r="H9" s="29">
        <v>78</v>
      </c>
      <c r="I9" s="29">
        <v>27</v>
      </c>
      <c r="J9" s="29">
        <v>64</v>
      </c>
      <c r="K9" s="29">
        <v>37</v>
      </c>
      <c r="L9" s="29">
        <v>24</v>
      </c>
      <c r="M9" s="29">
        <v>18</v>
      </c>
      <c r="N9" s="29">
        <v>17</v>
      </c>
      <c r="O9" s="29">
        <v>59</v>
      </c>
      <c r="P9" s="29">
        <v>683</v>
      </c>
    </row>
    <row r="10" spans="1:16" x14ac:dyDescent="0.2">
      <c r="A10" s="28" t="s">
        <v>63</v>
      </c>
      <c r="B10" s="29">
        <v>32</v>
      </c>
      <c r="C10" s="29">
        <v>38</v>
      </c>
      <c r="D10" s="29">
        <v>66</v>
      </c>
      <c r="E10" s="29">
        <v>42</v>
      </c>
      <c r="F10" s="29">
        <v>81</v>
      </c>
      <c r="G10" s="29">
        <v>77</v>
      </c>
      <c r="H10" s="29">
        <v>42</v>
      </c>
      <c r="I10" s="29">
        <v>40</v>
      </c>
      <c r="J10" s="29">
        <v>74</v>
      </c>
      <c r="K10" s="29">
        <v>35</v>
      </c>
      <c r="L10" s="29">
        <v>65</v>
      </c>
      <c r="M10" s="29">
        <v>99</v>
      </c>
      <c r="N10" s="29">
        <v>51</v>
      </c>
      <c r="O10" s="29">
        <v>58</v>
      </c>
      <c r="P10" s="29">
        <v>800</v>
      </c>
    </row>
    <row r="11" spans="1:16" x14ac:dyDescent="0.2">
      <c r="A11" s="28" t="s">
        <v>34</v>
      </c>
      <c r="B11" s="29">
        <v>430</v>
      </c>
      <c r="C11" s="29">
        <v>293</v>
      </c>
      <c r="D11" s="29">
        <v>401</v>
      </c>
      <c r="E11" s="29">
        <v>337</v>
      </c>
      <c r="F11" s="29">
        <v>372</v>
      </c>
      <c r="G11" s="29">
        <v>323</v>
      </c>
      <c r="H11" s="29">
        <v>416</v>
      </c>
      <c r="I11" s="29">
        <v>365</v>
      </c>
      <c r="J11" s="29">
        <v>287</v>
      </c>
      <c r="K11" s="29">
        <v>350</v>
      </c>
      <c r="L11" s="29">
        <v>322</v>
      </c>
      <c r="M11" s="29">
        <v>272</v>
      </c>
      <c r="N11" s="29">
        <v>327</v>
      </c>
      <c r="O11" s="29">
        <v>305</v>
      </c>
      <c r="P11" s="29">
        <v>4800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0BF15-AC84-40C0-A358-8C25E1B43FCC}">
  <sheetPr codeName="Sheet26"/>
  <dimension ref="A3:E233"/>
  <sheetViews>
    <sheetView tabSelected="1" zoomScale="175" zoomScaleNormal="175" workbookViewId="0">
      <selection activeCell="D17" sqref="D17"/>
    </sheetView>
  </sheetViews>
  <sheetFormatPr defaultRowHeight="12" x14ac:dyDescent="0.2"/>
  <cols>
    <col min="1" max="2" width="24.83203125" bestFit="1" customWidth="1"/>
    <col min="3" max="3" width="10" bestFit="1" customWidth="1"/>
    <col min="4" max="4" width="15.5" bestFit="1" customWidth="1"/>
    <col min="5" max="5" width="18" bestFit="1" customWidth="1"/>
    <col min="6" max="8" width="85.83203125" bestFit="1" customWidth="1"/>
  </cols>
  <sheetData>
    <row r="3" spans="1:5" x14ac:dyDescent="0.2">
      <c r="A3" s="26" t="s">
        <v>128</v>
      </c>
      <c r="B3" s="26" t="s">
        <v>2</v>
      </c>
      <c r="C3" s="26" t="s">
        <v>5</v>
      </c>
      <c r="D3" t="s">
        <v>127</v>
      </c>
      <c r="E3" t="s">
        <v>79</v>
      </c>
    </row>
    <row r="4" spans="1:5" x14ac:dyDescent="0.2">
      <c r="A4" t="s">
        <v>48</v>
      </c>
      <c r="B4" t="s">
        <v>19</v>
      </c>
      <c r="C4" t="s">
        <v>8</v>
      </c>
      <c r="D4" s="29">
        <v>23350</v>
      </c>
      <c r="E4" s="29">
        <v>2</v>
      </c>
    </row>
    <row r="5" spans="1:5" x14ac:dyDescent="0.2">
      <c r="B5" t="s">
        <v>19</v>
      </c>
      <c r="C5" t="s">
        <v>15</v>
      </c>
      <c r="D5" s="29">
        <v>50600</v>
      </c>
      <c r="E5" s="29">
        <v>4</v>
      </c>
    </row>
    <row r="6" spans="1:5" x14ac:dyDescent="0.2">
      <c r="B6" t="s">
        <v>19</v>
      </c>
      <c r="C6" t="s">
        <v>11</v>
      </c>
      <c r="D6" s="29">
        <v>11900</v>
      </c>
      <c r="E6" s="29">
        <v>1</v>
      </c>
    </row>
    <row r="7" spans="1:5" x14ac:dyDescent="0.2">
      <c r="B7" t="s">
        <v>80</v>
      </c>
      <c r="D7" s="29">
        <v>85850</v>
      </c>
      <c r="E7" s="29">
        <v>7</v>
      </c>
    </row>
    <row r="8" spans="1:5" x14ac:dyDescent="0.2">
      <c r="B8" t="s">
        <v>26</v>
      </c>
      <c r="C8" t="s">
        <v>8</v>
      </c>
      <c r="D8" s="29">
        <v>52750</v>
      </c>
      <c r="E8" s="29">
        <v>4</v>
      </c>
    </row>
    <row r="9" spans="1:5" x14ac:dyDescent="0.2">
      <c r="B9" t="s">
        <v>26</v>
      </c>
      <c r="C9" t="s">
        <v>22</v>
      </c>
      <c r="D9" s="29">
        <v>11350</v>
      </c>
      <c r="E9" s="29">
        <v>1</v>
      </c>
    </row>
    <row r="10" spans="1:5" x14ac:dyDescent="0.2">
      <c r="B10" t="s">
        <v>26</v>
      </c>
      <c r="C10" t="s">
        <v>15</v>
      </c>
      <c r="D10" s="29">
        <v>48600</v>
      </c>
      <c r="E10" s="29">
        <v>4</v>
      </c>
    </row>
    <row r="11" spans="1:5" x14ac:dyDescent="0.2">
      <c r="B11" t="s">
        <v>26</v>
      </c>
      <c r="C11" t="s">
        <v>11</v>
      </c>
      <c r="D11" s="29">
        <v>51700</v>
      </c>
      <c r="E11" s="29">
        <v>4</v>
      </c>
    </row>
    <row r="12" spans="1:5" x14ac:dyDescent="0.2">
      <c r="B12" t="s">
        <v>81</v>
      </c>
      <c r="D12" s="29">
        <v>164400</v>
      </c>
      <c r="E12" s="29">
        <v>13</v>
      </c>
    </row>
    <row r="13" spans="1:5" x14ac:dyDescent="0.2">
      <c r="B13" t="s">
        <v>30</v>
      </c>
      <c r="C13" t="s">
        <v>8</v>
      </c>
      <c r="D13" s="29">
        <v>39350</v>
      </c>
      <c r="E13" s="29">
        <v>3</v>
      </c>
    </row>
    <row r="14" spans="1:5" x14ac:dyDescent="0.2">
      <c r="B14" t="s">
        <v>30</v>
      </c>
      <c r="C14" t="s">
        <v>22</v>
      </c>
      <c r="D14" s="29">
        <v>25050</v>
      </c>
      <c r="E14" s="29">
        <v>2</v>
      </c>
    </row>
    <row r="15" spans="1:5" x14ac:dyDescent="0.2">
      <c r="B15" t="s">
        <v>30</v>
      </c>
      <c r="C15" t="s">
        <v>15</v>
      </c>
      <c r="D15" s="29">
        <v>36950</v>
      </c>
      <c r="E15" s="29">
        <v>3</v>
      </c>
    </row>
    <row r="16" spans="1:5" x14ac:dyDescent="0.2">
      <c r="B16" t="s">
        <v>30</v>
      </c>
      <c r="C16" t="s">
        <v>11</v>
      </c>
      <c r="D16" s="29">
        <v>48450</v>
      </c>
      <c r="E16" s="29">
        <v>4</v>
      </c>
    </row>
    <row r="17" spans="2:5" x14ac:dyDescent="0.2">
      <c r="B17" t="s">
        <v>82</v>
      </c>
      <c r="D17" s="29">
        <v>149800</v>
      </c>
      <c r="E17" s="29">
        <v>12</v>
      </c>
    </row>
    <row r="18" spans="2:5" x14ac:dyDescent="0.2">
      <c r="B18" t="s">
        <v>29</v>
      </c>
      <c r="C18" t="s">
        <v>8</v>
      </c>
      <c r="D18" s="29">
        <v>51650</v>
      </c>
      <c r="E18" s="29">
        <v>4</v>
      </c>
    </row>
    <row r="19" spans="2:5" x14ac:dyDescent="0.2">
      <c r="B19" t="s">
        <v>29</v>
      </c>
      <c r="C19" t="s">
        <v>22</v>
      </c>
      <c r="D19" s="29">
        <v>49450</v>
      </c>
      <c r="E19" s="29">
        <v>4</v>
      </c>
    </row>
    <row r="20" spans="2:5" x14ac:dyDescent="0.2">
      <c r="B20" t="s">
        <v>29</v>
      </c>
      <c r="C20" t="s">
        <v>15</v>
      </c>
      <c r="D20" s="29">
        <v>50000</v>
      </c>
      <c r="E20" s="29">
        <v>4</v>
      </c>
    </row>
    <row r="21" spans="2:5" x14ac:dyDescent="0.2">
      <c r="B21" t="s">
        <v>29</v>
      </c>
      <c r="C21" t="s">
        <v>11</v>
      </c>
      <c r="D21" s="29">
        <v>24550</v>
      </c>
      <c r="E21" s="29">
        <v>2</v>
      </c>
    </row>
    <row r="22" spans="2:5" x14ac:dyDescent="0.2">
      <c r="B22" t="s">
        <v>83</v>
      </c>
      <c r="D22" s="29">
        <v>175650</v>
      </c>
      <c r="E22" s="29">
        <v>14</v>
      </c>
    </row>
    <row r="23" spans="2:5" x14ac:dyDescent="0.2">
      <c r="B23" t="s">
        <v>33</v>
      </c>
      <c r="C23" t="s">
        <v>8</v>
      </c>
      <c r="D23" s="29">
        <v>84950</v>
      </c>
      <c r="E23" s="29">
        <v>7</v>
      </c>
    </row>
    <row r="24" spans="2:5" x14ac:dyDescent="0.2">
      <c r="B24" t="s">
        <v>33</v>
      </c>
      <c r="C24" t="s">
        <v>15</v>
      </c>
      <c r="D24" s="29">
        <v>14500</v>
      </c>
      <c r="E24" s="29">
        <v>1</v>
      </c>
    </row>
    <row r="25" spans="2:5" x14ac:dyDescent="0.2">
      <c r="B25" t="s">
        <v>33</v>
      </c>
      <c r="C25" t="s">
        <v>11</v>
      </c>
      <c r="D25" s="29">
        <v>66750</v>
      </c>
      <c r="E25" s="29">
        <v>5</v>
      </c>
    </row>
    <row r="26" spans="2:5" x14ac:dyDescent="0.2">
      <c r="B26" t="s">
        <v>84</v>
      </c>
      <c r="D26" s="29">
        <v>166200</v>
      </c>
      <c r="E26" s="29">
        <v>13</v>
      </c>
    </row>
    <row r="27" spans="2:5" x14ac:dyDescent="0.2">
      <c r="B27" t="s">
        <v>10</v>
      </c>
      <c r="C27" t="s">
        <v>8</v>
      </c>
      <c r="D27" s="29">
        <v>11350</v>
      </c>
      <c r="E27" s="29">
        <v>1</v>
      </c>
    </row>
    <row r="28" spans="2:5" x14ac:dyDescent="0.2">
      <c r="B28" t="s">
        <v>10</v>
      </c>
      <c r="C28" t="s">
        <v>22</v>
      </c>
      <c r="D28" s="29">
        <v>27600</v>
      </c>
      <c r="E28" s="29">
        <v>2</v>
      </c>
    </row>
    <row r="29" spans="2:5" x14ac:dyDescent="0.2">
      <c r="B29" t="s">
        <v>10</v>
      </c>
      <c r="C29" t="s">
        <v>15</v>
      </c>
      <c r="D29" s="29">
        <v>60800</v>
      </c>
      <c r="E29" s="29">
        <v>5</v>
      </c>
    </row>
    <row r="30" spans="2:5" x14ac:dyDescent="0.2">
      <c r="B30" t="s">
        <v>10</v>
      </c>
      <c r="C30" t="s">
        <v>11</v>
      </c>
      <c r="D30" s="29">
        <v>77700</v>
      </c>
      <c r="E30" s="29">
        <v>6</v>
      </c>
    </row>
    <row r="31" spans="2:5" x14ac:dyDescent="0.2">
      <c r="B31" t="s">
        <v>85</v>
      </c>
      <c r="D31" s="29">
        <v>177450</v>
      </c>
      <c r="E31" s="29">
        <v>14</v>
      </c>
    </row>
    <row r="32" spans="2:5" x14ac:dyDescent="0.2">
      <c r="B32" t="s">
        <v>24</v>
      </c>
      <c r="C32" t="s">
        <v>8</v>
      </c>
      <c r="D32" s="29">
        <v>35750</v>
      </c>
      <c r="E32" s="29">
        <v>3</v>
      </c>
    </row>
    <row r="33" spans="2:5" x14ac:dyDescent="0.2">
      <c r="B33" t="s">
        <v>24</v>
      </c>
      <c r="C33" t="s">
        <v>22</v>
      </c>
      <c r="D33" s="29">
        <v>54050</v>
      </c>
      <c r="E33" s="29">
        <v>4</v>
      </c>
    </row>
    <row r="34" spans="2:5" x14ac:dyDescent="0.2">
      <c r="B34" t="s">
        <v>24</v>
      </c>
      <c r="C34" t="s">
        <v>15</v>
      </c>
      <c r="D34" s="29">
        <v>13600</v>
      </c>
      <c r="E34" s="29">
        <v>1</v>
      </c>
    </row>
    <row r="35" spans="2:5" x14ac:dyDescent="0.2">
      <c r="B35" t="s">
        <v>24</v>
      </c>
      <c r="C35" t="s">
        <v>11</v>
      </c>
      <c r="D35" s="29">
        <v>37150</v>
      </c>
      <c r="E35" s="29">
        <v>3</v>
      </c>
    </row>
    <row r="36" spans="2:5" x14ac:dyDescent="0.2">
      <c r="B36" t="s">
        <v>86</v>
      </c>
      <c r="D36" s="29">
        <v>140550</v>
      </c>
      <c r="E36" s="29">
        <v>11</v>
      </c>
    </row>
    <row r="37" spans="2:5" x14ac:dyDescent="0.2">
      <c r="B37" t="s">
        <v>21</v>
      </c>
      <c r="C37" t="s">
        <v>8</v>
      </c>
      <c r="D37" s="29">
        <v>24450</v>
      </c>
      <c r="E37" s="29">
        <v>2</v>
      </c>
    </row>
    <row r="38" spans="2:5" x14ac:dyDescent="0.2">
      <c r="B38" t="s">
        <v>21</v>
      </c>
      <c r="C38" t="s">
        <v>22</v>
      </c>
      <c r="D38" s="29">
        <v>26800</v>
      </c>
      <c r="E38" s="29">
        <v>2</v>
      </c>
    </row>
    <row r="39" spans="2:5" x14ac:dyDescent="0.2">
      <c r="B39" t="s">
        <v>21</v>
      </c>
      <c r="C39" t="s">
        <v>15</v>
      </c>
      <c r="D39" s="29">
        <v>39950</v>
      </c>
      <c r="E39" s="29">
        <v>3</v>
      </c>
    </row>
    <row r="40" spans="2:5" x14ac:dyDescent="0.2">
      <c r="B40" t="s">
        <v>21</v>
      </c>
      <c r="C40" t="s">
        <v>11</v>
      </c>
      <c r="D40" s="29">
        <v>24100</v>
      </c>
      <c r="E40" s="29">
        <v>2</v>
      </c>
    </row>
    <row r="41" spans="2:5" x14ac:dyDescent="0.2">
      <c r="B41" t="s">
        <v>87</v>
      </c>
      <c r="D41" s="29">
        <v>115300</v>
      </c>
      <c r="E41" s="29">
        <v>9</v>
      </c>
    </row>
    <row r="42" spans="2:5" x14ac:dyDescent="0.2">
      <c r="B42" t="s">
        <v>13</v>
      </c>
      <c r="C42" t="s">
        <v>8</v>
      </c>
      <c r="D42" s="29">
        <v>26750</v>
      </c>
      <c r="E42" s="29">
        <v>2</v>
      </c>
    </row>
    <row r="43" spans="2:5" x14ac:dyDescent="0.2">
      <c r="B43" t="s">
        <v>13</v>
      </c>
      <c r="C43" t="s">
        <v>22</v>
      </c>
      <c r="D43" s="29">
        <v>24550</v>
      </c>
      <c r="E43" s="29">
        <v>2</v>
      </c>
    </row>
    <row r="44" spans="2:5" x14ac:dyDescent="0.2">
      <c r="B44" t="s">
        <v>13</v>
      </c>
      <c r="C44" t="s">
        <v>15</v>
      </c>
      <c r="D44" s="29">
        <v>37750</v>
      </c>
      <c r="E44" s="29">
        <v>3</v>
      </c>
    </row>
    <row r="45" spans="2:5" x14ac:dyDescent="0.2">
      <c r="B45" t="s">
        <v>13</v>
      </c>
      <c r="C45" t="s">
        <v>11</v>
      </c>
      <c r="D45" s="29">
        <v>38450</v>
      </c>
      <c r="E45" s="29">
        <v>3</v>
      </c>
    </row>
    <row r="46" spans="2:5" x14ac:dyDescent="0.2">
      <c r="B46" t="s">
        <v>88</v>
      </c>
      <c r="D46" s="29">
        <v>127500</v>
      </c>
      <c r="E46" s="29">
        <v>10</v>
      </c>
    </row>
    <row r="47" spans="2:5" x14ac:dyDescent="0.2">
      <c r="B47" t="s">
        <v>7</v>
      </c>
      <c r="C47" t="s">
        <v>8</v>
      </c>
      <c r="D47" s="29">
        <v>47600</v>
      </c>
      <c r="E47" s="29">
        <v>4</v>
      </c>
    </row>
    <row r="48" spans="2:5" x14ac:dyDescent="0.2">
      <c r="B48" t="s">
        <v>7</v>
      </c>
      <c r="C48" t="s">
        <v>22</v>
      </c>
      <c r="D48" s="29">
        <v>27550</v>
      </c>
      <c r="E48" s="29">
        <v>2</v>
      </c>
    </row>
    <row r="49" spans="1:5" x14ac:dyDescent="0.2">
      <c r="B49" t="s">
        <v>7</v>
      </c>
      <c r="C49" t="s">
        <v>15</v>
      </c>
      <c r="D49" s="29">
        <v>23900</v>
      </c>
      <c r="E49" s="29">
        <v>2</v>
      </c>
    </row>
    <row r="50" spans="1:5" x14ac:dyDescent="0.2">
      <c r="B50" t="s">
        <v>7</v>
      </c>
      <c r="C50" t="s">
        <v>11</v>
      </c>
      <c r="D50" s="29">
        <v>66500</v>
      </c>
      <c r="E50" s="29">
        <v>5</v>
      </c>
    </row>
    <row r="51" spans="1:5" x14ac:dyDescent="0.2">
      <c r="B51" t="s">
        <v>89</v>
      </c>
      <c r="D51" s="29">
        <v>165550</v>
      </c>
      <c r="E51" s="29">
        <v>13</v>
      </c>
    </row>
    <row r="52" spans="1:5" x14ac:dyDescent="0.2">
      <c r="B52" t="s">
        <v>28</v>
      </c>
      <c r="C52" t="s">
        <v>8</v>
      </c>
      <c r="D52" s="29">
        <v>28200</v>
      </c>
      <c r="E52" s="29">
        <v>2</v>
      </c>
    </row>
    <row r="53" spans="1:5" x14ac:dyDescent="0.2">
      <c r="B53" t="s">
        <v>28</v>
      </c>
      <c r="C53" t="s">
        <v>22</v>
      </c>
      <c r="D53" s="29">
        <v>33150</v>
      </c>
      <c r="E53" s="29">
        <v>3</v>
      </c>
    </row>
    <row r="54" spans="1:5" x14ac:dyDescent="0.2">
      <c r="B54" t="s">
        <v>28</v>
      </c>
      <c r="C54" t="s">
        <v>15</v>
      </c>
      <c r="D54" s="29">
        <v>49500</v>
      </c>
      <c r="E54" s="29">
        <v>4</v>
      </c>
    </row>
    <row r="55" spans="1:5" x14ac:dyDescent="0.2">
      <c r="B55" t="s">
        <v>28</v>
      </c>
      <c r="C55" t="s">
        <v>11</v>
      </c>
      <c r="D55" s="29">
        <v>48900</v>
      </c>
      <c r="E55" s="29">
        <v>4</v>
      </c>
    </row>
    <row r="56" spans="1:5" x14ac:dyDescent="0.2">
      <c r="B56" t="s">
        <v>90</v>
      </c>
      <c r="D56" s="29">
        <v>159750</v>
      </c>
      <c r="E56" s="29">
        <v>13</v>
      </c>
    </row>
    <row r="57" spans="1:5" x14ac:dyDescent="0.2">
      <c r="B57" t="s">
        <v>17</v>
      </c>
      <c r="C57" t="s">
        <v>8</v>
      </c>
      <c r="D57" s="29">
        <v>62450</v>
      </c>
      <c r="E57" s="29">
        <v>5</v>
      </c>
    </row>
    <row r="58" spans="1:5" x14ac:dyDescent="0.2">
      <c r="B58" t="s">
        <v>17</v>
      </c>
      <c r="C58" t="s">
        <v>22</v>
      </c>
      <c r="D58" s="29">
        <v>11850</v>
      </c>
      <c r="E58" s="29">
        <v>1</v>
      </c>
    </row>
    <row r="59" spans="1:5" x14ac:dyDescent="0.2">
      <c r="B59" t="s">
        <v>17</v>
      </c>
      <c r="C59" t="s">
        <v>15</v>
      </c>
      <c r="D59" s="29">
        <v>51600</v>
      </c>
      <c r="E59" s="29">
        <v>4</v>
      </c>
    </row>
    <row r="60" spans="1:5" x14ac:dyDescent="0.2">
      <c r="B60" t="s">
        <v>17</v>
      </c>
      <c r="C60" t="s">
        <v>11</v>
      </c>
      <c r="D60" s="29">
        <v>39900</v>
      </c>
      <c r="E60" s="29">
        <v>3</v>
      </c>
    </row>
    <row r="61" spans="1:5" x14ac:dyDescent="0.2">
      <c r="B61" t="s">
        <v>91</v>
      </c>
      <c r="D61" s="29">
        <v>165800</v>
      </c>
      <c r="E61" s="29">
        <v>13</v>
      </c>
    </row>
    <row r="62" spans="1:5" x14ac:dyDescent="0.2">
      <c r="A62" t="s">
        <v>50</v>
      </c>
      <c r="B62" t="s">
        <v>19</v>
      </c>
      <c r="C62" t="s">
        <v>8</v>
      </c>
      <c r="D62" s="29">
        <v>26200</v>
      </c>
      <c r="E62" s="29">
        <v>2</v>
      </c>
    </row>
    <row r="63" spans="1:5" x14ac:dyDescent="0.2">
      <c r="B63" t="s">
        <v>19</v>
      </c>
      <c r="C63" t="s">
        <v>22</v>
      </c>
      <c r="D63" s="29">
        <v>37000</v>
      </c>
      <c r="E63" s="29">
        <v>3</v>
      </c>
    </row>
    <row r="64" spans="1:5" x14ac:dyDescent="0.2">
      <c r="B64" t="s">
        <v>19</v>
      </c>
      <c r="C64" t="s">
        <v>15</v>
      </c>
      <c r="D64" s="29">
        <v>35900</v>
      </c>
      <c r="E64" s="29">
        <v>3</v>
      </c>
    </row>
    <row r="65" spans="2:5" x14ac:dyDescent="0.2">
      <c r="B65" t="s">
        <v>19</v>
      </c>
      <c r="C65" t="s">
        <v>11</v>
      </c>
      <c r="D65" s="29">
        <v>11850</v>
      </c>
      <c r="E65" s="29">
        <v>1</v>
      </c>
    </row>
    <row r="66" spans="2:5" x14ac:dyDescent="0.2">
      <c r="B66" t="s">
        <v>80</v>
      </c>
      <c r="D66" s="29">
        <v>110950</v>
      </c>
      <c r="E66" s="29">
        <v>9</v>
      </c>
    </row>
    <row r="67" spans="2:5" x14ac:dyDescent="0.2">
      <c r="B67" t="s">
        <v>26</v>
      </c>
      <c r="C67" t="s">
        <v>8</v>
      </c>
      <c r="D67" s="29">
        <v>37000</v>
      </c>
      <c r="E67" s="29">
        <v>3</v>
      </c>
    </row>
    <row r="68" spans="2:5" x14ac:dyDescent="0.2">
      <c r="B68" t="s">
        <v>26</v>
      </c>
      <c r="C68" t="s">
        <v>22</v>
      </c>
      <c r="D68" s="29">
        <v>35300</v>
      </c>
      <c r="E68" s="29">
        <v>3</v>
      </c>
    </row>
    <row r="69" spans="2:5" x14ac:dyDescent="0.2">
      <c r="B69" t="s">
        <v>26</v>
      </c>
      <c r="C69" t="s">
        <v>15</v>
      </c>
      <c r="D69" s="29">
        <v>35850</v>
      </c>
      <c r="E69" s="29">
        <v>3</v>
      </c>
    </row>
    <row r="70" spans="2:5" x14ac:dyDescent="0.2">
      <c r="B70" t="s">
        <v>26</v>
      </c>
      <c r="C70" t="s">
        <v>11</v>
      </c>
      <c r="D70" s="29">
        <v>10150</v>
      </c>
      <c r="E70" s="29">
        <v>1</v>
      </c>
    </row>
    <row r="71" spans="2:5" x14ac:dyDescent="0.2">
      <c r="B71" t="s">
        <v>81</v>
      </c>
      <c r="D71" s="29">
        <v>118300</v>
      </c>
      <c r="E71" s="29">
        <v>10</v>
      </c>
    </row>
    <row r="72" spans="2:5" x14ac:dyDescent="0.2">
      <c r="B72" t="s">
        <v>30</v>
      </c>
      <c r="C72" t="s">
        <v>8</v>
      </c>
      <c r="D72" s="29">
        <v>61850</v>
      </c>
      <c r="E72" s="29">
        <v>5</v>
      </c>
    </row>
    <row r="73" spans="2:5" x14ac:dyDescent="0.2">
      <c r="B73" t="s">
        <v>30</v>
      </c>
      <c r="C73" t="s">
        <v>22</v>
      </c>
      <c r="D73" s="29">
        <v>38200</v>
      </c>
      <c r="E73" s="29">
        <v>3</v>
      </c>
    </row>
    <row r="74" spans="2:5" x14ac:dyDescent="0.2">
      <c r="B74" t="s">
        <v>30</v>
      </c>
      <c r="C74" t="s">
        <v>15</v>
      </c>
      <c r="D74" s="29">
        <v>57850</v>
      </c>
      <c r="E74" s="29">
        <v>5</v>
      </c>
    </row>
    <row r="75" spans="2:5" x14ac:dyDescent="0.2">
      <c r="B75" t="s">
        <v>30</v>
      </c>
      <c r="C75" t="s">
        <v>11</v>
      </c>
      <c r="D75" s="29">
        <v>38250</v>
      </c>
      <c r="E75" s="29">
        <v>3</v>
      </c>
    </row>
    <row r="76" spans="2:5" x14ac:dyDescent="0.2">
      <c r="B76" t="s">
        <v>82</v>
      </c>
      <c r="D76" s="29">
        <v>196150</v>
      </c>
      <c r="E76" s="29">
        <v>16</v>
      </c>
    </row>
    <row r="77" spans="2:5" x14ac:dyDescent="0.2">
      <c r="B77" t="s">
        <v>29</v>
      </c>
      <c r="C77" t="s">
        <v>8</v>
      </c>
      <c r="D77" s="29">
        <v>70000</v>
      </c>
      <c r="E77" s="29">
        <v>6</v>
      </c>
    </row>
    <row r="78" spans="2:5" x14ac:dyDescent="0.2">
      <c r="B78" t="s">
        <v>29</v>
      </c>
      <c r="C78" t="s">
        <v>22</v>
      </c>
      <c r="D78" s="29">
        <v>21150</v>
      </c>
      <c r="E78" s="29">
        <v>2</v>
      </c>
    </row>
    <row r="79" spans="2:5" x14ac:dyDescent="0.2">
      <c r="B79" t="s">
        <v>29</v>
      </c>
      <c r="C79" t="s">
        <v>15</v>
      </c>
      <c r="D79" s="29">
        <v>21100</v>
      </c>
      <c r="E79" s="29">
        <v>2</v>
      </c>
    </row>
    <row r="80" spans="2:5" x14ac:dyDescent="0.2">
      <c r="B80" t="s">
        <v>29</v>
      </c>
      <c r="C80" t="s">
        <v>11</v>
      </c>
      <c r="D80" s="29">
        <v>48850</v>
      </c>
      <c r="E80" s="29">
        <v>4</v>
      </c>
    </row>
    <row r="81" spans="2:5" x14ac:dyDescent="0.2">
      <c r="B81" t="s">
        <v>83</v>
      </c>
      <c r="D81" s="29">
        <v>161100</v>
      </c>
      <c r="E81" s="29">
        <v>14</v>
      </c>
    </row>
    <row r="82" spans="2:5" x14ac:dyDescent="0.2">
      <c r="B82" t="s">
        <v>33</v>
      </c>
      <c r="C82" t="s">
        <v>8</v>
      </c>
      <c r="D82" s="29">
        <v>27350</v>
      </c>
      <c r="E82" s="29">
        <v>2</v>
      </c>
    </row>
    <row r="83" spans="2:5" x14ac:dyDescent="0.2">
      <c r="B83" t="s">
        <v>33</v>
      </c>
      <c r="C83" t="s">
        <v>22</v>
      </c>
      <c r="D83" s="29">
        <v>57850</v>
      </c>
      <c r="E83" s="29">
        <v>5</v>
      </c>
    </row>
    <row r="84" spans="2:5" x14ac:dyDescent="0.2">
      <c r="B84" t="s">
        <v>33</v>
      </c>
      <c r="C84" t="s">
        <v>15</v>
      </c>
      <c r="D84" s="29">
        <v>11950</v>
      </c>
      <c r="E84" s="29">
        <v>1</v>
      </c>
    </row>
    <row r="85" spans="2:5" x14ac:dyDescent="0.2">
      <c r="B85" t="s">
        <v>33</v>
      </c>
      <c r="C85" t="s">
        <v>11</v>
      </c>
      <c r="D85" s="29">
        <v>10600</v>
      </c>
      <c r="E85" s="29">
        <v>1</v>
      </c>
    </row>
    <row r="86" spans="2:5" x14ac:dyDescent="0.2">
      <c r="B86" t="s">
        <v>84</v>
      </c>
      <c r="D86" s="29">
        <v>107750</v>
      </c>
      <c r="E86" s="29">
        <v>9</v>
      </c>
    </row>
    <row r="87" spans="2:5" x14ac:dyDescent="0.2">
      <c r="B87" t="s">
        <v>10</v>
      </c>
      <c r="C87" t="s">
        <v>8</v>
      </c>
      <c r="D87" s="29">
        <v>27650</v>
      </c>
      <c r="E87" s="29">
        <v>2</v>
      </c>
    </row>
    <row r="88" spans="2:5" x14ac:dyDescent="0.2">
      <c r="B88" t="s">
        <v>10</v>
      </c>
      <c r="C88" t="s">
        <v>22</v>
      </c>
      <c r="D88" s="29">
        <v>61000</v>
      </c>
      <c r="E88" s="29">
        <v>5</v>
      </c>
    </row>
    <row r="89" spans="2:5" x14ac:dyDescent="0.2">
      <c r="B89" t="s">
        <v>10</v>
      </c>
      <c r="C89" t="s">
        <v>15</v>
      </c>
      <c r="D89" s="29">
        <v>13100</v>
      </c>
      <c r="E89" s="29">
        <v>1</v>
      </c>
    </row>
    <row r="90" spans="2:5" x14ac:dyDescent="0.2">
      <c r="B90" t="s">
        <v>10</v>
      </c>
      <c r="C90" t="s">
        <v>11</v>
      </c>
      <c r="D90" s="29">
        <v>66550</v>
      </c>
      <c r="E90" s="29">
        <v>5</v>
      </c>
    </row>
    <row r="91" spans="2:5" x14ac:dyDescent="0.2">
      <c r="B91" t="s">
        <v>85</v>
      </c>
      <c r="D91" s="29">
        <v>168300</v>
      </c>
      <c r="E91" s="29">
        <v>13</v>
      </c>
    </row>
    <row r="92" spans="2:5" x14ac:dyDescent="0.2">
      <c r="B92" t="s">
        <v>24</v>
      </c>
      <c r="C92" t="s">
        <v>22</v>
      </c>
      <c r="D92" s="29">
        <v>52600</v>
      </c>
      <c r="E92" s="29">
        <v>4</v>
      </c>
    </row>
    <row r="93" spans="2:5" x14ac:dyDescent="0.2">
      <c r="B93" t="s">
        <v>24</v>
      </c>
      <c r="C93" t="s">
        <v>15</v>
      </c>
      <c r="D93" s="29">
        <v>55400</v>
      </c>
      <c r="E93" s="29">
        <v>4</v>
      </c>
    </row>
    <row r="94" spans="2:5" x14ac:dyDescent="0.2">
      <c r="B94" t="s">
        <v>24</v>
      </c>
      <c r="C94" t="s">
        <v>11</v>
      </c>
      <c r="D94" s="29">
        <v>37900</v>
      </c>
      <c r="E94" s="29">
        <v>3</v>
      </c>
    </row>
    <row r="95" spans="2:5" x14ac:dyDescent="0.2">
      <c r="B95" t="s">
        <v>86</v>
      </c>
      <c r="D95" s="29">
        <v>145900</v>
      </c>
      <c r="E95" s="29">
        <v>11</v>
      </c>
    </row>
    <row r="96" spans="2:5" x14ac:dyDescent="0.2">
      <c r="B96" t="s">
        <v>21</v>
      </c>
      <c r="C96" t="s">
        <v>8</v>
      </c>
      <c r="D96" s="29">
        <v>35800</v>
      </c>
      <c r="E96" s="29">
        <v>3</v>
      </c>
    </row>
    <row r="97" spans="2:5" x14ac:dyDescent="0.2">
      <c r="B97" t="s">
        <v>21</v>
      </c>
      <c r="C97" t="s">
        <v>22</v>
      </c>
      <c r="D97" s="29">
        <v>65450</v>
      </c>
      <c r="E97" s="29">
        <v>5</v>
      </c>
    </row>
    <row r="98" spans="2:5" x14ac:dyDescent="0.2">
      <c r="B98" t="s">
        <v>21</v>
      </c>
      <c r="C98" t="s">
        <v>15</v>
      </c>
      <c r="D98" s="29">
        <v>13600</v>
      </c>
      <c r="E98" s="29">
        <v>1</v>
      </c>
    </row>
    <row r="99" spans="2:5" x14ac:dyDescent="0.2">
      <c r="B99" t="s">
        <v>21</v>
      </c>
      <c r="C99" t="s">
        <v>11</v>
      </c>
      <c r="D99" s="29">
        <v>48050</v>
      </c>
      <c r="E99" s="29">
        <v>4</v>
      </c>
    </row>
    <row r="100" spans="2:5" x14ac:dyDescent="0.2">
      <c r="B100" t="s">
        <v>87</v>
      </c>
      <c r="D100" s="29">
        <v>162900</v>
      </c>
      <c r="E100" s="29">
        <v>13</v>
      </c>
    </row>
    <row r="101" spans="2:5" x14ac:dyDescent="0.2">
      <c r="B101" t="s">
        <v>13</v>
      </c>
      <c r="C101" t="s">
        <v>8</v>
      </c>
      <c r="D101" s="29">
        <v>48000</v>
      </c>
      <c r="E101" s="29">
        <v>4</v>
      </c>
    </row>
    <row r="102" spans="2:5" x14ac:dyDescent="0.2">
      <c r="B102" t="s">
        <v>13</v>
      </c>
      <c r="C102" t="s">
        <v>22</v>
      </c>
      <c r="D102" s="29">
        <v>53850</v>
      </c>
      <c r="E102" s="29">
        <v>4</v>
      </c>
    </row>
    <row r="103" spans="2:5" x14ac:dyDescent="0.2">
      <c r="B103" t="s">
        <v>13</v>
      </c>
      <c r="C103" t="s">
        <v>15</v>
      </c>
      <c r="D103" s="29">
        <v>27400</v>
      </c>
      <c r="E103" s="29">
        <v>2</v>
      </c>
    </row>
    <row r="104" spans="2:5" x14ac:dyDescent="0.2">
      <c r="B104" t="s">
        <v>13</v>
      </c>
      <c r="C104" t="s">
        <v>11</v>
      </c>
      <c r="D104" s="29">
        <v>39750</v>
      </c>
      <c r="E104" s="29">
        <v>3</v>
      </c>
    </row>
    <row r="105" spans="2:5" x14ac:dyDescent="0.2">
      <c r="B105" t="s">
        <v>88</v>
      </c>
      <c r="D105" s="29">
        <v>169000</v>
      </c>
      <c r="E105" s="29">
        <v>13</v>
      </c>
    </row>
    <row r="106" spans="2:5" x14ac:dyDescent="0.2">
      <c r="B106" t="s">
        <v>7</v>
      </c>
      <c r="C106" t="s">
        <v>8</v>
      </c>
      <c r="D106" s="29">
        <v>38200</v>
      </c>
      <c r="E106" s="29">
        <v>3</v>
      </c>
    </row>
    <row r="107" spans="2:5" x14ac:dyDescent="0.2">
      <c r="B107" t="s">
        <v>7</v>
      </c>
      <c r="C107" t="s">
        <v>15</v>
      </c>
      <c r="D107" s="29">
        <v>28450</v>
      </c>
      <c r="E107" s="29">
        <v>2</v>
      </c>
    </row>
    <row r="108" spans="2:5" x14ac:dyDescent="0.2">
      <c r="B108" t="s">
        <v>7</v>
      </c>
      <c r="C108" t="s">
        <v>11</v>
      </c>
      <c r="D108" s="29">
        <v>78200</v>
      </c>
      <c r="E108" s="29">
        <v>6</v>
      </c>
    </row>
    <row r="109" spans="2:5" x14ac:dyDescent="0.2">
      <c r="B109" t="s">
        <v>89</v>
      </c>
      <c r="D109" s="29">
        <v>144850</v>
      </c>
      <c r="E109" s="29">
        <v>11</v>
      </c>
    </row>
    <row r="110" spans="2:5" x14ac:dyDescent="0.2">
      <c r="B110" t="s">
        <v>28</v>
      </c>
      <c r="C110" t="s">
        <v>8</v>
      </c>
      <c r="D110" s="29">
        <v>36100</v>
      </c>
      <c r="E110" s="29">
        <v>3</v>
      </c>
    </row>
    <row r="111" spans="2:5" x14ac:dyDescent="0.2">
      <c r="B111" t="s">
        <v>28</v>
      </c>
      <c r="C111" t="s">
        <v>22</v>
      </c>
      <c r="D111" s="29">
        <v>27200</v>
      </c>
      <c r="E111" s="29">
        <v>2</v>
      </c>
    </row>
    <row r="112" spans="2:5" x14ac:dyDescent="0.2">
      <c r="B112" t="s">
        <v>28</v>
      </c>
      <c r="C112" t="s">
        <v>15</v>
      </c>
      <c r="D112" s="29">
        <v>23400</v>
      </c>
      <c r="E112" s="29">
        <v>2</v>
      </c>
    </row>
    <row r="113" spans="1:5" x14ac:dyDescent="0.2">
      <c r="B113" t="s">
        <v>28</v>
      </c>
      <c r="C113" t="s">
        <v>11</v>
      </c>
      <c r="D113" s="29">
        <v>10500</v>
      </c>
      <c r="E113" s="29">
        <v>1</v>
      </c>
    </row>
    <row r="114" spans="1:5" x14ac:dyDescent="0.2">
      <c r="B114" t="s">
        <v>90</v>
      </c>
      <c r="D114" s="29">
        <v>97200</v>
      </c>
      <c r="E114" s="29">
        <v>8</v>
      </c>
    </row>
    <row r="115" spans="1:5" x14ac:dyDescent="0.2">
      <c r="B115" t="s">
        <v>17</v>
      </c>
      <c r="C115" t="s">
        <v>22</v>
      </c>
      <c r="D115" s="29">
        <v>13750</v>
      </c>
      <c r="E115" s="29">
        <v>1</v>
      </c>
    </row>
    <row r="116" spans="1:5" x14ac:dyDescent="0.2">
      <c r="B116" t="s">
        <v>17</v>
      </c>
      <c r="C116" t="s">
        <v>15</v>
      </c>
      <c r="D116" s="29">
        <v>38700</v>
      </c>
      <c r="E116" s="29">
        <v>3</v>
      </c>
    </row>
    <row r="117" spans="1:5" x14ac:dyDescent="0.2">
      <c r="B117" t="s">
        <v>17</v>
      </c>
      <c r="C117" t="s">
        <v>11</v>
      </c>
      <c r="D117" s="29">
        <v>28400</v>
      </c>
      <c r="E117" s="29">
        <v>2</v>
      </c>
    </row>
    <row r="118" spans="1:5" x14ac:dyDescent="0.2">
      <c r="B118" t="s">
        <v>91</v>
      </c>
      <c r="D118" s="29">
        <v>80850</v>
      </c>
      <c r="E118" s="29">
        <v>6</v>
      </c>
    </row>
    <row r="119" spans="1:5" x14ac:dyDescent="0.2">
      <c r="A119" t="s">
        <v>52</v>
      </c>
      <c r="B119" t="s">
        <v>19</v>
      </c>
      <c r="C119" t="s">
        <v>8</v>
      </c>
      <c r="D119" s="29">
        <v>24200</v>
      </c>
      <c r="E119" s="29">
        <v>2</v>
      </c>
    </row>
    <row r="120" spans="1:5" x14ac:dyDescent="0.2">
      <c r="B120" t="s">
        <v>19</v>
      </c>
      <c r="C120" t="s">
        <v>22</v>
      </c>
      <c r="D120" s="29">
        <v>49350</v>
      </c>
      <c r="E120" s="29">
        <v>4</v>
      </c>
    </row>
    <row r="121" spans="1:5" x14ac:dyDescent="0.2">
      <c r="B121" t="s">
        <v>19</v>
      </c>
      <c r="C121" t="s">
        <v>15</v>
      </c>
      <c r="D121" s="29">
        <v>40000</v>
      </c>
      <c r="E121" s="29">
        <v>3</v>
      </c>
    </row>
    <row r="122" spans="1:5" x14ac:dyDescent="0.2">
      <c r="B122" t="s">
        <v>19</v>
      </c>
      <c r="C122" t="s">
        <v>11</v>
      </c>
      <c r="D122" s="29">
        <v>59100</v>
      </c>
      <c r="E122" s="29">
        <v>5</v>
      </c>
    </row>
    <row r="123" spans="1:5" x14ac:dyDescent="0.2">
      <c r="B123" t="s">
        <v>80</v>
      </c>
      <c r="D123" s="29">
        <v>172650</v>
      </c>
      <c r="E123" s="29">
        <v>14</v>
      </c>
    </row>
    <row r="124" spans="1:5" x14ac:dyDescent="0.2">
      <c r="B124" t="s">
        <v>26</v>
      </c>
      <c r="C124" t="s">
        <v>8</v>
      </c>
      <c r="D124" s="29">
        <v>50200</v>
      </c>
      <c r="E124" s="29">
        <v>4</v>
      </c>
    </row>
    <row r="125" spans="1:5" x14ac:dyDescent="0.2">
      <c r="B125" t="s">
        <v>26</v>
      </c>
      <c r="C125" t="s">
        <v>22</v>
      </c>
      <c r="D125" s="29">
        <v>66050</v>
      </c>
      <c r="E125" s="29">
        <v>5</v>
      </c>
    </row>
    <row r="126" spans="1:5" x14ac:dyDescent="0.2">
      <c r="B126" t="s">
        <v>26</v>
      </c>
      <c r="C126" t="s">
        <v>15</v>
      </c>
      <c r="D126" s="29">
        <v>25250</v>
      </c>
      <c r="E126" s="29">
        <v>2</v>
      </c>
    </row>
    <row r="127" spans="1:5" x14ac:dyDescent="0.2">
      <c r="B127" t="s">
        <v>26</v>
      </c>
      <c r="C127" t="s">
        <v>11</v>
      </c>
      <c r="D127" s="29">
        <v>10650</v>
      </c>
      <c r="E127" s="29">
        <v>1</v>
      </c>
    </row>
    <row r="128" spans="1:5" x14ac:dyDescent="0.2">
      <c r="B128" t="s">
        <v>81</v>
      </c>
      <c r="D128" s="29">
        <v>152150</v>
      </c>
      <c r="E128" s="29">
        <v>12</v>
      </c>
    </row>
    <row r="129" spans="2:5" x14ac:dyDescent="0.2">
      <c r="B129" t="s">
        <v>30</v>
      </c>
      <c r="C129" t="s">
        <v>8</v>
      </c>
      <c r="D129" s="29">
        <v>52550</v>
      </c>
      <c r="E129" s="29">
        <v>4</v>
      </c>
    </row>
    <row r="130" spans="2:5" x14ac:dyDescent="0.2">
      <c r="B130" t="s">
        <v>30</v>
      </c>
      <c r="C130" t="s">
        <v>22</v>
      </c>
      <c r="D130" s="29">
        <v>52650</v>
      </c>
      <c r="E130" s="29">
        <v>4</v>
      </c>
    </row>
    <row r="131" spans="2:5" x14ac:dyDescent="0.2">
      <c r="B131" t="s">
        <v>30</v>
      </c>
      <c r="C131" t="s">
        <v>15</v>
      </c>
      <c r="D131" s="29">
        <v>13250</v>
      </c>
      <c r="E131" s="29">
        <v>1</v>
      </c>
    </row>
    <row r="132" spans="2:5" x14ac:dyDescent="0.2">
      <c r="B132" t="s">
        <v>30</v>
      </c>
      <c r="C132" t="s">
        <v>11</v>
      </c>
      <c r="D132" s="29">
        <v>26450</v>
      </c>
      <c r="E132" s="29">
        <v>2</v>
      </c>
    </row>
    <row r="133" spans="2:5" x14ac:dyDescent="0.2">
      <c r="B133" t="s">
        <v>82</v>
      </c>
      <c r="D133" s="29">
        <v>144900</v>
      </c>
      <c r="E133" s="29">
        <v>11</v>
      </c>
    </row>
    <row r="134" spans="2:5" x14ac:dyDescent="0.2">
      <c r="B134" t="s">
        <v>29</v>
      </c>
      <c r="C134" t="s">
        <v>8</v>
      </c>
      <c r="D134" s="29">
        <v>35000</v>
      </c>
      <c r="E134" s="29">
        <v>3</v>
      </c>
    </row>
    <row r="135" spans="2:5" x14ac:dyDescent="0.2">
      <c r="B135" t="s">
        <v>29</v>
      </c>
      <c r="C135" t="s">
        <v>22</v>
      </c>
      <c r="D135" s="29">
        <v>98950</v>
      </c>
      <c r="E135" s="29">
        <v>8</v>
      </c>
    </row>
    <row r="136" spans="2:5" x14ac:dyDescent="0.2">
      <c r="B136" t="s">
        <v>29</v>
      </c>
      <c r="C136" t="s">
        <v>15</v>
      </c>
      <c r="D136" s="29">
        <v>23750</v>
      </c>
      <c r="E136" s="29">
        <v>2</v>
      </c>
    </row>
    <row r="137" spans="2:5" x14ac:dyDescent="0.2">
      <c r="B137" t="s">
        <v>29</v>
      </c>
      <c r="C137" t="s">
        <v>11</v>
      </c>
      <c r="D137" s="29">
        <v>34900</v>
      </c>
      <c r="E137" s="29">
        <v>3</v>
      </c>
    </row>
    <row r="138" spans="2:5" x14ac:dyDescent="0.2">
      <c r="B138" t="s">
        <v>83</v>
      </c>
      <c r="D138" s="29">
        <v>192600</v>
      </c>
      <c r="E138" s="29">
        <v>16</v>
      </c>
    </row>
    <row r="139" spans="2:5" x14ac:dyDescent="0.2">
      <c r="B139" t="s">
        <v>33</v>
      </c>
      <c r="C139" t="s">
        <v>8</v>
      </c>
      <c r="D139" s="29">
        <v>24000</v>
      </c>
      <c r="E139" s="29">
        <v>2</v>
      </c>
    </row>
    <row r="140" spans="2:5" x14ac:dyDescent="0.2">
      <c r="B140" t="s">
        <v>33</v>
      </c>
      <c r="C140" t="s">
        <v>22</v>
      </c>
      <c r="D140" s="29">
        <v>11850</v>
      </c>
      <c r="E140" s="29">
        <v>1</v>
      </c>
    </row>
    <row r="141" spans="2:5" x14ac:dyDescent="0.2">
      <c r="B141" t="s">
        <v>33</v>
      </c>
      <c r="C141" t="s">
        <v>15</v>
      </c>
      <c r="D141" s="29">
        <v>50100</v>
      </c>
      <c r="E141" s="29">
        <v>4</v>
      </c>
    </row>
    <row r="142" spans="2:5" x14ac:dyDescent="0.2">
      <c r="B142" t="s">
        <v>33</v>
      </c>
      <c r="C142" t="s">
        <v>11</v>
      </c>
      <c r="D142" s="29">
        <v>34750</v>
      </c>
      <c r="E142" s="29">
        <v>3</v>
      </c>
    </row>
    <row r="143" spans="2:5" x14ac:dyDescent="0.2">
      <c r="B143" t="s">
        <v>84</v>
      </c>
      <c r="D143" s="29">
        <v>120700</v>
      </c>
      <c r="E143" s="29">
        <v>10</v>
      </c>
    </row>
    <row r="144" spans="2:5" x14ac:dyDescent="0.2">
      <c r="B144" t="s">
        <v>10</v>
      </c>
      <c r="C144" t="s">
        <v>22</v>
      </c>
      <c r="D144" s="29">
        <v>61750</v>
      </c>
      <c r="E144" s="29">
        <v>5</v>
      </c>
    </row>
    <row r="145" spans="2:5" x14ac:dyDescent="0.2">
      <c r="B145" t="s">
        <v>10</v>
      </c>
      <c r="C145" t="s">
        <v>15</v>
      </c>
      <c r="D145" s="29">
        <v>11100</v>
      </c>
      <c r="E145" s="29">
        <v>1</v>
      </c>
    </row>
    <row r="146" spans="2:5" x14ac:dyDescent="0.2">
      <c r="B146" t="s">
        <v>85</v>
      </c>
      <c r="D146" s="29">
        <v>72850</v>
      </c>
      <c r="E146" s="29">
        <v>6</v>
      </c>
    </row>
    <row r="147" spans="2:5" x14ac:dyDescent="0.2">
      <c r="B147" t="s">
        <v>24</v>
      </c>
      <c r="C147" t="s">
        <v>8</v>
      </c>
      <c r="D147" s="29">
        <v>102650</v>
      </c>
      <c r="E147" s="29">
        <v>8</v>
      </c>
    </row>
    <row r="148" spans="2:5" x14ac:dyDescent="0.2">
      <c r="B148" t="s">
        <v>24</v>
      </c>
      <c r="C148" t="s">
        <v>22</v>
      </c>
      <c r="D148" s="29">
        <v>12850</v>
      </c>
      <c r="E148" s="29">
        <v>1</v>
      </c>
    </row>
    <row r="149" spans="2:5" x14ac:dyDescent="0.2">
      <c r="B149" t="s">
        <v>24</v>
      </c>
      <c r="C149" t="s">
        <v>15</v>
      </c>
      <c r="D149" s="29">
        <v>40600</v>
      </c>
      <c r="E149" s="29">
        <v>3</v>
      </c>
    </row>
    <row r="150" spans="2:5" x14ac:dyDescent="0.2">
      <c r="B150" t="s">
        <v>24</v>
      </c>
      <c r="C150" t="s">
        <v>11</v>
      </c>
      <c r="D150" s="29">
        <v>38700</v>
      </c>
      <c r="E150" s="29">
        <v>3</v>
      </c>
    </row>
    <row r="151" spans="2:5" x14ac:dyDescent="0.2">
      <c r="B151" t="s">
        <v>86</v>
      </c>
      <c r="D151" s="29">
        <v>194800</v>
      </c>
      <c r="E151" s="29">
        <v>15</v>
      </c>
    </row>
    <row r="152" spans="2:5" x14ac:dyDescent="0.2">
      <c r="B152" t="s">
        <v>21</v>
      </c>
      <c r="C152" t="s">
        <v>8</v>
      </c>
      <c r="D152" s="29">
        <v>61950</v>
      </c>
      <c r="E152" s="29">
        <v>5</v>
      </c>
    </row>
    <row r="153" spans="2:5" x14ac:dyDescent="0.2">
      <c r="B153" t="s">
        <v>21</v>
      </c>
      <c r="C153" t="s">
        <v>22</v>
      </c>
      <c r="D153" s="29">
        <v>80550</v>
      </c>
      <c r="E153" s="29">
        <v>6</v>
      </c>
    </row>
    <row r="154" spans="2:5" x14ac:dyDescent="0.2">
      <c r="B154" t="s">
        <v>21</v>
      </c>
      <c r="C154" t="s">
        <v>15</v>
      </c>
      <c r="D154" s="29">
        <v>27250</v>
      </c>
      <c r="E154" s="29">
        <v>2</v>
      </c>
    </row>
    <row r="155" spans="2:5" x14ac:dyDescent="0.2">
      <c r="B155" t="s">
        <v>21</v>
      </c>
      <c r="C155" t="s">
        <v>11</v>
      </c>
      <c r="D155" s="29">
        <v>12700</v>
      </c>
      <c r="E155" s="29">
        <v>1</v>
      </c>
    </row>
    <row r="156" spans="2:5" x14ac:dyDescent="0.2">
      <c r="B156" t="s">
        <v>87</v>
      </c>
      <c r="D156" s="29">
        <v>182450</v>
      </c>
      <c r="E156" s="29">
        <v>14</v>
      </c>
    </row>
    <row r="157" spans="2:5" x14ac:dyDescent="0.2">
      <c r="B157" t="s">
        <v>13</v>
      </c>
      <c r="C157" t="s">
        <v>8</v>
      </c>
      <c r="D157" s="29">
        <v>40600</v>
      </c>
      <c r="E157" s="29">
        <v>3</v>
      </c>
    </row>
    <row r="158" spans="2:5" x14ac:dyDescent="0.2">
      <c r="B158" t="s">
        <v>13</v>
      </c>
      <c r="C158" t="s">
        <v>22</v>
      </c>
      <c r="D158" s="29">
        <v>12300</v>
      </c>
      <c r="E158" s="29">
        <v>1</v>
      </c>
    </row>
    <row r="159" spans="2:5" x14ac:dyDescent="0.2">
      <c r="B159" t="s">
        <v>13</v>
      </c>
      <c r="C159" t="s">
        <v>15</v>
      </c>
      <c r="D159" s="29">
        <v>75250</v>
      </c>
      <c r="E159" s="29">
        <v>6</v>
      </c>
    </row>
    <row r="160" spans="2:5" x14ac:dyDescent="0.2">
      <c r="B160" t="s">
        <v>13</v>
      </c>
      <c r="C160" t="s">
        <v>11</v>
      </c>
      <c r="D160" s="29">
        <v>32750</v>
      </c>
      <c r="E160" s="29">
        <v>3</v>
      </c>
    </row>
    <row r="161" spans="1:5" x14ac:dyDescent="0.2">
      <c r="B161" t="s">
        <v>88</v>
      </c>
      <c r="D161" s="29">
        <v>160900</v>
      </c>
      <c r="E161" s="29">
        <v>13</v>
      </c>
    </row>
    <row r="162" spans="1:5" x14ac:dyDescent="0.2">
      <c r="B162" t="s">
        <v>7</v>
      </c>
      <c r="C162" t="s">
        <v>8</v>
      </c>
      <c r="D162" s="29">
        <v>46250</v>
      </c>
      <c r="E162" s="29">
        <v>4</v>
      </c>
    </row>
    <row r="163" spans="1:5" x14ac:dyDescent="0.2">
      <c r="B163" t="s">
        <v>7</v>
      </c>
      <c r="C163" t="s">
        <v>22</v>
      </c>
      <c r="D163" s="29">
        <v>11900</v>
      </c>
      <c r="E163" s="29">
        <v>1</v>
      </c>
    </row>
    <row r="164" spans="1:5" x14ac:dyDescent="0.2">
      <c r="B164" t="s">
        <v>7</v>
      </c>
      <c r="C164" t="s">
        <v>15</v>
      </c>
      <c r="D164" s="29">
        <v>63550</v>
      </c>
      <c r="E164" s="29">
        <v>5</v>
      </c>
    </row>
    <row r="165" spans="1:5" x14ac:dyDescent="0.2">
      <c r="B165" t="s">
        <v>7</v>
      </c>
      <c r="C165" t="s">
        <v>11</v>
      </c>
      <c r="D165" s="29">
        <v>52450</v>
      </c>
      <c r="E165" s="29">
        <v>4</v>
      </c>
    </row>
    <row r="166" spans="1:5" x14ac:dyDescent="0.2">
      <c r="B166" t="s">
        <v>89</v>
      </c>
      <c r="D166" s="29">
        <v>174150</v>
      </c>
      <c r="E166" s="29">
        <v>14</v>
      </c>
    </row>
    <row r="167" spans="1:5" x14ac:dyDescent="0.2">
      <c r="B167" t="s">
        <v>28</v>
      </c>
      <c r="C167" t="s">
        <v>8</v>
      </c>
      <c r="D167" s="29">
        <v>63250</v>
      </c>
      <c r="E167" s="29">
        <v>5</v>
      </c>
    </row>
    <row r="168" spans="1:5" x14ac:dyDescent="0.2">
      <c r="B168" t="s">
        <v>28</v>
      </c>
      <c r="C168" t="s">
        <v>15</v>
      </c>
      <c r="D168" s="29">
        <v>33700</v>
      </c>
      <c r="E168" s="29">
        <v>3</v>
      </c>
    </row>
    <row r="169" spans="1:5" x14ac:dyDescent="0.2">
      <c r="B169" t="s">
        <v>28</v>
      </c>
      <c r="C169" t="s">
        <v>11</v>
      </c>
      <c r="D169" s="29">
        <v>96450</v>
      </c>
      <c r="E169" s="29">
        <v>8</v>
      </c>
    </row>
    <row r="170" spans="1:5" x14ac:dyDescent="0.2">
      <c r="B170" t="s">
        <v>90</v>
      </c>
      <c r="D170" s="29">
        <v>193400</v>
      </c>
      <c r="E170" s="29">
        <v>16</v>
      </c>
    </row>
    <row r="171" spans="1:5" x14ac:dyDescent="0.2">
      <c r="B171" t="s">
        <v>17</v>
      </c>
      <c r="C171" t="s">
        <v>8</v>
      </c>
      <c r="D171" s="29">
        <v>26450</v>
      </c>
      <c r="E171" s="29">
        <v>2</v>
      </c>
    </row>
    <row r="172" spans="1:5" x14ac:dyDescent="0.2">
      <c r="B172" t="s">
        <v>17</v>
      </c>
      <c r="C172" t="s">
        <v>15</v>
      </c>
      <c r="D172" s="29">
        <v>62450</v>
      </c>
      <c r="E172" s="29">
        <v>5</v>
      </c>
    </row>
    <row r="173" spans="1:5" x14ac:dyDescent="0.2">
      <c r="B173" t="s">
        <v>17</v>
      </c>
      <c r="C173" t="s">
        <v>11</v>
      </c>
      <c r="D173" s="29">
        <v>54350</v>
      </c>
      <c r="E173" s="29">
        <v>4</v>
      </c>
    </row>
    <row r="174" spans="1:5" x14ac:dyDescent="0.2">
      <c r="B174" t="s">
        <v>91</v>
      </c>
      <c r="D174" s="29">
        <v>143250</v>
      </c>
      <c r="E174" s="29">
        <v>11</v>
      </c>
    </row>
    <row r="175" spans="1:5" x14ac:dyDescent="0.2">
      <c r="A175" t="s">
        <v>54</v>
      </c>
      <c r="B175" t="s">
        <v>19</v>
      </c>
      <c r="C175" t="s">
        <v>22</v>
      </c>
      <c r="D175" s="29">
        <v>67300</v>
      </c>
      <c r="E175" s="29">
        <v>5</v>
      </c>
    </row>
    <row r="176" spans="1:5" x14ac:dyDescent="0.2">
      <c r="B176" t="s">
        <v>19</v>
      </c>
      <c r="C176" t="s">
        <v>15</v>
      </c>
      <c r="D176" s="29">
        <v>62750</v>
      </c>
      <c r="E176" s="29">
        <v>5</v>
      </c>
    </row>
    <row r="177" spans="2:5" x14ac:dyDescent="0.2">
      <c r="B177" t="s">
        <v>19</v>
      </c>
      <c r="C177" t="s">
        <v>11</v>
      </c>
      <c r="D177" s="29">
        <v>68550</v>
      </c>
      <c r="E177" s="29">
        <v>5</v>
      </c>
    </row>
    <row r="178" spans="2:5" x14ac:dyDescent="0.2">
      <c r="B178" t="s">
        <v>80</v>
      </c>
      <c r="D178" s="29">
        <v>198600</v>
      </c>
      <c r="E178" s="29">
        <v>15</v>
      </c>
    </row>
    <row r="179" spans="2:5" x14ac:dyDescent="0.2">
      <c r="B179" t="s">
        <v>26</v>
      </c>
      <c r="C179" t="s">
        <v>8</v>
      </c>
      <c r="D179" s="29">
        <v>24650</v>
      </c>
      <c r="E179" s="29">
        <v>2</v>
      </c>
    </row>
    <row r="180" spans="2:5" x14ac:dyDescent="0.2">
      <c r="B180" t="s">
        <v>26</v>
      </c>
      <c r="C180" t="s">
        <v>22</v>
      </c>
      <c r="D180" s="29">
        <v>25800</v>
      </c>
      <c r="E180" s="29">
        <v>2</v>
      </c>
    </row>
    <row r="181" spans="2:5" x14ac:dyDescent="0.2">
      <c r="B181" t="s">
        <v>26</v>
      </c>
      <c r="C181" t="s">
        <v>15</v>
      </c>
      <c r="D181" s="29">
        <v>24100</v>
      </c>
      <c r="E181" s="29">
        <v>2</v>
      </c>
    </row>
    <row r="182" spans="2:5" x14ac:dyDescent="0.2">
      <c r="B182" t="s">
        <v>26</v>
      </c>
      <c r="C182" t="s">
        <v>11</v>
      </c>
      <c r="D182" s="29">
        <v>25500</v>
      </c>
      <c r="E182" s="29">
        <v>2</v>
      </c>
    </row>
    <row r="183" spans="2:5" x14ac:dyDescent="0.2">
      <c r="B183" t="s">
        <v>81</v>
      </c>
      <c r="D183" s="29">
        <v>100050</v>
      </c>
      <c r="E183" s="29">
        <v>8</v>
      </c>
    </row>
    <row r="184" spans="2:5" x14ac:dyDescent="0.2">
      <c r="B184" t="s">
        <v>30</v>
      </c>
      <c r="C184" t="s">
        <v>8</v>
      </c>
      <c r="D184" s="29">
        <v>65050</v>
      </c>
      <c r="E184" s="29">
        <v>5</v>
      </c>
    </row>
    <row r="185" spans="2:5" x14ac:dyDescent="0.2">
      <c r="B185" t="s">
        <v>30</v>
      </c>
      <c r="C185" t="s">
        <v>22</v>
      </c>
      <c r="D185" s="29">
        <v>37500</v>
      </c>
      <c r="E185" s="29">
        <v>3</v>
      </c>
    </row>
    <row r="186" spans="2:5" x14ac:dyDescent="0.2">
      <c r="B186" t="s">
        <v>30</v>
      </c>
      <c r="C186" t="s">
        <v>15</v>
      </c>
      <c r="D186" s="29">
        <v>39900</v>
      </c>
      <c r="E186" s="29">
        <v>3</v>
      </c>
    </row>
    <row r="187" spans="2:5" x14ac:dyDescent="0.2">
      <c r="B187" t="s">
        <v>30</v>
      </c>
      <c r="C187" t="s">
        <v>11</v>
      </c>
      <c r="D187" s="29">
        <v>71200</v>
      </c>
      <c r="E187" s="29">
        <v>6</v>
      </c>
    </row>
    <row r="188" spans="2:5" x14ac:dyDescent="0.2">
      <c r="B188" t="s">
        <v>82</v>
      </c>
      <c r="D188" s="29">
        <v>213650</v>
      </c>
      <c r="E188" s="29">
        <v>17</v>
      </c>
    </row>
    <row r="189" spans="2:5" x14ac:dyDescent="0.2">
      <c r="B189" t="s">
        <v>29</v>
      </c>
      <c r="C189" t="s">
        <v>8</v>
      </c>
      <c r="D189" s="29">
        <v>24400</v>
      </c>
      <c r="E189" s="29">
        <v>2</v>
      </c>
    </row>
    <row r="190" spans="2:5" x14ac:dyDescent="0.2">
      <c r="B190" t="s">
        <v>29</v>
      </c>
      <c r="C190" t="s">
        <v>22</v>
      </c>
      <c r="D190" s="29">
        <v>38150</v>
      </c>
      <c r="E190" s="29">
        <v>3</v>
      </c>
    </row>
    <row r="191" spans="2:5" x14ac:dyDescent="0.2">
      <c r="B191" t="s">
        <v>29</v>
      </c>
      <c r="C191" t="s">
        <v>15</v>
      </c>
      <c r="D191" s="29">
        <v>43100</v>
      </c>
      <c r="E191" s="29">
        <v>3</v>
      </c>
    </row>
    <row r="192" spans="2:5" x14ac:dyDescent="0.2">
      <c r="B192" t="s">
        <v>29</v>
      </c>
      <c r="C192" t="s">
        <v>11</v>
      </c>
      <c r="D192" s="29">
        <v>22900</v>
      </c>
      <c r="E192" s="29">
        <v>2</v>
      </c>
    </row>
    <row r="193" spans="2:5" x14ac:dyDescent="0.2">
      <c r="B193" t="s">
        <v>83</v>
      </c>
      <c r="D193" s="29">
        <v>128550</v>
      </c>
      <c r="E193" s="29">
        <v>10</v>
      </c>
    </row>
    <row r="194" spans="2:5" x14ac:dyDescent="0.2">
      <c r="B194" t="s">
        <v>33</v>
      </c>
      <c r="C194" t="s">
        <v>8</v>
      </c>
      <c r="D194" s="29">
        <v>82500</v>
      </c>
      <c r="E194" s="29">
        <v>7</v>
      </c>
    </row>
    <row r="195" spans="2:5" x14ac:dyDescent="0.2">
      <c r="B195" t="s">
        <v>33</v>
      </c>
      <c r="C195" t="s">
        <v>22</v>
      </c>
      <c r="D195" s="29">
        <v>38650</v>
      </c>
      <c r="E195" s="29">
        <v>3</v>
      </c>
    </row>
    <row r="196" spans="2:5" x14ac:dyDescent="0.2">
      <c r="B196" t="s">
        <v>33</v>
      </c>
      <c r="C196" t="s">
        <v>15</v>
      </c>
      <c r="D196" s="29">
        <v>39200</v>
      </c>
      <c r="E196" s="29">
        <v>3</v>
      </c>
    </row>
    <row r="197" spans="2:5" x14ac:dyDescent="0.2">
      <c r="B197" t="s">
        <v>33</v>
      </c>
      <c r="C197" t="s">
        <v>11</v>
      </c>
      <c r="D197" s="29">
        <v>11600</v>
      </c>
      <c r="E197" s="29">
        <v>1</v>
      </c>
    </row>
    <row r="198" spans="2:5" x14ac:dyDescent="0.2">
      <c r="B198" t="s">
        <v>84</v>
      </c>
      <c r="D198" s="29">
        <v>171950</v>
      </c>
      <c r="E198" s="29">
        <v>14</v>
      </c>
    </row>
    <row r="199" spans="2:5" x14ac:dyDescent="0.2">
      <c r="B199" t="s">
        <v>10</v>
      </c>
      <c r="C199" t="s">
        <v>8</v>
      </c>
      <c r="D199" s="29">
        <v>60900</v>
      </c>
      <c r="E199" s="29">
        <v>5</v>
      </c>
    </row>
    <row r="200" spans="2:5" x14ac:dyDescent="0.2">
      <c r="B200" t="s">
        <v>10</v>
      </c>
      <c r="C200" t="s">
        <v>22</v>
      </c>
      <c r="D200" s="29">
        <v>49250</v>
      </c>
      <c r="E200" s="29">
        <v>4</v>
      </c>
    </row>
    <row r="201" spans="2:5" x14ac:dyDescent="0.2">
      <c r="B201" t="s">
        <v>10</v>
      </c>
      <c r="C201" t="s">
        <v>11</v>
      </c>
      <c r="D201" s="29">
        <v>35000</v>
      </c>
      <c r="E201" s="29">
        <v>3</v>
      </c>
    </row>
    <row r="202" spans="2:5" x14ac:dyDescent="0.2">
      <c r="B202" t="s">
        <v>85</v>
      </c>
      <c r="D202" s="29">
        <v>145150</v>
      </c>
      <c r="E202" s="29">
        <v>12</v>
      </c>
    </row>
    <row r="203" spans="2:5" x14ac:dyDescent="0.2">
      <c r="B203" t="s">
        <v>24</v>
      </c>
      <c r="C203" t="s">
        <v>8</v>
      </c>
      <c r="D203" s="29">
        <v>23950</v>
      </c>
      <c r="E203" s="29">
        <v>2</v>
      </c>
    </row>
    <row r="204" spans="2:5" x14ac:dyDescent="0.2">
      <c r="B204" t="s">
        <v>24</v>
      </c>
      <c r="C204" t="s">
        <v>22</v>
      </c>
      <c r="D204" s="29">
        <v>79900</v>
      </c>
      <c r="E204" s="29">
        <v>6</v>
      </c>
    </row>
    <row r="205" spans="2:5" x14ac:dyDescent="0.2">
      <c r="B205" t="s">
        <v>24</v>
      </c>
      <c r="C205" t="s">
        <v>15</v>
      </c>
      <c r="D205" s="29">
        <v>86950</v>
      </c>
      <c r="E205" s="29">
        <v>7</v>
      </c>
    </row>
    <row r="206" spans="2:5" x14ac:dyDescent="0.2">
      <c r="B206" t="s">
        <v>24</v>
      </c>
      <c r="C206" t="s">
        <v>11</v>
      </c>
      <c r="D206" s="29">
        <v>48550</v>
      </c>
      <c r="E206" s="29">
        <v>4</v>
      </c>
    </row>
    <row r="207" spans="2:5" x14ac:dyDescent="0.2">
      <c r="B207" t="s">
        <v>86</v>
      </c>
      <c r="D207" s="29">
        <v>239350</v>
      </c>
      <c r="E207" s="29">
        <v>19</v>
      </c>
    </row>
    <row r="208" spans="2:5" x14ac:dyDescent="0.2">
      <c r="B208" t="s">
        <v>21</v>
      </c>
      <c r="C208" t="s">
        <v>8</v>
      </c>
      <c r="D208" s="29">
        <v>13050</v>
      </c>
      <c r="E208" s="29">
        <v>1</v>
      </c>
    </row>
    <row r="209" spans="2:5" x14ac:dyDescent="0.2">
      <c r="B209" t="s">
        <v>21</v>
      </c>
      <c r="C209" t="s">
        <v>22</v>
      </c>
      <c r="D209" s="29">
        <v>96250</v>
      </c>
      <c r="E209" s="29">
        <v>8</v>
      </c>
    </row>
    <row r="210" spans="2:5" x14ac:dyDescent="0.2">
      <c r="B210" t="s">
        <v>21</v>
      </c>
      <c r="C210" t="s">
        <v>15</v>
      </c>
      <c r="D210" s="29">
        <v>28300</v>
      </c>
      <c r="E210" s="29">
        <v>2</v>
      </c>
    </row>
    <row r="211" spans="2:5" x14ac:dyDescent="0.2">
      <c r="B211" t="s">
        <v>21</v>
      </c>
      <c r="C211" t="s">
        <v>11</v>
      </c>
      <c r="D211" s="29">
        <v>24300</v>
      </c>
      <c r="E211" s="29">
        <v>2</v>
      </c>
    </row>
    <row r="212" spans="2:5" x14ac:dyDescent="0.2">
      <c r="B212" t="s">
        <v>87</v>
      </c>
      <c r="D212" s="29">
        <v>161900</v>
      </c>
      <c r="E212" s="29">
        <v>13</v>
      </c>
    </row>
    <row r="213" spans="2:5" x14ac:dyDescent="0.2">
      <c r="B213" t="s">
        <v>13</v>
      </c>
      <c r="C213" t="s">
        <v>8</v>
      </c>
      <c r="D213" s="29">
        <v>25100</v>
      </c>
      <c r="E213" s="29">
        <v>2</v>
      </c>
    </row>
    <row r="214" spans="2:5" x14ac:dyDescent="0.2">
      <c r="B214" t="s">
        <v>13</v>
      </c>
      <c r="C214" t="s">
        <v>22</v>
      </c>
      <c r="D214" s="29">
        <v>47100</v>
      </c>
      <c r="E214" s="29">
        <v>4</v>
      </c>
    </row>
    <row r="215" spans="2:5" x14ac:dyDescent="0.2">
      <c r="B215" t="s">
        <v>13</v>
      </c>
      <c r="C215" t="s">
        <v>15</v>
      </c>
      <c r="D215" s="29">
        <v>53000</v>
      </c>
      <c r="E215" s="29">
        <v>4</v>
      </c>
    </row>
    <row r="216" spans="2:5" x14ac:dyDescent="0.2">
      <c r="B216" t="s">
        <v>13</v>
      </c>
      <c r="C216" t="s">
        <v>11</v>
      </c>
      <c r="D216" s="29">
        <v>38600</v>
      </c>
      <c r="E216" s="29">
        <v>3</v>
      </c>
    </row>
    <row r="217" spans="2:5" x14ac:dyDescent="0.2">
      <c r="B217" t="s">
        <v>88</v>
      </c>
      <c r="D217" s="29">
        <v>163800</v>
      </c>
      <c r="E217" s="29">
        <v>13</v>
      </c>
    </row>
    <row r="218" spans="2:5" x14ac:dyDescent="0.2">
      <c r="B218" t="s">
        <v>7</v>
      </c>
      <c r="C218" t="s">
        <v>8</v>
      </c>
      <c r="D218" s="29">
        <v>12650</v>
      </c>
      <c r="E218" s="29">
        <v>1</v>
      </c>
    </row>
    <row r="219" spans="2:5" x14ac:dyDescent="0.2">
      <c r="B219" t="s">
        <v>7</v>
      </c>
      <c r="C219" t="s">
        <v>22</v>
      </c>
      <c r="D219" s="29">
        <v>48050</v>
      </c>
      <c r="E219" s="29">
        <v>4</v>
      </c>
    </row>
    <row r="220" spans="2:5" x14ac:dyDescent="0.2">
      <c r="B220" t="s">
        <v>7</v>
      </c>
      <c r="C220" t="s">
        <v>15</v>
      </c>
      <c r="D220" s="29">
        <v>64250</v>
      </c>
      <c r="E220" s="29">
        <v>5</v>
      </c>
    </row>
    <row r="221" spans="2:5" x14ac:dyDescent="0.2">
      <c r="B221" t="s">
        <v>7</v>
      </c>
      <c r="C221" t="s">
        <v>11</v>
      </c>
      <c r="D221" s="29">
        <v>53500</v>
      </c>
      <c r="E221" s="29">
        <v>4</v>
      </c>
    </row>
    <row r="222" spans="2:5" x14ac:dyDescent="0.2">
      <c r="B222" t="s">
        <v>89</v>
      </c>
      <c r="D222" s="29">
        <v>178450</v>
      </c>
      <c r="E222" s="29">
        <v>14</v>
      </c>
    </row>
    <row r="223" spans="2:5" x14ac:dyDescent="0.2">
      <c r="B223" t="s">
        <v>28</v>
      </c>
      <c r="C223" t="s">
        <v>8</v>
      </c>
      <c r="D223" s="29">
        <v>36700</v>
      </c>
      <c r="E223" s="29">
        <v>3</v>
      </c>
    </row>
    <row r="224" spans="2:5" x14ac:dyDescent="0.2">
      <c r="B224" t="s">
        <v>28</v>
      </c>
      <c r="C224" t="s">
        <v>22</v>
      </c>
      <c r="D224" s="29">
        <v>71950</v>
      </c>
      <c r="E224" s="29">
        <v>6</v>
      </c>
    </row>
    <row r="225" spans="1:5" x14ac:dyDescent="0.2">
      <c r="B225" t="s">
        <v>28</v>
      </c>
      <c r="C225" t="s">
        <v>15</v>
      </c>
      <c r="D225" s="29">
        <v>61300</v>
      </c>
      <c r="E225" s="29">
        <v>5</v>
      </c>
    </row>
    <row r="226" spans="1:5" x14ac:dyDescent="0.2">
      <c r="B226" t="s">
        <v>28</v>
      </c>
      <c r="C226" t="s">
        <v>11</v>
      </c>
      <c r="D226" s="29">
        <v>14650</v>
      </c>
      <c r="E226" s="29">
        <v>1</v>
      </c>
    </row>
    <row r="227" spans="1:5" x14ac:dyDescent="0.2">
      <c r="B227" t="s">
        <v>90</v>
      </c>
      <c r="D227" s="29">
        <v>184600</v>
      </c>
      <c r="E227" s="29">
        <v>15</v>
      </c>
    </row>
    <row r="228" spans="1:5" x14ac:dyDescent="0.2">
      <c r="B228" t="s">
        <v>17</v>
      </c>
      <c r="C228" t="s">
        <v>8</v>
      </c>
      <c r="D228" s="29">
        <v>84000</v>
      </c>
      <c r="E228" s="29">
        <v>7</v>
      </c>
    </row>
    <row r="229" spans="1:5" x14ac:dyDescent="0.2">
      <c r="B229" t="s">
        <v>17</v>
      </c>
      <c r="C229" t="s">
        <v>22</v>
      </c>
      <c r="D229" s="29">
        <v>24200</v>
      </c>
      <c r="E229" s="29">
        <v>2</v>
      </c>
    </row>
    <row r="230" spans="1:5" x14ac:dyDescent="0.2">
      <c r="B230" t="s">
        <v>17</v>
      </c>
      <c r="C230" t="s">
        <v>15</v>
      </c>
      <c r="D230" s="29">
        <v>25500</v>
      </c>
      <c r="E230" s="29">
        <v>2</v>
      </c>
    </row>
    <row r="231" spans="1:5" x14ac:dyDescent="0.2">
      <c r="B231" t="s">
        <v>17</v>
      </c>
      <c r="C231" t="s">
        <v>11</v>
      </c>
      <c r="D231" s="29">
        <v>23600</v>
      </c>
      <c r="E231" s="29">
        <v>2</v>
      </c>
    </row>
    <row r="232" spans="1:5" x14ac:dyDescent="0.2">
      <c r="B232" t="s">
        <v>91</v>
      </c>
      <c r="D232" s="29">
        <v>157300</v>
      </c>
      <c r="E232" s="29">
        <v>13</v>
      </c>
    </row>
    <row r="233" spans="1:5" x14ac:dyDescent="0.2">
      <c r="A233" t="s">
        <v>34</v>
      </c>
      <c r="D233" s="29">
        <v>7405200</v>
      </c>
      <c r="E233" s="29">
        <v>590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E62F5-8158-4DC9-97AB-3A2C4CB4883F}">
  <sheetPr codeName="Sheet2"/>
  <dimension ref="A1:O16"/>
  <sheetViews>
    <sheetView showGridLines="0" zoomScale="250" zoomScaleNormal="250" workbookViewId="0">
      <selection activeCell="A2" sqref="A2:O8"/>
    </sheetView>
  </sheetViews>
  <sheetFormatPr defaultRowHeight="12" x14ac:dyDescent="0.2"/>
  <cols>
    <col min="3" max="3" width="9.1640625" bestFit="1" customWidth="1"/>
    <col min="4" max="4" width="9.33203125" bestFit="1" customWidth="1"/>
    <col min="5" max="5" width="9.1640625" bestFit="1" customWidth="1"/>
    <col min="6" max="6" width="9.6640625" bestFit="1" customWidth="1"/>
    <col min="7" max="8" width="8.83203125" bestFit="1" customWidth="1"/>
    <col min="9" max="9" width="9.6640625" bestFit="1" customWidth="1"/>
    <col min="10" max="10" width="9.33203125" bestFit="1" customWidth="1"/>
    <col min="11" max="11" width="9.1640625" bestFit="1" customWidth="1"/>
    <col min="12" max="12" width="9.6640625" bestFit="1" customWidth="1"/>
    <col min="13" max="13" width="9.33203125" bestFit="1" customWidth="1"/>
    <col min="14" max="14" width="8.83203125" bestFit="1" customWidth="1"/>
    <col min="15" max="15" width="9.1640625" bestFit="1" customWidth="1"/>
  </cols>
  <sheetData>
    <row r="1" spans="1:15" x14ac:dyDescent="0.2">
      <c r="B1" s="17" t="s">
        <v>64</v>
      </c>
    </row>
    <row r="2" spans="1:15" x14ac:dyDescent="0.2">
      <c r="A2" s="18" t="s">
        <v>57</v>
      </c>
      <c r="B2" s="19">
        <v>44592</v>
      </c>
      <c r="C2" s="19">
        <f>EOMONTH(B2,1)</f>
        <v>44620</v>
      </c>
      <c r="D2" s="19">
        <f t="shared" ref="D2:O2" si="0">EOMONTH(C2,1)</f>
        <v>44651</v>
      </c>
      <c r="E2" s="19">
        <f t="shared" si="0"/>
        <v>44681</v>
      </c>
      <c r="F2" s="19">
        <f t="shared" si="0"/>
        <v>44712</v>
      </c>
      <c r="G2" s="19">
        <f t="shared" si="0"/>
        <v>44742</v>
      </c>
      <c r="H2" s="19">
        <f t="shared" si="0"/>
        <v>44773</v>
      </c>
      <c r="I2" s="19">
        <f t="shared" si="0"/>
        <v>44804</v>
      </c>
      <c r="J2" s="19">
        <f t="shared" si="0"/>
        <v>44834</v>
      </c>
      <c r="K2" s="19">
        <f t="shared" si="0"/>
        <v>44865</v>
      </c>
      <c r="L2" s="19">
        <f t="shared" si="0"/>
        <v>44895</v>
      </c>
      <c r="M2" s="19">
        <f t="shared" si="0"/>
        <v>44926</v>
      </c>
      <c r="N2" s="19">
        <f t="shared" si="0"/>
        <v>44957</v>
      </c>
      <c r="O2" s="19">
        <f t="shared" si="0"/>
        <v>44985</v>
      </c>
    </row>
    <row r="3" spans="1:15" x14ac:dyDescent="0.2">
      <c r="A3" s="18" t="s">
        <v>58</v>
      </c>
      <c r="B3" s="18">
        <v>88</v>
      </c>
      <c r="C3" s="18">
        <v>57</v>
      </c>
      <c r="D3" s="18">
        <v>85</v>
      </c>
      <c r="E3" s="18">
        <v>19</v>
      </c>
      <c r="F3" s="18">
        <v>52</v>
      </c>
      <c r="G3" s="18">
        <v>38</v>
      </c>
      <c r="H3" s="18">
        <v>74</v>
      </c>
      <c r="I3" s="18">
        <v>86</v>
      </c>
      <c r="J3" s="18">
        <v>26</v>
      </c>
      <c r="K3" s="18">
        <v>52</v>
      </c>
      <c r="L3" s="18">
        <v>62</v>
      </c>
      <c r="M3" s="18">
        <v>31</v>
      </c>
      <c r="N3" s="18">
        <v>93</v>
      </c>
      <c r="O3" s="18">
        <v>33</v>
      </c>
    </row>
    <row r="4" spans="1:15" x14ac:dyDescent="0.2">
      <c r="A4" s="18" t="s">
        <v>59</v>
      </c>
      <c r="B4" s="18">
        <v>69</v>
      </c>
      <c r="C4" s="18">
        <v>35</v>
      </c>
      <c r="D4" s="18">
        <v>96</v>
      </c>
      <c r="E4" s="18">
        <v>38</v>
      </c>
      <c r="F4" s="18">
        <v>55</v>
      </c>
      <c r="G4" s="18">
        <v>21</v>
      </c>
      <c r="H4" s="18">
        <v>41</v>
      </c>
      <c r="I4" s="18">
        <v>91</v>
      </c>
      <c r="J4" s="18">
        <v>48</v>
      </c>
      <c r="K4" s="18">
        <v>82</v>
      </c>
      <c r="L4" s="18">
        <v>74</v>
      </c>
      <c r="M4" s="18">
        <v>67</v>
      </c>
      <c r="N4" s="18">
        <v>69</v>
      </c>
      <c r="O4" s="18">
        <v>10</v>
      </c>
    </row>
    <row r="5" spans="1:15" x14ac:dyDescent="0.2">
      <c r="A5" s="18" t="s">
        <v>60</v>
      </c>
      <c r="B5" s="18">
        <v>63</v>
      </c>
      <c r="C5" s="18">
        <v>71</v>
      </c>
      <c r="D5" s="18">
        <v>70</v>
      </c>
      <c r="E5" s="18">
        <v>71</v>
      </c>
      <c r="F5" s="18">
        <v>68</v>
      </c>
      <c r="G5" s="18">
        <v>62</v>
      </c>
      <c r="H5" s="18">
        <v>91</v>
      </c>
      <c r="I5" s="18">
        <v>100</v>
      </c>
      <c r="J5" s="18">
        <v>28</v>
      </c>
      <c r="K5" s="18">
        <v>51</v>
      </c>
      <c r="L5" s="18">
        <v>51</v>
      </c>
      <c r="M5" s="18">
        <v>47</v>
      </c>
      <c r="N5" s="18">
        <v>86</v>
      </c>
      <c r="O5" s="18">
        <v>70</v>
      </c>
    </row>
    <row r="6" spans="1:15" x14ac:dyDescent="0.2">
      <c r="A6" s="18" t="s">
        <v>61</v>
      </c>
      <c r="B6" s="18">
        <v>90</v>
      </c>
      <c r="C6" s="18">
        <v>74</v>
      </c>
      <c r="D6" s="18">
        <v>50</v>
      </c>
      <c r="E6" s="18">
        <v>75</v>
      </c>
      <c r="F6" s="18">
        <v>52</v>
      </c>
      <c r="G6" s="18">
        <v>62</v>
      </c>
      <c r="H6" s="18">
        <v>90</v>
      </c>
      <c r="I6" s="18">
        <v>21</v>
      </c>
      <c r="J6" s="18">
        <v>47</v>
      </c>
      <c r="K6" s="18">
        <v>93</v>
      </c>
      <c r="L6" s="18">
        <v>46</v>
      </c>
      <c r="M6" s="18">
        <v>10</v>
      </c>
      <c r="N6" s="18">
        <v>11</v>
      </c>
      <c r="O6" s="18">
        <v>75</v>
      </c>
    </row>
    <row r="7" spans="1:15" x14ac:dyDescent="0.2">
      <c r="A7" s="18" t="s">
        <v>62</v>
      </c>
      <c r="B7" s="18">
        <v>88</v>
      </c>
      <c r="C7" s="18">
        <v>18</v>
      </c>
      <c r="D7" s="18">
        <v>34</v>
      </c>
      <c r="E7" s="18">
        <v>92</v>
      </c>
      <c r="F7" s="18">
        <v>64</v>
      </c>
      <c r="G7" s="18">
        <v>63</v>
      </c>
      <c r="H7" s="18">
        <v>78</v>
      </c>
      <c r="I7" s="18">
        <v>27</v>
      </c>
      <c r="J7" s="18">
        <v>64</v>
      </c>
      <c r="K7" s="18">
        <v>37</v>
      </c>
      <c r="L7" s="18">
        <v>24</v>
      </c>
      <c r="M7" s="18">
        <v>18</v>
      </c>
      <c r="N7" s="18">
        <v>17</v>
      </c>
      <c r="O7" s="18">
        <v>59</v>
      </c>
    </row>
    <row r="8" spans="1:15" x14ac:dyDescent="0.2">
      <c r="A8" s="18" t="s">
        <v>63</v>
      </c>
      <c r="B8" s="18">
        <v>32</v>
      </c>
      <c r="C8" s="18">
        <v>38</v>
      </c>
      <c r="D8" s="18">
        <v>66</v>
      </c>
      <c r="E8" s="18">
        <v>42</v>
      </c>
      <c r="F8" s="18">
        <v>81</v>
      </c>
      <c r="G8" s="18">
        <v>77</v>
      </c>
      <c r="H8" s="18">
        <v>42</v>
      </c>
      <c r="I8" s="18">
        <v>40</v>
      </c>
      <c r="J8" s="18">
        <v>74</v>
      </c>
      <c r="K8" s="18">
        <v>35</v>
      </c>
      <c r="L8" s="18">
        <v>65</v>
      </c>
      <c r="M8" s="18">
        <v>99</v>
      </c>
      <c r="N8" s="18">
        <v>51</v>
      </c>
      <c r="O8" s="18">
        <v>58</v>
      </c>
    </row>
    <row r="12" spans="1:15" x14ac:dyDescent="0.2">
      <c r="A12" s="27" t="s">
        <v>94</v>
      </c>
      <c r="B12" s="27" t="s">
        <v>95</v>
      </c>
      <c r="C12" s="27" t="s">
        <v>96</v>
      </c>
    </row>
    <row r="13" spans="1:15" x14ac:dyDescent="0.2">
      <c r="A13">
        <v>2022</v>
      </c>
      <c r="B13" t="s">
        <v>97</v>
      </c>
      <c r="C13" t="s">
        <v>98</v>
      </c>
    </row>
    <row r="14" spans="1:15" x14ac:dyDescent="0.2">
      <c r="B14" t="s">
        <v>99</v>
      </c>
      <c r="C14" t="s">
        <v>98</v>
      </c>
    </row>
    <row r="15" spans="1:15" x14ac:dyDescent="0.2">
      <c r="B15" t="s">
        <v>100</v>
      </c>
      <c r="C15" t="s">
        <v>98</v>
      </c>
    </row>
    <row r="16" spans="1:15" x14ac:dyDescent="0.2">
      <c r="B16" t="s">
        <v>101</v>
      </c>
      <c r="C16" t="s">
        <v>98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A067D-A3BD-49A1-B672-2A65D29B30CE}">
  <sheetPr codeName="Sheet3"/>
  <dimension ref="A1:D43"/>
  <sheetViews>
    <sheetView showGridLines="0" zoomScale="259" workbookViewId="0">
      <selection activeCell="D7" sqref="D7"/>
    </sheetView>
  </sheetViews>
  <sheetFormatPr defaultRowHeight="12" x14ac:dyDescent="0.2"/>
  <cols>
    <col min="1" max="1" width="11.6640625" customWidth="1"/>
    <col min="2" max="2" width="9.83203125" bestFit="1" customWidth="1"/>
    <col min="3" max="3" width="8.6640625" bestFit="1" customWidth="1"/>
    <col min="4" max="4" width="12.6640625" bestFit="1" customWidth="1"/>
    <col min="5" max="5" width="14.33203125" bestFit="1" customWidth="1"/>
  </cols>
  <sheetData>
    <row r="1" spans="1:4" x14ac:dyDescent="0.2">
      <c r="A1" s="21" t="s">
        <v>1</v>
      </c>
      <c r="B1" s="16" t="s">
        <v>27</v>
      </c>
    </row>
    <row r="3" spans="1:4" x14ac:dyDescent="0.2">
      <c r="A3" s="9" t="s">
        <v>47</v>
      </c>
      <c r="B3" s="9" t="s">
        <v>78</v>
      </c>
      <c r="C3" s="10" t="s">
        <v>65</v>
      </c>
      <c r="D3" s="22" t="s">
        <v>56</v>
      </c>
    </row>
    <row r="4" spans="1:4" x14ac:dyDescent="0.2">
      <c r="A4" s="10" t="s">
        <v>48</v>
      </c>
      <c r="B4" s="11" t="s">
        <v>35</v>
      </c>
      <c r="C4" s="31">
        <v>12350</v>
      </c>
      <c r="D4" s="32">
        <v>12350</v>
      </c>
    </row>
    <row r="5" spans="1:4" x14ac:dyDescent="0.2">
      <c r="A5" s="12" t="s">
        <v>48</v>
      </c>
      <c r="B5" s="20" t="s">
        <v>36</v>
      </c>
      <c r="C5" s="33">
        <v>13500</v>
      </c>
      <c r="D5" s="34">
        <v>25850</v>
      </c>
    </row>
    <row r="6" spans="1:4" x14ac:dyDescent="0.2">
      <c r="A6" s="12" t="s">
        <v>48</v>
      </c>
      <c r="B6" s="20" t="s">
        <v>37</v>
      </c>
      <c r="C6" s="33">
        <v>14400</v>
      </c>
      <c r="D6" s="34">
        <v>40250</v>
      </c>
    </row>
    <row r="7" spans="1:4" x14ac:dyDescent="0.2">
      <c r="A7" s="12" t="s">
        <v>48</v>
      </c>
      <c r="B7" s="20" t="s">
        <v>44</v>
      </c>
      <c r="C7" s="33">
        <v>12700</v>
      </c>
      <c r="D7" s="34">
        <v>52950</v>
      </c>
    </row>
    <row r="8" spans="1:4" x14ac:dyDescent="0.2">
      <c r="A8" s="12" t="s">
        <v>48</v>
      </c>
      <c r="B8" s="20" t="s">
        <v>45</v>
      </c>
      <c r="C8" s="33">
        <v>52250</v>
      </c>
      <c r="D8" s="34">
        <v>105200</v>
      </c>
    </row>
    <row r="9" spans="1:4" x14ac:dyDescent="0.2">
      <c r="A9" s="12" t="s">
        <v>48</v>
      </c>
      <c r="B9" s="20" t="s">
        <v>38</v>
      </c>
      <c r="C9" s="33">
        <v>37550</v>
      </c>
      <c r="D9" s="34">
        <v>142750</v>
      </c>
    </row>
    <row r="10" spans="1:4" x14ac:dyDescent="0.2">
      <c r="A10" s="12" t="s">
        <v>48</v>
      </c>
      <c r="B10" s="20" t="s">
        <v>46</v>
      </c>
      <c r="C10" s="33">
        <v>25200</v>
      </c>
      <c r="D10" s="34">
        <v>167950</v>
      </c>
    </row>
    <row r="11" spans="1:4" x14ac:dyDescent="0.2">
      <c r="A11" s="12" t="s">
        <v>48</v>
      </c>
      <c r="B11" s="20" t="s">
        <v>39</v>
      </c>
      <c r="C11" s="33">
        <v>13850</v>
      </c>
      <c r="D11" s="34">
        <v>181800</v>
      </c>
    </row>
    <row r="12" spans="1:4" x14ac:dyDescent="0.2">
      <c r="A12" s="12" t="s">
        <v>48</v>
      </c>
      <c r="B12" s="20" t="s">
        <v>40</v>
      </c>
      <c r="C12" s="33">
        <v>25400</v>
      </c>
      <c r="D12" s="34">
        <v>207200</v>
      </c>
    </row>
    <row r="13" spans="1:4" x14ac:dyDescent="0.2">
      <c r="A13" s="12" t="s">
        <v>48</v>
      </c>
      <c r="B13" s="20" t="s">
        <v>41</v>
      </c>
      <c r="C13" s="33">
        <v>11350</v>
      </c>
      <c r="D13" s="34">
        <v>218550</v>
      </c>
    </row>
    <row r="14" spans="1:4" x14ac:dyDescent="0.2">
      <c r="A14" s="12" t="s">
        <v>48</v>
      </c>
      <c r="B14" s="20" t="s">
        <v>42</v>
      </c>
      <c r="C14" s="33">
        <v>24600</v>
      </c>
      <c r="D14" s="34">
        <v>243150</v>
      </c>
    </row>
    <row r="15" spans="1:4" x14ac:dyDescent="0.2">
      <c r="A15" s="12" t="s">
        <v>48</v>
      </c>
      <c r="B15" s="20" t="s">
        <v>43</v>
      </c>
      <c r="C15" s="33">
        <v>13600</v>
      </c>
      <c r="D15" s="34">
        <v>256750</v>
      </c>
    </row>
    <row r="16" spans="1:4" x14ac:dyDescent="0.2">
      <c r="A16" s="10" t="s">
        <v>49</v>
      </c>
      <c r="B16" s="13"/>
      <c r="C16" s="31">
        <v>256750</v>
      </c>
      <c r="D16" s="32"/>
    </row>
    <row r="17" spans="1:4" x14ac:dyDescent="0.2">
      <c r="A17" s="10" t="s">
        <v>50</v>
      </c>
      <c r="B17" s="11" t="s">
        <v>35</v>
      </c>
      <c r="C17" s="31">
        <v>22000</v>
      </c>
      <c r="D17" s="32">
        <v>22000</v>
      </c>
    </row>
    <row r="18" spans="1:4" x14ac:dyDescent="0.2">
      <c r="A18" s="12" t="s">
        <v>50</v>
      </c>
      <c r="B18" s="20" t="s">
        <v>37</v>
      </c>
      <c r="C18" s="33">
        <v>13600</v>
      </c>
      <c r="D18" s="34">
        <v>35600</v>
      </c>
    </row>
    <row r="19" spans="1:4" x14ac:dyDescent="0.2">
      <c r="A19" s="12" t="s">
        <v>50</v>
      </c>
      <c r="B19" s="20" t="s">
        <v>39</v>
      </c>
      <c r="C19" s="33">
        <v>12300</v>
      </c>
      <c r="D19" s="34">
        <v>47900</v>
      </c>
    </row>
    <row r="20" spans="1:4" x14ac:dyDescent="0.2">
      <c r="A20" s="12" t="s">
        <v>50</v>
      </c>
      <c r="B20" s="20" t="s">
        <v>42</v>
      </c>
      <c r="C20" s="33">
        <v>10100</v>
      </c>
      <c r="D20" s="34">
        <v>58000</v>
      </c>
    </row>
    <row r="21" spans="1:4" x14ac:dyDescent="0.2">
      <c r="A21" s="12" t="s">
        <v>50</v>
      </c>
      <c r="B21" s="20" t="s">
        <v>43</v>
      </c>
      <c r="C21" s="33">
        <v>33150</v>
      </c>
      <c r="D21" s="34">
        <v>91150</v>
      </c>
    </row>
    <row r="22" spans="1:4" x14ac:dyDescent="0.2">
      <c r="A22" s="10" t="s">
        <v>51</v>
      </c>
      <c r="B22" s="13"/>
      <c r="C22" s="31">
        <v>91150</v>
      </c>
      <c r="D22" s="32"/>
    </row>
    <row r="23" spans="1:4" x14ac:dyDescent="0.2">
      <c r="A23" s="10" t="s">
        <v>52</v>
      </c>
      <c r="B23" s="11" t="s">
        <v>36</v>
      </c>
      <c r="C23" s="31">
        <v>24200</v>
      </c>
      <c r="D23" s="32">
        <v>24200</v>
      </c>
    </row>
    <row r="24" spans="1:4" x14ac:dyDescent="0.2">
      <c r="A24" s="12" t="s">
        <v>52</v>
      </c>
      <c r="B24" s="20" t="s">
        <v>37</v>
      </c>
      <c r="C24" s="33">
        <v>12100</v>
      </c>
      <c r="D24" s="34">
        <v>36300</v>
      </c>
    </row>
    <row r="25" spans="1:4" x14ac:dyDescent="0.2">
      <c r="A25" s="12" t="s">
        <v>52</v>
      </c>
      <c r="B25" s="20" t="s">
        <v>45</v>
      </c>
      <c r="C25" s="33">
        <v>12850</v>
      </c>
      <c r="D25" s="34">
        <v>49150</v>
      </c>
    </row>
    <row r="26" spans="1:4" x14ac:dyDescent="0.2">
      <c r="A26" s="12" t="s">
        <v>52</v>
      </c>
      <c r="B26" s="20" t="s">
        <v>38</v>
      </c>
      <c r="C26" s="33">
        <v>11550</v>
      </c>
      <c r="D26" s="34">
        <v>60700</v>
      </c>
    </row>
    <row r="27" spans="1:4" x14ac:dyDescent="0.2">
      <c r="A27" s="12" t="s">
        <v>52</v>
      </c>
      <c r="B27" s="20" t="s">
        <v>46</v>
      </c>
      <c r="C27" s="33">
        <v>26700</v>
      </c>
      <c r="D27" s="34">
        <v>87400</v>
      </c>
    </row>
    <row r="28" spans="1:4" x14ac:dyDescent="0.2">
      <c r="A28" s="12" t="s">
        <v>52</v>
      </c>
      <c r="B28" s="20" t="s">
        <v>40</v>
      </c>
      <c r="C28" s="33">
        <v>13250</v>
      </c>
      <c r="D28" s="34">
        <v>100650</v>
      </c>
    </row>
    <row r="29" spans="1:4" x14ac:dyDescent="0.2">
      <c r="A29" s="12" t="s">
        <v>52</v>
      </c>
      <c r="B29" s="20" t="s">
        <v>42</v>
      </c>
      <c r="C29" s="33">
        <v>14050</v>
      </c>
      <c r="D29" s="34">
        <v>114700</v>
      </c>
    </row>
    <row r="30" spans="1:4" x14ac:dyDescent="0.2">
      <c r="A30" s="12" t="s">
        <v>52</v>
      </c>
      <c r="B30" s="20" t="s">
        <v>43</v>
      </c>
      <c r="C30" s="33">
        <v>33700</v>
      </c>
      <c r="D30" s="34">
        <v>148400</v>
      </c>
    </row>
    <row r="31" spans="1:4" x14ac:dyDescent="0.2">
      <c r="A31" s="10" t="s">
        <v>53</v>
      </c>
      <c r="B31" s="13"/>
      <c r="C31" s="31">
        <v>148400</v>
      </c>
      <c r="D31" s="32"/>
    </row>
    <row r="32" spans="1:4" x14ac:dyDescent="0.2">
      <c r="A32" s="10" t="s">
        <v>54</v>
      </c>
      <c r="B32" s="11" t="s">
        <v>35</v>
      </c>
      <c r="C32" s="31">
        <v>34900</v>
      </c>
      <c r="D32" s="32">
        <v>34900</v>
      </c>
    </row>
    <row r="33" spans="1:4" x14ac:dyDescent="0.2">
      <c r="A33" s="12" t="s">
        <v>54</v>
      </c>
      <c r="B33" s="20" t="s">
        <v>36</v>
      </c>
      <c r="C33" s="33">
        <v>27950</v>
      </c>
      <c r="D33" s="34">
        <v>62850</v>
      </c>
    </row>
    <row r="34" spans="1:4" x14ac:dyDescent="0.2">
      <c r="A34" s="12" t="s">
        <v>54</v>
      </c>
      <c r="B34" s="20" t="s">
        <v>37</v>
      </c>
      <c r="C34" s="33">
        <v>22850</v>
      </c>
      <c r="D34" s="34">
        <v>85700</v>
      </c>
    </row>
    <row r="35" spans="1:4" x14ac:dyDescent="0.2">
      <c r="A35" s="12" t="s">
        <v>54</v>
      </c>
      <c r="B35" s="20" t="s">
        <v>44</v>
      </c>
      <c r="C35" s="33">
        <v>14850</v>
      </c>
      <c r="D35" s="34">
        <v>100550</v>
      </c>
    </row>
    <row r="36" spans="1:4" x14ac:dyDescent="0.2">
      <c r="A36" s="12" t="s">
        <v>54</v>
      </c>
      <c r="B36" s="20" t="s">
        <v>45</v>
      </c>
      <c r="C36" s="33">
        <v>13550</v>
      </c>
      <c r="D36" s="34">
        <v>114100</v>
      </c>
    </row>
    <row r="37" spans="1:4" x14ac:dyDescent="0.2">
      <c r="A37" s="12" t="s">
        <v>54</v>
      </c>
      <c r="B37" s="20" t="s">
        <v>46</v>
      </c>
      <c r="C37" s="33">
        <v>10000</v>
      </c>
      <c r="D37" s="34">
        <v>124100</v>
      </c>
    </row>
    <row r="38" spans="1:4" x14ac:dyDescent="0.2">
      <c r="A38" s="12" t="s">
        <v>54</v>
      </c>
      <c r="B38" s="20" t="s">
        <v>39</v>
      </c>
      <c r="C38" s="33">
        <v>25450</v>
      </c>
      <c r="D38" s="34">
        <v>149550</v>
      </c>
    </row>
    <row r="39" spans="1:4" x14ac:dyDescent="0.2">
      <c r="A39" s="12" t="s">
        <v>54</v>
      </c>
      <c r="B39" s="20" t="s">
        <v>41</v>
      </c>
      <c r="C39" s="33">
        <v>11200</v>
      </c>
      <c r="D39" s="34">
        <v>160750</v>
      </c>
    </row>
    <row r="40" spans="1:4" x14ac:dyDescent="0.2">
      <c r="A40" s="12" t="s">
        <v>54</v>
      </c>
      <c r="B40" s="20" t="s">
        <v>42</v>
      </c>
      <c r="C40" s="33">
        <v>14200</v>
      </c>
      <c r="D40" s="34">
        <v>174950</v>
      </c>
    </row>
    <row r="41" spans="1:4" x14ac:dyDescent="0.2">
      <c r="A41" s="12" t="s">
        <v>54</v>
      </c>
      <c r="B41" s="20" t="s">
        <v>43</v>
      </c>
      <c r="C41" s="33">
        <v>36400</v>
      </c>
      <c r="D41" s="34">
        <v>211350</v>
      </c>
    </row>
    <row r="42" spans="1:4" x14ac:dyDescent="0.2">
      <c r="A42" s="10" t="s">
        <v>55</v>
      </c>
      <c r="B42" s="13"/>
      <c r="C42" s="31">
        <v>211350</v>
      </c>
      <c r="D42" s="32"/>
    </row>
    <row r="43" spans="1:4" x14ac:dyDescent="0.2">
      <c r="A43" s="14" t="s">
        <v>34</v>
      </c>
      <c r="B43" s="15"/>
      <c r="C43" s="35">
        <v>707650</v>
      </c>
      <c r="D43" s="36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2ECBB-44C7-4598-B6FE-2A38EC25C9CB}">
  <sheetPr codeName="Sheet18"/>
  <dimension ref="A3:D64"/>
  <sheetViews>
    <sheetView showGridLines="0" zoomScale="259" workbookViewId="0">
      <selection activeCell="B6" sqref="B6"/>
    </sheetView>
  </sheetViews>
  <sheetFormatPr defaultRowHeight="12" x14ac:dyDescent="0.2"/>
  <cols>
    <col min="1" max="1" width="11.33203125" bestFit="1" customWidth="1"/>
    <col min="2" max="2" width="19.83203125" bestFit="1" customWidth="1"/>
    <col min="3" max="3" width="8.6640625" bestFit="1" customWidth="1"/>
    <col min="4" max="4" width="7.83203125" bestFit="1" customWidth="1"/>
    <col min="5" max="5" width="11.33203125" bestFit="1" customWidth="1"/>
  </cols>
  <sheetData>
    <row r="3" spans="1:4" x14ac:dyDescent="0.2">
      <c r="A3" s="9" t="s">
        <v>47</v>
      </c>
      <c r="B3" s="9" t="s">
        <v>107</v>
      </c>
      <c r="C3" s="9" t="s">
        <v>2</v>
      </c>
      <c r="D3" s="24" t="s">
        <v>65</v>
      </c>
    </row>
    <row r="4" spans="1:4" x14ac:dyDescent="0.2">
      <c r="A4" s="10" t="s">
        <v>48</v>
      </c>
      <c r="B4" s="10" t="s">
        <v>66</v>
      </c>
      <c r="C4" s="10" t="s">
        <v>19</v>
      </c>
      <c r="D4" s="37">
        <v>85850</v>
      </c>
    </row>
    <row r="5" spans="1:4" x14ac:dyDescent="0.2">
      <c r="A5" s="12" t="s">
        <v>48</v>
      </c>
      <c r="B5" s="12" t="s">
        <v>66</v>
      </c>
      <c r="C5" s="23" t="s">
        <v>26</v>
      </c>
      <c r="D5" s="38">
        <v>164400</v>
      </c>
    </row>
    <row r="6" spans="1:4" x14ac:dyDescent="0.2">
      <c r="A6" s="12" t="s">
        <v>48</v>
      </c>
      <c r="B6" s="12" t="s">
        <v>66</v>
      </c>
      <c r="C6" s="23" t="s">
        <v>30</v>
      </c>
      <c r="D6" s="38">
        <v>149800</v>
      </c>
    </row>
    <row r="7" spans="1:4" x14ac:dyDescent="0.2">
      <c r="A7" s="12" t="s">
        <v>48</v>
      </c>
      <c r="B7" s="12" t="s">
        <v>66</v>
      </c>
      <c r="C7" s="23" t="s">
        <v>29</v>
      </c>
      <c r="D7" s="38">
        <v>175650</v>
      </c>
    </row>
    <row r="8" spans="1:4" x14ac:dyDescent="0.2">
      <c r="A8" s="12" t="s">
        <v>48</v>
      </c>
      <c r="B8" s="12" t="s">
        <v>66</v>
      </c>
      <c r="C8" s="23" t="s">
        <v>33</v>
      </c>
      <c r="D8" s="38">
        <v>166200</v>
      </c>
    </row>
    <row r="9" spans="1:4" x14ac:dyDescent="0.2">
      <c r="A9" s="12" t="s">
        <v>48</v>
      </c>
      <c r="B9" s="12" t="s">
        <v>66</v>
      </c>
      <c r="C9" s="23" t="s">
        <v>10</v>
      </c>
      <c r="D9" s="38">
        <v>177450</v>
      </c>
    </row>
    <row r="10" spans="1:4" x14ac:dyDescent="0.2">
      <c r="A10" s="12" t="s">
        <v>48</v>
      </c>
      <c r="B10" s="10" t="s">
        <v>67</v>
      </c>
      <c r="C10" s="13"/>
      <c r="D10" s="37">
        <v>919350</v>
      </c>
    </row>
    <row r="11" spans="1:4" x14ac:dyDescent="0.2">
      <c r="A11" s="12" t="s">
        <v>48</v>
      </c>
      <c r="B11" s="10" t="s">
        <v>68</v>
      </c>
      <c r="C11" s="10" t="s">
        <v>24</v>
      </c>
      <c r="D11" s="37">
        <v>140550</v>
      </c>
    </row>
    <row r="12" spans="1:4" x14ac:dyDescent="0.2">
      <c r="A12" s="12" t="s">
        <v>48</v>
      </c>
      <c r="B12" s="12" t="s">
        <v>68</v>
      </c>
      <c r="C12" s="23" t="s">
        <v>21</v>
      </c>
      <c r="D12" s="38">
        <v>115300</v>
      </c>
    </row>
    <row r="13" spans="1:4" x14ac:dyDescent="0.2">
      <c r="A13" s="12" t="s">
        <v>48</v>
      </c>
      <c r="B13" s="12" t="s">
        <v>68</v>
      </c>
      <c r="C13" s="23" t="s">
        <v>13</v>
      </c>
      <c r="D13" s="38">
        <v>127500</v>
      </c>
    </row>
    <row r="14" spans="1:4" x14ac:dyDescent="0.2">
      <c r="A14" s="12" t="s">
        <v>48</v>
      </c>
      <c r="B14" s="12" t="s">
        <v>68</v>
      </c>
      <c r="C14" s="23" t="s">
        <v>7</v>
      </c>
      <c r="D14" s="38">
        <v>165550</v>
      </c>
    </row>
    <row r="15" spans="1:4" x14ac:dyDescent="0.2">
      <c r="A15" s="12" t="s">
        <v>48</v>
      </c>
      <c r="B15" s="12" t="s">
        <v>68</v>
      </c>
      <c r="C15" s="23" t="s">
        <v>28</v>
      </c>
      <c r="D15" s="38">
        <v>159750</v>
      </c>
    </row>
    <row r="16" spans="1:4" x14ac:dyDescent="0.2">
      <c r="A16" s="12" t="s">
        <v>48</v>
      </c>
      <c r="B16" s="12" t="s">
        <v>68</v>
      </c>
      <c r="C16" s="23" t="s">
        <v>17</v>
      </c>
      <c r="D16" s="38">
        <v>165800</v>
      </c>
    </row>
    <row r="17" spans="1:4" x14ac:dyDescent="0.2">
      <c r="A17" s="12" t="s">
        <v>48</v>
      </c>
      <c r="B17" s="10" t="s">
        <v>69</v>
      </c>
      <c r="C17" s="13"/>
      <c r="D17" s="37">
        <v>874450</v>
      </c>
    </row>
    <row r="18" spans="1:4" x14ac:dyDescent="0.2">
      <c r="A18" s="10" t="s">
        <v>49</v>
      </c>
      <c r="B18" s="13"/>
      <c r="C18" s="13"/>
      <c r="D18" s="37">
        <v>1793800</v>
      </c>
    </row>
    <row r="19" spans="1:4" x14ac:dyDescent="0.2">
      <c r="A19" s="10" t="s">
        <v>50</v>
      </c>
      <c r="B19" s="10" t="s">
        <v>66</v>
      </c>
      <c r="C19" s="10" t="s">
        <v>19</v>
      </c>
      <c r="D19" s="37">
        <v>110950</v>
      </c>
    </row>
    <row r="20" spans="1:4" x14ac:dyDescent="0.2">
      <c r="A20" s="12" t="s">
        <v>50</v>
      </c>
      <c r="B20" s="12" t="s">
        <v>66</v>
      </c>
      <c r="C20" s="23" t="s">
        <v>26</v>
      </c>
      <c r="D20" s="38">
        <v>118300</v>
      </c>
    </row>
    <row r="21" spans="1:4" x14ac:dyDescent="0.2">
      <c r="A21" s="12" t="s">
        <v>50</v>
      </c>
      <c r="B21" s="12" t="s">
        <v>66</v>
      </c>
      <c r="C21" s="23" t="s">
        <v>30</v>
      </c>
      <c r="D21" s="38">
        <v>196150</v>
      </c>
    </row>
    <row r="22" spans="1:4" x14ac:dyDescent="0.2">
      <c r="A22" s="12" t="s">
        <v>50</v>
      </c>
      <c r="B22" s="12" t="s">
        <v>66</v>
      </c>
      <c r="C22" s="23" t="s">
        <v>29</v>
      </c>
      <c r="D22" s="38">
        <v>161100</v>
      </c>
    </row>
    <row r="23" spans="1:4" x14ac:dyDescent="0.2">
      <c r="A23" s="12" t="s">
        <v>50</v>
      </c>
      <c r="B23" s="12" t="s">
        <v>66</v>
      </c>
      <c r="C23" s="23" t="s">
        <v>33</v>
      </c>
      <c r="D23" s="38">
        <v>107750</v>
      </c>
    </row>
    <row r="24" spans="1:4" x14ac:dyDescent="0.2">
      <c r="A24" s="12" t="s">
        <v>50</v>
      </c>
      <c r="B24" s="12" t="s">
        <v>66</v>
      </c>
      <c r="C24" s="23" t="s">
        <v>10</v>
      </c>
      <c r="D24" s="38">
        <v>168300</v>
      </c>
    </row>
    <row r="25" spans="1:4" x14ac:dyDescent="0.2">
      <c r="A25" s="12" t="s">
        <v>50</v>
      </c>
      <c r="B25" s="10" t="s">
        <v>67</v>
      </c>
      <c r="C25" s="13"/>
      <c r="D25" s="37">
        <v>862550</v>
      </c>
    </row>
    <row r="26" spans="1:4" x14ac:dyDescent="0.2">
      <c r="A26" s="12" t="s">
        <v>50</v>
      </c>
      <c r="B26" s="10" t="s">
        <v>68</v>
      </c>
      <c r="C26" s="10" t="s">
        <v>24</v>
      </c>
      <c r="D26" s="37">
        <v>145900</v>
      </c>
    </row>
    <row r="27" spans="1:4" x14ac:dyDescent="0.2">
      <c r="A27" s="12" t="s">
        <v>50</v>
      </c>
      <c r="B27" s="12" t="s">
        <v>68</v>
      </c>
      <c r="C27" s="23" t="s">
        <v>21</v>
      </c>
      <c r="D27" s="38">
        <v>162900</v>
      </c>
    </row>
    <row r="28" spans="1:4" x14ac:dyDescent="0.2">
      <c r="A28" s="12" t="s">
        <v>50</v>
      </c>
      <c r="B28" s="12" t="s">
        <v>68</v>
      </c>
      <c r="C28" s="23" t="s">
        <v>13</v>
      </c>
      <c r="D28" s="38">
        <v>169000</v>
      </c>
    </row>
    <row r="29" spans="1:4" x14ac:dyDescent="0.2">
      <c r="A29" s="12" t="s">
        <v>50</v>
      </c>
      <c r="B29" s="12" t="s">
        <v>68</v>
      </c>
      <c r="C29" s="23" t="s">
        <v>7</v>
      </c>
      <c r="D29" s="38">
        <v>144850</v>
      </c>
    </row>
    <row r="30" spans="1:4" x14ac:dyDescent="0.2">
      <c r="A30" s="12" t="s">
        <v>50</v>
      </c>
      <c r="B30" s="12" t="s">
        <v>68</v>
      </c>
      <c r="C30" s="23" t="s">
        <v>28</v>
      </c>
      <c r="D30" s="38">
        <v>97200</v>
      </c>
    </row>
    <row r="31" spans="1:4" x14ac:dyDescent="0.2">
      <c r="A31" s="12" t="s">
        <v>50</v>
      </c>
      <c r="B31" s="12" t="s">
        <v>68</v>
      </c>
      <c r="C31" s="23" t="s">
        <v>17</v>
      </c>
      <c r="D31" s="38">
        <v>80850</v>
      </c>
    </row>
    <row r="32" spans="1:4" x14ac:dyDescent="0.2">
      <c r="A32" s="12" t="s">
        <v>50</v>
      </c>
      <c r="B32" s="10" t="s">
        <v>69</v>
      </c>
      <c r="C32" s="13"/>
      <c r="D32" s="37">
        <v>800700</v>
      </c>
    </row>
    <row r="33" spans="1:4" x14ac:dyDescent="0.2">
      <c r="A33" s="10" t="s">
        <v>51</v>
      </c>
      <c r="B33" s="13"/>
      <c r="C33" s="13"/>
      <c r="D33" s="37">
        <v>1663250</v>
      </c>
    </row>
    <row r="34" spans="1:4" x14ac:dyDescent="0.2">
      <c r="A34" s="10" t="s">
        <v>52</v>
      </c>
      <c r="B34" s="10" t="s">
        <v>66</v>
      </c>
      <c r="C34" s="10" t="s">
        <v>19</v>
      </c>
      <c r="D34" s="37">
        <v>172650</v>
      </c>
    </row>
    <row r="35" spans="1:4" x14ac:dyDescent="0.2">
      <c r="A35" s="12" t="s">
        <v>52</v>
      </c>
      <c r="B35" s="12" t="s">
        <v>66</v>
      </c>
      <c r="C35" s="23" t="s">
        <v>26</v>
      </c>
      <c r="D35" s="38">
        <v>152150</v>
      </c>
    </row>
    <row r="36" spans="1:4" x14ac:dyDescent="0.2">
      <c r="A36" s="12" t="s">
        <v>52</v>
      </c>
      <c r="B36" s="12" t="s">
        <v>66</v>
      </c>
      <c r="C36" s="23" t="s">
        <v>30</v>
      </c>
      <c r="D36" s="38">
        <v>144900</v>
      </c>
    </row>
    <row r="37" spans="1:4" x14ac:dyDescent="0.2">
      <c r="A37" s="12" t="s">
        <v>52</v>
      </c>
      <c r="B37" s="12" t="s">
        <v>66</v>
      </c>
      <c r="C37" s="23" t="s">
        <v>29</v>
      </c>
      <c r="D37" s="38">
        <v>192600</v>
      </c>
    </row>
    <row r="38" spans="1:4" x14ac:dyDescent="0.2">
      <c r="A38" s="12" t="s">
        <v>52</v>
      </c>
      <c r="B38" s="12" t="s">
        <v>66</v>
      </c>
      <c r="C38" s="23" t="s">
        <v>33</v>
      </c>
      <c r="D38" s="38">
        <v>120700</v>
      </c>
    </row>
    <row r="39" spans="1:4" x14ac:dyDescent="0.2">
      <c r="A39" s="12" t="s">
        <v>52</v>
      </c>
      <c r="B39" s="12" t="s">
        <v>66</v>
      </c>
      <c r="C39" s="23" t="s">
        <v>10</v>
      </c>
      <c r="D39" s="38">
        <v>72850</v>
      </c>
    </row>
    <row r="40" spans="1:4" x14ac:dyDescent="0.2">
      <c r="A40" s="12" t="s">
        <v>52</v>
      </c>
      <c r="B40" s="10" t="s">
        <v>67</v>
      </c>
      <c r="C40" s="13"/>
      <c r="D40" s="37">
        <v>855850</v>
      </c>
    </row>
    <row r="41" spans="1:4" x14ac:dyDescent="0.2">
      <c r="A41" s="12" t="s">
        <v>52</v>
      </c>
      <c r="B41" s="10" t="s">
        <v>68</v>
      </c>
      <c r="C41" s="10" t="s">
        <v>24</v>
      </c>
      <c r="D41" s="37">
        <v>194800</v>
      </c>
    </row>
    <row r="42" spans="1:4" x14ac:dyDescent="0.2">
      <c r="A42" s="12" t="s">
        <v>52</v>
      </c>
      <c r="B42" s="12" t="s">
        <v>68</v>
      </c>
      <c r="C42" s="23" t="s">
        <v>21</v>
      </c>
      <c r="D42" s="38">
        <v>182450</v>
      </c>
    </row>
    <row r="43" spans="1:4" x14ac:dyDescent="0.2">
      <c r="A43" s="12" t="s">
        <v>52</v>
      </c>
      <c r="B43" s="12" t="s">
        <v>68</v>
      </c>
      <c r="C43" s="23" t="s">
        <v>13</v>
      </c>
      <c r="D43" s="38">
        <v>160900</v>
      </c>
    </row>
    <row r="44" spans="1:4" x14ac:dyDescent="0.2">
      <c r="A44" s="12" t="s">
        <v>52</v>
      </c>
      <c r="B44" s="12" t="s">
        <v>68</v>
      </c>
      <c r="C44" s="23" t="s">
        <v>7</v>
      </c>
      <c r="D44" s="38">
        <v>174150</v>
      </c>
    </row>
    <row r="45" spans="1:4" x14ac:dyDescent="0.2">
      <c r="A45" s="12" t="s">
        <v>52</v>
      </c>
      <c r="B45" s="12" t="s">
        <v>68</v>
      </c>
      <c r="C45" s="23" t="s">
        <v>28</v>
      </c>
      <c r="D45" s="38">
        <v>193400</v>
      </c>
    </row>
    <row r="46" spans="1:4" x14ac:dyDescent="0.2">
      <c r="A46" s="12" t="s">
        <v>52</v>
      </c>
      <c r="B46" s="12" t="s">
        <v>68</v>
      </c>
      <c r="C46" s="23" t="s">
        <v>17</v>
      </c>
      <c r="D46" s="38">
        <v>143250</v>
      </c>
    </row>
    <row r="47" spans="1:4" x14ac:dyDescent="0.2">
      <c r="A47" s="12" t="s">
        <v>52</v>
      </c>
      <c r="B47" s="10" t="s">
        <v>69</v>
      </c>
      <c r="C47" s="13"/>
      <c r="D47" s="37">
        <v>1048950</v>
      </c>
    </row>
    <row r="48" spans="1:4" x14ac:dyDescent="0.2">
      <c r="A48" s="10" t="s">
        <v>53</v>
      </c>
      <c r="B48" s="13"/>
      <c r="C48" s="13"/>
      <c r="D48" s="37">
        <v>1904800</v>
      </c>
    </row>
    <row r="49" spans="1:4" x14ac:dyDescent="0.2">
      <c r="A49" s="10" t="s">
        <v>54</v>
      </c>
      <c r="B49" s="10" t="s">
        <v>66</v>
      </c>
      <c r="C49" s="10" t="s">
        <v>19</v>
      </c>
      <c r="D49" s="37">
        <v>198600</v>
      </c>
    </row>
    <row r="50" spans="1:4" x14ac:dyDescent="0.2">
      <c r="A50" s="12" t="s">
        <v>54</v>
      </c>
      <c r="B50" s="12" t="s">
        <v>66</v>
      </c>
      <c r="C50" s="23" t="s">
        <v>26</v>
      </c>
      <c r="D50" s="38">
        <v>100050</v>
      </c>
    </row>
    <row r="51" spans="1:4" x14ac:dyDescent="0.2">
      <c r="A51" s="12" t="s">
        <v>54</v>
      </c>
      <c r="B51" s="12" t="s">
        <v>66</v>
      </c>
      <c r="C51" s="23" t="s">
        <v>30</v>
      </c>
      <c r="D51" s="38">
        <v>213650</v>
      </c>
    </row>
    <row r="52" spans="1:4" x14ac:dyDescent="0.2">
      <c r="A52" s="12" t="s">
        <v>54</v>
      </c>
      <c r="B52" s="12" t="s">
        <v>66</v>
      </c>
      <c r="C52" s="23" t="s">
        <v>29</v>
      </c>
      <c r="D52" s="38">
        <v>128550</v>
      </c>
    </row>
    <row r="53" spans="1:4" x14ac:dyDescent="0.2">
      <c r="A53" s="12" t="s">
        <v>54</v>
      </c>
      <c r="B53" s="12" t="s">
        <v>66</v>
      </c>
      <c r="C53" s="23" t="s">
        <v>33</v>
      </c>
      <c r="D53" s="38">
        <v>171950</v>
      </c>
    </row>
    <row r="54" spans="1:4" x14ac:dyDescent="0.2">
      <c r="A54" s="12" t="s">
        <v>54</v>
      </c>
      <c r="B54" s="12" t="s">
        <v>66</v>
      </c>
      <c r="C54" s="23" t="s">
        <v>10</v>
      </c>
      <c r="D54" s="38">
        <v>145150</v>
      </c>
    </row>
    <row r="55" spans="1:4" x14ac:dyDescent="0.2">
      <c r="A55" s="12" t="s">
        <v>54</v>
      </c>
      <c r="B55" s="10" t="s">
        <v>67</v>
      </c>
      <c r="C55" s="13"/>
      <c r="D55" s="37">
        <v>957950</v>
      </c>
    </row>
    <row r="56" spans="1:4" x14ac:dyDescent="0.2">
      <c r="A56" s="12" t="s">
        <v>54</v>
      </c>
      <c r="B56" s="10" t="s">
        <v>68</v>
      </c>
      <c r="C56" s="10" t="s">
        <v>24</v>
      </c>
      <c r="D56" s="37">
        <v>239350</v>
      </c>
    </row>
    <row r="57" spans="1:4" x14ac:dyDescent="0.2">
      <c r="A57" s="12" t="s">
        <v>54</v>
      </c>
      <c r="B57" s="12" t="s">
        <v>68</v>
      </c>
      <c r="C57" s="23" t="s">
        <v>21</v>
      </c>
      <c r="D57" s="38">
        <v>161900</v>
      </c>
    </row>
    <row r="58" spans="1:4" x14ac:dyDescent="0.2">
      <c r="A58" s="12" t="s">
        <v>54</v>
      </c>
      <c r="B58" s="12" t="s">
        <v>68</v>
      </c>
      <c r="C58" s="23" t="s">
        <v>13</v>
      </c>
      <c r="D58" s="38">
        <v>163800</v>
      </c>
    </row>
    <row r="59" spans="1:4" x14ac:dyDescent="0.2">
      <c r="A59" s="12" t="s">
        <v>54</v>
      </c>
      <c r="B59" s="12" t="s">
        <v>68</v>
      </c>
      <c r="C59" s="23" t="s">
        <v>7</v>
      </c>
      <c r="D59" s="38">
        <v>178450</v>
      </c>
    </row>
    <row r="60" spans="1:4" x14ac:dyDescent="0.2">
      <c r="A60" s="12" t="s">
        <v>54</v>
      </c>
      <c r="B60" s="12" t="s">
        <v>68</v>
      </c>
      <c r="C60" s="23" t="s">
        <v>28</v>
      </c>
      <c r="D60" s="38">
        <v>184600</v>
      </c>
    </row>
    <row r="61" spans="1:4" x14ac:dyDescent="0.2">
      <c r="A61" s="12" t="s">
        <v>54</v>
      </c>
      <c r="B61" s="12" t="s">
        <v>68</v>
      </c>
      <c r="C61" s="23" t="s">
        <v>17</v>
      </c>
      <c r="D61" s="38">
        <v>157300</v>
      </c>
    </row>
    <row r="62" spans="1:4" x14ac:dyDescent="0.2">
      <c r="A62" s="12" t="s">
        <v>54</v>
      </c>
      <c r="B62" s="10" t="s">
        <v>69</v>
      </c>
      <c r="C62" s="13"/>
      <c r="D62" s="37">
        <v>1085400</v>
      </c>
    </row>
    <row r="63" spans="1:4" x14ac:dyDescent="0.2">
      <c r="A63" s="10" t="s">
        <v>55</v>
      </c>
      <c r="B63" s="13"/>
      <c r="C63" s="13"/>
      <c r="D63" s="37">
        <v>2043350</v>
      </c>
    </row>
    <row r="64" spans="1:4" x14ac:dyDescent="0.2">
      <c r="A64" s="14" t="s">
        <v>34</v>
      </c>
      <c r="B64" s="15"/>
      <c r="C64" s="15"/>
      <c r="D64" s="39">
        <v>7405200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A0AA3-928C-4208-8AB0-AC31EB3A9E7C}">
  <sheetPr codeName="Sheet19"/>
  <dimension ref="A3:C16"/>
  <sheetViews>
    <sheetView showGridLines="0" topLeftCell="A3" zoomScale="259" workbookViewId="0">
      <selection activeCell="B4" sqref="B4"/>
    </sheetView>
  </sheetViews>
  <sheetFormatPr defaultRowHeight="12" x14ac:dyDescent="0.2"/>
  <cols>
    <col min="1" max="1" width="11.33203125" bestFit="1" customWidth="1"/>
    <col min="2" max="2" width="21.33203125" bestFit="1" customWidth="1"/>
    <col min="3" max="4" width="8.6640625" bestFit="1" customWidth="1"/>
    <col min="5" max="5" width="11.33203125" bestFit="1" customWidth="1"/>
  </cols>
  <sheetData>
    <row r="3" spans="1:3" x14ac:dyDescent="0.2">
      <c r="A3" s="9" t="s">
        <v>47</v>
      </c>
      <c r="B3" s="9" t="s">
        <v>110</v>
      </c>
      <c r="C3" s="24" t="s">
        <v>65</v>
      </c>
    </row>
    <row r="4" spans="1:3" x14ac:dyDescent="0.2">
      <c r="A4" s="10" t="s">
        <v>48</v>
      </c>
      <c r="B4" s="10" t="s">
        <v>108</v>
      </c>
      <c r="C4" s="37">
        <v>919350</v>
      </c>
    </row>
    <row r="5" spans="1:3" x14ac:dyDescent="0.2">
      <c r="A5" s="12" t="s">
        <v>48</v>
      </c>
      <c r="B5" s="23" t="s">
        <v>109</v>
      </c>
      <c r="C5" s="38">
        <v>874450</v>
      </c>
    </row>
    <row r="6" spans="1:3" x14ac:dyDescent="0.2">
      <c r="A6" s="10" t="s">
        <v>49</v>
      </c>
      <c r="B6" s="13"/>
      <c r="C6" s="37">
        <v>1793800</v>
      </c>
    </row>
    <row r="7" spans="1:3" x14ac:dyDescent="0.2">
      <c r="A7" s="10" t="s">
        <v>50</v>
      </c>
      <c r="B7" s="10" t="s">
        <v>108</v>
      </c>
      <c r="C7" s="37">
        <v>862550</v>
      </c>
    </row>
    <row r="8" spans="1:3" x14ac:dyDescent="0.2">
      <c r="A8" s="12" t="s">
        <v>50</v>
      </c>
      <c r="B8" s="23" t="s">
        <v>109</v>
      </c>
      <c r="C8" s="38">
        <v>800700</v>
      </c>
    </row>
    <row r="9" spans="1:3" x14ac:dyDescent="0.2">
      <c r="A9" s="10" t="s">
        <v>51</v>
      </c>
      <c r="B9" s="13"/>
      <c r="C9" s="37">
        <v>1663250</v>
      </c>
    </row>
    <row r="10" spans="1:3" x14ac:dyDescent="0.2">
      <c r="A10" s="10" t="s">
        <v>52</v>
      </c>
      <c r="B10" s="10" t="s">
        <v>108</v>
      </c>
      <c r="C10" s="37">
        <v>855850</v>
      </c>
    </row>
    <row r="11" spans="1:3" x14ac:dyDescent="0.2">
      <c r="A11" s="12" t="s">
        <v>52</v>
      </c>
      <c r="B11" s="23" t="s">
        <v>109</v>
      </c>
      <c r="C11" s="38">
        <v>1048950</v>
      </c>
    </row>
    <row r="12" spans="1:3" x14ac:dyDescent="0.2">
      <c r="A12" s="10" t="s">
        <v>53</v>
      </c>
      <c r="B12" s="13"/>
      <c r="C12" s="37">
        <v>1904800</v>
      </c>
    </row>
    <row r="13" spans="1:3" x14ac:dyDescent="0.2">
      <c r="A13" s="10" t="s">
        <v>54</v>
      </c>
      <c r="B13" s="10" t="s">
        <v>108</v>
      </c>
      <c r="C13" s="37">
        <v>957950</v>
      </c>
    </row>
    <row r="14" spans="1:3" x14ac:dyDescent="0.2">
      <c r="A14" s="12" t="s">
        <v>54</v>
      </c>
      <c r="B14" s="23" t="s">
        <v>109</v>
      </c>
      <c r="C14" s="38">
        <v>1085400</v>
      </c>
    </row>
    <row r="15" spans="1:3" x14ac:dyDescent="0.2">
      <c r="A15" s="10" t="s">
        <v>55</v>
      </c>
      <c r="B15" s="13"/>
      <c r="C15" s="37">
        <v>2043350</v>
      </c>
    </row>
    <row r="16" spans="1:3" x14ac:dyDescent="0.2">
      <c r="A16" s="14" t="s">
        <v>34</v>
      </c>
      <c r="B16" s="15"/>
      <c r="C16" s="39">
        <v>7405200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AECD2-3149-48C1-A3B7-A194B81FDB1B}">
  <sheetPr codeName="Sheet20"/>
  <dimension ref="A1:C18"/>
  <sheetViews>
    <sheetView showGridLines="0" zoomScale="259" workbookViewId="0">
      <selection activeCell="C8" sqref="C8"/>
    </sheetView>
  </sheetViews>
  <sheetFormatPr defaultRowHeight="12" x14ac:dyDescent="0.2"/>
  <cols>
    <col min="1" max="1" width="16.1640625" bestFit="1" customWidth="1"/>
    <col min="2" max="2" width="10.83203125" bestFit="1" customWidth="1"/>
    <col min="3" max="3" width="8.6640625" bestFit="1" customWidth="1"/>
    <col min="4" max="4" width="8.5" bestFit="1" customWidth="1"/>
    <col min="5" max="5" width="10.83203125" bestFit="1" customWidth="1"/>
    <col min="6" max="7" width="9.33203125" bestFit="1" customWidth="1"/>
    <col min="8" max="10" width="13.83203125" bestFit="1" customWidth="1"/>
    <col min="11" max="11" width="18.33203125" bestFit="1" customWidth="1"/>
    <col min="12" max="12" width="15.33203125" bestFit="1" customWidth="1"/>
    <col min="13" max="13" width="16" bestFit="1" customWidth="1"/>
    <col min="14" max="14" width="17.33203125" bestFit="1" customWidth="1"/>
    <col min="15" max="16" width="18.1640625" bestFit="1" customWidth="1"/>
  </cols>
  <sheetData>
    <row r="1" spans="1:3" x14ac:dyDescent="0.2">
      <c r="A1" s="21" t="s">
        <v>47</v>
      </c>
      <c r="B1" s="16" t="s">
        <v>52</v>
      </c>
    </row>
    <row r="3" spans="1:3" x14ac:dyDescent="0.2">
      <c r="A3" s="9" t="s">
        <v>107</v>
      </c>
      <c r="B3" s="9" t="s">
        <v>77</v>
      </c>
      <c r="C3" s="24"/>
    </row>
    <row r="4" spans="1:3" x14ac:dyDescent="0.2">
      <c r="A4" s="10" t="s">
        <v>108</v>
      </c>
      <c r="B4" s="10" t="s">
        <v>72</v>
      </c>
      <c r="C4" s="37">
        <v>855850</v>
      </c>
    </row>
    <row r="5" spans="1:3" x14ac:dyDescent="0.2">
      <c r="A5" s="12" t="s">
        <v>108</v>
      </c>
      <c r="B5" s="23" t="s">
        <v>71</v>
      </c>
      <c r="C5" s="38">
        <v>582830</v>
      </c>
    </row>
    <row r="6" spans="1:3" x14ac:dyDescent="0.2">
      <c r="A6" s="12" t="s">
        <v>108</v>
      </c>
      <c r="B6" s="23" t="s">
        <v>75</v>
      </c>
      <c r="C6" s="40">
        <v>0.68099550154816846</v>
      </c>
    </row>
    <row r="7" spans="1:3" x14ac:dyDescent="0.2">
      <c r="A7" s="12" t="s">
        <v>108</v>
      </c>
      <c r="B7" s="23" t="s">
        <v>74</v>
      </c>
      <c r="C7" s="38">
        <v>273020</v>
      </c>
    </row>
    <row r="8" spans="1:3" x14ac:dyDescent="0.2">
      <c r="A8" s="12" t="s">
        <v>108</v>
      </c>
      <c r="B8" s="23" t="s">
        <v>76</v>
      </c>
      <c r="C8" s="40">
        <v>0.31900449845183149</v>
      </c>
    </row>
    <row r="9" spans="1:3" x14ac:dyDescent="0.2">
      <c r="A9" s="10" t="s">
        <v>109</v>
      </c>
      <c r="B9" s="10" t="s">
        <v>72</v>
      </c>
      <c r="C9" s="37">
        <v>1048950</v>
      </c>
    </row>
    <row r="10" spans="1:3" x14ac:dyDescent="0.2">
      <c r="A10" s="12" t="s">
        <v>109</v>
      </c>
      <c r="B10" s="23" t="s">
        <v>71</v>
      </c>
      <c r="C10" s="38">
        <v>735750</v>
      </c>
    </row>
    <row r="11" spans="1:3" x14ac:dyDescent="0.2">
      <c r="A11" s="12" t="s">
        <v>109</v>
      </c>
      <c r="B11" s="23" t="s">
        <v>75</v>
      </c>
      <c r="C11" s="40">
        <v>0.70141570141570142</v>
      </c>
    </row>
    <row r="12" spans="1:3" x14ac:dyDescent="0.2">
      <c r="A12" s="12" t="s">
        <v>109</v>
      </c>
      <c r="B12" s="23" t="s">
        <v>74</v>
      </c>
      <c r="C12" s="38">
        <v>313200</v>
      </c>
    </row>
    <row r="13" spans="1:3" x14ac:dyDescent="0.2">
      <c r="A13" s="12" t="s">
        <v>109</v>
      </c>
      <c r="B13" s="23" t="s">
        <v>76</v>
      </c>
      <c r="C13" s="40">
        <v>0.29858429858429858</v>
      </c>
    </row>
    <row r="14" spans="1:3" x14ac:dyDescent="0.2">
      <c r="A14" s="10" t="s">
        <v>73</v>
      </c>
      <c r="B14" s="13"/>
      <c r="C14" s="37">
        <v>1904800</v>
      </c>
    </row>
    <row r="15" spans="1:3" x14ac:dyDescent="0.2">
      <c r="A15" s="10" t="s">
        <v>111</v>
      </c>
      <c r="B15" s="13"/>
      <c r="C15" s="37">
        <v>1318580</v>
      </c>
    </row>
    <row r="16" spans="1:3" x14ac:dyDescent="0.2">
      <c r="A16" s="10" t="s">
        <v>112</v>
      </c>
      <c r="B16" s="13"/>
      <c r="C16" s="41">
        <v>0.69224065518689626</v>
      </c>
    </row>
    <row r="17" spans="1:3" x14ac:dyDescent="0.2">
      <c r="A17" s="10" t="s">
        <v>113</v>
      </c>
      <c r="B17" s="13"/>
      <c r="C17" s="37">
        <v>586220</v>
      </c>
    </row>
    <row r="18" spans="1:3" x14ac:dyDescent="0.2">
      <c r="A18" s="14" t="s">
        <v>114</v>
      </c>
      <c r="B18" s="15"/>
      <c r="C18" s="42">
        <v>0.30775934481310374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AFE1-4469-4E7A-9477-782DD829D226}">
  <sheetPr codeName="Sheet21"/>
  <dimension ref="A3:C25"/>
  <sheetViews>
    <sheetView showGridLines="0" zoomScale="259" workbookViewId="0">
      <selection activeCell="B6" sqref="B6"/>
    </sheetView>
  </sheetViews>
  <sheetFormatPr defaultRowHeight="12" x14ac:dyDescent="0.2"/>
  <cols>
    <col min="1" max="1" width="11.33203125" bestFit="1" customWidth="1"/>
    <col min="2" max="2" width="6.33203125" bestFit="1" customWidth="1"/>
    <col min="3" max="4" width="9.1640625" bestFit="1" customWidth="1"/>
    <col min="5" max="6" width="8.1640625" bestFit="1" customWidth="1"/>
    <col min="7" max="10" width="13.83203125" bestFit="1" customWidth="1"/>
    <col min="11" max="11" width="18.33203125" bestFit="1" customWidth="1"/>
    <col min="12" max="12" width="15.33203125" bestFit="1" customWidth="1"/>
    <col min="13" max="13" width="16" bestFit="1" customWidth="1"/>
    <col min="14" max="14" width="17.33203125" bestFit="1" customWidth="1"/>
    <col min="15" max="16" width="18.1640625" bestFit="1" customWidth="1"/>
  </cols>
  <sheetData>
    <row r="3" spans="1:3" x14ac:dyDescent="0.2">
      <c r="A3" s="9" t="s">
        <v>115</v>
      </c>
      <c r="B3" s="9" t="s">
        <v>116</v>
      </c>
      <c r="C3" s="24" t="s">
        <v>72</v>
      </c>
    </row>
    <row r="4" spans="1:3" x14ac:dyDescent="0.2">
      <c r="A4" s="10" t="s">
        <v>117</v>
      </c>
      <c r="B4" s="10" t="s">
        <v>101</v>
      </c>
      <c r="C4" s="37">
        <v>399800</v>
      </c>
    </row>
    <row r="5" spans="1:3" x14ac:dyDescent="0.2">
      <c r="A5" s="10" t="s">
        <v>118</v>
      </c>
      <c r="B5" s="13"/>
      <c r="C5" s="37">
        <v>399800</v>
      </c>
    </row>
    <row r="6" spans="1:3" x14ac:dyDescent="0.2">
      <c r="A6" s="10" t="s">
        <v>119</v>
      </c>
      <c r="B6" s="10" t="s">
        <v>97</v>
      </c>
      <c r="C6" s="37">
        <v>462800</v>
      </c>
    </row>
    <row r="7" spans="1:3" x14ac:dyDescent="0.2">
      <c r="A7" s="12" t="s">
        <v>119</v>
      </c>
      <c r="B7" s="23" t="s">
        <v>99</v>
      </c>
      <c r="C7" s="38">
        <v>357550</v>
      </c>
    </row>
    <row r="8" spans="1:3" x14ac:dyDescent="0.2">
      <c r="A8" s="12" t="s">
        <v>119</v>
      </c>
      <c r="B8" s="23" t="s">
        <v>100</v>
      </c>
      <c r="C8" s="38">
        <v>573650</v>
      </c>
    </row>
    <row r="9" spans="1:3" x14ac:dyDescent="0.2">
      <c r="A9" s="12" t="s">
        <v>119</v>
      </c>
      <c r="B9" s="23" t="s">
        <v>101</v>
      </c>
      <c r="C9" s="38">
        <v>453250</v>
      </c>
    </row>
    <row r="10" spans="1:3" x14ac:dyDescent="0.2">
      <c r="A10" s="10" t="s">
        <v>120</v>
      </c>
      <c r="B10" s="13"/>
      <c r="C10" s="37">
        <v>1847250</v>
      </c>
    </row>
    <row r="11" spans="1:3" x14ac:dyDescent="0.2">
      <c r="A11" s="10" t="s">
        <v>121</v>
      </c>
      <c r="B11" s="10" t="s">
        <v>97</v>
      </c>
      <c r="C11" s="37">
        <v>414500</v>
      </c>
    </row>
    <row r="12" spans="1:3" x14ac:dyDescent="0.2">
      <c r="A12" s="12" t="s">
        <v>121</v>
      </c>
      <c r="B12" s="23" t="s">
        <v>99</v>
      </c>
      <c r="C12" s="38">
        <v>476450</v>
      </c>
    </row>
    <row r="13" spans="1:3" x14ac:dyDescent="0.2">
      <c r="A13" s="12" t="s">
        <v>121</v>
      </c>
      <c r="B13" s="23" t="s">
        <v>100</v>
      </c>
      <c r="C13" s="38">
        <v>319050</v>
      </c>
    </row>
    <row r="14" spans="1:3" x14ac:dyDescent="0.2">
      <c r="A14" s="12" t="s">
        <v>121</v>
      </c>
      <c r="B14" s="23" t="s">
        <v>101</v>
      </c>
      <c r="C14" s="38">
        <v>501000</v>
      </c>
    </row>
    <row r="15" spans="1:3" x14ac:dyDescent="0.2">
      <c r="A15" s="10" t="s">
        <v>122</v>
      </c>
      <c r="B15" s="13"/>
      <c r="C15" s="37">
        <v>1711000</v>
      </c>
    </row>
    <row r="16" spans="1:3" x14ac:dyDescent="0.2">
      <c r="A16" s="10" t="s">
        <v>123</v>
      </c>
      <c r="B16" s="10" t="s">
        <v>97</v>
      </c>
      <c r="C16" s="37">
        <v>428850</v>
      </c>
    </row>
    <row r="17" spans="1:3" x14ac:dyDescent="0.2">
      <c r="A17" s="12" t="s">
        <v>123</v>
      </c>
      <c r="B17" s="23" t="s">
        <v>99</v>
      </c>
      <c r="C17" s="38">
        <v>542250</v>
      </c>
    </row>
    <row r="18" spans="1:3" x14ac:dyDescent="0.2">
      <c r="A18" s="12" t="s">
        <v>123</v>
      </c>
      <c r="B18" s="23" t="s">
        <v>100</v>
      </c>
      <c r="C18" s="38">
        <v>432700</v>
      </c>
    </row>
    <row r="19" spans="1:3" x14ac:dyDescent="0.2">
      <c r="A19" s="12" t="s">
        <v>123</v>
      </c>
      <c r="B19" s="23" t="s">
        <v>101</v>
      </c>
      <c r="C19" s="38">
        <v>582200</v>
      </c>
    </row>
    <row r="20" spans="1:3" x14ac:dyDescent="0.2">
      <c r="A20" s="10" t="s">
        <v>124</v>
      </c>
      <c r="B20" s="13"/>
      <c r="C20" s="37">
        <v>1986000</v>
      </c>
    </row>
    <row r="21" spans="1:3" x14ac:dyDescent="0.2">
      <c r="A21" s="10" t="s">
        <v>125</v>
      </c>
      <c r="B21" s="10" t="s">
        <v>97</v>
      </c>
      <c r="C21" s="37">
        <v>470900</v>
      </c>
    </row>
    <row r="22" spans="1:3" x14ac:dyDescent="0.2">
      <c r="A22" s="12" t="s">
        <v>125</v>
      </c>
      <c r="B22" s="23" t="s">
        <v>99</v>
      </c>
      <c r="C22" s="38">
        <v>456950</v>
      </c>
    </row>
    <row r="23" spans="1:3" x14ac:dyDescent="0.2">
      <c r="A23" s="12" t="s">
        <v>125</v>
      </c>
      <c r="B23" s="23" t="s">
        <v>100</v>
      </c>
      <c r="C23" s="38">
        <v>533300</v>
      </c>
    </row>
    <row r="24" spans="1:3" x14ac:dyDescent="0.2">
      <c r="A24" s="10" t="s">
        <v>126</v>
      </c>
      <c r="B24" s="13"/>
      <c r="C24" s="37">
        <v>1461150</v>
      </c>
    </row>
    <row r="25" spans="1:3" x14ac:dyDescent="0.2">
      <c r="A25" s="14" t="s">
        <v>34</v>
      </c>
      <c r="B25" s="15"/>
      <c r="C25" s="39">
        <v>7405200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3D854-DC73-4E1C-A3D2-6C9A46B4CF18}">
  <sheetPr codeName="Sheet22"/>
  <dimension ref="A3:E237"/>
  <sheetViews>
    <sheetView showGridLines="0" zoomScale="259" workbookViewId="0">
      <selection activeCell="C9" sqref="C9"/>
    </sheetView>
  </sheetViews>
  <sheetFormatPr defaultRowHeight="12" x14ac:dyDescent="0.2"/>
  <cols>
    <col min="1" max="1" width="10.1640625" bestFit="1" customWidth="1"/>
    <col min="2" max="2" width="24.83203125" bestFit="1" customWidth="1"/>
    <col min="3" max="3" width="10" bestFit="1" customWidth="1"/>
    <col min="4" max="4" width="9.1640625" bestFit="1" customWidth="1"/>
    <col min="5" max="6" width="18" bestFit="1" customWidth="1"/>
    <col min="7" max="10" width="13.83203125" bestFit="1" customWidth="1"/>
    <col min="11" max="11" width="18.33203125" bestFit="1" customWidth="1"/>
    <col min="12" max="12" width="15.33203125" bestFit="1" customWidth="1"/>
    <col min="13" max="13" width="16" bestFit="1" customWidth="1"/>
    <col min="14" max="14" width="17.33203125" bestFit="1" customWidth="1"/>
    <col min="15" max="16" width="18.1640625" bestFit="1" customWidth="1"/>
  </cols>
  <sheetData>
    <row r="3" spans="1:5" x14ac:dyDescent="0.2">
      <c r="A3" s="9" t="s">
        <v>47</v>
      </c>
      <c r="B3" s="9" t="s">
        <v>2</v>
      </c>
      <c r="C3" s="9" t="s">
        <v>5</v>
      </c>
      <c r="D3" s="10" t="s">
        <v>72</v>
      </c>
      <c r="E3" s="22" t="s">
        <v>79</v>
      </c>
    </row>
    <row r="4" spans="1:5" x14ac:dyDescent="0.2">
      <c r="A4" s="10" t="s">
        <v>48</v>
      </c>
      <c r="B4" s="10" t="s">
        <v>19</v>
      </c>
      <c r="C4" s="10" t="s">
        <v>8</v>
      </c>
      <c r="D4" s="31">
        <v>23350</v>
      </c>
      <c r="E4" s="32">
        <v>2</v>
      </c>
    </row>
    <row r="5" spans="1:5" x14ac:dyDescent="0.2">
      <c r="A5" s="12" t="s">
        <v>48</v>
      </c>
      <c r="B5" s="12" t="s">
        <v>19</v>
      </c>
      <c r="C5" s="23" t="s">
        <v>15</v>
      </c>
      <c r="D5" s="33">
        <v>50600</v>
      </c>
      <c r="E5" s="34">
        <v>4</v>
      </c>
    </row>
    <row r="6" spans="1:5" x14ac:dyDescent="0.2">
      <c r="A6" s="12" t="s">
        <v>48</v>
      </c>
      <c r="B6" s="12" t="s">
        <v>19</v>
      </c>
      <c r="C6" s="23" t="s">
        <v>11</v>
      </c>
      <c r="D6" s="33">
        <v>11900</v>
      </c>
      <c r="E6" s="34">
        <v>1</v>
      </c>
    </row>
    <row r="7" spans="1:5" x14ac:dyDescent="0.2">
      <c r="A7" s="12" t="s">
        <v>48</v>
      </c>
      <c r="B7" s="10" t="s">
        <v>80</v>
      </c>
      <c r="C7" s="13"/>
      <c r="D7" s="31">
        <v>85850</v>
      </c>
      <c r="E7" s="32">
        <v>7</v>
      </c>
    </row>
    <row r="8" spans="1:5" x14ac:dyDescent="0.2">
      <c r="A8" s="12" t="s">
        <v>48</v>
      </c>
      <c r="B8" s="10" t="s">
        <v>26</v>
      </c>
      <c r="C8" s="10" t="s">
        <v>8</v>
      </c>
      <c r="D8" s="31">
        <v>52750</v>
      </c>
      <c r="E8" s="32">
        <v>4</v>
      </c>
    </row>
    <row r="9" spans="1:5" x14ac:dyDescent="0.2">
      <c r="A9" s="12" t="s">
        <v>48</v>
      </c>
      <c r="B9" s="12" t="s">
        <v>26</v>
      </c>
      <c r="C9" s="23" t="s">
        <v>22</v>
      </c>
      <c r="D9" s="33">
        <v>11350</v>
      </c>
      <c r="E9" s="34">
        <v>1</v>
      </c>
    </row>
    <row r="10" spans="1:5" x14ac:dyDescent="0.2">
      <c r="A10" s="12" t="s">
        <v>48</v>
      </c>
      <c r="B10" s="12" t="s">
        <v>26</v>
      </c>
      <c r="C10" s="23" t="s">
        <v>15</v>
      </c>
      <c r="D10" s="33">
        <v>48600</v>
      </c>
      <c r="E10" s="34">
        <v>4</v>
      </c>
    </row>
    <row r="11" spans="1:5" x14ac:dyDescent="0.2">
      <c r="A11" s="12" t="s">
        <v>48</v>
      </c>
      <c r="B11" s="12" t="s">
        <v>26</v>
      </c>
      <c r="C11" s="23" t="s">
        <v>11</v>
      </c>
      <c r="D11" s="33">
        <v>51700</v>
      </c>
      <c r="E11" s="34">
        <v>4</v>
      </c>
    </row>
    <row r="12" spans="1:5" x14ac:dyDescent="0.2">
      <c r="A12" s="12" t="s">
        <v>48</v>
      </c>
      <c r="B12" s="10" t="s">
        <v>81</v>
      </c>
      <c r="C12" s="13"/>
      <c r="D12" s="31">
        <v>164400</v>
      </c>
      <c r="E12" s="32">
        <v>13</v>
      </c>
    </row>
    <row r="13" spans="1:5" x14ac:dyDescent="0.2">
      <c r="A13" s="12" t="s">
        <v>48</v>
      </c>
      <c r="B13" s="10" t="s">
        <v>30</v>
      </c>
      <c r="C13" s="10" t="s">
        <v>8</v>
      </c>
      <c r="D13" s="31">
        <v>39350</v>
      </c>
      <c r="E13" s="32">
        <v>3</v>
      </c>
    </row>
    <row r="14" spans="1:5" x14ac:dyDescent="0.2">
      <c r="A14" s="12" t="s">
        <v>48</v>
      </c>
      <c r="B14" s="12" t="s">
        <v>30</v>
      </c>
      <c r="C14" s="23" t="s">
        <v>22</v>
      </c>
      <c r="D14" s="33">
        <v>25050</v>
      </c>
      <c r="E14" s="34">
        <v>2</v>
      </c>
    </row>
    <row r="15" spans="1:5" x14ac:dyDescent="0.2">
      <c r="A15" s="12" t="s">
        <v>48</v>
      </c>
      <c r="B15" s="12" t="s">
        <v>30</v>
      </c>
      <c r="C15" s="23" t="s">
        <v>15</v>
      </c>
      <c r="D15" s="33">
        <v>36950</v>
      </c>
      <c r="E15" s="34">
        <v>3</v>
      </c>
    </row>
    <row r="16" spans="1:5" x14ac:dyDescent="0.2">
      <c r="A16" s="12" t="s">
        <v>48</v>
      </c>
      <c r="B16" s="12" t="s">
        <v>30</v>
      </c>
      <c r="C16" s="23" t="s">
        <v>11</v>
      </c>
      <c r="D16" s="33">
        <v>48450</v>
      </c>
      <c r="E16" s="34">
        <v>4</v>
      </c>
    </row>
    <row r="17" spans="1:5" x14ac:dyDescent="0.2">
      <c r="A17" s="12" t="s">
        <v>48</v>
      </c>
      <c r="B17" s="10" t="s">
        <v>82</v>
      </c>
      <c r="C17" s="13"/>
      <c r="D17" s="31">
        <v>149800</v>
      </c>
      <c r="E17" s="32">
        <v>12</v>
      </c>
    </row>
    <row r="18" spans="1:5" x14ac:dyDescent="0.2">
      <c r="A18" s="12" t="s">
        <v>48</v>
      </c>
      <c r="B18" s="10" t="s">
        <v>29</v>
      </c>
      <c r="C18" s="10" t="s">
        <v>8</v>
      </c>
      <c r="D18" s="31">
        <v>51650</v>
      </c>
      <c r="E18" s="32">
        <v>4</v>
      </c>
    </row>
    <row r="19" spans="1:5" x14ac:dyDescent="0.2">
      <c r="A19" s="12" t="s">
        <v>48</v>
      </c>
      <c r="B19" s="12" t="s">
        <v>29</v>
      </c>
      <c r="C19" s="23" t="s">
        <v>22</v>
      </c>
      <c r="D19" s="33">
        <v>49450</v>
      </c>
      <c r="E19" s="34">
        <v>4</v>
      </c>
    </row>
    <row r="20" spans="1:5" x14ac:dyDescent="0.2">
      <c r="A20" s="12" t="s">
        <v>48</v>
      </c>
      <c r="B20" s="12" t="s">
        <v>29</v>
      </c>
      <c r="C20" s="23" t="s">
        <v>15</v>
      </c>
      <c r="D20" s="33">
        <v>50000</v>
      </c>
      <c r="E20" s="34">
        <v>4</v>
      </c>
    </row>
    <row r="21" spans="1:5" x14ac:dyDescent="0.2">
      <c r="A21" s="12" t="s">
        <v>48</v>
      </c>
      <c r="B21" s="12" t="s">
        <v>29</v>
      </c>
      <c r="C21" s="23" t="s">
        <v>11</v>
      </c>
      <c r="D21" s="33">
        <v>24550</v>
      </c>
      <c r="E21" s="34">
        <v>2</v>
      </c>
    </row>
    <row r="22" spans="1:5" x14ac:dyDescent="0.2">
      <c r="A22" s="12" t="s">
        <v>48</v>
      </c>
      <c r="B22" s="10" t="s">
        <v>83</v>
      </c>
      <c r="C22" s="13"/>
      <c r="D22" s="31">
        <v>175650</v>
      </c>
      <c r="E22" s="32">
        <v>14</v>
      </c>
    </row>
    <row r="23" spans="1:5" x14ac:dyDescent="0.2">
      <c r="A23" s="12" t="s">
        <v>48</v>
      </c>
      <c r="B23" s="10" t="s">
        <v>33</v>
      </c>
      <c r="C23" s="10" t="s">
        <v>8</v>
      </c>
      <c r="D23" s="31">
        <v>84950</v>
      </c>
      <c r="E23" s="32">
        <v>7</v>
      </c>
    </row>
    <row r="24" spans="1:5" x14ac:dyDescent="0.2">
      <c r="A24" s="12" t="s">
        <v>48</v>
      </c>
      <c r="B24" s="12" t="s">
        <v>33</v>
      </c>
      <c r="C24" s="23" t="s">
        <v>15</v>
      </c>
      <c r="D24" s="33">
        <v>14500</v>
      </c>
      <c r="E24" s="34">
        <v>1</v>
      </c>
    </row>
    <row r="25" spans="1:5" x14ac:dyDescent="0.2">
      <c r="A25" s="12" t="s">
        <v>48</v>
      </c>
      <c r="B25" s="12" t="s">
        <v>33</v>
      </c>
      <c r="C25" s="23" t="s">
        <v>11</v>
      </c>
      <c r="D25" s="33">
        <v>66750</v>
      </c>
      <c r="E25" s="34">
        <v>5</v>
      </c>
    </row>
    <row r="26" spans="1:5" x14ac:dyDescent="0.2">
      <c r="A26" s="12" t="s">
        <v>48</v>
      </c>
      <c r="B26" s="10" t="s">
        <v>84</v>
      </c>
      <c r="C26" s="13"/>
      <c r="D26" s="31">
        <v>166200</v>
      </c>
      <c r="E26" s="32">
        <v>13</v>
      </c>
    </row>
    <row r="27" spans="1:5" x14ac:dyDescent="0.2">
      <c r="A27" s="12" t="s">
        <v>48</v>
      </c>
      <c r="B27" s="10" t="s">
        <v>10</v>
      </c>
      <c r="C27" s="10" t="s">
        <v>8</v>
      </c>
      <c r="D27" s="31">
        <v>11350</v>
      </c>
      <c r="E27" s="32">
        <v>1</v>
      </c>
    </row>
    <row r="28" spans="1:5" x14ac:dyDescent="0.2">
      <c r="A28" s="12" t="s">
        <v>48</v>
      </c>
      <c r="B28" s="12" t="s">
        <v>10</v>
      </c>
      <c r="C28" s="23" t="s">
        <v>22</v>
      </c>
      <c r="D28" s="33">
        <v>27600</v>
      </c>
      <c r="E28" s="34">
        <v>2</v>
      </c>
    </row>
    <row r="29" spans="1:5" x14ac:dyDescent="0.2">
      <c r="A29" s="12" t="s">
        <v>48</v>
      </c>
      <c r="B29" s="12" t="s">
        <v>10</v>
      </c>
      <c r="C29" s="23" t="s">
        <v>15</v>
      </c>
      <c r="D29" s="33">
        <v>60800</v>
      </c>
      <c r="E29" s="34">
        <v>5</v>
      </c>
    </row>
    <row r="30" spans="1:5" x14ac:dyDescent="0.2">
      <c r="A30" s="12" t="s">
        <v>48</v>
      </c>
      <c r="B30" s="12" t="s">
        <v>10</v>
      </c>
      <c r="C30" s="23" t="s">
        <v>11</v>
      </c>
      <c r="D30" s="33">
        <v>77700</v>
      </c>
      <c r="E30" s="34">
        <v>6</v>
      </c>
    </row>
    <row r="31" spans="1:5" x14ac:dyDescent="0.2">
      <c r="A31" s="12" t="s">
        <v>48</v>
      </c>
      <c r="B31" s="10" t="s">
        <v>85</v>
      </c>
      <c r="C31" s="13"/>
      <c r="D31" s="31">
        <v>177450</v>
      </c>
      <c r="E31" s="32">
        <v>14</v>
      </c>
    </row>
    <row r="32" spans="1:5" x14ac:dyDescent="0.2">
      <c r="A32" s="12" t="s">
        <v>48</v>
      </c>
      <c r="B32" s="10" t="s">
        <v>24</v>
      </c>
      <c r="C32" s="10" t="s">
        <v>8</v>
      </c>
      <c r="D32" s="31">
        <v>35750</v>
      </c>
      <c r="E32" s="32">
        <v>3</v>
      </c>
    </row>
    <row r="33" spans="1:5" x14ac:dyDescent="0.2">
      <c r="A33" s="12" t="s">
        <v>48</v>
      </c>
      <c r="B33" s="12" t="s">
        <v>24</v>
      </c>
      <c r="C33" s="23" t="s">
        <v>22</v>
      </c>
      <c r="D33" s="33">
        <v>54050</v>
      </c>
      <c r="E33" s="34">
        <v>4</v>
      </c>
    </row>
    <row r="34" spans="1:5" x14ac:dyDescent="0.2">
      <c r="A34" s="12" t="s">
        <v>48</v>
      </c>
      <c r="B34" s="12" t="s">
        <v>24</v>
      </c>
      <c r="C34" s="23" t="s">
        <v>15</v>
      </c>
      <c r="D34" s="33">
        <v>13600</v>
      </c>
      <c r="E34" s="34">
        <v>1</v>
      </c>
    </row>
    <row r="35" spans="1:5" x14ac:dyDescent="0.2">
      <c r="A35" s="12" t="s">
        <v>48</v>
      </c>
      <c r="B35" s="12" t="s">
        <v>24</v>
      </c>
      <c r="C35" s="23" t="s">
        <v>11</v>
      </c>
      <c r="D35" s="33">
        <v>37150</v>
      </c>
      <c r="E35" s="34">
        <v>3</v>
      </c>
    </row>
    <row r="36" spans="1:5" x14ac:dyDescent="0.2">
      <c r="A36" s="12" t="s">
        <v>48</v>
      </c>
      <c r="B36" s="10" t="s">
        <v>86</v>
      </c>
      <c r="C36" s="13"/>
      <c r="D36" s="31">
        <v>140550</v>
      </c>
      <c r="E36" s="32">
        <v>11</v>
      </c>
    </row>
    <row r="37" spans="1:5" x14ac:dyDescent="0.2">
      <c r="A37" s="12" t="s">
        <v>48</v>
      </c>
      <c r="B37" s="10" t="s">
        <v>21</v>
      </c>
      <c r="C37" s="10" t="s">
        <v>8</v>
      </c>
      <c r="D37" s="31">
        <v>24450</v>
      </c>
      <c r="E37" s="32">
        <v>2</v>
      </c>
    </row>
    <row r="38" spans="1:5" x14ac:dyDescent="0.2">
      <c r="A38" s="12" t="s">
        <v>48</v>
      </c>
      <c r="B38" s="12" t="s">
        <v>21</v>
      </c>
      <c r="C38" s="23" t="s">
        <v>22</v>
      </c>
      <c r="D38" s="33">
        <v>26800</v>
      </c>
      <c r="E38" s="34">
        <v>2</v>
      </c>
    </row>
    <row r="39" spans="1:5" x14ac:dyDescent="0.2">
      <c r="A39" s="12" t="s">
        <v>48</v>
      </c>
      <c r="B39" s="12" t="s">
        <v>21</v>
      </c>
      <c r="C39" s="23" t="s">
        <v>15</v>
      </c>
      <c r="D39" s="33">
        <v>39950</v>
      </c>
      <c r="E39" s="34">
        <v>3</v>
      </c>
    </row>
    <row r="40" spans="1:5" x14ac:dyDescent="0.2">
      <c r="A40" s="12" t="s">
        <v>48</v>
      </c>
      <c r="B40" s="12" t="s">
        <v>21</v>
      </c>
      <c r="C40" s="23" t="s">
        <v>11</v>
      </c>
      <c r="D40" s="33">
        <v>24100</v>
      </c>
      <c r="E40" s="34">
        <v>2</v>
      </c>
    </row>
    <row r="41" spans="1:5" x14ac:dyDescent="0.2">
      <c r="A41" s="12" t="s">
        <v>48</v>
      </c>
      <c r="B41" s="10" t="s">
        <v>87</v>
      </c>
      <c r="C41" s="13"/>
      <c r="D41" s="31">
        <v>115300</v>
      </c>
      <c r="E41" s="32">
        <v>9</v>
      </c>
    </row>
    <row r="42" spans="1:5" x14ac:dyDescent="0.2">
      <c r="A42" s="12" t="s">
        <v>48</v>
      </c>
      <c r="B42" s="10" t="s">
        <v>13</v>
      </c>
      <c r="C42" s="10" t="s">
        <v>8</v>
      </c>
      <c r="D42" s="31">
        <v>26750</v>
      </c>
      <c r="E42" s="32">
        <v>2</v>
      </c>
    </row>
    <row r="43" spans="1:5" x14ac:dyDescent="0.2">
      <c r="A43" s="12" t="s">
        <v>48</v>
      </c>
      <c r="B43" s="12" t="s">
        <v>13</v>
      </c>
      <c r="C43" s="23" t="s">
        <v>22</v>
      </c>
      <c r="D43" s="33">
        <v>24550</v>
      </c>
      <c r="E43" s="34">
        <v>2</v>
      </c>
    </row>
    <row r="44" spans="1:5" x14ac:dyDescent="0.2">
      <c r="A44" s="12" t="s">
        <v>48</v>
      </c>
      <c r="B44" s="12" t="s">
        <v>13</v>
      </c>
      <c r="C44" s="23" t="s">
        <v>15</v>
      </c>
      <c r="D44" s="33">
        <v>37750</v>
      </c>
      <c r="E44" s="34">
        <v>3</v>
      </c>
    </row>
    <row r="45" spans="1:5" x14ac:dyDescent="0.2">
      <c r="A45" s="12" t="s">
        <v>48</v>
      </c>
      <c r="B45" s="12" t="s">
        <v>13</v>
      </c>
      <c r="C45" s="23" t="s">
        <v>11</v>
      </c>
      <c r="D45" s="33">
        <v>38450</v>
      </c>
      <c r="E45" s="34">
        <v>3</v>
      </c>
    </row>
    <row r="46" spans="1:5" x14ac:dyDescent="0.2">
      <c r="A46" s="12" t="s">
        <v>48</v>
      </c>
      <c r="B46" s="10" t="s">
        <v>88</v>
      </c>
      <c r="C46" s="13"/>
      <c r="D46" s="31">
        <v>127500</v>
      </c>
      <c r="E46" s="32">
        <v>10</v>
      </c>
    </row>
    <row r="47" spans="1:5" x14ac:dyDescent="0.2">
      <c r="A47" s="12" t="s">
        <v>48</v>
      </c>
      <c r="B47" s="10" t="s">
        <v>7</v>
      </c>
      <c r="C47" s="10" t="s">
        <v>8</v>
      </c>
      <c r="D47" s="31">
        <v>47600</v>
      </c>
      <c r="E47" s="32">
        <v>4</v>
      </c>
    </row>
    <row r="48" spans="1:5" x14ac:dyDescent="0.2">
      <c r="A48" s="12" t="s">
        <v>48</v>
      </c>
      <c r="B48" s="12" t="s">
        <v>7</v>
      </c>
      <c r="C48" s="23" t="s">
        <v>22</v>
      </c>
      <c r="D48" s="33">
        <v>27550</v>
      </c>
      <c r="E48" s="34">
        <v>2</v>
      </c>
    </row>
    <row r="49" spans="1:5" x14ac:dyDescent="0.2">
      <c r="A49" s="12" t="s">
        <v>48</v>
      </c>
      <c r="B49" s="12" t="s">
        <v>7</v>
      </c>
      <c r="C49" s="23" t="s">
        <v>15</v>
      </c>
      <c r="D49" s="33">
        <v>23900</v>
      </c>
      <c r="E49" s="34">
        <v>2</v>
      </c>
    </row>
    <row r="50" spans="1:5" x14ac:dyDescent="0.2">
      <c r="A50" s="12" t="s">
        <v>48</v>
      </c>
      <c r="B50" s="12" t="s">
        <v>7</v>
      </c>
      <c r="C50" s="23" t="s">
        <v>11</v>
      </c>
      <c r="D50" s="33">
        <v>66500</v>
      </c>
      <c r="E50" s="34">
        <v>5</v>
      </c>
    </row>
    <row r="51" spans="1:5" x14ac:dyDescent="0.2">
      <c r="A51" s="12" t="s">
        <v>48</v>
      </c>
      <c r="B51" s="10" t="s">
        <v>89</v>
      </c>
      <c r="C51" s="13"/>
      <c r="D51" s="31">
        <v>165550</v>
      </c>
      <c r="E51" s="32">
        <v>13</v>
      </c>
    </row>
    <row r="52" spans="1:5" x14ac:dyDescent="0.2">
      <c r="A52" s="12" t="s">
        <v>48</v>
      </c>
      <c r="B52" s="10" t="s">
        <v>28</v>
      </c>
      <c r="C52" s="10" t="s">
        <v>8</v>
      </c>
      <c r="D52" s="31">
        <v>28200</v>
      </c>
      <c r="E52" s="32">
        <v>2</v>
      </c>
    </row>
    <row r="53" spans="1:5" x14ac:dyDescent="0.2">
      <c r="A53" s="12" t="s">
        <v>48</v>
      </c>
      <c r="B53" s="12" t="s">
        <v>28</v>
      </c>
      <c r="C53" s="23" t="s">
        <v>22</v>
      </c>
      <c r="D53" s="33">
        <v>33150</v>
      </c>
      <c r="E53" s="34">
        <v>3</v>
      </c>
    </row>
    <row r="54" spans="1:5" x14ac:dyDescent="0.2">
      <c r="A54" s="12" t="s">
        <v>48</v>
      </c>
      <c r="B54" s="12" t="s">
        <v>28</v>
      </c>
      <c r="C54" s="23" t="s">
        <v>15</v>
      </c>
      <c r="D54" s="33">
        <v>49500</v>
      </c>
      <c r="E54" s="34">
        <v>4</v>
      </c>
    </row>
    <row r="55" spans="1:5" x14ac:dyDescent="0.2">
      <c r="A55" s="12" t="s">
        <v>48</v>
      </c>
      <c r="B55" s="12" t="s">
        <v>28</v>
      </c>
      <c r="C55" s="23" t="s">
        <v>11</v>
      </c>
      <c r="D55" s="33">
        <v>48900</v>
      </c>
      <c r="E55" s="34">
        <v>4</v>
      </c>
    </row>
    <row r="56" spans="1:5" x14ac:dyDescent="0.2">
      <c r="A56" s="12" t="s">
        <v>48</v>
      </c>
      <c r="B56" s="10" t="s">
        <v>90</v>
      </c>
      <c r="C56" s="13"/>
      <c r="D56" s="31">
        <v>159750</v>
      </c>
      <c r="E56" s="32">
        <v>13</v>
      </c>
    </row>
    <row r="57" spans="1:5" x14ac:dyDescent="0.2">
      <c r="A57" s="12" t="s">
        <v>48</v>
      </c>
      <c r="B57" s="10" t="s">
        <v>17</v>
      </c>
      <c r="C57" s="10" t="s">
        <v>8</v>
      </c>
      <c r="D57" s="31">
        <v>62450</v>
      </c>
      <c r="E57" s="32">
        <v>5</v>
      </c>
    </row>
    <row r="58" spans="1:5" x14ac:dyDescent="0.2">
      <c r="A58" s="12" t="s">
        <v>48</v>
      </c>
      <c r="B58" s="12" t="s">
        <v>17</v>
      </c>
      <c r="C58" s="23" t="s">
        <v>22</v>
      </c>
      <c r="D58" s="33">
        <v>11850</v>
      </c>
      <c r="E58" s="34">
        <v>1</v>
      </c>
    </row>
    <row r="59" spans="1:5" x14ac:dyDescent="0.2">
      <c r="A59" s="12" t="s">
        <v>48</v>
      </c>
      <c r="B59" s="12" t="s">
        <v>17</v>
      </c>
      <c r="C59" s="23" t="s">
        <v>15</v>
      </c>
      <c r="D59" s="33">
        <v>51600</v>
      </c>
      <c r="E59" s="34">
        <v>4</v>
      </c>
    </row>
    <row r="60" spans="1:5" x14ac:dyDescent="0.2">
      <c r="A60" s="12" t="s">
        <v>48</v>
      </c>
      <c r="B60" s="12" t="s">
        <v>17</v>
      </c>
      <c r="C60" s="23" t="s">
        <v>11</v>
      </c>
      <c r="D60" s="33">
        <v>39900</v>
      </c>
      <c r="E60" s="34">
        <v>3</v>
      </c>
    </row>
    <row r="61" spans="1:5" x14ac:dyDescent="0.2">
      <c r="A61" s="12" t="s">
        <v>48</v>
      </c>
      <c r="B61" s="10" t="s">
        <v>91</v>
      </c>
      <c r="C61" s="13"/>
      <c r="D61" s="31">
        <v>165800</v>
      </c>
      <c r="E61" s="32">
        <v>13</v>
      </c>
    </row>
    <row r="62" spans="1:5" x14ac:dyDescent="0.2">
      <c r="A62" s="10" t="s">
        <v>49</v>
      </c>
      <c r="B62" s="13"/>
      <c r="C62" s="13"/>
      <c r="D62" s="31">
        <v>1793800</v>
      </c>
      <c r="E62" s="32">
        <v>142</v>
      </c>
    </row>
    <row r="63" spans="1:5" x14ac:dyDescent="0.2">
      <c r="A63" s="10" t="s">
        <v>50</v>
      </c>
      <c r="B63" s="10" t="s">
        <v>19</v>
      </c>
      <c r="C63" s="10" t="s">
        <v>8</v>
      </c>
      <c r="D63" s="31">
        <v>26200</v>
      </c>
      <c r="E63" s="32">
        <v>2</v>
      </c>
    </row>
    <row r="64" spans="1:5" x14ac:dyDescent="0.2">
      <c r="A64" s="12" t="s">
        <v>50</v>
      </c>
      <c r="B64" s="12" t="s">
        <v>19</v>
      </c>
      <c r="C64" s="23" t="s">
        <v>22</v>
      </c>
      <c r="D64" s="33">
        <v>37000</v>
      </c>
      <c r="E64" s="34">
        <v>3</v>
      </c>
    </row>
    <row r="65" spans="1:5" x14ac:dyDescent="0.2">
      <c r="A65" s="12" t="s">
        <v>50</v>
      </c>
      <c r="B65" s="12" t="s">
        <v>19</v>
      </c>
      <c r="C65" s="23" t="s">
        <v>15</v>
      </c>
      <c r="D65" s="33">
        <v>35900</v>
      </c>
      <c r="E65" s="34">
        <v>3</v>
      </c>
    </row>
    <row r="66" spans="1:5" x14ac:dyDescent="0.2">
      <c r="A66" s="12" t="s">
        <v>50</v>
      </c>
      <c r="B66" s="12" t="s">
        <v>19</v>
      </c>
      <c r="C66" s="23" t="s">
        <v>11</v>
      </c>
      <c r="D66" s="33">
        <v>11850</v>
      </c>
      <c r="E66" s="34">
        <v>1</v>
      </c>
    </row>
    <row r="67" spans="1:5" x14ac:dyDescent="0.2">
      <c r="A67" s="12" t="s">
        <v>50</v>
      </c>
      <c r="B67" s="10" t="s">
        <v>80</v>
      </c>
      <c r="C67" s="13"/>
      <c r="D67" s="31">
        <v>110950</v>
      </c>
      <c r="E67" s="32">
        <v>9</v>
      </c>
    </row>
    <row r="68" spans="1:5" x14ac:dyDescent="0.2">
      <c r="A68" s="12" t="s">
        <v>50</v>
      </c>
      <c r="B68" s="10" t="s">
        <v>26</v>
      </c>
      <c r="C68" s="10" t="s">
        <v>8</v>
      </c>
      <c r="D68" s="31">
        <v>37000</v>
      </c>
      <c r="E68" s="32">
        <v>3</v>
      </c>
    </row>
    <row r="69" spans="1:5" x14ac:dyDescent="0.2">
      <c r="A69" s="12" t="s">
        <v>50</v>
      </c>
      <c r="B69" s="12" t="s">
        <v>26</v>
      </c>
      <c r="C69" s="23" t="s">
        <v>22</v>
      </c>
      <c r="D69" s="33">
        <v>35300</v>
      </c>
      <c r="E69" s="34">
        <v>3</v>
      </c>
    </row>
    <row r="70" spans="1:5" x14ac:dyDescent="0.2">
      <c r="A70" s="12" t="s">
        <v>50</v>
      </c>
      <c r="B70" s="12" t="s">
        <v>26</v>
      </c>
      <c r="C70" s="23" t="s">
        <v>15</v>
      </c>
      <c r="D70" s="33">
        <v>35850</v>
      </c>
      <c r="E70" s="34">
        <v>3</v>
      </c>
    </row>
    <row r="71" spans="1:5" x14ac:dyDescent="0.2">
      <c r="A71" s="12" t="s">
        <v>50</v>
      </c>
      <c r="B71" s="12" t="s">
        <v>26</v>
      </c>
      <c r="C71" s="23" t="s">
        <v>11</v>
      </c>
      <c r="D71" s="33">
        <v>10150</v>
      </c>
      <c r="E71" s="34">
        <v>1</v>
      </c>
    </row>
    <row r="72" spans="1:5" x14ac:dyDescent="0.2">
      <c r="A72" s="12" t="s">
        <v>50</v>
      </c>
      <c r="B72" s="10" t="s">
        <v>81</v>
      </c>
      <c r="C72" s="13"/>
      <c r="D72" s="31">
        <v>118300</v>
      </c>
      <c r="E72" s="32">
        <v>10</v>
      </c>
    </row>
    <row r="73" spans="1:5" x14ac:dyDescent="0.2">
      <c r="A73" s="12" t="s">
        <v>50</v>
      </c>
      <c r="B73" s="10" t="s">
        <v>30</v>
      </c>
      <c r="C73" s="10" t="s">
        <v>8</v>
      </c>
      <c r="D73" s="31">
        <v>61850</v>
      </c>
      <c r="E73" s="32">
        <v>5</v>
      </c>
    </row>
    <row r="74" spans="1:5" x14ac:dyDescent="0.2">
      <c r="A74" s="12" t="s">
        <v>50</v>
      </c>
      <c r="B74" s="12" t="s">
        <v>30</v>
      </c>
      <c r="C74" s="23" t="s">
        <v>22</v>
      </c>
      <c r="D74" s="33">
        <v>38200</v>
      </c>
      <c r="E74" s="34">
        <v>3</v>
      </c>
    </row>
    <row r="75" spans="1:5" x14ac:dyDescent="0.2">
      <c r="A75" s="12" t="s">
        <v>50</v>
      </c>
      <c r="B75" s="12" t="s">
        <v>30</v>
      </c>
      <c r="C75" s="23" t="s">
        <v>15</v>
      </c>
      <c r="D75" s="33">
        <v>57850</v>
      </c>
      <c r="E75" s="34">
        <v>5</v>
      </c>
    </row>
    <row r="76" spans="1:5" x14ac:dyDescent="0.2">
      <c r="A76" s="12" t="s">
        <v>50</v>
      </c>
      <c r="B76" s="12" t="s">
        <v>30</v>
      </c>
      <c r="C76" s="23" t="s">
        <v>11</v>
      </c>
      <c r="D76" s="33">
        <v>38250</v>
      </c>
      <c r="E76" s="34">
        <v>3</v>
      </c>
    </row>
    <row r="77" spans="1:5" x14ac:dyDescent="0.2">
      <c r="A77" s="12" t="s">
        <v>50</v>
      </c>
      <c r="B77" s="10" t="s">
        <v>82</v>
      </c>
      <c r="C77" s="13"/>
      <c r="D77" s="31">
        <v>196150</v>
      </c>
      <c r="E77" s="32">
        <v>16</v>
      </c>
    </row>
    <row r="78" spans="1:5" x14ac:dyDescent="0.2">
      <c r="A78" s="12" t="s">
        <v>50</v>
      </c>
      <c r="B78" s="10" t="s">
        <v>29</v>
      </c>
      <c r="C78" s="10" t="s">
        <v>8</v>
      </c>
      <c r="D78" s="31">
        <v>70000</v>
      </c>
      <c r="E78" s="32">
        <v>6</v>
      </c>
    </row>
    <row r="79" spans="1:5" x14ac:dyDescent="0.2">
      <c r="A79" s="12" t="s">
        <v>50</v>
      </c>
      <c r="B79" s="12" t="s">
        <v>29</v>
      </c>
      <c r="C79" s="23" t="s">
        <v>22</v>
      </c>
      <c r="D79" s="33">
        <v>21150</v>
      </c>
      <c r="E79" s="34">
        <v>2</v>
      </c>
    </row>
    <row r="80" spans="1:5" x14ac:dyDescent="0.2">
      <c r="A80" s="12" t="s">
        <v>50</v>
      </c>
      <c r="B80" s="12" t="s">
        <v>29</v>
      </c>
      <c r="C80" s="23" t="s">
        <v>15</v>
      </c>
      <c r="D80" s="33">
        <v>21100</v>
      </c>
      <c r="E80" s="34">
        <v>2</v>
      </c>
    </row>
    <row r="81" spans="1:5" x14ac:dyDescent="0.2">
      <c r="A81" s="12" t="s">
        <v>50</v>
      </c>
      <c r="B81" s="12" t="s">
        <v>29</v>
      </c>
      <c r="C81" s="23" t="s">
        <v>11</v>
      </c>
      <c r="D81" s="33">
        <v>48850</v>
      </c>
      <c r="E81" s="34">
        <v>4</v>
      </c>
    </row>
    <row r="82" spans="1:5" x14ac:dyDescent="0.2">
      <c r="A82" s="12" t="s">
        <v>50</v>
      </c>
      <c r="B82" s="10" t="s">
        <v>83</v>
      </c>
      <c r="C82" s="13"/>
      <c r="D82" s="31">
        <v>161100</v>
      </c>
      <c r="E82" s="32">
        <v>14</v>
      </c>
    </row>
    <row r="83" spans="1:5" x14ac:dyDescent="0.2">
      <c r="A83" s="12" t="s">
        <v>50</v>
      </c>
      <c r="B83" s="10" t="s">
        <v>33</v>
      </c>
      <c r="C83" s="10" t="s">
        <v>8</v>
      </c>
      <c r="D83" s="31">
        <v>27350</v>
      </c>
      <c r="E83" s="32">
        <v>2</v>
      </c>
    </row>
    <row r="84" spans="1:5" x14ac:dyDescent="0.2">
      <c r="A84" s="12" t="s">
        <v>50</v>
      </c>
      <c r="B84" s="12" t="s">
        <v>33</v>
      </c>
      <c r="C84" s="23" t="s">
        <v>22</v>
      </c>
      <c r="D84" s="33">
        <v>57850</v>
      </c>
      <c r="E84" s="34">
        <v>5</v>
      </c>
    </row>
    <row r="85" spans="1:5" x14ac:dyDescent="0.2">
      <c r="A85" s="12" t="s">
        <v>50</v>
      </c>
      <c r="B85" s="12" t="s">
        <v>33</v>
      </c>
      <c r="C85" s="23" t="s">
        <v>15</v>
      </c>
      <c r="D85" s="33">
        <v>11950</v>
      </c>
      <c r="E85" s="34">
        <v>1</v>
      </c>
    </row>
    <row r="86" spans="1:5" x14ac:dyDescent="0.2">
      <c r="A86" s="12" t="s">
        <v>50</v>
      </c>
      <c r="B86" s="12" t="s">
        <v>33</v>
      </c>
      <c r="C86" s="23" t="s">
        <v>11</v>
      </c>
      <c r="D86" s="33">
        <v>10600</v>
      </c>
      <c r="E86" s="34">
        <v>1</v>
      </c>
    </row>
    <row r="87" spans="1:5" x14ac:dyDescent="0.2">
      <c r="A87" s="12" t="s">
        <v>50</v>
      </c>
      <c r="B87" s="10" t="s">
        <v>84</v>
      </c>
      <c r="C87" s="13"/>
      <c r="D87" s="31">
        <v>107750</v>
      </c>
      <c r="E87" s="32">
        <v>9</v>
      </c>
    </row>
    <row r="88" spans="1:5" x14ac:dyDescent="0.2">
      <c r="A88" s="12" t="s">
        <v>50</v>
      </c>
      <c r="B88" s="10" t="s">
        <v>10</v>
      </c>
      <c r="C88" s="10" t="s">
        <v>8</v>
      </c>
      <c r="D88" s="31">
        <v>27650</v>
      </c>
      <c r="E88" s="32">
        <v>2</v>
      </c>
    </row>
    <row r="89" spans="1:5" x14ac:dyDescent="0.2">
      <c r="A89" s="12" t="s">
        <v>50</v>
      </c>
      <c r="B89" s="12" t="s">
        <v>10</v>
      </c>
      <c r="C89" s="23" t="s">
        <v>22</v>
      </c>
      <c r="D89" s="33">
        <v>61000</v>
      </c>
      <c r="E89" s="34">
        <v>5</v>
      </c>
    </row>
    <row r="90" spans="1:5" x14ac:dyDescent="0.2">
      <c r="A90" s="12" t="s">
        <v>50</v>
      </c>
      <c r="B90" s="12" t="s">
        <v>10</v>
      </c>
      <c r="C90" s="23" t="s">
        <v>15</v>
      </c>
      <c r="D90" s="33">
        <v>13100</v>
      </c>
      <c r="E90" s="34">
        <v>1</v>
      </c>
    </row>
    <row r="91" spans="1:5" x14ac:dyDescent="0.2">
      <c r="A91" s="12" t="s">
        <v>50</v>
      </c>
      <c r="B91" s="12" t="s">
        <v>10</v>
      </c>
      <c r="C91" s="23" t="s">
        <v>11</v>
      </c>
      <c r="D91" s="33">
        <v>66550</v>
      </c>
      <c r="E91" s="34">
        <v>5</v>
      </c>
    </row>
    <row r="92" spans="1:5" x14ac:dyDescent="0.2">
      <c r="A92" s="12" t="s">
        <v>50</v>
      </c>
      <c r="B92" s="10" t="s">
        <v>85</v>
      </c>
      <c r="C92" s="13"/>
      <c r="D92" s="31">
        <v>168300</v>
      </c>
      <c r="E92" s="32">
        <v>13</v>
      </c>
    </row>
    <row r="93" spans="1:5" x14ac:dyDescent="0.2">
      <c r="A93" s="12" t="s">
        <v>50</v>
      </c>
      <c r="B93" s="10" t="s">
        <v>24</v>
      </c>
      <c r="C93" s="10" t="s">
        <v>22</v>
      </c>
      <c r="D93" s="31">
        <v>52600</v>
      </c>
      <c r="E93" s="32">
        <v>4</v>
      </c>
    </row>
    <row r="94" spans="1:5" x14ac:dyDescent="0.2">
      <c r="A94" s="12" t="s">
        <v>50</v>
      </c>
      <c r="B94" s="12" t="s">
        <v>24</v>
      </c>
      <c r="C94" s="23" t="s">
        <v>15</v>
      </c>
      <c r="D94" s="33">
        <v>55400</v>
      </c>
      <c r="E94" s="34">
        <v>4</v>
      </c>
    </row>
    <row r="95" spans="1:5" x14ac:dyDescent="0.2">
      <c r="A95" s="12" t="s">
        <v>50</v>
      </c>
      <c r="B95" s="12" t="s">
        <v>24</v>
      </c>
      <c r="C95" s="23" t="s">
        <v>11</v>
      </c>
      <c r="D95" s="33">
        <v>37900</v>
      </c>
      <c r="E95" s="34">
        <v>3</v>
      </c>
    </row>
    <row r="96" spans="1:5" x14ac:dyDescent="0.2">
      <c r="A96" s="12" t="s">
        <v>50</v>
      </c>
      <c r="B96" s="10" t="s">
        <v>86</v>
      </c>
      <c r="C96" s="13"/>
      <c r="D96" s="31">
        <v>145900</v>
      </c>
      <c r="E96" s="32">
        <v>11</v>
      </c>
    </row>
    <row r="97" spans="1:5" x14ac:dyDescent="0.2">
      <c r="A97" s="12" t="s">
        <v>50</v>
      </c>
      <c r="B97" s="10" t="s">
        <v>21</v>
      </c>
      <c r="C97" s="10" t="s">
        <v>8</v>
      </c>
      <c r="D97" s="31">
        <v>35800</v>
      </c>
      <c r="E97" s="32">
        <v>3</v>
      </c>
    </row>
    <row r="98" spans="1:5" x14ac:dyDescent="0.2">
      <c r="A98" s="12" t="s">
        <v>50</v>
      </c>
      <c r="B98" s="12" t="s">
        <v>21</v>
      </c>
      <c r="C98" s="23" t="s">
        <v>22</v>
      </c>
      <c r="D98" s="33">
        <v>65450</v>
      </c>
      <c r="E98" s="34">
        <v>5</v>
      </c>
    </row>
    <row r="99" spans="1:5" x14ac:dyDescent="0.2">
      <c r="A99" s="12" t="s">
        <v>50</v>
      </c>
      <c r="B99" s="12" t="s">
        <v>21</v>
      </c>
      <c r="C99" s="23" t="s">
        <v>15</v>
      </c>
      <c r="D99" s="33">
        <v>13600</v>
      </c>
      <c r="E99" s="34">
        <v>1</v>
      </c>
    </row>
    <row r="100" spans="1:5" x14ac:dyDescent="0.2">
      <c r="A100" s="12" t="s">
        <v>50</v>
      </c>
      <c r="B100" s="12" t="s">
        <v>21</v>
      </c>
      <c r="C100" s="23" t="s">
        <v>11</v>
      </c>
      <c r="D100" s="33">
        <v>48050</v>
      </c>
      <c r="E100" s="34">
        <v>4</v>
      </c>
    </row>
    <row r="101" spans="1:5" x14ac:dyDescent="0.2">
      <c r="A101" s="12" t="s">
        <v>50</v>
      </c>
      <c r="B101" s="10" t="s">
        <v>87</v>
      </c>
      <c r="C101" s="13"/>
      <c r="D101" s="31">
        <v>162900</v>
      </c>
      <c r="E101" s="32">
        <v>13</v>
      </c>
    </row>
    <row r="102" spans="1:5" x14ac:dyDescent="0.2">
      <c r="A102" s="12" t="s">
        <v>50</v>
      </c>
      <c r="B102" s="10" t="s">
        <v>13</v>
      </c>
      <c r="C102" s="10" t="s">
        <v>8</v>
      </c>
      <c r="D102" s="31">
        <v>48000</v>
      </c>
      <c r="E102" s="32">
        <v>4</v>
      </c>
    </row>
    <row r="103" spans="1:5" x14ac:dyDescent="0.2">
      <c r="A103" s="12" t="s">
        <v>50</v>
      </c>
      <c r="B103" s="12" t="s">
        <v>13</v>
      </c>
      <c r="C103" s="23" t="s">
        <v>22</v>
      </c>
      <c r="D103" s="33">
        <v>53850</v>
      </c>
      <c r="E103" s="34">
        <v>4</v>
      </c>
    </row>
    <row r="104" spans="1:5" x14ac:dyDescent="0.2">
      <c r="A104" s="12" t="s">
        <v>50</v>
      </c>
      <c r="B104" s="12" t="s">
        <v>13</v>
      </c>
      <c r="C104" s="23" t="s">
        <v>15</v>
      </c>
      <c r="D104" s="33">
        <v>27400</v>
      </c>
      <c r="E104" s="34">
        <v>2</v>
      </c>
    </row>
    <row r="105" spans="1:5" x14ac:dyDescent="0.2">
      <c r="A105" s="12" t="s">
        <v>50</v>
      </c>
      <c r="B105" s="12" t="s">
        <v>13</v>
      </c>
      <c r="C105" s="23" t="s">
        <v>11</v>
      </c>
      <c r="D105" s="33">
        <v>39750</v>
      </c>
      <c r="E105" s="34">
        <v>3</v>
      </c>
    </row>
    <row r="106" spans="1:5" x14ac:dyDescent="0.2">
      <c r="A106" s="12" t="s">
        <v>50</v>
      </c>
      <c r="B106" s="10" t="s">
        <v>88</v>
      </c>
      <c r="C106" s="13"/>
      <c r="D106" s="31">
        <v>169000</v>
      </c>
      <c r="E106" s="32">
        <v>13</v>
      </c>
    </row>
    <row r="107" spans="1:5" x14ac:dyDescent="0.2">
      <c r="A107" s="12" t="s">
        <v>50</v>
      </c>
      <c r="B107" s="10" t="s">
        <v>7</v>
      </c>
      <c r="C107" s="10" t="s">
        <v>8</v>
      </c>
      <c r="D107" s="31">
        <v>38200</v>
      </c>
      <c r="E107" s="32">
        <v>3</v>
      </c>
    </row>
    <row r="108" spans="1:5" x14ac:dyDescent="0.2">
      <c r="A108" s="12" t="s">
        <v>50</v>
      </c>
      <c r="B108" s="12" t="s">
        <v>7</v>
      </c>
      <c r="C108" s="23" t="s">
        <v>15</v>
      </c>
      <c r="D108" s="33">
        <v>28450</v>
      </c>
      <c r="E108" s="34">
        <v>2</v>
      </c>
    </row>
    <row r="109" spans="1:5" x14ac:dyDescent="0.2">
      <c r="A109" s="12" t="s">
        <v>50</v>
      </c>
      <c r="B109" s="12" t="s">
        <v>7</v>
      </c>
      <c r="C109" s="23" t="s">
        <v>11</v>
      </c>
      <c r="D109" s="33">
        <v>78200</v>
      </c>
      <c r="E109" s="34">
        <v>6</v>
      </c>
    </row>
    <row r="110" spans="1:5" x14ac:dyDescent="0.2">
      <c r="A110" s="12" t="s">
        <v>50</v>
      </c>
      <c r="B110" s="10" t="s">
        <v>89</v>
      </c>
      <c r="C110" s="13"/>
      <c r="D110" s="31">
        <v>144850</v>
      </c>
      <c r="E110" s="32">
        <v>11</v>
      </c>
    </row>
    <row r="111" spans="1:5" x14ac:dyDescent="0.2">
      <c r="A111" s="12" t="s">
        <v>50</v>
      </c>
      <c r="B111" s="10" t="s">
        <v>28</v>
      </c>
      <c r="C111" s="10" t="s">
        <v>8</v>
      </c>
      <c r="D111" s="31">
        <v>36100</v>
      </c>
      <c r="E111" s="32">
        <v>3</v>
      </c>
    </row>
    <row r="112" spans="1:5" x14ac:dyDescent="0.2">
      <c r="A112" s="12" t="s">
        <v>50</v>
      </c>
      <c r="B112" s="12" t="s">
        <v>28</v>
      </c>
      <c r="C112" s="23" t="s">
        <v>22</v>
      </c>
      <c r="D112" s="33">
        <v>27200</v>
      </c>
      <c r="E112" s="34">
        <v>2</v>
      </c>
    </row>
    <row r="113" spans="1:5" x14ac:dyDescent="0.2">
      <c r="A113" s="12" t="s">
        <v>50</v>
      </c>
      <c r="B113" s="12" t="s">
        <v>28</v>
      </c>
      <c r="C113" s="23" t="s">
        <v>15</v>
      </c>
      <c r="D113" s="33">
        <v>23400</v>
      </c>
      <c r="E113" s="34">
        <v>2</v>
      </c>
    </row>
    <row r="114" spans="1:5" x14ac:dyDescent="0.2">
      <c r="A114" s="12" t="s">
        <v>50</v>
      </c>
      <c r="B114" s="12" t="s">
        <v>28</v>
      </c>
      <c r="C114" s="23" t="s">
        <v>11</v>
      </c>
      <c r="D114" s="33">
        <v>10500</v>
      </c>
      <c r="E114" s="34">
        <v>1</v>
      </c>
    </row>
    <row r="115" spans="1:5" x14ac:dyDescent="0.2">
      <c r="A115" s="12" t="s">
        <v>50</v>
      </c>
      <c r="B115" s="10" t="s">
        <v>90</v>
      </c>
      <c r="C115" s="13"/>
      <c r="D115" s="31">
        <v>97200</v>
      </c>
      <c r="E115" s="32">
        <v>8</v>
      </c>
    </row>
    <row r="116" spans="1:5" x14ac:dyDescent="0.2">
      <c r="A116" s="12" t="s">
        <v>50</v>
      </c>
      <c r="B116" s="10" t="s">
        <v>17</v>
      </c>
      <c r="C116" s="10" t="s">
        <v>22</v>
      </c>
      <c r="D116" s="31">
        <v>13750</v>
      </c>
      <c r="E116" s="32">
        <v>1</v>
      </c>
    </row>
    <row r="117" spans="1:5" x14ac:dyDescent="0.2">
      <c r="A117" s="12" t="s">
        <v>50</v>
      </c>
      <c r="B117" s="12" t="s">
        <v>17</v>
      </c>
      <c r="C117" s="23" t="s">
        <v>15</v>
      </c>
      <c r="D117" s="33">
        <v>38700</v>
      </c>
      <c r="E117" s="34">
        <v>3</v>
      </c>
    </row>
    <row r="118" spans="1:5" x14ac:dyDescent="0.2">
      <c r="A118" s="12" t="s">
        <v>50</v>
      </c>
      <c r="B118" s="12" t="s">
        <v>17</v>
      </c>
      <c r="C118" s="23" t="s">
        <v>11</v>
      </c>
      <c r="D118" s="33">
        <v>28400</v>
      </c>
      <c r="E118" s="34">
        <v>2</v>
      </c>
    </row>
    <row r="119" spans="1:5" x14ac:dyDescent="0.2">
      <c r="A119" s="12" t="s">
        <v>50</v>
      </c>
      <c r="B119" s="10" t="s">
        <v>91</v>
      </c>
      <c r="C119" s="13"/>
      <c r="D119" s="31">
        <v>80850</v>
      </c>
      <c r="E119" s="32">
        <v>6</v>
      </c>
    </row>
    <row r="120" spans="1:5" x14ac:dyDescent="0.2">
      <c r="A120" s="10" t="s">
        <v>51</v>
      </c>
      <c r="B120" s="13"/>
      <c r="C120" s="13"/>
      <c r="D120" s="31">
        <v>1663250</v>
      </c>
      <c r="E120" s="32">
        <v>133</v>
      </c>
    </row>
    <row r="121" spans="1:5" x14ac:dyDescent="0.2">
      <c r="A121" s="10" t="s">
        <v>52</v>
      </c>
      <c r="B121" s="10" t="s">
        <v>19</v>
      </c>
      <c r="C121" s="10" t="s">
        <v>8</v>
      </c>
      <c r="D121" s="31">
        <v>24200</v>
      </c>
      <c r="E121" s="32">
        <v>2</v>
      </c>
    </row>
    <row r="122" spans="1:5" x14ac:dyDescent="0.2">
      <c r="A122" s="12" t="s">
        <v>52</v>
      </c>
      <c r="B122" s="12" t="s">
        <v>19</v>
      </c>
      <c r="C122" s="23" t="s">
        <v>22</v>
      </c>
      <c r="D122" s="33">
        <v>49350</v>
      </c>
      <c r="E122" s="34">
        <v>4</v>
      </c>
    </row>
    <row r="123" spans="1:5" x14ac:dyDescent="0.2">
      <c r="A123" s="12" t="s">
        <v>52</v>
      </c>
      <c r="B123" s="12" t="s">
        <v>19</v>
      </c>
      <c r="C123" s="23" t="s">
        <v>15</v>
      </c>
      <c r="D123" s="33">
        <v>40000</v>
      </c>
      <c r="E123" s="34">
        <v>3</v>
      </c>
    </row>
    <row r="124" spans="1:5" x14ac:dyDescent="0.2">
      <c r="A124" s="12" t="s">
        <v>52</v>
      </c>
      <c r="B124" s="12" t="s">
        <v>19</v>
      </c>
      <c r="C124" s="23" t="s">
        <v>11</v>
      </c>
      <c r="D124" s="33">
        <v>59100</v>
      </c>
      <c r="E124" s="34">
        <v>5</v>
      </c>
    </row>
    <row r="125" spans="1:5" x14ac:dyDescent="0.2">
      <c r="A125" s="12" t="s">
        <v>52</v>
      </c>
      <c r="B125" s="10" t="s">
        <v>80</v>
      </c>
      <c r="C125" s="13"/>
      <c r="D125" s="31">
        <v>172650</v>
      </c>
      <c r="E125" s="32">
        <v>14</v>
      </c>
    </row>
    <row r="126" spans="1:5" x14ac:dyDescent="0.2">
      <c r="A126" s="12" t="s">
        <v>52</v>
      </c>
      <c r="B126" s="10" t="s">
        <v>26</v>
      </c>
      <c r="C126" s="10" t="s">
        <v>8</v>
      </c>
      <c r="D126" s="31">
        <v>50200</v>
      </c>
      <c r="E126" s="32">
        <v>4</v>
      </c>
    </row>
    <row r="127" spans="1:5" x14ac:dyDescent="0.2">
      <c r="A127" s="12" t="s">
        <v>52</v>
      </c>
      <c r="B127" s="12" t="s">
        <v>26</v>
      </c>
      <c r="C127" s="23" t="s">
        <v>22</v>
      </c>
      <c r="D127" s="33">
        <v>66050</v>
      </c>
      <c r="E127" s="34">
        <v>5</v>
      </c>
    </row>
    <row r="128" spans="1:5" x14ac:dyDescent="0.2">
      <c r="A128" s="12" t="s">
        <v>52</v>
      </c>
      <c r="B128" s="12" t="s">
        <v>26</v>
      </c>
      <c r="C128" s="23" t="s">
        <v>15</v>
      </c>
      <c r="D128" s="33">
        <v>25250</v>
      </c>
      <c r="E128" s="34">
        <v>2</v>
      </c>
    </row>
    <row r="129" spans="1:5" x14ac:dyDescent="0.2">
      <c r="A129" s="12" t="s">
        <v>52</v>
      </c>
      <c r="B129" s="12" t="s">
        <v>26</v>
      </c>
      <c r="C129" s="23" t="s">
        <v>11</v>
      </c>
      <c r="D129" s="33">
        <v>10650</v>
      </c>
      <c r="E129" s="34">
        <v>1</v>
      </c>
    </row>
    <row r="130" spans="1:5" x14ac:dyDescent="0.2">
      <c r="A130" s="12" t="s">
        <v>52</v>
      </c>
      <c r="B130" s="10" t="s">
        <v>81</v>
      </c>
      <c r="C130" s="13"/>
      <c r="D130" s="31">
        <v>152150</v>
      </c>
      <c r="E130" s="32">
        <v>12</v>
      </c>
    </row>
    <row r="131" spans="1:5" x14ac:dyDescent="0.2">
      <c r="A131" s="12" t="s">
        <v>52</v>
      </c>
      <c r="B131" s="10" t="s">
        <v>30</v>
      </c>
      <c r="C131" s="10" t="s">
        <v>8</v>
      </c>
      <c r="D131" s="31">
        <v>52550</v>
      </c>
      <c r="E131" s="32">
        <v>4</v>
      </c>
    </row>
    <row r="132" spans="1:5" x14ac:dyDescent="0.2">
      <c r="A132" s="12" t="s">
        <v>52</v>
      </c>
      <c r="B132" s="12" t="s">
        <v>30</v>
      </c>
      <c r="C132" s="23" t="s">
        <v>22</v>
      </c>
      <c r="D132" s="33">
        <v>52650</v>
      </c>
      <c r="E132" s="34">
        <v>4</v>
      </c>
    </row>
    <row r="133" spans="1:5" x14ac:dyDescent="0.2">
      <c r="A133" s="12" t="s">
        <v>52</v>
      </c>
      <c r="B133" s="12" t="s">
        <v>30</v>
      </c>
      <c r="C133" s="23" t="s">
        <v>15</v>
      </c>
      <c r="D133" s="33">
        <v>13250</v>
      </c>
      <c r="E133" s="34">
        <v>1</v>
      </c>
    </row>
    <row r="134" spans="1:5" x14ac:dyDescent="0.2">
      <c r="A134" s="12" t="s">
        <v>52</v>
      </c>
      <c r="B134" s="12" t="s">
        <v>30</v>
      </c>
      <c r="C134" s="23" t="s">
        <v>11</v>
      </c>
      <c r="D134" s="33">
        <v>26450</v>
      </c>
      <c r="E134" s="34">
        <v>2</v>
      </c>
    </row>
    <row r="135" spans="1:5" x14ac:dyDescent="0.2">
      <c r="A135" s="12" t="s">
        <v>52</v>
      </c>
      <c r="B135" s="10" t="s">
        <v>82</v>
      </c>
      <c r="C135" s="13"/>
      <c r="D135" s="31">
        <v>144900</v>
      </c>
      <c r="E135" s="32">
        <v>11</v>
      </c>
    </row>
    <row r="136" spans="1:5" x14ac:dyDescent="0.2">
      <c r="A136" s="12" t="s">
        <v>52</v>
      </c>
      <c r="B136" s="10" t="s">
        <v>29</v>
      </c>
      <c r="C136" s="10" t="s">
        <v>8</v>
      </c>
      <c r="D136" s="31">
        <v>35000</v>
      </c>
      <c r="E136" s="32">
        <v>3</v>
      </c>
    </row>
    <row r="137" spans="1:5" x14ac:dyDescent="0.2">
      <c r="A137" s="12" t="s">
        <v>52</v>
      </c>
      <c r="B137" s="12" t="s">
        <v>29</v>
      </c>
      <c r="C137" s="23" t="s">
        <v>22</v>
      </c>
      <c r="D137" s="33">
        <v>98950</v>
      </c>
      <c r="E137" s="34">
        <v>8</v>
      </c>
    </row>
    <row r="138" spans="1:5" x14ac:dyDescent="0.2">
      <c r="A138" s="12" t="s">
        <v>52</v>
      </c>
      <c r="B138" s="12" t="s">
        <v>29</v>
      </c>
      <c r="C138" s="23" t="s">
        <v>15</v>
      </c>
      <c r="D138" s="33">
        <v>23750</v>
      </c>
      <c r="E138" s="34">
        <v>2</v>
      </c>
    </row>
    <row r="139" spans="1:5" x14ac:dyDescent="0.2">
      <c r="A139" s="12" t="s">
        <v>52</v>
      </c>
      <c r="B139" s="12" t="s">
        <v>29</v>
      </c>
      <c r="C139" s="23" t="s">
        <v>11</v>
      </c>
      <c r="D139" s="33">
        <v>34900</v>
      </c>
      <c r="E139" s="34">
        <v>3</v>
      </c>
    </row>
    <row r="140" spans="1:5" x14ac:dyDescent="0.2">
      <c r="A140" s="12" t="s">
        <v>52</v>
      </c>
      <c r="B140" s="10" t="s">
        <v>83</v>
      </c>
      <c r="C140" s="13"/>
      <c r="D140" s="31">
        <v>192600</v>
      </c>
      <c r="E140" s="32">
        <v>16</v>
      </c>
    </row>
    <row r="141" spans="1:5" x14ac:dyDescent="0.2">
      <c r="A141" s="12" t="s">
        <v>52</v>
      </c>
      <c r="B141" s="10" t="s">
        <v>33</v>
      </c>
      <c r="C141" s="10" t="s">
        <v>8</v>
      </c>
      <c r="D141" s="31">
        <v>24000</v>
      </c>
      <c r="E141" s="32">
        <v>2</v>
      </c>
    </row>
    <row r="142" spans="1:5" x14ac:dyDescent="0.2">
      <c r="A142" s="12" t="s">
        <v>52</v>
      </c>
      <c r="B142" s="12" t="s">
        <v>33</v>
      </c>
      <c r="C142" s="23" t="s">
        <v>22</v>
      </c>
      <c r="D142" s="33">
        <v>11850</v>
      </c>
      <c r="E142" s="34">
        <v>1</v>
      </c>
    </row>
    <row r="143" spans="1:5" x14ac:dyDescent="0.2">
      <c r="A143" s="12" t="s">
        <v>52</v>
      </c>
      <c r="B143" s="12" t="s">
        <v>33</v>
      </c>
      <c r="C143" s="23" t="s">
        <v>15</v>
      </c>
      <c r="D143" s="33">
        <v>50100</v>
      </c>
      <c r="E143" s="34">
        <v>4</v>
      </c>
    </row>
    <row r="144" spans="1:5" x14ac:dyDescent="0.2">
      <c r="A144" s="12" t="s">
        <v>52</v>
      </c>
      <c r="B144" s="12" t="s">
        <v>33</v>
      </c>
      <c r="C144" s="23" t="s">
        <v>11</v>
      </c>
      <c r="D144" s="33">
        <v>34750</v>
      </c>
      <c r="E144" s="34">
        <v>3</v>
      </c>
    </row>
    <row r="145" spans="1:5" x14ac:dyDescent="0.2">
      <c r="A145" s="12" t="s">
        <v>52</v>
      </c>
      <c r="B145" s="10" t="s">
        <v>84</v>
      </c>
      <c r="C145" s="13"/>
      <c r="D145" s="31">
        <v>120700</v>
      </c>
      <c r="E145" s="32">
        <v>10</v>
      </c>
    </row>
    <row r="146" spans="1:5" x14ac:dyDescent="0.2">
      <c r="A146" s="12" t="s">
        <v>52</v>
      </c>
      <c r="B146" s="10" t="s">
        <v>10</v>
      </c>
      <c r="C146" s="10" t="s">
        <v>22</v>
      </c>
      <c r="D146" s="31">
        <v>61750</v>
      </c>
      <c r="E146" s="32">
        <v>5</v>
      </c>
    </row>
    <row r="147" spans="1:5" x14ac:dyDescent="0.2">
      <c r="A147" s="12" t="s">
        <v>52</v>
      </c>
      <c r="B147" s="12" t="s">
        <v>10</v>
      </c>
      <c r="C147" s="23" t="s">
        <v>15</v>
      </c>
      <c r="D147" s="33">
        <v>11100</v>
      </c>
      <c r="E147" s="34">
        <v>1</v>
      </c>
    </row>
    <row r="148" spans="1:5" x14ac:dyDescent="0.2">
      <c r="A148" s="12" t="s">
        <v>52</v>
      </c>
      <c r="B148" s="10" t="s">
        <v>85</v>
      </c>
      <c r="C148" s="13"/>
      <c r="D148" s="31">
        <v>72850</v>
      </c>
      <c r="E148" s="32">
        <v>6</v>
      </c>
    </row>
    <row r="149" spans="1:5" x14ac:dyDescent="0.2">
      <c r="A149" s="12" t="s">
        <v>52</v>
      </c>
      <c r="B149" s="10" t="s">
        <v>24</v>
      </c>
      <c r="C149" s="10" t="s">
        <v>8</v>
      </c>
      <c r="D149" s="31">
        <v>102650</v>
      </c>
      <c r="E149" s="32">
        <v>8</v>
      </c>
    </row>
    <row r="150" spans="1:5" x14ac:dyDescent="0.2">
      <c r="A150" s="12" t="s">
        <v>52</v>
      </c>
      <c r="B150" s="12" t="s">
        <v>24</v>
      </c>
      <c r="C150" s="23" t="s">
        <v>22</v>
      </c>
      <c r="D150" s="33">
        <v>12850</v>
      </c>
      <c r="E150" s="34">
        <v>1</v>
      </c>
    </row>
    <row r="151" spans="1:5" x14ac:dyDescent="0.2">
      <c r="A151" s="12" t="s">
        <v>52</v>
      </c>
      <c r="B151" s="12" t="s">
        <v>24</v>
      </c>
      <c r="C151" s="23" t="s">
        <v>15</v>
      </c>
      <c r="D151" s="33">
        <v>40600</v>
      </c>
      <c r="E151" s="34">
        <v>3</v>
      </c>
    </row>
    <row r="152" spans="1:5" x14ac:dyDescent="0.2">
      <c r="A152" s="12" t="s">
        <v>52</v>
      </c>
      <c r="B152" s="12" t="s">
        <v>24</v>
      </c>
      <c r="C152" s="23" t="s">
        <v>11</v>
      </c>
      <c r="D152" s="33">
        <v>38700</v>
      </c>
      <c r="E152" s="34">
        <v>3</v>
      </c>
    </row>
    <row r="153" spans="1:5" x14ac:dyDescent="0.2">
      <c r="A153" s="12" t="s">
        <v>52</v>
      </c>
      <c r="B153" s="10" t="s">
        <v>86</v>
      </c>
      <c r="C153" s="13"/>
      <c r="D153" s="31">
        <v>194800</v>
      </c>
      <c r="E153" s="32">
        <v>15</v>
      </c>
    </row>
    <row r="154" spans="1:5" x14ac:dyDescent="0.2">
      <c r="A154" s="12" t="s">
        <v>52</v>
      </c>
      <c r="B154" s="10" t="s">
        <v>21</v>
      </c>
      <c r="C154" s="10" t="s">
        <v>8</v>
      </c>
      <c r="D154" s="31">
        <v>61950</v>
      </c>
      <c r="E154" s="32">
        <v>5</v>
      </c>
    </row>
    <row r="155" spans="1:5" x14ac:dyDescent="0.2">
      <c r="A155" s="12" t="s">
        <v>52</v>
      </c>
      <c r="B155" s="12" t="s">
        <v>21</v>
      </c>
      <c r="C155" s="23" t="s">
        <v>22</v>
      </c>
      <c r="D155" s="33">
        <v>80550</v>
      </c>
      <c r="E155" s="34">
        <v>6</v>
      </c>
    </row>
    <row r="156" spans="1:5" x14ac:dyDescent="0.2">
      <c r="A156" s="12" t="s">
        <v>52</v>
      </c>
      <c r="B156" s="12" t="s">
        <v>21</v>
      </c>
      <c r="C156" s="23" t="s">
        <v>15</v>
      </c>
      <c r="D156" s="33">
        <v>27250</v>
      </c>
      <c r="E156" s="34">
        <v>2</v>
      </c>
    </row>
    <row r="157" spans="1:5" x14ac:dyDescent="0.2">
      <c r="A157" s="12" t="s">
        <v>52</v>
      </c>
      <c r="B157" s="12" t="s">
        <v>21</v>
      </c>
      <c r="C157" s="23" t="s">
        <v>11</v>
      </c>
      <c r="D157" s="33">
        <v>12700</v>
      </c>
      <c r="E157" s="34">
        <v>1</v>
      </c>
    </row>
    <row r="158" spans="1:5" x14ac:dyDescent="0.2">
      <c r="A158" s="12" t="s">
        <v>52</v>
      </c>
      <c r="B158" s="10" t="s">
        <v>87</v>
      </c>
      <c r="C158" s="13"/>
      <c r="D158" s="31">
        <v>182450</v>
      </c>
      <c r="E158" s="32">
        <v>14</v>
      </c>
    </row>
    <row r="159" spans="1:5" x14ac:dyDescent="0.2">
      <c r="A159" s="12" t="s">
        <v>52</v>
      </c>
      <c r="B159" s="10" t="s">
        <v>13</v>
      </c>
      <c r="C159" s="10" t="s">
        <v>8</v>
      </c>
      <c r="D159" s="31">
        <v>40600</v>
      </c>
      <c r="E159" s="32">
        <v>3</v>
      </c>
    </row>
    <row r="160" spans="1:5" x14ac:dyDescent="0.2">
      <c r="A160" s="12" t="s">
        <v>52</v>
      </c>
      <c r="B160" s="12" t="s">
        <v>13</v>
      </c>
      <c r="C160" s="23" t="s">
        <v>22</v>
      </c>
      <c r="D160" s="33">
        <v>12300</v>
      </c>
      <c r="E160" s="34">
        <v>1</v>
      </c>
    </row>
    <row r="161" spans="1:5" x14ac:dyDescent="0.2">
      <c r="A161" s="12" t="s">
        <v>52</v>
      </c>
      <c r="B161" s="12" t="s">
        <v>13</v>
      </c>
      <c r="C161" s="23" t="s">
        <v>15</v>
      </c>
      <c r="D161" s="33">
        <v>75250</v>
      </c>
      <c r="E161" s="34">
        <v>6</v>
      </c>
    </row>
    <row r="162" spans="1:5" x14ac:dyDescent="0.2">
      <c r="A162" s="12" t="s">
        <v>52</v>
      </c>
      <c r="B162" s="12" t="s">
        <v>13</v>
      </c>
      <c r="C162" s="23" t="s">
        <v>11</v>
      </c>
      <c r="D162" s="33">
        <v>32750</v>
      </c>
      <c r="E162" s="34">
        <v>3</v>
      </c>
    </row>
    <row r="163" spans="1:5" x14ac:dyDescent="0.2">
      <c r="A163" s="12" t="s">
        <v>52</v>
      </c>
      <c r="B163" s="10" t="s">
        <v>88</v>
      </c>
      <c r="C163" s="13"/>
      <c r="D163" s="31">
        <v>160900</v>
      </c>
      <c r="E163" s="32">
        <v>13</v>
      </c>
    </row>
    <row r="164" spans="1:5" x14ac:dyDescent="0.2">
      <c r="A164" s="12" t="s">
        <v>52</v>
      </c>
      <c r="B164" s="10" t="s">
        <v>7</v>
      </c>
      <c r="C164" s="10" t="s">
        <v>8</v>
      </c>
      <c r="D164" s="31">
        <v>46250</v>
      </c>
      <c r="E164" s="32">
        <v>4</v>
      </c>
    </row>
    <row r="165" spans="1:5" x14ac:dyDescent="0.2">
      <c r="A165" s="12" t="s">
        <v>52</v>
      </c>
      <c r="B165" s="12" t="s">
        <v>7</v>
      </c>
      <c r="C165" s="23" t="s">
        <v>22</v>
      </c>
      <c r="D165" s="33">
        <v>11900</v>
      </c>
      <c r="E165" s="34">
        <v>1</v>
      </c>
    </row>
    <row r="166" spans="1:5" x14ac:dyDescent="0.2">
      <c r="A166" s="12" t="s">
        <v>52</v>
      </c>
      <c r="B166" s="12" t="s">
        <v>7</v>
      </c>
      <c r="C166" s="23" t="s">
        <v>15</v>
      </c>
      <c r="D166" s="33">
        <v>63550</v>
      </c>
      <c r="E166" s="34">
        <v>5</v>
      </c>
    </row>
    <row r="167" spans="1:5" x14ac:dyDescent="0.2">
      <c r="A167" s="12" t="s">
        <v>52</v>
      </c>
      <c r="B167" s="12" t="s">
        <v>7</v>
      </c>
      <c r="C167" s="23" t="s">
        <v>11</v>
      </c>
      <c r="D167" s="33">
        <v>52450</v>
      </c>
      <c r="E167" s="34">
        <v>4</v>
      </c>
    </row>
    <row r="168" spans="1:5" x14ac:dyDescent="0.2">
      <c r="A168" s="12" t="s">
        <v>52</v>
      </c>
      <c r="B168" s="10" t="s">
        <v>89</v>
      </c>
      <c r="C168" s="13"/>
      <c r="D168" s="31">
        <v>174150</v>
      </c>
      <c r="E168" s="32">
        <v>14</v>
      </c>
    </row>
    <row r="169" spans="1:5" x14ac:dyDescent="0.2">
      <c r="A169" s="12" t="s">
        <v>52</v>
      </c>
      <c r="B169" s="10" t="s">
        <v>28</v>
      </c>
      <c r="C169" s="10" t="s">
        <v>8</v>
      </c>
      <c r="D169" s="31">
        <v>63250</v>
      </c>
      <c r="E169" s="32">
        <v>5</v>
      </c>
    </row>
    <row r="170" spans="1:5" x14ac:dyDescent="0.2">
      <c r="A170" s="12" t="s">
        <v>52</v>
      </c>
      <c r="B170" s="12" t="s">
        <v>28</v>
      </c>
      <c r="C170" s="23" t="s">
        <v>15</v>
      </c>
      <c r="D170" s="33">
        <v>33700</v>
      </c>
      <c r="E170" s="34">
        <v>3</v>
      </c>
    </row>
    <row r="171" spans="1:5" x14ac:dyDescent="0.2">
      <c r="A171" s="12" t="s">
        <v>52</v>
      </c>
      <c r="B171" s="12" t="s">
        <v>28</v>
      </c>
      <c r="C171" s="23" t="s">
        <v>11</v>
      </c>
      <c r="D171" s="33">
        <v>96450</v>
      </c>
      <c r="E171" s="34">
        <v>8</v>
      </c>
    </row>
    <row r="172" spans="1:5" x14ac:dyDescent="0.2">
      <c r="A172" s="12" t="s">
        <v>52</v>
      </c>
      <c r="B172" s="10" t="s">
        <v>90</v>
      </c>
      <c r="C172" s="13"/>
      <c r="D172" s="31">
        <v>193400</v>
      </c>
      <c r="E172" s="32">
        <v>16</v>
      </c>
    </row>
    <row r="173" spans="1:5" x14ac:dyDescent="0.2">
      <c r="A173" s="12" t="s">
        <v>52</v>
      </c>
      <c r="B173" s="10" t="s">
        <v>17</v>
      </c>
      <c r="C173" s="10" t="s">
        <v>8</v>
      </c>
      <c r="D173" s="31">
        <v>26450</v>
      </c>
      <c r="E173" s="32">
        <v>2</v>
      </c>
    </row>
    <row r="174" spans="1:5" x14ac:dyDescent="0.2">
      <c r="A174" s="12" t="s">
        <v>52</v>
      </c>
      <c r="B174" s="12" t="s">
        <v>17</v>
      </c>
      <c r="C174" s="23" t="s">
        <v>15</v>
      </c>
      <c r="D174" s="33">
        <v>62450</v>
      </c>
      <c r="E174" s="34">
        <v>5</v>
      </c>
    </row>
    <row r="175" spans="1:5" x14ac:dyDescent="0.2">
      <c r="A175" s="12" t="s">
        <v>52</v>
      </c>
      <c r="B175" s="12" t="s">
        <v>17</v>
      </c>
      <c r="C175" s="23" t="s">
        <v>11</v>
      </c>
      <c r="D175" s="33">
        <v>54350</v>
      </c>
      <c r="E175" s="34">
        <v>4</v>
      </c>
    </row>
    <row r="176" spans="1:5" x14ac:dyDescent="0.2">
      <c r="A176" s="12" t="s">
        <v>52</v>
      </c>
      <c r="B176" s="10" t="s">
        <v>91</v>
      </c>
      <c r="C176" s="13"/>
      <c r="D176" s="31">
        <v>143250</v>
      </c>
      <c r="E176" s="32">
        <v>11</v>
      </c>
    </row>
    <row r="177" spans="1:5" x14ac:dyDescent="0.2">
      <c r="A177" s="10" t="s">
        <v>53</v>
      </c>
      <c r="B177" s="13"/>
      <c r="C177" s="13"/>
      <c r="D177" s="31">
        <v>1904800</v>
      </c>
      <c r="E177" s="32">
        <v>152</v>
      </c>
    </row>
    <row r="178" spans="1:5" x14ac:dyDescent="0.2">
      <c r="A178" s="10" t="s">
        <v>54</v>
      </c>
      <c r="B178" s="10" t="s">
        <v>19</v>
      </c>
      <c r="C178" s="10" t="s">
        <v>22</v>
      </c>
      <c r="D178" s="31">
        <v>67300</v>
      </c>
      <c r="E178" s="32">
        <v>5</v>
      </c>
    </row>
    <row r="179" spans="1:5" x14ac:dyDescent="0.2">
      <c r="A179" s="12" t="s">
        <v>54</v>
      </c>
      <c r="B179" s="12" t="s">
        <v>19</v>
      </c>
      <c r="C179" s="23" t="s">
        <v>15</v>
      </c>
      <c r="D179" s="33">
        <v>62750</v>
      </c>
      <c r="E179" s="34">
        <v>5</v>
      </c>
    </row>
    <row r="180" spans="1:5" x14ac:dyDescent="0.2">
      <c r="A180" s="12" t="s">
        <v>54</v>
      </c>
      <c r="B180" s="12" t="s">
        <v>19</v>
      </c>
      <c r="C180" s="23" t="s">
        <v>11</v>
      </c>
      <c r="D180" s="33">
        <v>68550</v>
      </c>
      <c r="E180" s="34">
        <v>5</v>
      </c>
    </row>
    <row r="181" spans="1:5" x14ac:dyDescent="0.2">
      <c r="A181" s="12" t="s">
        <v>54</v>
      </c>
      <c r="B181" s="10" t="s">
        <v>80</v>
      </c>
      <c r="C181" s="13"/>
      <c r="D181" s="31">
        <v>198600</v>
      </c>
      <c r="E181" s="32">
        <v>15</v>
      </c>
    </row>
    <row r="182" spans="1:5" x14ac:dyDescent="0.2">
      <c r="A182" s="12" t="s">
        <v>54</v>
      </c>
      <c r="B182" s="10" t="s">
        <v>26</v>
      </c>
      <c r="C182" s="10" t="s">
        <v>8</v>
      </c>
      <c r="D182" s="31">
        <v>24650</v>
      </c>
      <c r="E182" s="32">
        <v>2</v>
      </c>
    </row>
    <row r="183" spans="1:5" x14ac:dyDescent="0.2">
      <c r="A183" s="12" t="s">
        <v>54</v>
      </c>
      <c r="B183" s="12" t="s">
        <v>26</v>
      </c>
      <c r="C183" s="23" t="s">
        <v>22</v>
      </c>
      <c r="D183" s="33">
        <v>25800</v>
      </c>
      <c r="E183" s="34">
        <v>2</v>
      </c>
    </row>
    <row r="184" spans="1:5" x14ac:dyDescent="0.2">
      <c r="A184" s="12" t="s">
        <v>54</v>
      </c>
      <c r="B184" s="12" t="s">
        <v>26</v>
      </c>
      <c r="C184" s="23" t="s">
        <v>15</v>
      </c>
      <c r="D184" s="33">
        <v>24100</v>
      </c>
      <c r="E184" s="34">
        <v>2</v>
      </c>
    </row>
    <row r="185" spans="1:5" x14ac:dyDescent="0.2">
      <c r="A185" s="12" t="s">
        <v>54</v>
      </c>
      <c r="B185" s="12" t="s">
        <v>26</v>
      </c>
      <c r="C185" s="23" t="s">
        <v>11</v>
      </c>
      <c r="D185" s="33">
        <v>25500</v>
      </c>
      <c r="E185" s="34">
        <v>2</v>
      </c>
    </row>
    <row r="186" spans="1:5" x14ac:dyDescent="0.2">
      <c r="A186" s="12" t="s">
        <v>54</v>
      </c>
      <c r="B186" s="10" t="s">
        <v>81</v>
      </c>
      <c r="C186" s="13"/>
      <c r="D186" s="31">
        <v>100050</v>
      </c>
      <c r="E186" s="32">
        <v>8</v>
      </c>
    </row>
    <row r="187" spans="1:5" x14ac:dyDescent="0.2">
      <c r="A187" s="12" t="s">
        <v>54</v>
      </c>
      <c r="B187" s="10" t="s">
        <v>30</v>
      </c>
      <c r="C187" s="10" t="s">
        <v>8</v>
      </c>
      <c r="D187" s="31">
        <v>65050</v>
      </c>
      <c r="E187" s="32">
        <v>5</v>
      </c>
    </row>
    <row r="188" spans="1:5" x14ac:dyDescent="0.2">
      <c r="A188" s="12" t="s">
        <v>54</v>
      </c>
      <c r="B188" s="12" t="s">
        <v>30</v>
      </c>
      <c r="C188" s="23" t="s">
        <v>22</v>
      </c>
      <c r="D188" s="33">
        <v>37500</v>
      </c>
      <c r="E188" s="34">
        <v>3</v>
      </c>
    </row>
    <row r="189" spans="1:5" x14ac:dyDescent="0.2">
      <c r="A189" s="12" t="s">
        <v>54</v>
      </c>
      <c r="B189" s="12" t="s">
        <v>30</v>
      </c>
      <c r="C189" s="23" t="s">
        <v>15</v>
      </c>
      <c r="D189" s="33">
        <v>39900</v>
      </c>
      <c r="E189" s="34">
        <v>3</v>
      </c>
    </row>
    <row r="190" spans="1:5" x14ac:dyDescent="0.2">
      <c r="A190" s="12" t="s">
        <v>54</v>
      </c>
      <c r="B190" s="12" t="s">
        <v>30</v>
      </c>
      <c r="C190" s="23" t="s">
        <v>11</v>
      </c>
      <c r="D190" s="33">
        <v>71200</v>
      </c>
      <c r="E190" s="34">
        <v>6</v>
      </c>
    </row>
    <row r="191" spans="1:5" x14ac:dyDescent="0.2">
      <c r="A191" s="12" t="s">
        <v>54</v>
      </c>
      <c r="B191" s="10" t="s">
        <v>82</v>
      </c>
      <c r="C191" s="13"/>
      <c r="D191" s="31">
        <v>213650</v>
      </c>
      <c r="E191" s="32">
        <v>17</v>
      </c>
    </row>
    <row r="192" spans="1:5" x14ac:dyDescent="0.2">
      <c r="A192" s="12" t="s">
        <v>54</v>
      </c>
      <c r="B192" s="10" t="s">
        <v>29</v>
      </c>
      <c r="C192" s="10" t="s">
        <v>8</v>
      </c>
      <c r="D192" s="31">
        <v>24400</v>
      </c>
      <c r="E192" s="32">
        <v>2</v>
      </c>
    </row>
    <row r="193" spans="1:5" x14ac:dyDescent="0.2">
      <c r="A193" s="12" t="s">
        <v>54</v>
      </c>
      <c r="B193" s="12" t="s">
        <v>29</v>
      </c>
      <c r="C193" s="23" t="s">
        <v>22</v>
      </c>
      <c r="D193" s="33">
        <v>38150</v>
      </c>
      <c r="E193" s="34">
        <v>3</v>
      </c>
    </row>
    <row r="194" spans="1:5" x14ac:dyDescent="0.2">
      <c r="A194" s="12" t="s">
        <v>54</v>
      </c>
      <c r="B194" s="12" t="s">
        <v>29</v>
      </c>
      <c r="C194" s="23" t="s">
        <v>15</v>
      </c>
      <c r="D194" s="33">
        <v>43100</v>
      </c>
      <c r="E194" s="34">
        <v>3</v>
      </c>
    </row>
    <row r="195" spans="1:5" x14ac:dyDescent="0.2">
      <c r="A195" s="12" t="s">
        <v>54</v>
      </c>
      <c r="B195" s="12" t="s">
        <v>29</v>
      </c>
      <c r="C195" s="23" t="s">
        <v>11</v>
      </c>
      <c r="D195" s="33">
        <v>22900</v>
      </c>
      <c r="E195" s="34">
        <v>2</v>
      </c>
    </row>
    <row r="196" spans="1:5" x14ac:dyDescent="0.2">
      <c r="A196" s="12" t="s">
        <v>54</v>
      </c>
      <c r="B196" s="10" t="s">
        <v>83</v>
      </c>
      <c r="C196" s="13"/>
      <c r="D196" s="31">
        <v>128550</v>
      </c>
      <c r="E196" s="32">
        <v>10</v>
      </c>
    </row>
    <row r="197" spans="1:5" x14ac:dyDescent="0.2">
      <c r="A197" s="12" t="s">
        <v>54</v>
      </c>
      <c r="B197" s="10" t="s">
        <v>33</v>
      </c>
      <c r="C197" s="10" t="s">
        <v>8</v>
      </c>
      <c r="D197" s="31">
        <v>82500</v>
      </c>
      <c r="E197" s="32">
        <v>7</v>
      </c>
    </row>
    <row r="198" spans="1:5" x14ac:dyDescent="0.2">
      <c r="A198" s="12" t="s">
        <v>54</v>
      </c>
      <c r="B198" s="12" t="s">
        <v>33</v>
      </c>
      <c r="C198" s="23" t="s">
        <v>22</v>
      </c>
      <c r="D198" s="33">
        <v>38650</v>
      </c>
      <c r="E198" s="34">
        <v>3</v>
      </c>
    </row>
    <row r="199" spans="1:5" x14ac:dyDescent="0.2">
      <c r="A199" s="12" t="s">
        <v>54</v>
      </c>
      <c r="B199" s="12" t="s">
        <v>33</v>
      </c>
      <c r="C199" s="23" t="s">
        <v>15</v>
      </c>
      <c r="D199" s="33">
        <v>39200</v>
      </c>
      <c r="E199" s="34">
        <v>3</v>
      </c>
    </row>
    <row r="200" spans="1:5" x14ac:dyDescent="0.2">
      <c r="A200" s="12" t="s">
        <v>54</v>
      </c>
      <c r="B200" s="12" t="s">
        <v>33</v>
      </c>
      <c r="C200" s="23" t="s">
        <v>11</v>
      </c>
      <c r="D200" s="33">
        <v>11600</v>
      </c>
      <c r="E200" s="34">
        <v>1</v>
      </c>
    </row>
    <row r="201" spans="1:5" x14ac:dyDescent="0.2">
      <c r="A201" s="12" t="s">
        <v>54</v>
      </c>
      <c r="B201" s="10" t="s">
        <v>84</v>
      </c>
      <c r="C201" s="13"/>
      <c r="D201" s="31">
        <v>171950</v>
      </c>
      <c r="E201" s="32">
        <v>14</v>
      </c>
    </row>
    <row r="202" spans="1:5" x14ac:dyDescent="0.2">
      <c r="A202" s="12" t="s">
        <v>54</v>
      </c>
      <c r="B202" s="10" t="s">
        <v>10</v>
      </c>
      <c r="C202" s="10" t="s">
        <v>8</v>
      </c>
      <c r="D202" s="31">
        <v>60900</v>
      </c>
      <c r="E202" s="32">
        <v>5</v>
      </c>
    </row>
    <row r="203" spans="1:5" x14ac:dyDescent="0.2">
      <c r="A203" s="12" t="s">
        <v>54</v>
      </c>
      <c r="B203" s="12" t="s">
        <v>10</v>
      </c>
      <c r="C203" s="23" t="s">
        <v>22</v>
      </c>
      <c r="D203" s="33">
        <v>49250</v>
      </c>
      <c r="E203" s="34">
        <v>4</v>
      </c>
    </row>
    <row r="204" spans="1:5" x14ac:dyDescent="0.2">
      <c r="A204" s="12" t="s">
        <v>54</v>
      </c>
      <c r="B204" s="12" t="s">
        <v>10</v>
      </c>
      <c r="C204" s="23" t="s">
        <v>11</v>
      </c>
      <c r="D204" s="33">
        <v>35000</v>
      </c>
      <c r="E204" s="34">
        <v>3</v>
      </c>
    </row>
    <row r="205" spans="1:5" x14ac:dyDescent="0.2">
      <c r="A205" s="12" t="s">
        <v>54</v>
      </c>
      <c r="B205" s="10" t="s">
        <v>85</v>
      </c>
      <c r="C205" s="13"/>
      <c r="D205" s="31">
        <v>145150</v>
      </c>
      <c r="E205" s="32">
        <v>12</v>
      </c>
    </row>
    <row r="206" spans="1:5" x14ac:dyDescent="0.2">
      <c r="A206" s="12" t="s">
        <v>54</v>
      </c>
      <c r="B206" s="10" t="s">
        <v>24</v>
      </c>
      <c r="C206" s="10" t="s">
        <v>8</v>
      </c>
      <c r="D206" s="31">
        <v>23950</v>
      </c>
      <c r="E206" s="32">
        <v>2</v>
      </c>
    </row>
    <row r="207" spans="1:5" x14ac:dyDescent="0.2">
      <c r="A207" s="12" t="s">
        <v>54</v>
      </c>
      <c r="B207" s="12" t="s">
        <v>24</v>
      </c>
      <c r="C207" s="23" t="s">
        <v>22</v>
      </c>
      <c r="D207" s="33">
        <v>79900</v>
      </c>
      <c r="E207" s="34">
        <v>6</v>
      </c>
    </row>
    <row r="208" spans="1:5" x14ac:dyDescent="0.2">
      <c r="A208" s="12" t="s">
        <v>54</v>
      </c>
      <c r="B208" s="12" t="s">
        <v>24</v>
      </c>
      <c r="C208" s="23" t="s">
        <v>15</v>
      </c>
      <c r="D208" s="33">
        <v>86950</v>
      </c>
      <c r="E208" s="34">
        <v>7</v>
      </c>
    </row>
    <row r="209" spans="1:5" x14ac:dyDescent="0.2">
      <c r="A209" s="12" t="s">
        <v>54</v>
      </c>
      <c r="B209" s="12" t="s">
        <v>24</v>
      </c>
      <c r="C209" s="23" t="s">
        <v>11</v>
      </c>
      <c r="D209" s="33">
        <v>48550</v>
      </c>
      <c r="E209" s="34">
        <v>4</v>
      </c>
    </row>
    <row r="210" spans="1:5" x14ac:dyDescent="0.2">
      <c r="A210" s="12" t="s">
        <v>54</v>
      </c>
      <c r="B210" s="10" t="s">
        <v>86</v>
      </c>
      <c r="C210" s="13"/>
      <c r="D210" s="31">
        <v>239350</v>
      </c>
      <c r="E210" s="32">
        <v>19</v>
      </c>
    </row>
    <row r="211" spans="1:5" x14ac:dyDescent="0.2">
      <c r="A211" s="12" t="s">
        <v>54</v>
      </c>
      <c r="B211" s="10" t="s">
        <v>21</v>
      </c>
      <c r="C211" s="10" t="s">
        <v>8</v>
      </c>
      <c r="D211" s="31">
        <v>13050</v>
      </c>
      <c r="E211" s="32">
        <v>1</v>
      </c>
    </row>
    <row r="212" spans="1:5" x14ac:dyDescent="0.2">
      <c r="A212" s="12" t="s">
        <v>54</v>
      </c>
      <c r="B212" s="12" t="s">
        <v>21</v>
      </c>
      <c r="C212" s="23" t="s">
        <v>22</v>
      </c>
      <c r="D212" s="33">
        <v>96250</v>
      </c>
      <c r="E212" s="34">
        <v>8</v>
      </c>
    </row>
    <row r="213" spans="1:5" x14ac:dyDescent="0.2">
      <c r="A213" s="12" t="s">
        <v>54</v>
      </c>
      <c r="B213" s="12" t="s">
        <v>21</v>
      </c>
      <c r="C213" s="23" t="s">
        <v>15</v>
      </c>
      <c r="D213" s="33">
        <v>28300</v>
      </c>
      <c r="E213" s="34">
        <v>2</v>
      </c>
    </row>
    <row r="214" spans="1:5" x14ac:dyDescent="0.2">
      <c r="A214" s="12" t="s">
        <v>54</v>
      </c>
      <c r="B214" s="12" t="s">
        <v>21</v>
      </c>
      <c r="C214" s="23" t="s">
        <v>11</v>
      </c>
      <c r="D214" s="33">
        <v>24300</v>
      </c>
      <c r="E214" s="34">
        <v>2</v>
      </c>
    </row>
    <row r="215" spans="1:5" x14ac:dyDescent="0.2">
      <c r="A215" s="12" t="s">
        <v>54</v>
      </c>
      <c r="B215" s="10" t="s">
        <v>87</v>
      </c>
      <c r="C215" s="13"/>
      <c r="D215" s="31">
        <v>161900</v>
      </c>
      <c r="E215" s="32">
        <v>13</v>
      </c>
    </row>
    <row r="216" spans="1:5" x14ac:dyDescent="0.2">
      <c r="A216" s="12" t="s">
        <v>54</v>
      </c>
      <c r="B216" s="10" t="s">
        <v>13</v>
      </c>
      <c r="C216" s="10" t="s">
        <v>8</v>
      </c>
      <c r="D216" s="31">
        <v>25100</v>
      </c>
      <c r="E216" s="32">
        <v>2</v>
      </c>
    </row>
    <row r="217" spans="1:5" x14ac:dyDescent="0.2">
      <c r="A217" s="12" t="s">
        <v>54</v>
      </c>
      <c r="B217" s="12" t="s">
        <v>13</v>
      </c>
      <c r="C217" s="23" t="s">
        <v>22</v>
      </c>
      <c r="D217" s="33">
        <v>47100</v>
      </c>
      <c r="E217" s="34">
        <v>4</v>
      </c>
    </row>
    <row r="218" spans="1:5" x14ac:dyDescent="0.2">
      <c r="A218" s="12" t="s">
        <v>54</v>
      </c>
      <c r="B218" s="12" t="s">
        <v>13</v>
      </c>
      <c r="C218" s="23" t="s">
        <v>15</v>
      </c>
      <c r="D218" s="33">
        <v>53000</v>
      </c>
      <c r="E218" s="34">
        <v>4</v>
      </c>
    </row>
    <row r="219" spans="1:5" x14ac:dyDescent="0.2">
      <c r="A219" s="12" t="s">
        <v>54</v>
      </c>
      <c r="B219" s="12" t="s">
        <v>13</v>
      </c>
      <c r="C219" s="23" t="s">
        <v>11</v>
      </c>
      <c r="D219" s="33">
        <v>38600</v>
      </c>
      <c r="E219" s="34">
        <v>3</v>
      </c>
    </row>
    <row r="220" spans="1:5" x14ac:dyDescent="0.2">
      <c r="A220" s="12" t="s">
        <v>54</v>
      </c>
      <c r="B220" s="10" t="s">
        <v>88</v>
      </c>
      <c r="C220" s="13"/>
      <c r="D220" s="31">
        <v>163800</v>
      </c>
      <c r="E220" s="32">
        <v>13</v>
      </c>
    </row>
    <row r="221" spans="1:5" x14ac:dyDescent="0.2">
      <c r="A221" s="12" t="s">
        <v>54</v>
      </c>
      <c r="B221" s="10" t="s">
        <v>7</v>
      </c>
      <c r="C221" s="10" t="s">
        <v>8</v>
      </c>
      <c r="D221" s="31">
        <v>12650</v>
      </c>
      <c r="E221" s="32">
        <v>1</v>
      </c>
    </row>
    <row r="222" spans="1:5" x14ac:dyDescent="0.2">
      <c r="A222" s="12" t="s">
        <v>54</v>
      </c>
      <c r="B222" s="12" t="s">
        <v>7</v>
      </c>
      <c r="C222" s="23" t="s">
        <v>22</v>
      </c>
      <c r="D222" s="33">
        <v>48050</v>
      </c>
      <c r="E222" s="34">
        <v>4</v>
      </c>
    </row>
    <row r="223" spans="1:5" x14ac:dyDescent="0.2">
      <c r="A223" s="12" t="s">
        <v>54</v>
      </c>
      <c r="B223" s="12" t="s">
        <v>7</v>
      </c>
      <c r="C223" s="23" t="s">
        <v>15</v>
      </c>
      <c r="D223" s="33">
        <v>64250</v>
      </c>
      <c r="E223" s="34">
        <v>5</v>
      </c>
    </row>
    <row r="224" spans="1:5" x14ac:dyDescent="0.2">
      <c r="A224" s="12" t="s">
        <v>54</v>
      </c>
      <c r="B224" s="12" t="s">
        <v>7</v>
      </c>
      <c r="C224" s="23" t="s">
        <v>11</v>
      </c>
      <c r="D224" s="33">
        <v>53500</v>
      </c>
      <c r="E224" s="34">
        <v>4</v>
      </c>
    </row>
    <row r="225" spans="1:5" x14ac:dyDescent="0.2">
      <c r="A225" s="12" t="s">
        <v>54</v>
      </c>
      <c r="B225" s="10" t="s">
        <v>89</v>
      </c>
      <c r="C225" s="13"/>
      <c r="D225" s="31">
        <v>178450</v>
      </c>
      <c r="E225" s="32">
        <v>14</v>
      </c>
    </row>
    <row r="226" spans="1:5" x14ac:dyDescent="0.2">
      <c r="A226" s="12" t="s">
        <v>54</v>
      </c>
      <c r="B226" s="10" t="s">
        <v>28</v>
      </c>
      <c r="C226" s="10" t="s">
        <v>8</v>
      </c>
      <c r="D226" s="31">
        <v>36700</v>
      </c>
      <c r="E226" s="32">
        <v>3</v>
      </c>
    </row>
    <row r="227" spans="1:5" x14ac:dyDescent="0.2">
      <c r="A227" s="12" t="s">
        <v>54</v>
      </c>
      <c r="B227" s="12" t="s">
        <v>28</v>
      </c>
      <c r="C227" s="23" t="s">
        <v>22</v>
      </c>
      <c r="D227" s="33">
        <v>71950</v>
      </c>
      <c r="E227" s="34">
        <v>6</v>
      </c>
    </row>
    <row r="228" spans="1:5" x14ac:dyDescent="0.2">
      <c r="A228" s="12" t="s">
        <v>54</v>
      </c>
      <c r="B228" s="12" t="s">
        <v>28</v>
      </c>
      <c r="C228" s="23" t="s">
        <v>15</v>
      </c>
      <c r="D228" s="33">
        <v>61300</v>
      </c>
      <c r="E228" s="34">
        <v>5</v>
      </c>
    </row>
    <row r="229" spans="1:5" x14ac:dyDescent="0.2">
      <c r="A229" s="12" t="s">
        <v>54</v>
      </c>
      <c r="B229" s="12" t="s">
        <v>28</v>
      </c>
      <c r="C229" s="23" t="s">
        <v>11</v>
      </c>
      <c r="D229" s="33">
        <v>14650</v>
      </c>
      <c r="E229" s="34">
        <v>1</v>
      </c>
    </row>
    <row r="230" spans="1:5" x14ac:dyDescent="0.2">
      <c r="A230" s="12" t="s">
        <v>54</v>
      </c>
      <c r="B230" s="10" t="s">
        <v>90</v>
      </c>
      <c r="C230" s="13"/>
      <c r="D230" s="31">
        <v>184600</v>
      </c>
      <c r="E230" s="32">
        <v>15</v>
      </c>
    </row>
    <row r="231" spans="1:5" x14ac:dyDescent="0.2">
      <c r="A231" s="12" t="s">
        <v>54</v>
      </c>
      <c r="B231" s="10" t="s">
        <v>17</v>
      </c>
      <c r="C231" s="10" t="s">
        <v>8</v>
      </c>
      <c r="D231" s="31">
        <v>84000</v>
      </c>
      <c r="E231" s="32">
        <v>7</v>
      </c>
    </row>
    <row r="232" spans="1:5" x14ac:dyDescent="0.2">
      <c r="A232" s="12" t="s">
        <v>54</v>
      </c>
      <c r="B232" s="12" t="s">
        <v>17</v>
      </c>
      <c r="C232" s="23" t="s">
        <v>22</v>
      </c>
      <c r="D232" s="33">
        <v>24200</v>
      </c>
      <c r="E232" s="34">
        <v>2</v>
      </c>
    </row>
    <row r="233" spans="1:5" x14ac:dyDescent="0.2">
      <c r="A233" s="12" t="s">
        <v>54</v>
      </c>
      <c r="B233" s="12" t="s">
        <v>17</v>
      </c>
      <c r="C233" s="23" t="s">
        <v>15</v>
      </c>
      <c r="D233" s="33">
        <v>25500</v>
      </c>
      <c r="E233" s="34">
        <v>2</v>
      </c>
    </row>
    <row r="234" spans="1:5" x14ac:dyDescent="0.2">
      <c r="A234" s="12" t="s">
        <v>54</v>
      </c>
      <c r="B234" s="12" t="s">
        <v>17</v>
      </c>
      <c r="C234" s="23" t="s">
        <v>11</v>
      </c>
      <c r="D234" s="33">
        <v>23600</v>
      </c>
      <c r="E234" s="34">
        <v>2</v>
      </c>
    </row>
    <row r="235" spans="1:5" x14ac:dyDescent="0.2">
      <c r="A235" s="12" t="s">
        <v>54</v>
      </c>
      <c r="B235" s="10" t="s">
        <v>91</v>
      </c>
      <c r="C235" s="13"/>
      <c r="D235" s="31">
        <v>157300</v>
      </c>
      <c r="E235" s="32">
        <v>13</v>
      </c>
    </row>
    <row r="236" spans="1:5" x14ac:dyDescent="0.2">
      <c r="A236" s="10" t="s">
        <v>55</v>
      </c>
      <c r="B236" s="13"/>
      <c r="C236" s="13"/>
      <c r="D236" s="31">
        <v>2043350</v>
      </c>
      <c r="E236" s="32">
        <v>163</v>
      </c>
    </row>
    <row r="237" spans="1:5" x14ac:dyDescent="0.2">
      <c r="A237" s="14" t="s">
        <v>34</v>
      </c>
      <c r="B237" s="15"/>
      <c r="C237" s="15"/>
      <c r="D237" s="35">
        <v>7405200</v>
      </c>
      <c r="E237" s="36">
        <v>590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693F1-DC98-4DAD-8151-D783D92E5FAE}">
  <sheetPr codeName="Sheet23"/>
  <dimension ref="A3:F30"/>
  <sheetViews>
    <sheetView showGridLines="0" zoomScale="259" workbookViewId="0">
      <selection activeCell="E5" sqref="E5"/>
    </sheetView>
  </sheetViews>
  <sheetFormatPr defaultRowHeight="12" x14ac:dyDescent="0.2"/>
  <cols>
    <col min="1" max="1" width="19.83203125" bestFit="1" customWidth="1"/>
    <col min="2" max="2" width="9.1640625" bestFit="1" customWidth="1"/>
    <col min="3" max="7" width="8.6640625" bestFit="1" customWidth="1"/>
    <col min="8" max="9" width="13.83203125" bestFit="1" customWidth="1"/>
    <col min="10" max="10" width="12.6640625" bestFit="1" customWidth="1"/>
    <col min="11" max="11" width="18.33203125" bestFit="1" customWidth="1"/>
    <col min="12" max="12" width="15.33203125" bestFit="1" customWidth="1"/>
    <col min="13" max="13" width="16" bestFit="1" customWidth="1"/>
    <col min="14" max="14" width="17.33203125" bestFit="1" customWidth="1"/>
    <col min="15" max="16" width="18.1640625" bestFit="1" customWidth="1"/>
  </cols>
  <sheetData>
    <row r="3" spans="1:6" x14ac:dyDescent="0.2">
      <c r="C3" s="26" t="s">
        <v>47</v>
      </c>
    </row>
    <row r="4" spans="1:6" x14ac:dyDescent="0.2">
      <c r="A4" s="26" t="s">
        <v>2</v>
      </c>
      <c r="B4" s="26" t="s">
        <v>77</v>
      </c>
      <c r="C4" t="s">
        <v>48</v>
      </c>
      <c r="D4" t="s">
        <v>50</v>
      </c>
      <c r="E4" t="s">
        <v>52</v>
      </c>
      <c r="F4" t="s">
        <v>54</v>
      </c>
    </row>
    <row r="5" spans="1:6" x14ac:dyDescent="0.2">
      <c r="A5" t="s">
        <v>19</v>
      </c>
      <c r="B5" t="s">
        <v>72</v>
      </c>
      <c r="C5" s="29">
        <v>85850</v>
      </c>
      <c r="D5" s="29">
        <v>110950</v>
      </c>
      <c r="E5" s="29">
        <v>172650</v>
      </c>
      <c r="F5" s="29">
        <v>198600</v>
      </c>
    </row>
    <row r="6" spans="1:6" x14ac:dyDescent="0.2">
      <c r="B6" t="s">
        <v>92</v>
      </c>
      <c r="C6" s="25"/>
      <c r="D6" s="25">
        <v>0.29237041351193943</v>
      </c>
      <c r="E6" s="25">
        <v>0.55610635421360977</v>
      </c>
      <c r="F6" s="25">
        <v>0.15030408340573415</v>
      </c>
    </row>
    <row r="7" spans="1:6" x14ac:dyDescent="0.2">
      <c r="A7" t="s">
        <v>26</v>
      </c>
      <c r="B7" t="s">
        <v>72</v>
      </c>
      <c r="C7" s="29">
        <v>164400</v>
      </c>
      <c r="D7" s="29">
        <v>118300</v>
      </c>
      <c r="E7" s="29">
        <v>152150</v>
      </c>
      <c r="F7" s="29">
        <v>100050</v>
      </c>
    </row>
    <row r="8" spans="1:6" x14ac:dyDescent="0.2">
      <c r="B8" t="s">
        <v>92</v>
      </c>
      <c r="C8" s="25"/>
      <c r="D8" s="25">
        <v>-0.28041362530413627</v>
      </c>
      <c r="E8" s="25">
        <v>0.28613693998309381</v>
      </c>
      <c r="F8" s="25">
        <v>-0.34242523825172527</v>
      </c>
    </row>
    <row r="9" spans="1:6" x14ac:dyDescent="0.2">
      <c r="A9" t="s">
        <v>30</v>
      </c>
      <c r="B9" t="s">
        <v>72</v>
      </c>
      <c r="C9" s="29">
        <v>149800</v>
      </c>
      <c r="D9" s="29">
        <v>196150</v>
      </c>
      <c r="E9" s="29">
        <v>144900</v>
      </c>
      <c r="F9" s="29">
        <v>213650</v>
      </c>
    </row>
    <row r="10" spans="1:6" x14ac:dyDescent="0.2">
      <c r="B10" t="s">
        <v>92</v>
      </c>
      <c r="C10" s="25"/>
      <c r="D10" s="25">
        <v>0.30941255006675566</v>
      </c>
      <c r="E10" s="25">
        <v>-0.2612796329339791</v>
      </c>
      <c r="F10" s="25">
        <v>0.47446514837819187</v>
      </c>
    </row>
    <row r="11" spans="1:6" x14ac:dyDescent="0.2">
      <c r="A11" t="s">
        <v>29</v>
      </c>
      <c r="B11" t="s">
        <v>72</v>
      </c>
      <c r="C11" s="29">
        <v>175650</v>
      </c>
      <c r="D11" s="29">
        <v>161100</v>
      </c>
      <c r="E11" s="29">
        <v>192600</v>
      </c>
      <c r="F11" s="29">
        <v>128550</v>
      </c>
    </row>
    <row r="12" spans="1:6" x14ac:dyDescent="0.2">
      <c r="B12" t="s">
        <v>92</v>
      </c>
      <c r="C12" s="25"/>
      <c r="D12" s="25">
        <v>-8.2835183603757467E-2</v>
      </c>
      <c r="E12" s="25">
        <v>0.19553072625698323</v>
      </c>
      <c r="F12" s="25">
        <v>-0.3325545171339564</v>
      </c>
    </row>
    <row r="13" spans="1:6" x14ac:dyDescent="0.2">
      <c r="A13" t="s">
        <v>33</v>
      </c>
      <c r="B13" t="s">
        <v>72</v>
      </c>
      <c r="C13" s="29">
        <v>166200</v>
      </c>
      <c r="D13" s="29">
        <v>107750</v>
      </c>
      <c r="E13" s="29">
        <v>120700</v>
      </c>
      <c r="F13" s="29">
        <v>171950</v>
      </c>
    </row>
    <row r="14" spans="1:6" x14ac:dyDescent="0.2">
      <c r="B14" t="s">
        <v>92</v>
      </c>
      <c r="C14" s="25"/>
      <c r="D14" s="25">
        <v>-0.3516847172081829</v>
      </c>
      <c r="E14" s="25">
        <v>0.12018561484918794</v>
      </c>
      <c r="F14" s="25">
        <v>0.42460646230323112</v>
      </c>
    </row>
    <row r="15" spans="1:6" x14ac:dyDescent="0.2">
      <c r="A15" t="s">
        <v>10</v>
      </c>
      <c r="B15" t="s">
        <v>72</v>
      </c>
      <c r="C15" s="29">
        <v>177450</v>
      </c>
      <c r="D15" s="29">
        <v>168300</v>
      </c>
      <c r="E15" s="29">
        <v>72850</v>
      </c>
      <c r="F15" s="29">
        <v>145150</v>
      </c>
    </row>
    <row r="16" spans="1:6" x14ac:dyDescent="0.2">
      <c r="B16" t="s">
        <v>92</v>
      </c>
      <c r="C16" s="25"/>
      <c r="D16" s="25">
        <v>-5.1563820794590022E-2</v>
      </c>
      <c r="E16" s="25">
        <v>-0.56714200831847894</v>
      </c>
      <c r="F16" s="25">
        <v>0.99245024021962935</v>
      </c>
    </row>
    <row r="17" spans="1:6" x14ac:dyDescent="0.2">
      <c r="A17" t="s">
        <v>24</v>
      </c>
      <c r="B17" t="s">
        <v>72</v>
      </c>
      <c r="C17" s="29">
        <v>140550</v>
      </c>
      <c r="D17" s="29">
        <v>145900</v>
      </c>
      <c r="E17" s="29">
        <v>194800</v>
      </c>
      <c r="F17" s="29">
        <v>239350</v>
      </c>
    </row>
    <row r="18" spans="1:6" x14ac:dyDescent="0.2">
      <c r="B18" t="s">
        <v>92</v>
      </c>
      <c r="C18" s="25"/>
      <c r="D18" s="25">
        <v>3.8064745642120243E-2</v>
      </c>
      <c r="E18" s="25">
        <v>0.33516106922549693</v>
      </c>
      <c r="F18" s="25">
        <v>0.22869609856262835</v>
      </c>
    </row>
    <row r="19" spans="1:6" x14ac:dyDescent="0.2">
      <c r="A19" t="s">
        <v>21</v>
      </c>
      <c r="B19" t="s">
        <v>72</v>
      </c>
      <c r="C19" s="29">
        <v>115300</v>
      </c>
      <c r="D19" s="29">
        <v>162900</v>
      </c>
      <c r="E19" s="29">
        <v>182450</v>
      </c>
      <c r="F19" s="29">
        <v>161900</v>
      </c>
    </row>
    <row r="20" spans="1:6" x14ac:dyDescent="0.2">
      <c r="B20" t="s">
        <v>92</v>
      </c>
      <c r="C20" s="25"/>
      <c r="D20" s="25">
        <v>0.41283607979184733</v>
      </c>
      <c r="E20" s="25">
        <v>0.12001227747084101</v>
      </c>
      <c r="F20" s="25">
        <v>-0.11263359824609483</v>
      </c>
    </row>
    <row r="21" spans="1:6" x14ac:dyDescent="0.2">
      <c r="A21" t="s">
        <v>13</v>
      </c>
      <c r="B21" t="s">
        <v>72</v>
      </c>
      <c r="C21" s="29">
        <v>127500</v>
      </c>
      <c r="D21" s="29">
        <v>169000</v>
      </c>
      <c r="E21" s="29">
        <v>160900</v>
      </c>
      <c r="F21" s="29">
        <v>163800</v>
      </c>
    </row>
    <row r="22" spans="1:6" x14ac:dyDescent="0.2">
      <c r="B22" t="s">
        <v>92</v>
      </c>
      <c r="C22" s="25"/>
      <c r="D22" s="25">
        <v>0.32549019607843138</v>
      </c>
      <c r="E22" s="25">
        <v>-4.7928994082840237E-2</v>
      </c>
      <c r="F22" s="25">
        <v>1.8023617153511497E-2</v>
      </c>
    </row>
    <row r="23" spans="1:6" x14ac:dyDescent="0.2">
      <c r="A23" t="s">
        <v>7</v>
      </c>
      <c r="B23" t="s">
        <v>72</v>
      </c>
      <c r="C23" s="29">
        <v>165550</v>
      </c>
      <c r="D23" s="29">
        <v>144850</v>
      </c>
      <c r="E23" s="29">
        <v>174150</v>
      </c>
      <c r="F23" s="29">
        <v>178450</v>
      </c>
    </row>
    <row r="24" spans="1:6" x14ac:dyDescent="0.2">
      <c r="B24" t="s">
        <v>92</v>
      </c>
      <c r="C24" s="25"/>
      <c r="D24" s="25">
        <v>-0.12503775294472969</v>
      </c>
      <c r="E24" s="25">
        <v>0.20227821884708319</v>
      </c>
      <c r="F24" s="25">
        <v>2.4691358024691357E-2</v>
      </c>
    </row>
    <row r="25" spans="1:6" x14ac:dyDescent="0.2">
      <c r="A25" t="s">
        <v>28</v>
      </c>
      <c r="B25" t="s">
        <v>72</v>
      </c>
      <c r="C25" s="29">
        <v>159750</v>
      </c>
      <c r="D25" s="29">
        <v>97200</v>
      </c>
      <c r="E25" s="29">
        <v>193400</v>
      </c>
      <c r="F25" s="29">
        <v>184600</v>
      </c>
    </row>
    <row r="26" spans="1:6" x14ac:dyDescent="0.2">
      <c r="B26" t="s">
        <v>92</v>
      </c>
      <c r="C26" s="25"/>
      <c r="D26" s="25">
        <v>-0.39154929577464787</v>
      </c>
      <c r="E26" s="25">
        <v>0.98971193415637859</v>
      </c>
      <c r="F26" s="25">
        <v>-4.5501551189245086E-2</v>
      </c>
    </row>
    <row r="27" spans="1:6" x14ac:dyDescent="0.2">
      <c r="A27" t="s">
        <v>17</v>
      </c>
      <c r="B27" t="s">
        <v>72</v>
      </c>
      <c r="C27" s="29">
        <v>165800</v>
      </c>
      <c r="D27" s="29">
        <v>80850</v>
      </c>
      <c r="E27" s="29">
        <v>143250</v>
      </c>
      <c r="F27" s="29">
        <v>157300</v>
      </c>
    </row>
    <row r="28" spans="1:6" x14ac:dyDescent="0.2">
      <c r="B28" t="s">
        <v>92</v>
      </c>
      <c r="C28" s="25"/>
      <c r="D28" s="25">
        <v>-0.51236429433051867</v>
      </c>
      <c r="E28" s="25">
        <v>0.7717996289424861</v>
      </c>
      <c r="F28" s="25">
        <v>9.8080279232111697E-2</v>
      </c>
    </row>
    <row r="29" spans="1:6" x14ac:dyDescent="0.2">
      <c r="A29" t="s">
        <v>73</v>
      </c>
      <c r="C29" s="29">
        <v>1793800</v>
      </c>
      <c r="D29" s="29">
        <v>1663250</v>
      </c>
      <c r="E29" s="29">
        <v>1904800</v>
      </c>
      <c r="F29" s="29">
        <v>2043350</v>
      </c>
    </row>
    <row r="30" spans="1:6" x14ac:dyDescent="0.2">
      <c r="A30" t="s">
        <v>93</v>
      </c>
      <c r="C30" s="25"/>
      <c r="D30" s="25">
        <v>-7.2778459137027546E-2</v>
      </c>
      <c r="E30" s="25">
        <v>0.14522771681947994</v>
      </c>
      <c r="F30" s="25">
        <v>7.2737295254094919E-2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B65E-B905-49A9-A7EA-A66E1810E782}">
  <sheetPr codeName="Sheet24"/>
  <dimension ref="A3:F30"/>
  <sheetViews>
    <sheetView showGridLines="0" zoomScale="259" workbookViewId="0">
      <selection activeCell="C14" sqref="C14"/>
    </sheetView>
  </sheetViews>
  <sheetFormatPr defaultRowHeight="12" x14ac:dyDescent="0.2"/>
  <cols>
    <col min="1" max="1" width="17.6640625" bestFit="1" customWidth="1"/>
    <col min="2" max="2" width="9.1640625" bestFit="1" customWidth="1"/>
    <col min="3" max="7" width="8.6640625" bestFit="1" customWidth="1"/>
    <col min="8" max="9" width="13.83203125" bestFit="1" customWidth="1"/>
    <col min="10" max="10" width="12.6640625" bestFit="1" customWidth="1"/>
    <col min="11" max="11" width="18.33203125" bestFit="1" customWidth="1"/>
    <col min="12" max="12" width="15.33203125" bestFit="1" customWidth="1"/>
    <col min="13" max="13" width="16" bestFit="1" customWidth="1"/>
    <col min="14" max="14" width="17.33203125" bestFit="1" customWidth="1"/>
    <col min="15" max="16" width="18.1640625" bestFit="1" customWidth="1"/>
  </cols>
  <sheetData>
    <row r="3" spans="1:6" x14ac:dyDescent="0.2">
      <c r="C3" s="26" t="s">
        <v>47</v>
      </c>
    </row>
    <row r="4" spans="1:6" x14ac:dyDescent="0.2">
      <c r="A4" s="26" t="s">
        <v>2</v>
      </c>
      <c r="B4" s="26" t="s">
        <v>77</v>
      </c>
      <c r="C4" t="s">
        <v>48</v>
      </c>
      <c r="D4" t="s">
        <v>50</v>
      </c>
      <c r="E4" t="s">
        <v>52</v>
      </c>
      <c r="F4" t="s">
        <v>54</v>
      </c>
    </row>
    <row r="5" spans="1:6" x14ac:dyDescent="0.2">
      <c r="A5" t="s">
        <v>19</v>
      </c>
      <c r="B5" t="s">
        <v>72</v>
      </c>
      <c r="C5" s="29">
        <v>85850</v>
      </c>
      <c r="D5" s="29">
        <v>110950</v>
      </c>
      <c r="E5" s="29">
        <v>172650</v>
      </c>
      <c r="F5" s="29">
        <v>198600</v>
      </c>
    </row>
    <row r="6" spans="1:6" x14ac:dyDescent="0.2">
      <c r="B6" t="s">
        <v>92</v>
      </c>
      <c r="C6" s="25"/>
      <c r="D6" s="25">
        <v>0.29237041351193943</v>
      </c>
      <c r="E6" s="25">
        <v>0.55610635421360977</v>
      </c>
      <c r="F6" s="25">
        <v>0.15030408340573415</v>
      </c>
    </row>
    <row r="7" spans="1:6" x14ac:dyDescent="0.2">
      <c r="A7" t="s">
        <v>26</v>
      </c>
      <c r="B7" t="s">
        <v>72</v>
      </c>
      <c r="C7" s="29">
        <v>164400</v>
      </c>
      <c r="D7" s="29">
        <v>118300</v>
      </c>
      <c r="E7" s="29">
        <v>152150</v>
      </c>
      <c r="F7" s="29">
        <v>100050</v>
      </c>
    </row>
    <row r="8" spans="1:6" x14ac:dyDescent="0.2">
      <c r="B8" t="s">
        <v>92</v>
      </c>
      <c r="C8" s="25"/>
      <c r="D8" s="25">
        <v>-0.28041362530413627</v>
      </c>
      <c r="E8" s="25">
        <v>0.28613693998309381</v>
      </c>
      <c r="F8" s="25">
        <v>-0.34242523825172527</v>
      </c>
    </row>
    <row r="9" spans="1:6" x14ac:dyDescent="0.2">
      <c r="A9" t="s">
        <v>30</v>
      </c>
      <c r="B9" t="s">
        <v>72</v>
      </c>
      <c r="C9" s="29">
        <v>149800</v>
      </c>
      <c r="D9" s="29">
        <v>196150</v>
      </c>
      <c r="E9" s="29">
        <v>144900</v>
      </c>
      <c r="F9" s="29">
        <v>213650</v>
      </c>
    </row>
    <row r="10" spans="1:6" x14ac:dyDescent="0.2">
      <c r="B10" t="s">
        <v>92</v>
      </c>
      <c r="C10" s="25"/>
      <c r="D10" s="25">
        <v>0.30941255006675566</v>
      </c>
      <c r="E10" s="25">
        <v>-0.2612796329339791</v>
      </c>
      <c r="F10" s="25">
        <v>0.47446514837819187</v>
      </c>
    </row>
    <row r="11" spans="1:6" x14ac:dyDescent="0.2">
      <c r="A11" t="s">
        <v>29</v>
      </c>
      <c r="B11" t="s">
        <v>72</v>
      </c>
      <c r="C11" s="29">
        <v>175650</v>
      </c>
      <c r="D11" s="29">
        <v>161100</v>
      </c>
      <c r="E11" s="29">
        <v>192600</v>
      </c>
      <c r="F11" s="29">
        <v>128550</v>
      </c>
    </row>
    <row r="12" spans="1:6" x14ac:dyDescent="0.2">
      <c r="B12" t="s">
        <v>92</v>
      </c>
      <c r="C12" s="25"/>
      <c r="D12" s="25">
        <v>-8.2835183603757467E-2</v>
      </c>
      <c r="E12" s="25">
        <v>0.19553072625698323</v>
      </c>
      <c r="F12" s="25">
        <v>-0.3325545171339564</v>
      </c>
    </row>
    <row r="13" spans="1:6" x14ac:dyDescent="0.2">
      <c r="A13" t="s">
        <v>33</v>
      </c>
      <c r="B13" t="s">
        <v>72</v>
      </c>
      <c r="C13" s="29">
        <v>166200</v>
      </c>
      <c r="D13" s="29">
        <v>107750</v>
      </c>
      <c r="E13" s="29">
        <v>120700</v>
      </c>
      <c r="F13" s="29">
        <v>171950</v>
      </c>
    </row>
    <row r="14" spans="1:6" x14ac:dyDescent="0.2">
      <c r="B14" t="s">
        <v>92</v>
      </c>
      <c r="C14" s="25"/>
      <c r="D14" s="25">
        <v>-0.3516847172081829</v>
      </c>
      <c r="E14" s="25">
        <v>0.12018561484918794</v>
      </c>
      <c r="F14" s="25">
        <v>0.42460646230323112</v>
      </c>
    </row>
    <row r="15" spans="1:6" x14ac:dyDescent="0.2">
      <c r="A15" t="s">
        <v>10</v>
      </c>
      <c r="B15" t="s">
        <v>72</v>
      </c>
      <c r="C15" s="29">
        <v>177450</v>
      </c>
      <c r="D15" s="29">
        <v>168300</v>
      </c>
      <c r="E15" s="29">
        <v>72850</v>
      </c>
      <c r="F15" s="29">
        <v>145150</v>
      </c>
    </row>
    <row r="16" spans="1:6" x14ac:dyDescent="0.2">
      <c r="B16" t="s">
        <v>92</v>
      </c>
      <c r="C16" s="25"/>
      <c r="D16" s="25">
        <v>-5.1563820794590022E-2</v>
      </c>
      <c r="E16" s="25">
        <v>-0.56714200831847894</v>
      </c>
      <c r="F16" s="25">
        <v>0.99245024021962935</v>
      </c>
    </row>
    <row r="17" spans="1:6" x14ac:dyDescent="0.2">
      <c r="A17" t="s">
        <v>24</v>
      </c>
      <c r="B17" t="s">
        <v>72</v>
      </c>
      <c r="C17" s="29">
        <v>140550</v>
      </c>
      <c r="D17" s="29">
        <v>145900</v>
      </c>
      <c r="E17" s="29">
        <v>194800</v>
      </c>
      <c r="F17" s="29">
        <v>239350</v>
      </c>
    </row>
    <row r="18" spans="1:6" x14ac:dyDescent="0.2">
      <c r="B18" t="s">
        <v>92</v>
      </c>
      <c r="C18" s="25"/>
      <c r="D18" s="25">
        <v>3.8064745642120243E-2</v>
      </c>
      <c r="E18" s="25">
        <v>0.33516106922549693</v>
      </c>
      <c r="F18" s="25">
        <v>0.22869609856262835</v>
      </c>
    </row>
    <row r="19" spans="1:6" x14ac:dyDescent="0.2">
      <c r="A19" t="s">
        <v>21</v>
      </c>
      <c r="B19" t="s">
        <v>72</v>
      </c>
      <c r="C19" s="29">
        <v>115300</v>
      </c>
      <c r="D19" s="29">
        <v>162900</v>
      </c>
      <c r="E19" s="29">
        <v>182450</v>
      </c>
      <c r="F19" s="29">
        <v>161900</v>
      </c>
    </row>
    <row r="20" spans="1:6" x14ac:dyDescent="0.2">
      <c r="B20" t="s">
        <v>92</v>
      </c>
      <c r="C20" s="25"/>
      <c r="D20" s="25">
        <v>0.41283607979184733</v>
      </c>
      <c r="E20" s="25">
        <v>0.12001227747084101</v>
      </c>
      <c r="F20" s="25">
        <v>-0.11263359824609483</v>
      </c>
    </row>
    <row r="21" spans="1:6" x14ac:dyDescent="0.2">
      <c r="A21" t="s">
        <v>13</v>
      </c>
      <c r="B21" t="s">
        <v>72</v>
      </c>
      <c r="C21" s="29">
        <v>127500</v>
      </c>
      <c r="D21" s="29">
        <v>169000</v>
      </c>
      <c r="E21" s="29">
        <v>160900</v>
      </c>
      <c r="F21" s="29">
        <v>163800</v>
      </c>
    </row>
    <row r="22" spans="1:6" x14ac:dyDescent="0.2">
      <c r="B22" t="s">
        <v>92</v>
      </c>
      <c r="C22" s="25"/>
      <c r="D22" s="25">
        <v>0.32549019607843138</v>
      </c>
      <c r="E22" s="25">
        <v>-4.7928994082840237E-2</v>
      </c>
      <c r="F22" s="25">
        <v>1.8023617153511497E-2</v>
      </c>
    </row>
    <row r="23" spans="1:6" x14ac:dyDescent="0.2">
      <c r="A23" t="s">
        <v>7</v>
      </c>
      <c r="B23" t="s">
        <v>72</v>
      </c>
      <c r="C23" s="29">
        <v>165550</v>
      </c>
      <c r="D23" s="29">
        <v>144850</v>
      </c>
      <c r="E23" s="29">
        <v>174150</v>
      </c>
      <c r="F23" s="29">
        <v>178450</v>
      </c>
    </row>
    <row r="24" spans="1:6" x14ac:dyDescent="0.2">
      <c r="B24" t="s">
        <v>92</v>
      </c>
      <c r="C24" s="25"/>
      <c r="D24" s="25">
        <v>-0.12503775294472969</v>
      </c>
      <c r="E24" s="25">
        <v>0.20227821884708319</v>
      </c>
      <c r="F24" s="25">
        <v>2.4691358024691357E-2</v>
      </c>
    </row>
    <row r="25" spans="1:6" x14ac:dyDescent="0.2">
      <c r="A25" t="s">
        <v>28</v>
      </c>
      <c r="B25" t="s">
        <v>72</v>
      </c>
      <c r="C25" s="29">
        <v>159750</v>
      </c>
      <c r="D25" s="29">
        <v>97200</v>
      </c>
      <c r="E25" s="29">
        <v>193400</v>
      </c>
      <c r="F25" s="29">
        <v>184600</v>
      </c>
    </row>
    <row r="26" spans="1:6" x14ac:dyDescent="0.2">
      <c r="B26" t="s">
        <v>92</v>
      </c>
      <c r="C26" s="25"/>
      <c r="D26" s="25">
        <v>-0.39154929577464787</v>
      </c>
      <c r="E26" s="25">
        <v>0.98971193415637859</v>
      </c>
      <c r="F26" s="25">
        <v>-4.5501551189245086E-2</v>
      </c>
    </row>
    <row r="27" spans="1:6" x14ac:dyDescent="0.2">
      <c r="A27" t="s">
        <v>17</v>
      </c>
      <c r="B27" t="s">
        <v>72</v>
      </c>
      <c r="C27" s="29">
        <v>165800</v>
      </c>
      <c r="D27" s="29">
        <v>80850</v>
      </c>
      <c r="E27" s="29">
        <v>143250</v>
      </c>
      <c r="F27" s="29">
        <v>157300</v>
      </c>
    </row>
    <row r="28" spans="1:6" x14ac:dyDescent="0.2">
      <c r="B28" t="s">
        <v>92</v>
      </c>
      <c r="C28" s="25"/>
      <c r="D28" s="25">
        <v>-0.51236429433051867</v>
      </c>
      <c r="E28" s="25">
        <v>0.7717996289424861</v>
      </c>
      <c r="F28" s="25">
        <v>9.8080279232111697E-2</v>
      </c>
    </row>
    <row r="29" spans="1:6" x14ac:dyDescent="0.2">
      <c r="A29" t="s">
        <v>73</v>
      </c>
      <c r="C29" s="29">
        <v>1793800</v>
      </c>
      <c r="D29" s="29">
        <v>1663250</v>
      </c>
      <c r="E29" s="29">
        <v>1904800</v>
      </c>
      <c r="F29" s="29">
        <v>2043350</v>
      </c>
    </row>
    <row r="30" spans="1:6" x14ac:dyDescent="0.2">
      <c r="A30" t="s">
        <v>93</v>
      </c>
      <c r="C30" s="25"/>
      <c r="D30" s="25">
        <v>-7.2778459137027546E-2</v>
      </c>
      <c r="E30" s="25">
        <v>0.14522771681947994</v>
      </c>
      <c r="F30" s="25">
        <v>7.2737295254094919E-2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2533-08B1-4DCC-8385-8045F5FBF71D}">
  <sheetPr codeName="Sheet25"/>
  <dimension ref="A3:C63"/>
  <sheetViews>
    <sheetView showGridLines="0" zoomScale="259" workbookViewId="0">
      <selection activeCell="B12" sqref="B12"/>
    </sheetView>
  </sheetViews>
  <sheetFormatPr defaultRowHeight="12" x14ac:dyDescent="0.2"/>
  <cols>
    <col min="1" max="1" width="15.5" bestFit="1" customWidth="1"/>
    <col min="2" max="2" width="19.83203125" bestFit="1" customWidth="1"/>
    <col min="3" max="3" width="8.6640625" bestFit="1" customWidth="1"/>
    <col min="4" max="5" width="4.83203125" bestFit="1" customWidth="1"/>
    <col min="6" max="6" width="8" bestFit="1" customWidth="1"/>
    <col min="7" max="7" width="10.1640625" bestFit="1" customWidth="1"/>
    <col min="8" max="9" width="13.83203125" bestFit="1" customWidth="1"/>
    <col min="10" max="10" width="12.6640625" bestFit="1" customWidth="1"/>
    <col min="11" max="11" width="18.33203125" bestFit="1" customWidth="1"/>
    <col min="12" max="12" width="15.33203125" bestFit="1" customWidth="1"/>
    <col min="13" max="13" width="16" bestFit="1" customWidth="1"/>
    <col min="14" max="14" width="17.33203125" bestFit="1" customWidth="1"/>
    <col min="15" max="16" width="18.1640625" bestFit="1" customWidth="1"/>
  </cols>
  <sheetData>
    <row r="3" spans="1:3" x14ac:dyDescent="0.2">
      <c r="A3" s="43" t="s">
        <v>115</v>
      </c>
      <c r="B3" s="43" t="s">
        <v>2</v>
      </c>
      <c r="C3" s="44" t="s">
        <v>65</v>
      </c>
    </row>
    <row r="4" spans="1:3" x14ac:dyDescent="0.2">
      <c r="A4" s="46" t="s">
        <v>117</v>
      </c>
      <c r="B4" s="49" t="s">
        <v>19</v>
      </c>
      <c r="C4" s="37">
        <v>37900</v>
      </c>
    </row>
    <row r="5" spans="1:3" x14ac:dyDescent="0.2">
      <c r="A5" s="45"/>
      <c r="B5" s="50" t="s">
        <v>26</v>
      </c>
      <c r="C5" s="38">
        <v>53100</v>
      </c>
    </row>
    <row r="6" spans="1:3" x14ac:dyDescent="0.2">
      <c r="A6" s="45"/>
      <c r="B6" s="50" t="s">
        <v>30</v>
      </c>
      <c r="C6" s="38">
        <v>14750</v>
      </c>
    </row>
    <row r="7" spans="1:3" x14ac:dyDescent="0.2">
      <c r="A7" s="45"/>
      <c r="B7" s="50" t="s">
        <v>29</v>
      </c>
      <c r="C7" s="38">
        <v>28050</v>
      </c>
    </row>
    <row r="8" spans="1:3" x14ac:dyDescent="0.2">
      <c r="A8" s="45"/>
      <c r="B8" s="50" t="s">
        <v>33</v>
      </c>
      <c r="C8" s="38">
        <v>78450</v>
      </c>
    </row>
    <row r="9" spans="1:3" x14ac:dyDescent="0.2">
      <c r="A9" s="45"/>
      <c r="B9" s="50" t="s">
        <v>10</v>
      </c>
      <c r="C9" s="38">
        <v>57900</v>
      </c>
    </row>
    <row r="10" spans="1:3" x14ac:dyDescent="0.2">
      <c r="A10" s="45"/>
      <c r="B10" s="50" t="s">
        <v>21</v>
      </c>
      <c r="C10" s="38">
        <v>14250</v>
      </c>
    </row>
    <row r="11" spans="1:3" x14ac:dyDescent="0.2">
      <c r="A11" s="45"/>
      <c r="B11" s="50" t="s">
        <v>13</v>
      </c>
      <c r="C11" s="38">
        <v>25500</v>
      </c>
    </row>
    <row r="12" spans="1:3" x14ac:dyDescent="0.2">
      <c r="A12" s="45"/>
      <c r="B12" s="50" t="s">
        <v>7</v>
      </c>
      <c r="C12" s="38">
        <v>27250</v>
      </c>
    </row>
    <row r="13" spans="1:3" x14ac:dyDescent="0.2">
      <c r="A13" s="45"/>
      <c r="B13" s="50" t="s">
        <v>28</v>
      </c>
      <c r="C13" s="38">
        <v>36050</v>
      </c>
    </row>
    <row r="14" spans="1:3" x14ac:dyDescent="0.2">
      <c r="A14" s="45"/>
      <c r="B14" s="50" t="s">
        <v>17</v>
      </c>
      <c r="C14" s="38">
        <v>26600</v>
      </c>
    </row>
    <row r="15" spans="1:3" x14ac:dyDescent="0.2">
      <c r="A15" s="46" t="s">
        <v>119</v>
      </c>
      <c r="B15" s="49" t="s">
        <v>19</v>
      </c>
      <c r="C15" s="37">
        <v>71850</v>
      </c>
    </row>
    <row r="16" spans="1:3" x14ac:dyDescent="0.2">
      <c r="A16" s="45"/>
      <c r="B16" s="50" t="s">
        <v>26</v>
      </c>
      <c r="C16" s="38">
        <v>155400</v>
      </c>
    </row>
    <row r="17" spans="1:3" x14ac:dyDescent="0.2">
      <c r="A17" s="45"/>
      <c r="B17" s="50" t="s">
        <v>30</v>
      </c>
      <c r="C17" s="38">
        <v>209000</v>
      </c>
    </row>
    <row r="18" spans="1:3" x14ac:dyDescent="0.2">
      <c r="A18" s="45"/>
      <c r="B18" s="50" t="s">
        <v>29</v>
      </c>
      <c r="C18" s="38">
        <v>201300</v>
      </c>
    </row>
    <row r="19" spans="1:3" x14ac:dyDescent="0.2">
      <c r="A19" s="45"/>
      <c r="B19" s="50" t="s">
        <v>33</v>
      </c>
      <c r="C19" s="38">
        <v>111500</v>
      </c>
    </row>
    <row r="20" spans="1:3" x14ac:dyDescent="0.2">
      <c r="A20" s="45"/>
      <c r="B20" s="50" t="s">
        <v>10</v>
      </c>
      <c r="C20" s="38">
        <v>144150</v>
      </c>
    </row>
    <row r="21" spans="1:3" x14ac:dyDescent="0.2">
      <c r="A21" s="45"/>
      <c r="B21" s="50" t="s">
        <v>24</v>
      </c>
      <c r="C21" s="38">
        <v>191200</v>
      </c>
    </row>
    <row r="22" spans="1:3" x14ac:dyDescent="0.2">
      <c r="A22" s="45"/>
      <c r="B22" s="50" t="s">
        <v>21</v>
      </c>
      <c r="C22" s="38">
        <v>152600</v>
      </c>
    </row>
    <row r="23" spans="1:3" x14ac:dyDescent="0.2">
      <c r="A23" s="45"/>
      <c r="B23" s="50" t="s">
        <v>13</v>
      </c>
      <c r="C23" s="38">
        <v>140650</v>
      </c>
    </row>
    <row r="24" spans="1:3" x14ac:dyDescent="0.2">
      <c r="A24" s="45"/>
      <c r="B24" s="50" t="s">
        <v>7</v>
      </c>
      <c r="C24" s="38">
        <v>181200</v>
      </c>
    </row>
    <row r="25" spans="1:3" x14ac:dyDescent="0.2">
      <c r="A25" s="45"/>
      <c r="B25" s="50" t="s">
        <v>28</v>
      </c>
      <c r="C25" s="38">
        <v>123700</v>
      </c>
    </row>
    <row r="26" spans="1:3" x14ac:dyDescent="0.2">
      <c r="A26" s="45"/>
      <c r="B26" s="50" t="s">
        <v>17</v>
      </c>
      <c r="C26" s="38">
        <v>164700</v>
      </c>
    </row>
    <row r="27" spans="1:3" x14ac:dyDescent="0.2">
      <c r="A27" s="46" t="s">
        <v>121</v>
      </c>
      <c r="B27" s="49" t="s">
        <v>19</v>
      </c>
      <c r="C27" s="37">
        <v>113300</v>
      </c>
    </row>
    <row r="28" spans="1:3" x14ac:dyDescent="0.2">
      <c r="A28" s="45"/>
      <c r="B28" s="50" t="s">
        <v>26</v>
      </c>
      <c r="C28" s="38">
        <v>109800</v>
      </c>
    </row>
    <row r="29" spans="1:3" x14ac:dyDescent="0.2">
      <c r="A29" s="45"/>
      <c r="B29" s="50" t="s">
        <v>30</v>
      </c>
      <c r="C29" s="38">
        <v>174150</v>
      </c>
    </row>
    <row r="30" spans="1:3" x14ac:dyDescent="0.2">
      <c r="A30" s="45"/>
      <c r="B30" s="50" t="s">
        <v>29</v>
      </c>
      <c r="C30" s="38">
        <v>144800</v>
      </c>
    </row>
    <row r="31" spans="1:3" x14ac:dyDescent="0.2">
      <c r="A31" s="45"/>
      <c r="B31" s="50" t="s">
        <v>33</v>
      </c>
      <c r="C31" s="38">
        <v>134250</v>
      </c>
    </row>
    <row r="32" spans="1:3" x14ac:dyDescent="0.2">
      <c r="A32" s="45"/>
      <c r="B32" s="50" t="s">
        <v>10</v>
      </c>
      <c r="C32" s="38">
        <v>157050</v>
      </c>
    </row>
    <row r="33" spans="1:3" x14ac:dyDescent="0.2">
      <c r="A33" s="45"/>
      <c r="B33" s="50" t="s">
        <v>24</v>
      </c>
      <c r="C33" s="38">
        <v>161250</v>
      </c>
    </row>
    <row r="34" spans="1:3" x14ac:dyDescent="0.2">
      <c r="A34" s="45"/>
      <c r="B34" s="50" t="s">
        <v>21</v>
      </c>
      <c r="C34" s="38">
        <v>137900</v>
      </c>
    </row>
    <row r="35" spans="1:3" x14ac:dyDescent="0.2">
      <c r="A35" s="45"/>
      <c r="B35" s="50" t="s">
        <v>13</v>
      </c>
      <c r="C35" s="38">
        <v>182350</v>
      </c>
    </row>
    <row r="36" spans="1:3" x14ac:dyDescent="0.2">
      <c r="A36" s="45"/>
      <c r="B36" s="50" t="s">
        <v>7</v>
      </c>
      <c r="C36" s="38">
        <v>124500</v>
      </c>
    </row>
    <row r="37" spans="1:3" x14ac:dyDescent="0.2">
      <c r="A37" s="45"/>
      <c r="B37" s="50" t="s">
        <v>28</v>
      </c>
      <c r="C37" s="38">
        <v>187650</v>
      </c>
    </row>
    <row r="38" spans="1:3" x14ac:dyDescent="0.2">
      <c r="A38" s="45"/>
      <c r="B38" s="50" t="s">
        <v>17</v>
      </c>
      <c r="C38" s="38">
        <v>84000</v>
      </c>
    </row>
    <row r="39" spans="1:3" x14ac:dyDescent="0.2">
      <c r="A39" s="46" t="s">
        <v>123</v>
      </c>
      <c r="B39" s="49" t="s">
        <v>19</v>
      </c>
      <c r="C39" s="37">
        <v>197000</v>
      </c>
    </row>
    <row r="40" spans="1:3" x14ac:dyDescent="0.2">
      <c r="A40" s="45"/>
      <c r="B40" s="50" t="s">
        <v>26</v>
      </c>
      <c r="C40" s="38">
        <v>128050</v>
      </c>
    </row>
    <row r="41" spans="1:3" x14ac:dyDescent="0.2">
      <c r="A41" s="45"/>
      <c r="B41" s="50" t="s">
        <v>30</v>
      </c>
      <c r="C41" s="38">
        <v>206300</v>
      </c>
    </row>
    <row r="42" spans="1:3" x14ac:dyDescent="0.2">
      <c r="A42" s="45"/>
      <c r="B42" s="50" t="s">
        <v>29</v>
      </c>
      <c r="C42" s="38">
        <v>198300</v>
      </c>
    </row>
    <row r="43" spans="1:3" x14ac:dyDescent="0.2">
      <c r="A43" s="45"/>
      <c r="B43" s="50" t="s">
        <v>33</v>
      </c>
      <c r="C43" s="38">
        <v>119200</v>
      </c>
    </row>
    <row r="44" spans="1:3" x14ac:dyDescent="0.2">
      <c r="A44" s="45"/>
      <c r="B44" s="50" t="s">
        <v>10</v>
      </c>
      <c r="C44" s="38">
        <v>100900</v>
      </c>
    </row>
    <row r="45" spans="1:3" x14ac:dyDescent="0.2">
      <c r="A45" s="45"/>
      <c r="B45" s="50" t="s">
        <v>24</v>
      </c>
      <c r="C45" s="38">
        <v>175900</v>
      </c>
    </row>
    <row r="46" spans="1:3" x14ac:dyDescent="0.2">
      <c r="A46" s="45"/>
      <c r="B46" s="50" t="s">
        <v>21</v>
      </c>
      <c r="C46" s="38">
        <v>203600</v>
      </c>
    </row>
    <row r="47" spans="1:3" x14ac:dyDescent="0.2">
      <c r="A47" s="45"/>
      <c r="B47" s="50" t="s">
        <v>13</v>
      </c>
      <c r="C47" s="38">
        <v>161050</v>
      </c>
    </row>
    <row r="48" spans="1:3" x14ac:dyDescent="0.2">
      <c r="A48" s="45"/>
      <c r="B48" s="50" t="s">
        <v>7</v>
      </c>
      <c r="C48" s="38">
        <v>187650</v>
      </c>
    </row>
    <row r="49" spans="1:3" x14ac:dyDescent="0.2">
      <c r="A49" s="45"/>
      <c r="B49" s="50" t="s">
        <v>28</v>
      </c>
      <c r="C49" s="38">
        <v>155250</v>
      </c>
    </row>
    <row r="50" spans="1:3" x14ac:dyDescent="0.2">
      <c r="A50" s="45"/>
      <c r="B50" s="50" t="s">
        <v>17</v>
      </c>
      <c r="C50" s="38">
        <v>152800</v>
      </c>
    </row>
    <row r="51" spans="1:3" x14ac:dyDescent="0.2">
      <c r="A51" s="46" t="s">
        <v>125</v>
      </c>
      <c r="B51" s="49" t="s">
        <v>19</v>
      </c>
      <c r="C51" s="37">
        <v>148000</v>
      </c>
    </row>
    <row r="52" spans="1:3" x14ac:dyDescent="0.2">
      <c r="A52" s="45"/>
      <c r="B52" s="50" t="s">
        <v>26</v>
      </c>
      <c r="C52" s="38">
        <v>88550</v>
      </c>
    </row>
    <row r="53" spans="1:3" x14ac:dyDescent="0.2">
      <c r="A53" s="45"/>
      <c r="B53" s="50" t="s">
        <v>30</v>
      </c>
      <c r="C53" s="38">
        <v>100300</v>
      </c>
    </row>
    <row r="54" spans="1:3" x14ac:dyDescent="0.2">
      <c r="A54" s="45"/>
      <c r="B54" s="50" t="s">
        <v>29</v>
      </c>
      <c r="C54" s="38">
        <v>85450</v>
      </c>
    </row>
    <row r="55" spans="1:3" x14ac:dyDescent="0.2">
      <c r="A55" s="45"/>
      <c r="B55" s="50" t="s">
        <v>33</v>
      </c>
      <c r="C55" s="38">
        <v>123200</v>
      </c>
    </row>
    <row r="56" spans="1:3" x14ac:dyDescent="0.2">
      <c r="A56" s="45"/>
      <c r="B56" s="50" t="s">
        <v>10</v>
      </c>
      <c r="C56" s="38">
        <v>103750</v>
      </c>
    </row>
    <row r="57" spans="1:3" x14ac:dyDescent="0.2">
      <c r="A57" s="45"/>
      <c r="B57" s="50" t="s">
        <v>24</v>
      </c>
      <c r="C57" s="38">
        <v>192250</v>
      </c>
    </row>
    <row r="58" spans="1:3" x14ac:dyDescent="0.2">
      <c r="A58" s="45"/>
      <c r="B58" s="50" t="s">
        <v>21</v>
      </c>
      <c r="C58" s="38">
        <v>114200</v>
      </c>
    </row>
    <row r="59" spans="1:3" x14ac:dyDescent="0.2">
      <c r="A59" s="45"/>
      <c r="B59" s="50" t="s">
        <v>13</v>
      </c>
      <c r="C59" s="38">
        <v>111650</v>
      </c>
    </row>
    <row r="60" spans="1:3" x14ac:dyDescent="0.2">
      <c r="A60" s="45"/>
      <c r="B60" s="50" t="s">
        <v>7</v>
      </c>
      <c r="C60" s="38">
        <v>142400</v>
      </c>
    </row>
    <row r="61" spans="1:3" x14ac:dyDescent="0.2">
      <c r="A61" s="45"/>
      <c r="B61" s="50" t="s">
        <v>28</v>
      </c>
      <c r="C61" s="38">
        <v>132300</v>
      </c>
    </row>
    <row r="62" spans="1:3" x14ac:dyDescent="0.2">
      <c r="A62" s="45"/>
      <c r="B62" s="50" t="s">
        <v>17</v>
      </c>
      <c r="C62" s="38">
        <v>119100</v>
      </c>
    </row>
    <row r="63" spans="1:3" x14ac:dyDescent="0.2">
      <c r="A63" s="48" t="s">
        <v>34</v>
      </c>
      <c r="B63" s="47"/>
      <c r="C63" s="39">
        <v>7405200</v>
      </c>
    </row>
  </sheetData>
  <mergeCells count="6">
    <mergeCell ref="A4:A14"/>
    <mergeCell ref="A15:A26"/>
    <mergeCell ref="A27:A38"/>
    <mergeCell ref="A39:A50"/>
    <mergeCell ref="A51:A62"/>
    <mergeCell ref="A63:B63"/>
  </mergeCell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28419E8D-AF44-4224-84F1-2E439E4EC49E}">
  <ds:schemaRefs/>
</ds:datastoreItem>
</file>

<file path=customXml/itemProps2.xml><?xml version="1.0" encoding="utf-8"?>
<ds:datastoreItem xmlns:ds="http://schemas.openxmlformats.org/officeDocument/2006/customXml" ds:itemID="{E7EFF3FB-4082-4837-AED0-4EE7E27258FF}">
  <ds:schemaRefs/>
</ds:datastoreItem>
</file>

<file path=customXml/itemProps3.xml><?xml version="1.0" encoding="utf-8"?>
<ds:datastoreItem xmlns:ds="http://schemas.openxmlformats.org/officeDocument/2006/customXml" ds:itemID="{574E782A-CAA6-49DF-AA23-55EE44F2FF6E}">
  <ds:schemaRefs/>
</ds:datastoreItem>
</file>

<file path=customXml/itemProps4.xml><?xml version="1.0" encoding="utf-8"?>
<ds:datastoreItem xmlns:ds="http://schemas.openxmlformats.org/officeDocument/2006/customXml" ds:itemID="{8686241C-2B41-4BA2-966B-00A30183E2DB}">
  <ds:schemaRefs/>
</ds:datastoreItem>
</file>

<file path=customXml/itemProps5.xml><?xml version="1.0" encoding="utf-8"?>
<ds:datastoreItem xmlns:ds="http://schemas.openxmlformats.org/officeDocument/2006/customXml" ds:itemID="{DBA96E04-307E-461A-80D3-FC4152B6EF5D}">
  <ds:schemaRefs/>
</ds:datastoreItem>
</file>

<file path=customXml/itemProps6.xml><?xml version="1.0" encoding="utf-8"?>
<ds:datastoreItem xmlns:ds="http://schemas.openxmlformats.org/officeDocument/2006/customXml" ds:itemID="{13BB4ABB-77BE-496C-BCD2-0CDFAE0C36DA}">
  <ds:schemaRefs/>
</ds:datastoreItem>
</file>

<file path=customXml/itemProps7.xml><?xml version="1.0" encoding="utf-8"?>
<ds:datastoreItem xmlns:ds="http://schemas.openxmlformats.org/officeDocument/2006/customXml" ds:itemID="{206B5D4E-75A4-4917-BEED-48F0DB23331C}">
  <ds:schemaRefs/>
</ds:datastoreItem>
</file>

<file path=customXml/itemProps8.xml><?xml version="1.0" encoding="utf-8"?>
<ds:datastoreItem xmlns:ds="http://schemas.openxmlformats.org/officeDocument/2006/customXml" ds:itemID="{91133D6F-C875-496D-9194-83511D38E2A8}">
  <ds:schemaRefs/>
</ds:datastoreItem>
</file>

<file path=customXml/itemProps9.xml><?xml version="1.0" encoding="utf-8"?>
<ds:datastoreItem xmlns:ds="http://schemas.openxmlformats.org/officeDocument/2006/customXml" ds:itemID="{919F6FDC-56E0-4F7E-92AA-183CC93A5D0A}">
  <ds:schemaRefs/>
</ds:datastoreItem>
</file>

<file path=customXml/itemProps10.xml><?xml version="1.0" encoding="utf-8"?>
<ds:datastoreItem xmlns:ds="http://schemas.openxmlformats.org/officeDocument/2006/customXml" ds:itemID="{22427A40-ED49-4930-BE93-E5D36380123C}">
  <ds:schemaRefs/>
</ds:datastoreItem>
</file>

<file path=customXml/itemProps11.xml><?xml version="1.0" encoding="utf-8"?>
<ds:datastoreItem xmlns:ds="http://schemas.openxmlformats.org/officeDocument/2006/customXml" ds:itemID="{84FB8B75-17DE-4616-AA6A-E3B7EC217974}">
  <ds:schemaRefs/>
</ds:datastoreItem>
</file>

<file path=customXml/itemProps12.xml><?xml version="1.0" encoding="utf-8"?>
<ds:datastoreItem xmlns:ds="http://schemas.openxmlformats.org/officeDocument/2006/customXml" ds:itemID="{2EE03A57-3354-442C-9971-A5808DBE919C}">
  <ds:schemaRefs/>
</ds:datastoreItem>
</file>

<file path=customXml/itemProps13.xml><?xml version="1.0" encoding="utf-8"?>
<ds:datastoreItem xmlns:ds="http://schemas.openxmlformats.org/officeDocument/2006/customXml" ds:itemID="{3218104D-8BB0-4596-9817-BB49A2D186B3}">
  <ds:schemaRefs/>
</ds:datastoreItem>
</file>

<file path=customXml/itemProps14.xml><?xml version="1.0" encoding="utf-8"?>
<ds:datastoreItem xmlns:ds="http://schemas.openxmlformats.org/officeDocument/2006/customXml" ds:itemID="{7E15F6AD-5326-43F3-958C-59EE67533627}">
  <ds:schemaRefs/>
</ds:datastoreItem>
</file>

<file path=customXml/itemProps15.xml><?xml version="1.0" encoding="utf-8"?>
<ds:datastoreItem xmlns:ds="http://schemas.openxmlformats.org/officeDocument/2006/customXml" ds:itemID="{6100F71D-D4B4-4A79-81F4-ECE02F2983C6}">
  <ds:schemaRefs/>
</ds:datastoreItem>
</file>

<file path=customXml/itemProps16.xml><?xml version="1.0" encoding="utf-8"?>
<ds:datastoreItem xmlns:ds="http://schemas.openxmlformats.org/officeDocument/2006/customXml" ds:itemID="{6BE4AAB9-C230-466F-B6AD-223A4A0E211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Data</vt:lpstr>
      <vt:lpstr>Sheet1</vt:lpstr>
      <vt:lpstr>Sheet3</vt:lpstr>
      <vt:lpstr>Sheet2</vt:lpstr>
      <vt:lpstr>Sheet15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Chandeep Chhabra</dc:creator>
  <cp:lastModifiedBy>pc</cp:lastModifiedBy>
  <dcterms:created xsi:type="dcterms:W3CDTF">2017-04-10T06:54:39Z</dcterms:created>
  <dcterms:modified xsi:type="dcterms:W3CDTF">2023-02-24T18:30:36Z</dcterms:modified>
</cp:coreProperties>
</file>