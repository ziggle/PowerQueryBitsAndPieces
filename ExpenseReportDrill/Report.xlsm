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\Dropbox\GitHub\PowerQueryBitsAndPieces\ExpenseReportDrill\"/>
    </mc:Choice>
  </mc:AlternateContent>
  <xr:revisionPtr revIDLastSave="0" documentId="13_ncr:1_{AAF451D0-3EAB-4C1E-B7E6-5402CF45A9F8}" xr6:coauthVersionLast="47" xr6:coauthVersionMax="47" xr10:uidLastSave="{00000000-0000-0000-0000-000000000000}"/>
  <bookViews>
    <workbookView xWindow="-120" yWindow="-120" windowWidth="29040" windowHeight="15855" activeTab="2" xr2:uid="{B9646992-58BC-44A8-9040-42DC40CCACD9}"/>
  </bookViews>
  <sheets>
    <sheet name="Staging-Transactions" sheetId="5" r:id="rId1"/>
    <sheet name="Sheet1" sheetId="6" r:id="rId2"/>
    <sheet name="Transactions" sheetId="4" r:id="rId3"/>
    <sheet name="VerySimple" sheetId="1" r:id="rId4"/>
    <sheet name="e00eb4de3c8a421cba9b8f4cb8546ec" sheetId="2" state="veryHidden" r:id="rId5"/>
  </sheets>
  <definedNames>
    <definedName name="_xlcn.WorksheetConnection_Report.xlsxTable_Transactions1" hidden="1">Table_Transactions[]</definedName>
    <definedName name="Accounts">_tAccount_Codes[Account Name]</definedName>
    <definedName name="ExternalData_1" localSheetId="2" hidden="1">Transactions!$B$5:$G$10</definedName>
    <definedName name="ExternalData_2" localSheetId="0" hidden="1">'Staging-Transactions'!$A$1:$E$6</definedName>
  </definedNames>
  <calcPr calcId="191029"/>
  <pivotCaches>
    <pivotCache cacheId="360" r:id="rId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_Transactions" name="Table_Transactions" connection="WorksheetConnection_Report.xlsx!Table_Transaction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" i="4" l="1"/>
  <c r="H7" i="4"/>
  <c r="H8" i="4"/>
  <c r="H9" i="4"/>
  <c r="H10" i="4"/>
  <c r="I6" i="4"/>
  <c r="I7" i="4"/>
  <c r="I8" i="4"/>
  <c r="I9" i="4"/>
  <c r="I10" i="4"/>
  <c r="D3" i="4"/>
  <c r="A3" i="2"/>
  <c r="B3" i="2"/>
  <c r="C3" i="2"/>
  <c r="A1" i="2"/>
  <c r="B1" i="2" a="1"/>
  <c r="B1" i="2" s="1"/>
  <c r="C1" i="2"/>
  <c r="D1" i="2"/>
  <c r="E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43377E-25C1-4F0C-909F-D9082EFAA217}" keepAlive="1" name="Query - Data" description="Connection to the 'Data' query in the workbook." type="5" refreshedVersion="0" saveData="1">
    <dbPr connection="Provider=Microsoft.Mashup.OleDb.1;Data Source=$Workbook$;Location=Data;Extended Properties=&quot;&quot;" command="SELECT * FROM [Data]"/>
  </connection>
  <connection id="2" xr16:uid="{4EC49E46-1157-48AA-925F-E3F5BFB452F5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3" xr16:uid="{3186E961-585D-47CA-8579-837080CC5070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4" xr16:uid="{263093DB-7064-43A3-84D8-87B487A55603}" keepAlive="1" name="Query - Staging-Transactions" description="Connection to the 'Staging-Transactions' query in the workbook." type="5" refreshedVersion="8" background="1" saveData="1">
    <dbPr connection="Provider=Microsoft.Mashup.OleDb.1;Data Source=$Workbook$;Location=Staging-Transactions;Extended Properties=&quot;&quot;" command="SELECT * FROM [Staging-Transactions]"/>
  </connection>
  <connection id="5" xr16:uid="{69973E55-5B9E-469F-BEF8-911A3712CCA4}" keepAlive="1" name="Query - Transactions" description="Connection to the 'Transactions' query in the workbook." type="5" refreshedVersion="8" saveData="1">
    <dbPr connection="Provider=Microsoft.Mashup.OleDb.1;Data Source=$Workbook$;Location=Transactions;Extended Properties=&quot;&quot;" command="SELECT * FROM [Transactions]"/>
  </connection>
  <connection id="6" xr16:uid="{FA05D701-A771-44F8-92D1-6245F853C380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7" xr16:uid="{849D6C26-95B2-4DDF-82A0-A323DAE6C33D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8" xr16:uid="{EFC5A06C-A83A-4A88-A473-3CBC5323F2D3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9" xr16:uid="{89B90BA0-1B78-4D54-BF05-D3F32E6B993A}" name="WorksheetConnection_Report.xlsx!Table_Transactions" type="102" refreshedVersion="8" minRefreshableVersion="5">
    <extLst>
      <ext xmlns:x15="http://schemas.microsoft.com/office/spreadsheetml/2010/11/main" uri="{DE250136-89BD-433C-8126-D09CA5730AF9}">
        <x15:connection id="Table_Transactions" autoDelete="1">
          <x15:rangePr sourceName="_xlcn.WorksheetConnection_Report.xlsxTable_Transactions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<sst xmlns="http://schemas.openxmlformats.org/spreadsheetml/2006/main" count="62" uniqueCount="33">
  <si>
    <t>FROM:</t>
  </si>
  <si>
    <t>SUBJECT:</t>
  </si>
  <si>
    <t>DATE:</t>
  </si>
  <si>
    <t>Mark Biegert</t>
  </si>
  <si>
    <t>Date</t>
  </si>
  <si>
    <t>Vendor</t>
  </si>
  <si>
    <t>Amount</t>
  </si>
  <si>
    <t>MARRIOT HOTEL VANCOUV INC</t>
  </si>
  <si>
    <t>DD/DOORDASH</t>
  </si>
  <si>
    <t>Line</t>
  </si>
  <si>
    <t>GST</t>
  </si>
  <si>
    <t>Account Name</t>
  </si>
  <si>
    <t>Net</t>
  </si>
  <si>
    <t>Account</t>
  </si>
  <si>
    <t>Code</t>
  </si>
  <si>
    <t>Travel</t>
  </si>
  <si>
    <t>Hotel</t>
  </si>
  <si>
    <t>Food &amp; Beverage</t>
  </si>
  <si>
    <t>Web Hosting</t>
  </si>
  <si>
    <t>Office Supplies</t>
  </si>
  <si>
    <t>Telephone</t>
  </si>
  <si>
    <t>Software</t>
  </si>
  <si>
    <t>Professonal Fees</t>
  </si>
  <si>
    <t>Other</t>
  </si>
  <si>
    <t>Grand Total</t>
  </si>
  <si>
    <t>Code Required</t>
  </si>
  <si>
    <t>Sum of Amount</t>
  </si>
  <si>
    <t>Sum of GST</t>
  </si>
  <si>
    <t>Sum of Net</t>
  </si>
  <si>
    <t>Code Required Total</t>
  </si>
  <si>
    <t>(blank)</t>
  </si>
  <si>
    <t>PAYBREAK</t>
  </si>
  <si>
    <t>https://www.thesmallman.com/vba-refresh-pivot-table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</si>
</sst>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.000;;@"/>
    <numFmt numFmtId="165" formatCode="0.0"/>
    <numFmt numFmtId="166" formatCode="0.0,&quot;K&quot;;\-0.0,&quot;K&quot;;0.0&quot;K&quot;;@"/>
  </numFmts>
  <fonts count="9" x14ac:knownFonts="1">
    <font>
      <sz val="10"/>
      <color theme="1"/>
      <name val="Consolas"/>
      <family val="2"/>
    </font>
    <font>
      <sz val="10"/>
      <color theme="1"/>
      <name val="Consolas"/>
      <family val="2"/>
    </font>
    <font>
      <b/>
      <sz val="11"/>
      <color theme="3"/>
      <name val="Consolas"/>
      <family val="2"/>
    </font>
    <font>
      <b/>
      <sz val="10"/>
      <color theme="1"/>
      <name val="Consolas"/>
      <family val="2"/>
    </font>
    <font>
      <b/>
      <sz val="11"/>
      <color theme="5" tint="-0.24994659260841701"/>
      <name val="Consolas"/>
      <family val="2"/>
    </font>
    <font>
      <i/>
      <sz val="11"/>
      <color theme="3"/>
      <name val="Consolas"/>
      <family val="2"/>
    </font>
    <font>
      <b/>
      <u/>
      <sz val="10"/>
      <color theme="5" tint="-0.24994659260841701"/>
      <name val="Consolas"/>
      <family val="2"/>
    </font>
    <font>
      <b/>
      <sz val="9"/>
      <color rgb="FF7030A0"/>
      <name val="Consolas"/>
      <family val="2"/>
    </font>
    <font>
      <sz val="10"/>
      <color rgb="FF7F7F7F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</borders>
  <cellStyleXfs count="10">
    <xf numFmtId="0" fontId="0" fillId="0" borderId="0"/>
    <xf numFmtId="0" fontId="4" fillId="0" borderId="0" applyNumberFormat="0" applyAlignment="0" applyProtection="0"/>
    <xf numFmtId="0" fontId="5" fillId="0" borderId="0" applyNumberFormat="0" applyAlignment="0" applyProtection="0"/>
    <xf numFmtId="0" fontId="6" fillId="0" borderId="1" applyNumberFormat="0" applyAlignment="0" applyProtection="0"/>
    <xf numFmtId="0" fontId="2" fillId="0" borderId="0" applyNumberFormat="0" applyFill="0" applyBorder="0" applyAlignment="0" applyProtection="0"/>
    <xf numFmtId="0" fontId="1" fillId="2" borderId="0" applyNumberFormat="0" applyAlignment="0" applyProtection="0"/>
    <xf numFmtId="0" fontId="8" fillId="0" borderId="0" applyNumberFormat="0" applyAlignment="0" applyProtection="0"/>
    <xf numFmtId="0" fontId="7" fillId="0" borderId="0" applyNumberFormat="0" applyAlignment="0" applyProtection="0"/>
    <xf numFmtId="0" fontId="3" fillId="3" borderId="0" applyNumberFormat="0" applyAlignment="0" applyProtection="0"/>
    <xf numFmtId="0" fontId="1" fillId="4" borderId="0" applyNumberFormat="0" applyAlignment="0" applyProtection="0"/>
  </cellStyleXfs>
  <cellXfs count="13">
    <xf numFmtId="0" fontId="0" fillId="0" borderId="0" xfId="0"/>
    <xf numFmtId="0" fontId="3" fillId="3" borderId="0" xfId="8"/>
    <xf numFmtId="0" fontId="1" fillId="4" borderId="0" xfId="9"/>
    <xf numFmtId="0" fontId="0" fillId="4" borderId="0" xfId="9" applyFont="1"/>
    <xf numFmtId="15" fontId="1" fillId="4" borderId="0" xfId="9" applyNumberFormat="1"/>
    <xf numFmtId="164" fontId="0" fillId="0" borderId="0" xfId="0" applyNumberFormat="1"/>
    <xf numFmtId="14" fontId="0" fillId="0" borderId="0" xfId="0" applyNumberFormat="1"/>
    <xf numFmtId="2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0" fillId="0" borderId="0" xfId="0" pivotButton="1"/>
    <xf numFmtId="0" fontId="0" fillId="5" borderId="0" xfId="0" applyFill="1"/>
    <xf numFmtId="0" fontId="0" fillId="0" borderId="0" xfId="0" applyNumberFormat="1"/>
  </cellXfs>
  <cellStyles count="10">
    <cellStyle name="Comment" xfId="7" xr:uid="{763C255E-5D87-466E-95B0-D699BCBDC27A}"/>
    <cellStyle name="Explanatory Text" xfId="6" builtinId="53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hidden="1"/>
    <cellStyle name="Input" xfId="5" builtinId="20" customBuiltin="1"/>
    <cellStyle name="Introduction" xfId="8" xr:uid="{5B02A008-1F7D-4D4F-95AF-9E9DCAA6C469}"/>
    <cellStyle name="Normal" xfId="0" builtinId="0"/>
    <cellStyle name="Salutation" xfId="9" xr:uid="{F719B4EA-B44E-4761-B427-915CA2DD4EE6}"/>
  </cellStyles>
  <dxfs count="6">
    <dxf>
      <fill>
        <patternFill>
          <bgColor theme="4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"/>
    </dxf>
  </dxfs>
  <tableStyles count="1" defaultTableStyle="TableStyleMedium2" defaultPivotStyle="PivotStyleLight16">
    <tableStyle name="Invisible" pivot="0" table="0" count="0" xr9:uid="{6599F34C-6A9E-4238-B66C-9E696F7A2B7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17/06/relationships/rdRichValueStructure" Target="richData/rdrichvaluestructure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" Target="richData/rdrichvalue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sharedStrings" Target="sharedString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76200</xdr:rowOff>
        </xdr:from>
        <xdr:to>
          <xdr:col>2</xdr:col>
          <xdr:colOff>685800</xdr:colOff>
          <xdr:row>3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onsolas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2428875</xdr:colOff>
          <xdr:row>0</xdr:row>
          <xdr:rowOff>0</xdr:rowOff>
        </xdr:from>
        <xdr:to>
          <xdr:col>4</xdr:col>
          <xdr:colOff>619125</xdr:colOff>
          <xdr:row>2</xdr:row>
          <xdr:rowOff>142875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onsolas"/>
                </a:rPr>
                <a:t>Refresh Pivot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4</xdr:row>
      <xdr:rowOff>0</xdr:rowOff>
    </xdr:from>
    <xdr:to>
      <xdr:col>8</xdr:col>
      <xdr:colOff>371782</xdr:colOff>
      <xdr:row>14</xdr:row>
      <xdr:rowOff>38331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1571F93-A39F-901C-1A8D-7284ADC748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48000" y="647700"/>
          <a:ext cx="2200582" cy="1657581"/>
        </a:xfrm>
        <a:prstGeom prst="rect">
          <a:avLst/>
        </a:prstGeom>
      </xdr:spPr>
    </xdr:pic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k" refreshedDate="45067.847141435188" backgroundQuery="1" createdVersion="8" refreshedVersion="8" minRefreshableVersion="3" recordCount="0" supportSubquery="1" supportAdvancedDrill="1" xr:uid="{2B2192CC-27D3-478A-B022-12B42B4F95FC}">
  <cacheSource type="external" connectionId="8"/>
  <cacheFields count="7">
    <cacheField name="[Table_Transactions].[Account Name].[Account Name]" caption="Account Name" numFmtId="0" hierarchy="5" level="1">
      <sharedItems containsNonDate="0" containsString="0" containsBlank="1" count="1">
        <m/>
      </sharedItems>
    </cacheField>
    <cacheField name="[Table_Transactions].[Account].[Account]" caption="Account" numFmtId="0" hierarchy="7" level="1">
      <sharedItems count="1">
        <s v="Code Required"/>
      </sharedItems>
    </cacheField>
    <cacheField name="[Table_Transactions].[Date].[Date]" caption="Date" numFmtId="0" hierarchy="1" level="1">
      <sharedItems containsSemiMixedTypes="0" containsNonDate="0" containsDate="1" containsString="0" minDate="2023-03-26T00:00:00" maxDate="2023-03-29T00:00:00" count="3">
        <d v="2023-03-26T00:00:00"/>
        <d v="2023-03-27T00:00:00"/>
        <d v="2023-03-28T00:00:00"/>
      </sharedItems>
    </cacheField>
    <cacheField name="[Table_Transactions].[Vendor].[Vendor]" caption="Vendor" numFmtId="0" hierarchy="2" level="1">
      <sharedItems count="3">
        <s v="MARRIOT HOTEL VANCOUV INC"/>
        <s v="DD/DOORDASH"/>
        <s v="PAYBREAK"/>
      </sharedItems>
    </cacheField>
    <cacheField name="[Measures].[Sum of Amount]" caption="Sum of Amount" numFmtId="0" hierarchy="10" level="32767"/>
    <cacheField name="[Measures].[Sum of Net]" caption="Sum of Net" numFmtId="0" hierarchy="11" level="32767"/>
    <cacheField name="[Table_Transactions].[Line].[Line]" caption="Line" numFmtId="0" level="1">
      <sharedItems containsSemiMixedTypes="0" containsString="0" containsNumber="1" containsInteger="1" minValue="1" maxValue="5" count="5">
        <n v="1"/>
        <n v="2"/>
        <n v="3"/>
        <n v="4"/>
        <n v="5"/>
      </sharedItems>
      <extLst>
        <ext xmlns:x15="http://schemas.microsoft.com/office/spreadsheetml/2010/11/main" uri="{4F2E5C28-24EA-4eb8-9CBF-B6C8F9C3D259}">
          <x15:cachedUniqueNames>
            <x15:cachedUniqueName index="0" name="[Table_Transactions].[Line].&amp;[1]"/>
            <x15:cachedUniqueName index="1" name="[Table_Transactions].[Line].&amp;[2]"/>
            <x15:cachedUniqueName index="2" name="[Table_Transactions].[Line].&amp;[3]"/>
            <x15:cachedUniqueName index="3" name="[Table_Transactions].[Line].&amp;[4]"/>
            <x15:cachedUniqueName index="4" name="[Table_Transactions].[Line].&amp;[5]"/>
          </x15:cachedUniqueNames>
        </ext>
      </extLst>
    </cacheField>
  </cacheFields>
  <cacheHierarchies count="12">
    <cacheHierarchy uniqueName="[Table_Transactions].[Line]" caption="Line" attribute="1" defaultMemberUniqueName="[Table_Transactions].[Line].[All]" allUniqueName="[Table_Transactions].[Line].[All]" dimensionUniqueName="[Table_Transactions]" displayFolder="" count="2" memberValueDatatype="20" unbalanced="0">
      <fieldsUsage count="2">
        <fieldUsage x="-1"/>
        <fieldUsage x="6"/>
      </fieldsUsage>
    </cacheHierarchy>
    <cacheHierarchy uniqueName="[Table_Transactions].[Date]" caption="Date" attribute="1" time="1" defaultMemberUniqueName="[Table_Transactions].[Date].[All]" allUniqueName="[Table_Transactions].[Date].[All]" dimensionUniqueName="[Table_Transactions]" displayFolder="" count="2" memberValueDatatype="7" unbalanced="0">
      <fieldsUsage count="2">
        <fieldUsage x="-1"/>
        <fieldUsage x="2"/>
      </fieldsUsage>
    </cacheHierarchy>
    <cacheHierarchy uniqueName="[Table_Transactions].[Vendor]" caption="Vendor" attribute="1" defaultMemberUniqueName="[Table_Transactions].[Vendor].[All]" allUniqueName="[Table_Transactions].[Vendor].[All]" dimensionUniqueName="[Table_Transactions]" displayFolder="" count="2" memberValueDatatype="130" unbalanced="0">
      <fieldsUsage count="2">
        <fieldUsage x="-1"/>
        <fieldUsage x="3"/>
      </fieldsUsage>
    </cacheHierarchy>
    <cacheHierarchy uniqueName="[Table_Transactions].[Amount]" caption="Amount" attribute="1" defaultMemberUniqueName="[Table_Transactions].[Amount].[All]" allUniqueName="[Table_Transactions].[Amount].[All]" dimensionUniqueName="[Table_Transactions]" displayFolder="" count="0" memberValueDatatype="20" unbalanced="0"/>
    <cacheHierarchy uniqueName="[Table_Transactions].[GST]" caption="GST" attribute="1" defaultMemberUniqueName="[Table_Transactions].[GST].[All]" allUniqueName="[Table_Transactions].[GST].[All]" dimensionUniqueName="[Table_Transactions]" displayFolder="" count="0" memberValueDatatype="130" unbalanced="0"/>
    <cacheHierarchy uniqueName="[Table_Transactions].[Account Name]" caption="Account Name" attribute="1" defaultMemberUniqueName="[Table_Transactions].[Account Name].[All]" allUniqueName="[Table_Transactions].[Account Name].[All]" dimensionUniqueName="[Table_Transactions]" displayFolder="" count="2" memberValueDatatype="130" unbalanced="0">
      <fieldsUsage count="2">
        <fieldUsage x="-1"/>
        <fieldUsage x="0"/>
      </fieldsUsage>
    </cacheHierarchy>
    <cacheHierarchy uniqueName="[Table_Transactions].[Net]" caption="Net" attribute="1" defaultMemberUniqueName="[Table_Transactions].[Net].[All]" allUniqueName="[Table_Transactions].[Net].[All]" dimensionUniqueName="[Table_Transactions]" displayFolder="" count="0" memberValueDatatype="20" unbalanced="0"/>
    <cacheHierarchy uniqueName="[Table_Transactions].[Account]" caption="Account" attribute="1" defaultMemberUniqueName="[Table_Transactions].[Account].[All]" allUniqueName="[Table_Transactions].[Account].[All]" dimensionUniqueName="[Table_Transactions]" displayFolder="" count="2" memberValueDatatype="130" unbalanced="0">
      <fieldsUsage count="2">
        <fieldUsage x="-1"/>
        <fieldUsage x="1"/>
      </fieldsUsage>
    </cacheHierarchy>
    <cacheHierarchy uniqueName="[Measures].[__XL_Count Table_Transactions]" caption="__XL_Count Table_Transactions" measure="1" displayFolder="" measureGroup="Table_Transactions" count="0" hidden="1"/>
    <cacheHierarchy uniqueName="[Measures].[__No measures defined]" caption="__No measures defined" measure="1" displayFolder="" count="0" hidden="1"/>
    <cacheHierarchy uniqueName="[Measures].[Sum of Amount]" caption="Sum of Amount" measure="1" displayFolder="" measureGroup="Table_Transactions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Net]" caption="Sum of Net" measure="1" displayFolder="" measureGroup="Table_Transactions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</cacheHierarchies>
  <kpis count="0"/>
  <dimensions count="2">
    <dimension measure="1" name="Measures" uniqueName="[Measures]" caption="Measures"/>
    <dimension name="Table_Transactions" uniqueName="[Table_Transactions]" caption="Table_Transactions"/>
  </dimensions>
  <measureGroups count="1">
    <measureGroup name="Table_Transactions" caption="Table_Transactions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6DA83C-D786-490A-92D2-0853B863579F}" name="PivotTable1" cacheId="360" applyNumberFormats="0" applyBorderFormats="0" applyFontFormats="0" applyPatternFormats="0" applyAlignmentFormats="0" applyWidthHeightFormats="1" dataCaption="Values" missingCaption="0" updatedVersion="8" minRefreshableVersion="3" showDrill="0" colGrandTotals="0" itemPrintTitles="1" createdVersion="8" indent="0" compact="0" compactData="0" multipleFieldFilters="0">
  <location ref="A3:G12" firstHeaderRow="0" firstDataRow="1" firstDataCol="5"/>
  <pivotFields count="7">
    <pivotField axis="axisRow" compact="0" allDrilled="1" subtotalTop="0" showAll="0" dataSourceSort="1" defaultSubtotal="0" defaultAttributeDrillState="1">
      <items count="1">
        <item x="0"/>
      </items>
    </pivotField>
    <pivotField axis="axisRow" compact="0" allDrilled="1" outline="0" subtotalTop="0" showAll="0" insertBlankRow="1" sortType="descending" defaultAttributeDrillState="1">
      <items count="2">
        <item x="0"/>
        <item t="default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/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5">
        <item x="0"/>
        <item x="1"/>
        <item x="2"/>
        <item x="3"/>
        <item x="4"/>
      </items>
    </pivotField>
  </pivotFields>
  <rowFields count="5">
    <field x="1"/>
    <field x="0"/>
    <field x="2"/>
    <field x="6"/>
    <field x="3"/>
  </rowFields>
  <rowItems count="9">
    <i>
      <x/>
      <x/>
    </i>
    <i r="2">
      <x/>
      <x/>
      <x/>
    </i>
    <i r="2">
      <x v="1"/>
      <x v="1"/>
      <x v="1"/>
    </i>
    <i r="2">
      <x v="2"/>
      <x v="2"/>
      <x v="2"/>
    </i>
    <i r="3">
      <x v="3"/>
      <x v="2"/>
    </i>
    <i r="3">
      <x v="4"/>
      <x v="2"/>
    </i>
    <i t="default">
      <x/>
    </i>
    <i t="blank"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Amount" fld="4" baseField="0" baseItem="0"/>
    <dataField name="Sum of Net" fld="5" baseField="0" baseItem="0"/>
  </dataFields>
  <pivotHierarchies count="1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5">
    <rowHierarchyUsage hierarchyUsage="7"/>
    <rowHierarchyUsage hierarchyUsage="5"/>
    <rowHierarchyUsage hierarchyUsage="1"/>
    <rowHierarchyUsage hierarchyUsage="0"/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15="http://schemas.microsoft.com/office/spreadsheetml/2010/11/main" uri="{E67621CE-5B39-4880-91FE-76760E9C1902}">
      <x15:pivotTableUISettings sourceDataName="WorksheetConnection_Report.xlsx!Table_Transactions">
        <x15:activeTabTopLevelEntity name="[Table_Transaction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DEB41EFA-489B-41D4-A7DA-44BF52C11B01}" autoFormatId="16" applyNumberFormats="0" applyBorderFormats="0" applyFontFormats="0" applyPatternFormats="0" applyAlignmentFormats="0" applyWidthHeightFormats="0">
  <queryTableRefresh nextId="6">
    <queryTableFields count="5">
      <queryTableField id="1" name="Date" tableColumnId="1"/>
      <queryTableField id="2" name="Vendor" tableColumnId="2"/>
      <queryTableField id="3" name="Amount" tableColumnId="3"/>
      <queryTableField id="4" name="GST" tableColumnId="4"/>
      <queryTableField id="5" name="Account Name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5" xr16:uid="{B19C959D-E4C5-4BA3-840A-2B6C59E8FE02}" autoFormatId="16" applyNumberFormats="0" applyBorderFormats="0" applyFontFormats="0" applyPatternFormats="0" applyAlignmentFormats="0" applyWidthHeightFormats="0">
  <queryTableRefresh nextId="9" unboundColumnsRight="2">
    <queryTableFields count="8">
      <queryTableField id="1" name="Line" tableColumnId="1"/>
      <queryTableField id="2" name="Date" tableColumnId="2"/>
      <queryTableField id="3" name="Vendor" tableColumnId="3"/>
      <queryTableField id="4" name="Amount" tableColumnId="4"/>
      <queryTableField id="5" name="GST" tableColumnId="5"/>
      <queryTableField id="6" name="Account Name" tableColumnId="6"/>
      <queryTableField id="7" dataBound="0" tableColumnId="7"/>
      <queryTableField id="8" dataBound="0" tableColumnId="8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</v>
    <v>8</v>
    <v>1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FF2EA59-D929-4EB2-954D-5F5EFD63E674}" name="Table_Staging_Transactions" displayName="Table_Staging_Transactions" ref="A1:E6" tableType="queryTable" totalsRowShown="0">
  <autoFilter ref="A1:E6" xr:uid="{4FF2EA59-D929-4EB2-954D-5F5EFD63E674}"/>
  <tableColumns count="5">
    <tableColumn id="1" xr3:uid="{F612EAF8-200C-4FF9-A05C-98E59E17DEA9}" uniqueName="1" name="Date" queryTableFieldId="1"/>
    <tableColumn id="2" xr3:uid="{05B49CFF-EFE3-4D61-9626-2529BDCDA5BC}" uniqueName="2" name="Vendor" queryTableFieldId="2"/>
    <tableColumn id="3" xr3:uid="{B0D93A81-F3FD-43D3-B97A-CA64BF354B2D}" uniqueName="3" name="Amount" queryTableFieldId="3"/>
    <tableColumn id="4" xr3:uid="{339416D9-EB4F-4FA3-BFFE-62D619BFBD0F}" uniqueName="4" name="GST" queryTableFieldId="4"/>
    <tableColumn id="5" xr3:uid="{49686A03-02F3-491A-9B0D-F553DC74A02E}" uniqueName="5" name="Account Name" queryTableFieldId="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C4EFA4B-B539-4751-822D-DCF8D7271F9C}" name="Table_Transactions" displayName="Table_Transactions" ref="B5:I10" tableType="queryTable" totalsRowShown="0">
  <autoFilter ref="B5:I10" xr:uid="{BC4EFA4B-B539-4751-822D-DCF8D7271F9C}"/>
  <tableColumns count="8">
    <tableColumn id="1" xr3:uid="{FC67D76E-913E-49EE-9FBB-E3DDBCC689FF}" uniqueName="1" name="Line" queryTableFieldId="1"/>
    <tableColumn id="2" xr3:uid="{12812414-0122-4ED8-9DA4-B363925EF0D1}" uniqueName="2" name="Date" queryTableFieldId="2" dataDxfId="5"/>
    <tableColumn id="3" xr3:uid="{C93C8667-9CFD-4979-86F3-715215D91B82}" uniqueName="3" name="Vendor" queryTableFieldId="3" dataDxfId="4"/>
    <tableColumn id="4" xr3:uid="{4E29E80A-5E31-43EC-A342-D4407F709C88}" uniqueName="4" name="Amount" queryTableFieldId="4"/>
    <tableColumn id="5" xr3:uid="{71C57FA1-3028-4992-853A-192AF0B6DFA7}" uniqueName="5" name="GST" queryTableFieldId="5"/>
    <tableColumn id="6" xr3:uid="{8BB83F70-8D26-440F-B3BD-847DB428F60D}" uniqueName="6" name="Account Name" queryTableFieldId="6" dataDxfId="3"/>
    <tableColumn id="7" xr3:uid="{F58E3647-8BFC-4C8F-8EAA-69DF393BACFA}" uniqueName="7" name="Net" queryTableFieldId="7" dataDxfId="2">
      <calculatedColumnFormula>Table_Transactions[[#This Row],[Amount]]-Table_Transactions[[#This Row],[GST]]</calculatedColumnFormula>
    </tableColumn>
    <tableColumn id="8" xr3:uid="{D8A90969-F4A5-4A9E-8028-B7D7AAEBEF83}" uniqueName="8" name="Account" queryTableFieldId="8" dataDxfId="1">
      <calculatedColumnFormula>_xlfn.XLOOKUP(Table_Transactions[[#This Row],[Account Name]],_tAccount_Codes[Account Name],_tAccount_Codes[Code],"Code Required")</calculatedColumnFormula>
    </tableColumn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9F4A76-2CD5-49D4-8EB4-7EBC07EAF201}" name="_tAccount_Codes" displayName="_tAccount_Codes" ref="A6:B15" totalsRowShown="0" headerRowCellStyle="Introduction">
  <autoFilter ref="A6:B15" xr:uid="{4A9F4A76-2CD5-49D4-8EB4-7EBC07EAF201}"/>
  <tableColumns count="2">
    <tableColumn id="1" xr3:uid="{C6608E03-6204-46D1-A28C-BFF44000F740}" name="Account Name"/>
    <tableColumn id="2" xr3:uid="{5B9C76D1-C31B-40BC-B891-6CC8BDBD2F7F}" name="Cod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asis">
  <a:themeElements>
    <a:clrScheme name="Basis">
      <a:dk1>
        <a:srgbClr val="000000"/>
      </a:dk1>
      <a:lt1>
        <a:srgbClr val="FFFFFF"/>
      </a:lt1>
      <a:dk2>
        <a:srgbClr val="565349"/>
      </a:dk2>
      <a:lt2>
        <a:srgbClr val="DDDDDD"/>
      </a:lt2>
      <a:accent1>
        <a:srgbClr val="A6B727"/>
      </a:accent1>
      <a:accent2>
        <a:srgbClr val="DF5327"/>
      </a:accent2>
      <a:accent3>
        <a:srgbClr val="FE9E00"/>
      </a:accent3>
      <a:accent4>
        <a:srgbClr val="418AB3"/>
      </a:accent4>
      <a:accent5>
        <a:srgbClr val="D7D447"/>
      </a:accent5>
      <a:accent6>
        <a:srgbClr val="818183"/>
      </a:accent6>
      <a:hlink>
        <a:srgbClr val="F59E00"/>
      </a:hlink>
      <a:folHlink>
        <a:srgbClr val="B2B2B2"/>
      </a:folHlink>
    </a:clrScheme>
    <a:fontScheme name="Basis">
      <a:majorFont>
        <a:latin typeface="Corbel" panose="020B0503020204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orbel" panose="020B0503020204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Basis">
      <a:fillStyleLst>
        <a:solidFill>
          <a:schemeClr val="phClr"/>
        </a:solidFill>
        <a:solidFill>
          <a:schemeClr val="phClr">
            <a:tint val="55000"/>
            <a:satMod val="130000"/>
          </a:schemeClr>
        </a:solidFill>
        <a:gradFill rotWithShape="1">
          <a:gsLst>
            <a:gs pos="0">
              <a:schemeClr val="phClr"/>
            </a:gs>
            <a:gs pos="90000">
              <a:schemeClr val="phClr">
                <a:shade val="100000"/>
                <a:satMod val="105000"/>
              </a:schemeClr>
            </a:gs>
            <a:gs pos="100000">
              <a:schemeClr val="phClr">
                <a:shade val="80000"/>
                <a:satMod val="12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100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53975" cap="flat" cmpd="dbl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38100" dist="25400" dir="5400000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brightRoom" dir="t"/>
          </a:scene3d>
          <a:sp3d extrusionH="12700" contourW="25400" prstMaterial="flat">
            <a:bevelT w="63500" h="152400" prst="angle"/>
            <a:contourClr>
              <a:schemeClr val="phClr">
                <a:shade val="27000"/>
                <a:satMod val="12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95000"/>
            <a:satMod val="140000"/>
          </a:schemeClr>
        </a:solidFill>
        <a:solidFill>
          <a:schemeClr val="phClr">
            <a:tint val="90000"/>
            <a:shade val="85000"/>
            <a:satMod val="160000"/>
            <a:lumMod val="110000"/>
          </a:schemeClr>
        </a:soli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asis" id="{5665723A-49BA-4B57-8411-A56F8F207965}" vid="{90E45F77-AEFC-46EF-A7C1-5B338C297B02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7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21991ACA-26E8-4FDB-8FDA-D5137F78DDFA}">
  <we:reference id="wa200001584" version="2.5.0.0" store="en-US" storeType="OMEX"/>
  <we:alternateReferences>
    <we:reference id="WA200001584" version="2.5.0.0" store="WA200001584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B1CD9E60-1F30-481A-ABFC-349450ED2514}">
  <we:reference id="wa200003696" version="1.1.0.0" store="en-US" storeType="OMEX"/>
  <we:alternateReferences>
    <we:reference id="WA200003696" version="1.1.0.0" store="WA200003696" storeType="OMEX"/>
  </we:alternateReferences>
  <we:properties>
    <we:property name="projectV0_1-56c6e055-265e-4713-816e-a646dbb708de" value="{&quot;kind&quot;:&quot;AFEJSONBlobNode&quot;,&quot;id&quot;:&quot;{0F678EA8-008F-496A-B137-B0C0DA1085E0}&quot;}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5E966-DDE2-4D19-BE3A-DAC98D6B322C}">
  <sheetPr codeName="Sheet3"/>
  <dimension ref="A1:E6"/>
  <sheetViews>
    <sheetView workbookViewId="0">
      <selection activeCell="B20" sqref="B20"/>
    </sheetView>
  </sheetViews>
  <sheetFormatPr defaultRowHeight="12.75" x14ac:dyDescent="0.2"/>
  <cols>
    <col min="1" max="1" width="7.28515625" bestFit="1" customWidth="1"/>
    <col min="2" max="2" width="26.5703125" bestFit="1" customWidth="1"/>
    <col min="3" max="3" width="9.28515625" bestFit="1" customWidth="1"/>
    <col min="4" max="4" width="6.28515625" bestFit="1" customWidth="1"/>
    <col min="5" max="5" width="15.42578125" bestFit="1" customWidth="1"/>
  </cols>
  <sheetData>
    <row r="1" spans="1:5" x14ac:dyDescent="0.2">
      <c r="A1" t="s">
        <v>4</v>
      </c>
      <c r="B1" t="s">
        <v>5</v>
      </c>
      <c r="C1" t="s">
        <v>6</v>
      </c>
      <c r="D1" t="s">
        <v>10</v>
      </c>
      <c r="E1" t="s">
        <v>11</v>
      </c>
    </row>
    <row r="2" spans="1:5" x14ac:dyDescent="0.2">
      <c r="A2">
        <v>45011</v>
      </c>
      <c r="B2" t="s">
        <v>7</v>
      </c>
      <c r="C2">
        <v>100</v>
      </c>
    </row>
    <row r="3" spans="1:5" x14ac:dyDescent="0.2">
      <c r="A3">
        <v>45012</v>
      </c>
      <c r="B3" t="s">
        <v>8</v>
      </c>
      <c r="C3">
        <v>200</v>
      </c>
    </row>
    <row r="4" spans="1:5" x14ac:dyDescent="0.2">
      <c r="A4">
        <v>45013</v>
      </c>
      <c r="B4" t="s">
        <v>31</v>
      </c>
      <c r="C4">
        <v>1</v>
      </c>
    </row>
    <row r="5" spans="1:5" x14ac:dyDescent="0.2">
      <c r="A5">
        <v>45013</v>
      </c>
      <c r="B5" t="s">
        <v>31</v>
      </c>
      <c r="C5">
        <v>1</v>
      </c>
    </row>
    <row r="6" spans="1:5" x14ac:dyDescent="0.2">
      <c r="A6">
        <v>45013</v>
      </c>
      <c r="B6" t="s">
        <v>31</v>
      </c>
      <c r="C6">
        <v>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0FE36-A35D-4380-A868-027DE63713F5}">
  <sheetPr codeName="Sheet4">
    <pageSetUpPr fitToPage="1"/>
  </sheetPr>
  <dimension ref="A2:G12"/>
  <sheetViews>
    <sheetView workbookViewId="0">
      <selection activeCell="F33" sqref="F33"/>
    </sheetView>
  </sheetViews>
  <sheetFormatPr defaultRowHeight="12.75" x14ac:dyDescent="0.2"/>
  <cols>
    <col min="1" max="1" width="10.7109375" customWidth="1"/>
    <col min="2" max="2" width="45.7109375" customWidth="1"/>
    <col min="3" max="3" width="10.7109375" customWidth="1"/>
    <col min="4" max="4" width="20.7109375" hidden="1" customWidth="1"/>
    <col min="5" max="7" width="10.7109375" customWidth="1"/>
  </cols>
  <sheetData>
    <row r="2" spans="1:7" x14ac:dyDescent="0.2">
      <c r="A2" s="11" t="s">
        <v>13</v>
      </c>
      <c r="B2" s="11" t="s">
        <v>11</v>
      </c>
      <c r="C2" s="11" t="s">
        <v>4</v>
      </c>
      <c r="D2" s="11" t="s">
        <v>5</v>
      </c>
      <c r="E2" s="11" t="s">
        <v>26</v>
      </c>
      <c r="F2" s="11" t="s">
        <v>27</v>
      </c>
      <c r="G2" s="11" t="s">
        <v>28</v>
      </c>
    </row>
    <row r="3" spans="1:7" hidden="1" x14ac:dyDescent="0.2">
      <c r="A3" s="10" t="s">
        <v>13</v>
      </c>
      <c r="B3" s="10" t="s">
        <v>11</v>
      </c>
      <c r="C3" s="10" t="s">
        <v>4</v>
      </c>
      <c r="D3" s="10" t="s">
        <v>9</v>
      </c>
      <c r="E3" s="10" t="s">
        <v>5</v>
      </c>
      <c r="F3" t="s">
        <v>26</v>
      </c>
      <c r="G3" t="s">
        <v>28</v>
      </c>
    </row>
    <row r="4" spans="1:7" x14ac:dyDescent="0.2">
      <c r="A4" t="s">
        <v>25</v>
      </c>
      <c r="B4" t="s">
        <v>30</v>
      </c>
      <c r="F4" s="12"/>
      <c r="G4" s="12"/>
    </row>
    <row r="5" spans="1:7" x14ac:dyDescent="0.2">
      <c r="C5" s="6">
        <v>45011</v>
      </c>
      <c r="D5">
        <v>1</v>
      </c>
      <c r="E5" t="s">
        <v>7</v>
      </c>
      <c r="F5" s="12">
        <v>100</v>
      </c>
      <c r="G5" s="12">
        <v>100</v>
      </c>
    </row>
    <row r="6" spans="1:7" x14ac:dyDescent="0.2">
      <c r="C6" s="6">
        <v>45012</v>
      </c>
      <c r="D6">
        <v>2</v>
      </c>
      <c r="E6" t="s">
        <v>8</v>
      </c>
      <c r="F6" s="12">
        <v>200</v>
      </c>
      <c r="G6" s="12">
        <v>200</v>
      </c>
    </row>
    <row r="7" spans="1:7" x14ac:dyDescent="0.2">
      <c r="C7" s="6">
        <v>45013</v>
      </c>
      <c r="D7">
        <v>3</v>
      </c>
      <c r="E7" t="s">
        <v>31</v>
      </c>
      <c r="F7" s="12">
        <v>5</v>
      </c>
      <c r="G7" s="12">
        <v>5</v>
      </c>
    </row>
    <row r="8" spans="1:7" x14ac:dyDescent="0.2">
      <c r="C8" s="6">
        <v>45013</v>
      </c>
      <c r="D8">
        <v>4</v>
      </c>
      <c r="E8" t="s">
        <v>31</v>
      </c>
      <c r="F8" s="12">
        <v>5</v>
      </c>
      <c r="G8" s="12">
        <v>5</v>
      </c>
    </row>
    <row r="9" spans="1:7" x14ac:dyDescent="0.2">
      <c r="C9" s="6">
        <v>45013</v>
      </c>
      <c r="D9">
        <v>5</v>
      </c>
      <c r="E9" t="s">
        <v>31</v>
      </c>
      <c r="F9" s="12">
        <v>5</v>
      </c>
      <c r="G9" s="12">
        <v>5</v>
      </c>
    </row>
    <row r="10" spans="1:7" x14ac:dyDescent="0.2">
      <c r="A10" t="s">
        <v>29</v>
      </c>
      <c r="F10" s="12">
        <v>315</v>
      </c>
      <c r="G10" s="12">
        <v>315</v>
      </c>
    </row>
    <row r="11" spans="1:7" x14ac:dyDescent="0.2">
      <c r="F11" s="12"/>
      <c r="G11" s="12"/>
    </row>
    <row r="12" spans="1:7" x14ac:dyDescent="0.2">
      <c r="A12" t="s">
        <v>24</v>
      </c>
      <c r="F12" s="12">
        <v>315</v>
      </c>
      <c r="G12" s="12">
        <v>315</v>
      </c>
    </row>
  </sheetData>
  <pageMargins left="0.7" right="0.7" top="0.75" bottom="0.75" header="0.3" footer="0.3"/>
  <pageSetup scale="78" fitToHeight="0" orientation="portrait" horizontalDpi="200" verticalDpi="200"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D4223-9228-428C-9BF3-91CDDCABE681}">
  <sheetPr codeName="Sheet5">
    <pageSetUpPr fitToPage="1"/>
  </sheetPr>
  <dimension ref="B2:I10"/>
  <sheetViews>
    <sheetView tabSelected="1" workbookViewId="0">
      <selection activeCell="L9" sqref="L9"/>
    </sheetView>
  </sheetViews>
  <sheetFormatPr defaultRowHeight="12.75" x14ac:dyDescent="0.2"/>
  <cols>
    <col min="1" max="1" width="2.7109375" customWidth="1"/>
    <col min="2" max="2" width="10.7109375" hidden="1" customWidth="1"/>
    <col min="3" max="3" width="10.7109375" customWidth="1"/>
    <col min="4" max="4" width="40.7109375" customWidth="1"/>
    <col min="5" max="6" width="10.7109375" customWidth="1"/>
    <col min="7" max="7" width="20.7109375" customWidth="1"/>
    <col min="8" max="8" width="10.7109375" customWidth="1"/>
    <col min="9" max="9" width="10.7109375" hidden="1" customWidth="1"/>
  </cols>
  <sheetData>
    <row r="2" spans="2:9" x14ac:dyDescent="0.2">
      <c r="G2" t="s">
        <v>32</v>
      </c>
    </row>
    <row r="3" spans="2:9" x14ac:dyDescent="0.2">
      <c r="D3" t="str">
        <f>"For the Month: "&amp;TEXT(EOMONTH(MAX(Table_Transactions[Date]),0),"dd-mmm-yyyy")</f>
        <v>For the Month: 31-Mar-2023</v>
      </c>
    </row>
    <row r="5" spans="2:9" x14ac:dyDescent="0.2">
      <c r="B5" t="s">
        <v>9</v>
      </c>
      <c r="C5" t="s">
        <v>4</v>
      </c>
      <c r="D5" t="s">
        <v>5</v>
      </c>
      <c r="E5" t="s">
        <v>6</v>
      </c>
      <c r="F5" t="s">
        <v>10</v>
      </c>
      <c r="G5" t="s">
        <v>11</v>
      </c>
      <c r="H5" t="s">
        <v>12</v>
      </c>
      <c r="I5" t="s">
        <v>13</v>
      </c>
    </row>
    <row r="6" spans="2:9" x14ac:dyDescent="0.2">
      <c r="B6">
        <v>1</v>
      </c>
      <c r="C6" s="6">
        <v>45011</v>
      </c>
      <c r="D6" s="12" t="s">
        <v>7</v>
      </c>
      <c r="E6">
        <v>100</v>
      </c>
      <c r="G6" s="12"/>
      <c r="H6" s="12">
        <f>Table_Transactions[[#This Row],[Amount]]-Table_Transactions[[#This Row],[GST]]</f>
        <v>100</v>
      </c>
      <c r="I6" s="12" t="str">
        <f>_xlfn.XLOOKUP(Table_Transactions[[#This Row],[Account Name]],_tAccount_Codes[Account Name],_tAccount_Codes[Code],"Code Required")</f>
        <v>Code Required</v>
      </c>
    </row>
    <row r="7" spans="2:9" x14ac:dyDescent="0.2">
      <c r="B7">
        <v>2</v>
      </c>
      <c r="C7" s="6">
        <v>45012</v>
      </c>
      <c r="D7" s="12" t="s">
        <v>8</v>
      </c>
      <c r="E7">
        <v>200</v>
      </c>
      <c r="G7" s="12"/>
      <c r="H7" s="12">
        <f>Table_Transactions[[#This Row],[Amount]]-Table_Transactions[[#This Row],[GST]]</f>
        <v>200</v>
      </c>
      <c r="I7" s="12" t="str">
        <f>_xlfn.XLOOKUP(Table_Transactions[[#This Row],[Account Name]],_tAccount_Codes[Account Name],_tAccount_Codes[Code],"Code Required")</f>
        <v>Code Required</v>
      </c>
    </row>
    <row r="8" spans="2:9" x14ac:dyDescent="0.2">
      <c r="B8">
        <v>3</v>
      </c>
      <c r="C8" s="6">
        <v>45013</v>
      </c>
      <c r="D8" s="12" t="s">
        <v>31</v>
      </c>
      <c r="E8">
        <v>5</v>
      </c>
      <c r="G8" s="12"/>
      <c r="H8" s="12">
        <f>Table_Transactions[[#This Row],[Amount]]-Table_Transactions[[#This Row],[GST]]</f>
        <v>5</v>
      </c>
      <c r="I8" s="12" t="str">
        <f>_xlfn.XLOOKUP(Table_Transactions[[#This Row],[Account Name]],_tAccount_Codes[Account Name],_tAccount_Codes[Code],"Code Required")</f>
        <v>Code Required</v>
      </c>
    </row>
    <row r="9" spans="2:9" x14ac:dyDescent="0.2">
      <c r="B9">
        <v>4</v>
      </c>
      <c r="C9" s="6">
        <v>45013</v>
      </c>
      <c r="D9" s="12" t="s">
        <v>31</v>
      </c>
      <c r="E9">
        <v>5</v>
      </c>
      <c r="G9" s="12"/>
      <c r="H9" s="12">
        <f>Table_Transactions[[#This Row],[Amount]]-Table_Transactions[[#This Row],[GST]]</f>
        <v>5</v>
      </c>
      <c r="I9" s="12" t="str">
        <f>_xlfn.XLOOKUP(Table_Transactions[[#This Row],[Account Name]],_tAccount_Codes[Account Name],_tAccount_Codes[Code],"Code Required")</f>
        <v>Code Required</v>
      </c>
    </row>
    <row r="10" spans="2:9" x14ac:dyDescent="0.2">
      <c r="B10">
        <v>5</v>
      </c>
      <c r="C10" s="6">
        <v>45013</v>
      </c>
      <c r="D10" s="12" t="s">
        <v>31</v>
      </c>
      <c r="E10">
        <v>5</v>
      </c>
      <c r="G10" s="12"/>
      <c r="H10" s="12">
        <f>Table_Transactions[[#This Row],[Amount]]-Table_Transactions[[#This Row],[GST]]</f>
        <v>5</v>
      </c>
      <c r="I10" s="12" t="str">
        <f>_xlfn.XLOOKUP(Table_Transactions[[#This Row],[Account Name]],_tAccount_Codes[Account Name],_tAccount_Codes[Code],"Code Required")</f>
        <v>Code Required</v>
      </c>
    </row>
  </sheetData>
  <conditionalFormatting sqref="F1:G1048576">
    <cfRule type="expression" dxfId="0" priority="1">
      <formula>AND(ROW($B1)&gt;5,$B1&gt;0)</formula>
    </cfRule>
  </conditionalFormatting>
  <dataValidations count="1">
    <dataValidation type="list" errorStyle="warning" allowBlank="1" showInputMessage="1" showErrorMessage="1" errorTitle="Missing" error="Do you want to proceed?" sqref="G6:G10" xr:uid="{8AA940FF-C185-4D9C-BBCA-8145FDA59EBC}">
      <formula1>Accounts</formula1>
    </dataValidation>
  </dataValidations>
  <pageMargins left="0.7" right="0.7" top="0.75" bottom="0.75" header="0.3" footer="0.3"/>
  <pageSetup scale="88" fitToHeight="0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freshAll" altText="Refresh All_x000a_">
                <anchor moveWithCells="1" sizeWithCells="1">
                  <from>
                    <xdr:col>2</xdr:col>
                    <xdr:colOff>57150</xdr:colOff>
                    <xdr:row>0</xdr:row>
                    <xdr:rowOff>76200</xdr:rowOff>
                  </from>
                  <to>
                    <xdr:col>2</xdr:col>
                    <xdr:colOff>685800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UpdatePivot">
                <anchor moveWithCells="1" sizeWithCells="1">
                  <from>
                    <xdr:col>3</xdr:col>
                    <xdr:colOff>2428875</xdr:colOff>
                    <xdr:row>0</xdr:row>
                    <xdr:rowOff>0</xdr:rowOff>
                  </from>
                  <to>
                    <xdr:col>4</xdr:col>
                    <xdr:colOff>619125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64C3D-CB93-427A-A3A9-B177BAA3DAB9}">
  <sheetPr codeName="Sheet1"/>
  <dimension ref="A1:R39"/>
  <sheetViews>
    <sheetView workbookViewId="0">
      <selection activeCell="E29" sqref="E29"/>
    </sheetView>
  </sheetViews>
  <sheetFormatPr defaultRowHeight="12.75" x14ac:dyDescent="0.2"/>
  <cols>
    <col min="1" max="1" width="17.5703125" customWidth="1"/>
    <col min="4" max="16" width="9.140625" customWidth="1"/>
  </cols>
  <sheetData>
    <row r="1" spans="1:6" x14ac:dyDescent="0.2">
      <c r="A1" s="1" t="s">
        <v>0</v>
      </c>
      <c r="B1" s="3" t="s">
        <v>3</v>
      </c>
      <c r="C1" s="3"/>
    </row>
    <row r="2" spans="1:6" x14ac:dyDescent="0.2">
      <c r="A2" s="1" t="s">
        <v>1</v>
      </c>
      <c r="B2" s="2"/>
      <c r="C2" s="2"/>
    </row>
    <row r="3" spans="1:6" x14ac:dyDescent="0.2">
      <c r="A3" s="1" t="s">
        <v>2</v>
      </c>
      <c r="B3" s="4"/>
      <c r="C3" s="2"/>
    </row>
    <row r="6" spans="1:6" x14ac:dyDescent="0.2">
      <c r="A6" s="1" t="s">
        <v>11</v>
      </c>
      <c r="B6" s="1" t="s">
        <v>14</v>
      </c>
      <c r="F6" s="5"/>
    </row>
    <row r="7" spans="1:6" x14ac:dyDescent="0.2">
      <c r="A7" t="s">
        <v>15</v>
      </c>
      <c r="B7">
        <v>5015</v>
      </c>
    </row>
    <row r="8" spans="1:6" x14ac:dyDescent="0.2">
      <c r="A8" t="s">
        <v>16</v>
      </c>
      <c r="B8">
        <v>5020</v>
      </c>
    </row>
    <row r="9" spans="1:6" x14ac:dyDescent="0.2">
      <c r="A9" t="s">
        <v>17</v>
      </c>
      <c r="B9">
        <v>5025</v>
      </c>
    </row>
    <row r="10" spans="1:6" x14ac:dyDescent="0.2">
      <c r="A10" t="s">
        <v>18</v>
      </c>
      <c r="B10">
        <v>5090</v>
      </c>
    </row>
    <row r="11" spans="1:6" x14ac:dyDescent="0.2">
      <c r="A11" t="s">
        <v>19</v>
      </c>
      <c r="B11">
        <v>5100</v>
      </c>
    </row>
    <row r="12" spans="1:6" x14ac:dyDescent="0.2">
      <c r="A12" t="s">
        <v>20</v>
      </c>
      <c r="B12">
        <v>5105</v>
      </c>
    </row>
    <row r="13" spans="1:6" x14ac:dyDescent="0.2">
      <c r="A13" t="s">
        <v>21</v>
      </c>
      <c r="B13">
        <v>5110</v>
      </c>
    </row>
    <row r="14" spans="1:6" x14ac:dyDescent="0.2">
      <c r="A14" t="s">
        <v>22</v>
      </c>
      <c r="B14">
        <v>5125</v>
      </c>
    </row>
    <row r="15" spans="1:6" x14ac:dyDescent="0.2">
      <c r="A15" t="s">
        <v>23</v>
      </c>
      <c r="B15">
        <v>5190</v>
      </c>
    </row>
    <row r="30" spans="8:12" x14ac:dyDescent="0.2">
      <c r="H30" s="8"/>
      <c r="J30" s="7"/>
      <c r="L30" s="8"/>
    </row>
    <row r="31" spans="8:12" x14ac:dyDescent="0.2">
      <c r="H31" s="8"/>
      <c r="J31" s="7"/>
      <c r="L31" s="8"/>
    </row>
    <row r="32" spans="8:12" x14ac:dyDescent="0.2">
      <c r="H32" s="8"/>
      <c r="J32" s="7"/>
      <c r="L32" s="8"/>
    </row>
    <row r="33" spans="8:18" x14ac:dyDescent="0.2">
      <c r="H33" s="8"/>
      <c r="J33" s="7"/>
      <c r="L33" s="8"/>
      <c r="R33" s="9"/>
    </row>
    <row r="34" spans="8:18" x14ac:dyDescent="0.2">
      <c r="H34" s="8"/>
      <c r="J34" s="7"/>
      <c r="L34" s="8"/>
    </row>
    <row r="35" spans="8:18" x14ac:dyDescent="0.2">
      <c r="H35" s="8"/>
      <c r="J35" s="7"/>
      <c r="L35" s="8"/>
    </row>
    <row r="36" spans="8:18" x14ac:dyDescent="0.2">
      <c r="H36" s="8"/>
      <c r="J36" s="7"/>
      <c r="L36" s="8"/>
    </row>
    <row r="37" spans="8:18" x14ac:dyDescent="0.2">
      <c r="H37" s="8"/>
      <c r="J37" s="7"/>
      <c r="L37" s="8"/>
    </row>
    <row r="38" spans="8:18" x14ac:dyDescent="0.2">
      <c r="H38" s="8"/>
      <c r="J38" s="7"/>
      <c r="L38" s="8"/>
    </row>
    <row r="39" spans="8:18" x14ac:dyDescent="0.2">
      <c r="H39" s="8"/>
      <c r="J39" s="7"/>
      <c r="L39" s="8"/>
    </row>
  </sheetData>
  <pageMargins left="0.7" right="0.7" top="0.75" bottom="0.75" header="0.3" footer="0.3"/>
  <pageSetup orientation="portrait" horizontalDpi="4294967295" verticalDpi="4294967295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B8E46-AEC5-44FE-8701-BA5B3FEC9E55}">
  <sheetPr codeName="Sheet2"/>
  <dimension ref="A1:E3"/>
  <sheetViews>
    <sheetView workbookViewId="0"/>
  </sheetViews>
  <sheetFormatPr defaultRowHeight="12.75" x14ac:dyDescent="0.2"/>
  <sheetData>
    <row r="1" spans="1:5" x14ac:dyDescent="0.2">
      <c r="A1">
        <f>SUM(,)</f>
        <v>0</v>
      </c>
      <c r="B1" t="e" cm="1" vm="1">
        <f t="array" aca="1" ref="B1" ca="1">{1,2;3,4}</f>
        <v>#VALUE!</v>
      </c>
      <c r="C1">
        <f>LEN("abc")</f>
        <v>3</v>
      </c>
      <c r="D1">
        <f>SUM(1)</f>
        <v>1</v>
      </c>
      <c r="E1">
        <f>1.5</f>
        <v>1.5</v>
      </c>
    </row>
    <row r="2" spans="1:5" x14ac:dyDescent="0.2">
      <c r="A2" s="6">
        <v>37653</v>
      </c>
    </row>
    <row r="3" spans="1:5" x14ac:dyDescent="0.2">
      <c r="A3" t="str">
        <f>DOLLAR(1,0)</f>
        <v>$1</v>
      </c>
      <c r="B3" t="str">
        <f>ADDRESS(1,1,2,0)</f>
        <v>R1C[1]</v>
      </c>
      <c r="C3" t="str">
        <f>FIXED(1E+21, 0, FALSE)</f>
        <v>1,000,000,000,000,000,000,000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F678EA8-008F-496A-B137-B0C0DA1085E0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DC2C5201-D3D3-406F-BF7F-209DC6716C1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Staging-Transactions</vt:lpstr>
      <vt:lpstr>Sheet1</vt:lpstr>
      <vt:lpstr>Transactions</vt:lpstr>
      <vt:lpstr>VerySimple</vt:lpstr>
      <vt:lpstr>Accounts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</dc:creator>
  <cp:lastModifiedBy>Mark</cp:lastModifiedBy>
  <cp:lastPrinted>2023-05-21T03:53:01Z</cp:lastPrinted>
  <dcterms:created xsi:type="dcterms:W3CDTF">2019-01-24T15:32:01Z</dcterms:created>
  <dcterms:modified xsi:type="dcterms:W3CDTF">2023-05-22T01:21:02Z</dcterms:modified>
</cp:coreProperties>
</file>