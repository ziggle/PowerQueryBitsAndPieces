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07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8_{F995FDDB-6D01-4D69-97E0-1833C887F705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Formats" sheetId="2" r:id="rId2"/>
    <sheet name="Lists" sheetId="3" r:id="rId3"/>
  </sheets>
  <definedNames>
    <definedName name="_nColors">_xlfn.ANCHORARRAY(Report!$L$25)</definedName>
    <definedName name="_xleta.UNIQUE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HD_Date">_xlfn.LET(_xlpm.dt, TODAY(),      _xlpm.y,  YEAR(_xlpm.dt),      _xlpm.m,  MONTH(_xlpm.dt),      _xlpm.d,  DAY(_xlpm.dt),      TEXT(DATE(_xlpm.y,_xlpm.m,_xlpm.d),"dd-mmm-yyyy")     )</definedName>
  </definedNames>
  <calcPr calcId="191029"/>
  <pivotCaches>
    <pivotCache cacheId="1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5" i="1" l="1" a="1"/>
  <c r="B3" i="3" a="1"/>
  <c r="B3" i="3" s="1"/>
  <c r="B3" i="2" a="1"/>
  <c r="B3" i="2" s="1"/>
  <c r="I25" i="1" l="1"/>
  <c r="L25" i="1" s="1" a="1"/>
  <c r="L25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<sst xmlns="http://schemas.openxmlformats.org/spreadsheetml/2006/main" count="58" uniqueCount="30">
  <si>
    <t>FROM:</t>
  </si>
  <si>
    <t>Mark Biegert</t>
  </si>
  <si>
    <t>SUBJECT:</t>
  </si>
  <si>
    <t>DATE:</t>
  </si>
  <si>
    <t>Category A</t>
  </si>
  <si>
    <t>Category B</t>
  </si>
  <si>
    <t>Category C</t>
  </si>
  <si>
    <t>Value</t>
  </si>
  <si>
    <t>A</t>
  </si>
  <si>
    <t>B</t>
  </si>
  <si>
    <t>C</t>
  </si>
  <si>
    <t>a</t>
  </si>
  <si>
    <t>b</t>
  </si>
  <si>
    <t>Grand Total</t>
  </si>
  <si>
    <t>Sum of Value</t>
  </si>
  <si>
    <t>Table Formats</t>
  </si>
  <si>
    <t>Tab Colors</t>
  </si>
  <si>
    <t>Data Tabs</t>
  </si>
  <si>
    <t>Report Tabs</t>
  </si>
  <si>
    <t>Analysis Tabs</t>
  </si>
  <si>
    <t>Metadata Tabs</t>
  </si>
  <si>
    <t>BB</t>
  </si>
  <si>
    <t>CC</t>
  </si>
  <si>
    <t>c</t>
  </si>
  <si>
    <t>Dist</t>
  </si>
  <si>
    <t>City</t>
  </si>
  <si>
    <t>AA</t>
  </si>
  <si>
    <t>ColorIndex appears to be Constant</t>
  </si>
  <si>
    <t>Colorscheme does not appear to be constant</t>
  </si>
  <si>
    <t>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</si>
</sst>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1" x14ac:knownFonts="1">
    <font>
      <sz val="10"/>
      <color theme="1"/>
      <name val="Tw Cen MT"/>
      <family val="2"/>
      <scheme val="minor"/>
    </font>
    <font>
      <sz val="18"/>
      <color theme="3"/>
      <name val="Tw Cen MT"/>
      <family val="2"/>
      <scheme val="major"/>
    </font>
    <font>
      <b/>
      <sz val="11"/>
      <color theme="3"/>
      <name val="Tw Cen MT"/>
      <family val="2"/>
      <scheme val="minor"/>
    </font>
    <font>
      <b/>
      <sz val="11"/>
      <color theme="1"/>
      <name val="Tw Cen MT"/>
      <family val="2"/>
      <scheme val="minor"/>
    </font>
    <font>
      <i/>
      <sz val="10"/>
      <color theme="1"/>
      <name val="Tw Cen MT"/>
      <family val="2"/>
      <scheme val="minor"/>
    </font>
    <font>
      <b/>
      <sz val="10"/>
      <color theme="1"/>
      <name val="Tw Cen MT"/>
      <family val="2"/>
      <scheme val="minor"/>
    </font>
    <font>
      <sz val="10"/>
      <color theme="1"/>
      <name val="Tw Cen MT"/>
      <family val="2"/>
      <scheme val="minor"/>
    </font>
    <font>
      <b/>
      <sz val="10"/>
      <color rgb="FF7030A0"/>
      <name val="Tw Cen MT"/>
      <family val="2"/>
      <scheme val="minor"/>
    </font>
    <font>
      <sz val="11"/>
      <color rgb="FF0070C0"/>
      <name val="Tw Cen MT"/>
      <family val="2"/>
      <scheme val="minor"/>
    </font>
    <font>
      <sz val="10"/>
      <color rgb="FF0070C0"/>
      <name val="Tw Cen MT"/>
      <family val="2"/>
      <scheme val="minor"/>
    </font>
    <font>
      <u/>
      <sz val="10"/>
      <color rgb="FF00B050"/>
      <name val="Tw Cen MT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99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6" fillId="4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9">
    <xf numFmtId="0" fontId="0" fillId="0" borderId="0" xfId="0"/>
    <xf numFmtId="0" fontId="5" fillId="3" borderId="0" xfId="7"/>
    <xf numFmtId="0" fontId="6" fillId="4" borderId="0" xfId="8"/>
    <xf numFmtId="0" fontId="0" fillId="0" borderId="0" xfId="0" pivotButton="1"/>
    <xf numFmtId="0" fontId="3" fillId="2" borderId="0" xfId="2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</cellXfs>
  <cellStyles count="14">
    <cellStyle name="Comment" xfId="9" xr:uid="{C4DDEBC2-DCD2-4316-AAE7-A5F6C47DBA99}"/>
    <cellStyle name="Followed Hyperlink" xfId="11" builtinId="9" hidden="1"/>
    <cellStyle name="Followed Hyperlink" xfId="13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2" builtinId="8" customBuiltin="1"/>
    <cellStyle name="Intro_Hd" xfId="7" xr:uid="{84D0D410-758D-4384-B224-A500BAF57428}"/>
    <cellStyle name="Intro_Value" xfId="8" xr:uid="{15DF3F31-B3CA-47B9-81DE-6CDBDA24C6D7}"/>
    <cellStyle name="Linked Cell" xfId="10" builtinId="24" customBuiltin="1"/>
    <cellStyle name="Normal" xfId="0" builtinId="0" customBuiltin="1"/>
    <cellStyle name="Title" xfId="1" builtinId="15" hidden="1"/>
    <cellStyle name="Total" xfId="6" builtinId="25" customBuiltin="1"/>
  </cellStyles>
  <dxfs count="19"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Biegert Table Standard" defaultPivotStyle="PivotStyleLight16">
    <tableStyle name="Biegert Standard Pivot Table" table="0" count="12" xr9:uid="{94886349-6B4A-4300-89B0-9F83C8B5183A}">
      <tableStyleElement type="wholeTable" dxfId="18"/>
      <tableStyleElement type="headerRow" dxfId="17"/>
      <tableStyleElement type="totalRow" dxfId="16"/>
      <tableStyleElement type="firstColumnStripe" dxfId="15"/>
      <tableStyleElement type="firstHeaderCell" dxfId="14"/>
      <tableStyleElement type="firstSubtotalColumn" dxfId="13"/>
      <tableStyleElement type="firstSubtotalRow" dxfId="12"/>
      <tableStyleElement type="secondSubtotalRow" dxfId="11"/>
      <tableStyleElement type="firstRowSubheading" dxfId="10"/>
      <tableStyleElement type="secondRowSubheading" dxfId="9"/>
      <tableStyleElement type="pageFieldLabels" dxfId="8"/>
      <tableStyleElement type="pageFieldValues" dxfId="7"/>
    </tableStyle>
    <tableStyle name="Biegert Table Standard" pivot="0" count="7" xr9:uid="{95B43237-2845-4068-A415-A5A3E7804959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colors>
    <mruColors>
      <color rgb="FFCCFFCC"/>
      <color rgb="FFEBFFEB"/>
      <color rgb="FFFF9999"/>
      <color rgb="FF99CCFF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Report!$F$6</c:f>
              <c:strCache>
                <c:ptCount val="1"/>
                <c:pt idx="0">
                  <c:v>Value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C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566-4914-936F-59B321B344AA}"/>
              </c:ext>
            </c:extLst>
          </c:dPt>
          <c:dPt>
            <c:idx val="1"/>
            <c:invertIfNegative val="0"/>
            <c:bubble3D val="0"/>
            <c:spPr>
              <a:solidFill>
                <a:srgbClr val="99336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566-4914-936F-59B321B344AA}"/>
              </c:ext>
            </c:extLst>
          </c:dPt>
          <c:dPt>
            <c:idx val="2"/>
            <c:invertIfNegative val="0"/>
            <c:bubble3D val="0"/>
            <c:spPr>
              <a:solidFill>
                <a:srgbClr val="FF00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66-4914-936F-59B321B344AA}"/>
              </c:ext>
            </c:extLst>
          </c:dPt>
          <c:dPt>
            <c:idx val="3"/>
            <c:invertIfNegative val="0"/>
            <c:bubble3D val="0"/>
            <c:spPr>
              <a:solidFill>
                <a:srgbClr val="99336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66-4914-936F-59B321B344AA}"/>
              </c:ext>
            </c:extLst>
          </c:dPt>
          <c:dPt>
            <c:idx val="4"/>
            <c:invertIfNegative val="0"/>
            <c:bubble3D val="0"/>
            <c:spPr>
              <a:solidFill>
                <a:srgbClr val="CC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2566-4914-936F-59B321B344AA}"/>
              </c:ext>
            </c:extLst>
          </c:dPt>
          <c:dPt>
            <c:idx val="5"/>
            <c:invertIfNegative val="0"/>
            <c:bubble3D val="0"/>
            <c:spPr>
              <a:solidFill>
                <a:srgbClr val="0066CC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66-4914-936F-59B321B344AA}"/>
              </c:ext>
            </c:extLst>
          </c:dPt>
          <c:dPt>
            <c:idx val="6"/>
            <c:invertIfNegative val="0"/>
            <c:bubble3D val="0"/>
            <c:spPr>
              <a:solidFill>
                <a:srgbClr val="99336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66-4914-936F-59B321B344AA}"/>
              </c:ext>
            </c:extLst>
          </c:dPt>
          <c:dPt>
            <c:idx val="7"/>
            <c:invertIfNegative val="0"/>
            <c:bubble3D val="0"/>
            <c:spPr>
              <a:solidFill>
                <a:srgbClr val="CCCC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2566-4914-936F-59B321B344AA}"/>
              </c:ext>
            </c:extLst>
          </c:dPt>
          <c:dPt>
            <c:idx val="8"/>
            <c:invertIfNegative val="0"/>
            <c:bubble3D val="0"/>
            <c:spPr>
              <a:solidFill>
                <a:srgbClr val="FF00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66-4914-936F-59B321B344AA}"/>
              </c:ext>
            </c:extLst>
          </c:dPt>
          <c:cat>
            <c:multiLvlStrRef>
              <c:f>Report!$D$7:$E$15</c:f>
              <c:multiLvlStrCache>
                <c:ptCount val="9"/>
                <c:lvl>
                  <c:pt idx="0">
                    <c:v>BB</c:v>
                  </c:pt>
                  <c:pt idx="1">
                    <c:v>CC</c:v>
                  </c:pt>
                  <c:pt idx="2">
                    <c:v>AA</c:v>
                  </c:pt>
                  <c:pt idx="3">
                    <c:v>CC</c:v>
                  </c:pt>
                  <c:pt idx="4">
                    <c:v>BB</c:v>
                  </c:pt>
                  <c:pt idx="5">
                    <c:v>ZZ</c:v>
                  </c:pt>
                  <c:pt idx="6">
                    <c:v>CC</c:v>
                  </c:pt>
                  <c:pt idx="7">
                    <c:v>BB</c:v>
                  </c:pt>
                  <c:pt idx="8">
                    <c:v>AA</c:v>
                  </c:pt>
                </c:lvl>
                <c:lvl>
                  <c:pt idx="0">
                    <c:v>a</c:v>
                  </c:pt>
                  <c:pt idx="3">
                    <c:v>b</c:v>
                  </c:pt>
                  <c:pt idx="6">
                    <c:v>c</c:v>
                  </c:pt>
                </c:lvl>
              </c:multiLvlStrCache>
            </c:multiLvlStrRef>
          </c:cat>
          <c:val>
            <c:numRef>
              <c:f>Report!$F$7:$F$15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66-4914-936F-59B321B34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5117231"/>
        <c:axId val="805117711"/>
      </c:barChart>
      <c:catAx>
        <c:axId val="8051172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117711"/>
        <c:crosses val="autoZero"/>
        <c:auto val="1"/>
        <c:lblAlgn val="ctr"/>
        <c:lblOffset val="100"/>
        <c:noMultiLvlLbl val="0"/>
      </c:catAx>
      <c:valAx>
        <c:axId val="805117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1172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0</xdr:rowOff>
    </xdr:from>
    <xdr:to>
      <xdr:col>3</xdr:col>
      <xdr:colOff>371473</xdr:colOff>
      <xdr:row>2</xdr:row>
      <xdr:rowOff>149352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074C19F-1C88-4662-A063-212074E77271}"/>
            </a:ext>
          </a:extLst>
        </xdr:cNvPr>
        <xdr:cNvGrpSpPr/>
      </xdr:nvGrpSpPr>
      <xdr:grpSpPr>
        <a:xfrm>
          <a:off x="1" y="0"/>
          <a:ext cx="2200272" cy="484632"/>
          <a:chOff x="3162303" y="274265"/>
          <a:chExt cx="2198368" cy="489383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C46B960B-5C14-BEA0-E3CA-E19AF4A61D37}"/>
              </a:ext>
            </a:extLst>
          </xdr:cNvPr>
          <xdr:cNvSpPr txBox="1"/>
        </xdr:nvSpPr>
        <xdr:spPr>
          <a:xfrm>
            <a:off x="3162303" y="274265"/>
            <a:ext cx="776564" cy="489383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45720" tIns="0" rIns="0" bIns="0" rtlCol="0" anchor="t"/>
          <a:lstStyle/>
          <a:p>
            <a:r>
              <a:rPr lang="en-US" sz="1000" b="1"/>
              <a:t>FROM:</a:t>
            </a:r>
          </a:p>
          <a:p>
            <a:r>
              <a:rPr lang="en-US" sz="1000" b="1"/>
              <a:t>SUBJECT:</a:t>
            </a:r>
          </a:p>
          <a:p>
            <a:r>
              <a:rPr lang="en-US" sz="1000" b="1"/>
              <a:t>DATE:</a:t>
            </a: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EBEB5BD1-9CE5-8027-61D0-8DD022719111}"/>
              </a:ext>
            </a:extLst>
          </xdr:cNvPr>
          <xdr:cNvSpPr txBox="1"/>
        </xdr:nvSpPr>
        <xdr:spPr>
          <a:xfrm>
            <a:off x="3908004" y="274265"/>
            <a:ext cx="1452667" cy="489383"/>
          </a:xfrm>
          <a:prstGeom prst="rect">
            <a:avLst/>
          </a:prstGeom>
          <a:solidFill>
            <a:schemeClr val="bg2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tIns="0" rIns="0" bIns="0" rtlCol="0" anchor="t"/>
          <a:lstStyle/>
          <a:p>
            <a:r>
              <a:rPr lang="en-US" sz="1000" b="0"/>
              <a:t>Mark Biegert</a:t>
            </a:r>
          </a:p>
          <a:p>
            <a:r>
              <a:rPr lang="en-US" sz="1000" b="0"/>
              <a:t>Placeholder</a:t>
            </a:r>
          </a:p>
          <a:p>
            <a:r>
              <a:rPr lang="en-US" sz="1000" b="0"/>
              <a:t>1-Jan-2024</a:t>
            </a:r>
          </a:p>
        </xdr:txBody>
      </xdr:sp>
    </xdr:grpSp>
    <xdr:clientData/>
  </xdr:twoCellAnchor>
  <xdr:twoCellAnchor>
    <xdr:from>
      <xdr:col>7</xdr:col>
      <xdr:colOff>533400</xdr:colOff>
      <xdr:row>5</xdr:row>
      <xdr:rowOff>140970</xdr:rowOff>
    </xdr:from>
    <xdr:to>
      <xdr:col>15</xdr:col>
      <xdr:colOff>228600</xdr:colOff>
      <xdr:row>22</xdr:row>
      <xdr:rowOff>34290</xdr:rowOff>
    </xdr:to>
    <xdr:graphicFrame macro="">
      <xdr:nvGraphicFramePr>
        <xdr:cNvPr id="5" name="Main">
          <a:extLst>
            <a:ext uri="{FF2B5EF4-FFF2-40B4-BE49-F238E27FC236}">
              <a16:creationId xmlns:a16="http://schemas.microsoft.com/office/drawing/2014/main" id="{BB2D7526-4C1C-C0E9-7810-788F49AFB2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18</xdr:row>
      <xdr:rowOff>0</xdr:rowOff>
    </xdr:from>
    <xdr:to>
      <xdr:col>5</xdr:col>
      <xdr:colOff>514847</xdr:colOff>
      <xdr:row>32</xdr:row>
      <xdr:rowOff>110833</xdr:rowOff>
    </xdr:to>
    <xdr:pic>
      <xdr:nvPicPr>
        <xdr:cNvPr id="6" name="Picture 5" descr="A group of colorful squares&#10;&#10;Description automatically generated">
          <a:extLst>
            <a:ext uri="{FF2B5EF4-FFF2-40B4-BE49-F238E27FC236}">
              <a16:creationId xmlns:a16="http://schemas.microsoft.com/office/drawing/2014/main" id="{245F9CA5-F101-8C87-6406-BB335283DC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017520"/>
          <a:ext cx="3562847" cy="2457793"/>
        </a:xfrm>
        <a:prstGeom prst="rect">
          <a:avLst/>
        </a:prstGeom>
      </xdr:spPr>
    </xdr:pic>
    <xdr:clientData/>
  </xdr:twoCellAnchor>
  <xdr:twoCellAnchor editAs="oneCell">
    <xdr:from>
      <xdr:col>16</xdr:col>
      <xdr:colOff>228600</xdr:colOff>
      <xdr:row>21</xdr:row>
      <xdr:rowOff>76200</xdr:rowOff>
    </xdr:from>
    <xdr:to>
      <xdr:col>20</xdr:col>
      <xdr:colOff>304800</xdr:colOff>
      <xdr:row>31</xdr:row>
      <xdr:rowOff>137160</xdr:rowOff>
    </xdr:to>
    <xdr:pic>
      <xdr:nvPicPr>
        <xdr:cNvPr id="8" name="Picture 7" descr="What are the 56 ColorIndex colors in Excel - ExcelSuperSite">
          <a:extLst>
            <a:ext uri="{FF2B5EF4-FFF2-40B4-BE49-F238E27FC236}">
              <a16:creationId xmlns:a16="http://schemas.microsoft.com/office/drawing/2014/main" id="{5BE3B03D-1EA7-6DBE-7E89-0657B1E09B7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2200" y="3596640"/>
          <a:ext cx="2514600" cy="17373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35</xdr:row>
      <xdr:rowOff>0</xdr:rowOff>
    </xdr:from>
    <xdr:to>
      <xdr:col>11</xdr:col>
      <xdr:colOff>220042</xdr:colOff>
      <xdr:row>61</xdr:row>
      <xdr:rowOff>52051</xdr:rowOff>
    </xdr:to>
    <xdr:pic>
      <xdr:nvPicPr>
        <xdr:cNvPr id="9" name="Picture 8" descr="A chart of different colors&#10;&#10;Description automatically generated">
          <a:extLst>
            <a:ext uri="{FF2B5EF4-FFF2-40B4-BE49-F238E27FC236}">
              <a16:creationId xmlns:a16="http://schemas.microsoft.com/office/drawing/2014/main" id="{FF4C2C03-BCFD-84F3-BE98-026BEF116B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5867400"/>
          <a:ext cx="6925642" cy="4410691"/>
        </a:xfrm>
        <a:prstGeom prst="rect">
          <a:avLst/>
        </a:prstGeom>
      </xdr:spPr>
    </xdr:pic>
    <xdr:clientData/>
  </xdr:twoCellAnchor>
  <xdr:twoCellAnchor>
    <xdr:from>
      <xdr:col>16</xdr:col>
      <xdr:colOff>152400</xdr:colOff>
      <xdr:row>14</xdr:row>
      <xdr:rowOff>83820</xdr:rowOff>
    </xdr:from>
    <xdr:to>
      <xdr:col>18</xdr:col>
      <xdr:colOff>472440</xdr:colOff>
      <xdr:row>17</xdr:row>
      <xdr:rowOff>15240</xdr:rowOff>
    </xdr:to>
    <xdr:sp macro="[0]!ListSeriesNames" textlink="">
      <xdr:nvSpPr>
        <xdr:cNvPr id="10" name="Rectangle 9">
          <a:extLst>
            <a:ext uri="{FF2B5EF4-FFF2-40B4-BE49-F238E27FC236}">
              <a16:creationId xmlns:a16="http://schemas.microsoft.com/office/drawing/2014/main" id="{CA0267EA-5BFB-D640-36FC-D613492AFC00}"/>
            </a:ext>
          </a:extLst>
        </xdr:cNvPr>
        <xdr:cNvSpPr/>
      </xdr:nvSpPr>
      <xdr:spPr>
        <a:xfrm>
          <a:off x="9906000" y="2430780"/>
          <a:ext cx="1539240" cy="43434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kern="1200"/>
            <a:t>Run Routine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600075</xdr:colOff>
      <xdr:row>1</xdr:row>
      <xdr:rowOff>142875</xdr:rowOff>
    </xdr:from>
    <xdr:to>
      <xdr:col>27</xdr:col>
      <xdr:colOff>511974</xdr:colOff>
      <xdr:row>38</xdr:row>
      <xdr:rowOff>132328</xdr:rowOff>
    </xdr:to>
    <xdr:pic>
      <xdr:nvPicPr>
        <xdr:cNvPr id="2" name="Picture 1" descr="A screenshot of a computer&#10;&#10;Description automatically generated">
          <a:extLst>
            <a:ext uri="{FF2B5EF4-FFF2-40B4-BE49-F238E27FC236}">
              <a16:creationId xmlns:a16="http://schemas.microsoft.com/office/drawing/2014/main" id="{94B3A76A-AD87-A2F0-F0E9-6A004CA46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96075" y="314325"/>
          <a:ext cx="10275099" cy="6325483"/>
        </a:xfrm>
        <a:prstGeom prst="rect">
          <a:avLst/>
        </a:prstGeom>
      </xdr:spPr>
    </xdr:pic>
    <xdr:clientData/>
  </xdr:twoCellAnchor>
  <xdr:twoCellAnchor>
    <xdr:from>
      <xdr:col>3</xdr:col>
      <xdr:colOff>819151</xdr:colOff>
      <xdr:row>1</xdr:row>
      <xdr:rowOff>95195</xdr:rowOff>
    </xdr:from>
    <xdr:to>
      <xdr:col>7</xdr:col>
      <xdr:colOff>321946</xdr:colOff>
      <xdr:row>4</xdr:row>
      <xdr:rowOff>47625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C152DCAB-1278-82E3-CFEB-6F87AEC44F74}"/>
            </a:ext>
          </a:extLst>
        </xdr:cNvPr>
        <xdr:cNvGrpSpPr/>
      </xdr:nvGrpSpPr>
      <xdr:grpSpPr>
        <a:xfrm>
          <a:off x="3166111" y="262835"/>
          <a:ext cx="2200275" cy="455350"/>
          <a:chOff x="3162301" y="274265"/>
          <a:chExt cx="2198370" cy="459814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5418FC71-57C1-F5D7-BE08-370D83484521}"/>
              </a:ext>
            </a:extLst>
          </xdr:cNvPr>
          <xdr:cNvSpPr txBox="1"/>
        </xdr:nvSpPr>
        <xdr:spPr>
          <a:xfrm>
            <a:off x="3162301" y="274265"/>
            <a:ext cx="809778" cy="446678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tIns="0" rIns="0" bIns="0" rtlCol="0" anchor="t"/>
          <a:lstStyle/>
          <a:p>
            <a:r>
              <a:rPr lang="en-US" sz="1000" b="1"/>
              <a:t>FROM:</a:t>
            </a:r>
          </a:p>
          <a:p>
            <a:r>
              <a:rPr lang="en-US" sz="1000" b="1"/>
              <a:t>SUBJECT:</a:t>
            </a:r>
          </a:p>
          <a:p>
            <a:r>
              <a:rPr lang="en-US" sz="1000" b="1"/>
              <a:t>DATE:</a:t>
            </a: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26264A4F-00E9-4727-AA3D-59D97AF5D346}"/>
              </a:ext>
            </a:extLst>
          </xdr:cNvPr>
          <xdr:cNvSpPr txBox="1"/>
        </xdr:nvSpPr>
        <xdr:spPr>
          <a:xfrm>
            <a:off x="3908004" y="274265"/>
            <a:ext cx="1452667" cy="459814"/>
          </a:xfrm>
          <a:prstGeom prst="rect">
            <a:avLst/>
          </a:prstGeom>
          <a:solidFill>
            <a:schemeClr val="bg2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tIns="0" rIns="0" bIns="0" rtlCol="0" anchor="t"/>
          <a:lstStyle/>
          <a:p>
            <a:r>
              <a:rPr lang="en-US" sz="1000" b="0"/>
              <a:t>Mark Biegert</a:t>
            </a:r>
          </a:p>
          <a:p>
            <a:r>
              <a:rPr lang="en-US" sz="1000" b="0"/>
              <a:t>Placeholder</a:t>
            </a:r>
          </a:p>
          <a:p>
            <a:r>
              <a:rPr lang="en-US" sz="1000" b="0"/>
              <a:t>1-Jan-2024</a:t>
            </a:r>
          </a:p>
        </xdr:txBody>
      </xdr:sp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5627.941439236114" createdVersion="8" refreshedVersion="8" minRefreshableVersion="3" recordCount="6" xr:uid="{5BA04B22-7455-4FEB-9C74-146E8376D702}">
  <cacheSource type="worksheet">
    <worksheetSource name="_tSample"/>
  </cacheSource>
  <cacheFields count="4">
    <cacheField name="Category A" numFmtId="0">
      <sharedItems count="3">
        <s v="A"/>
        <s v="B"/>
        <s v="C"/>
      </sharedItems>
    </cacheField>
    <cacheField name="Category B" numFmtId="0">
      <sharedItems containsSemiMixedTypes="0" containsString="0" containsNumber="1" containsInteger="1" minValue="1" maxValue="2" count="2">
        <n v="1"/>
        <n v="2"/>
      </sharedItems>
    </cacheField>
    <cacheField name="Category C" numFmtId="0">
      <sharedItems count="2">
        <s v="a"/>
        <s v="b"/>
      </sharedItems>
    </cacheField>
    <cacheField name="Value" numFmtId="0">
      <sharedItems containsSemiMixedTypes="0" containsString="0" containsNumber="1" containsInteger="1" minValue="1" maxValue="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x v="0"/>
    <x v="0"/>
    <n v="1"/>
  </r>
  <r>
    <x v="0"/>
    <x v="1"/>
    <x v="1"/>
    <n v="2"/>
  </r>
  <r>
    <x v="1"/>
    <x v="0"/>
    <x v="0"/>
    <n v="3"/>
  </r>
  <r>
    <x v="1"/>
    <x v="1"/>
    <x v="1"/>
    <n v="4"/>
  </r>
  <r>
    <x v="2"/>
    <x v="0"/>
    <x v="0"/>
    <n v="5"/>
  </r>
  <r>
    <x v="2"/>
    <x v="1"/>
    <x v="1"/>
    <n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4C8824-5739-49B7-BCFF-9C42983375DF}" name="PivotTable1" cacheId="1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17:F28" firstHeaderRow="1" firstDataRow="2" firstDataCol="2"/>
  <pivotFields count="4">
    <pivotField axis="axisRow" compact="0" showAll="0" defaultSubtotal="0">
      <items count="3">
        <item x="0"/>
        <item x="1"/>
        <item x="2"/>
      </items>
    </pivotField>
    <pivotField axis="axisRow" compact="0" showAll="0" defaultSubtotal="0">
      <items count="2">
        <item x="0"/>
        <item x="1"/>
      </items>
    </pivotField>
    <pivotField axis="axisCol" compact="0" showAll="0" defaultSubtotal="0">
      <items count="2">
        <item x="0"/>
        <item x="1"/>
      </items>
    </pivotField>
    <pivotField dataField="1" compact="0" showAll="0" defaultSubtotal="0"/>
  </pivotFields>
  <rowFields count="2">
    <field x="0"/>
    <field x="1"/>
  </rowFields>
  <rowItems count="10">
    <i>
      <x/>
    </i>
    <i r="1">
      <x/>
    </i>
    <i r="1">
      <x v="1"/>
    </i>
    <i>
      <x v="1"/>
    </i>
    <i r="1">
      <x/>
    </i>
    <i r="1">
      <x v="1"/>
    </i>
    <i>
      <x v="2"/>
    </i>
    <i r="1">
      <x/>
    </i>
    <i r="1">
      <x v="1"/>
    </i>
    <i t="grand">
      <x/>
    </i>
  </rowItems>
  <colFields count="1">
    <field x="2"/>
  </colFields>
  <colItems count="3">
    <i>
      <x/>
    </i>
    <i>
      <x v="1"/>
    </i>
    <i t="grand">
      <x/>
    </i>
  </colItems>
  <dataFields count="1">
    <dataField name="Sum of Value" fld="3" baseField="0" baseItem="0"/>
  </dataFields>
  <pivotTableStyleInfo name="Biegert Standard Pivot Table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3EBBF0F-200B-49A7-BE86-E02A26DD1F32}" name="_tSample" displayName="_tSample" ref="B7:E13" totalsRowShown="0">
  <autoFilter ref="B7:E13" xr:uid="{33EBBF0F-200B-49A7-BE86-E02A26DD1F32}"/>
  <tableColumns count="4">
    <tableColumn id="1" xr3:uid="{EAB90AB9-4DF0-4D28-92FF-E92E2FB5C4B8}" name="Category A"/>
    <tableColumn id="2" xr3:uid="{A84F4913-BB7E-445E-9D72-1273969F005C}" name="Category B"/>
    <tableColumn id="3" xr3:uid="{530D0831-FD68-42CB-A157-472F1AD1DA2D}" name="Category C"/>
    <tableColumn id="4" xr3:uid="{8E3678D5-6F31-40B1-AEA1-B9917C6282B5}" name="Value"/>
  </tableColumns>
  <tableStyleInfo name="Biegert Table Standard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Circuit">
  <a:themeElements>
    <a:clrScheme name="Green">
      <a:dk1>
        <a:sysClr val="windowText" lastClr="000000"/>
      </a:dk1>
      <a:lt1>
        <a:sysClr val="window" lastClr="FFFFFF"/>
      </a:lt1>
      <a:dk2>
        <a:srgbClr val="455F51"/>
      </a:dk2>
      <a:lt2>
        <a:srgbClr val="E3DED1"/>
      </a:lt2>
      <a:accent1>
        <a:srgbClr val="549E39"/>
      </a:accent1>
      <a:accent2>
        <a:srgbClr val="8AB833"/>
      </a:accent2>
      <a:accent3>
        <a:srgbClr val="C0CF3A"/>
      </a:accent3>
      <a:accent4>
        <a:srgbClr val="029676"/>
      </a:accent4>
      <a:accent5>
        <a:srgbClr val="4AB5C4"/>
      </a:accent5>
      <a:accent6>
        <a:srgbClr val="0989B1"/>
      </a:accent6>
      <a:hlink>
        <a:srgbClr val="6B9F25"/>
      </a:hlink>
      <a:folHlink>
        <a:srgbClr val="BA6906"/>
      </a:folHlink>
    </a:clrScheme>
    <a:fontScheme name="Circuit">
      <a:majorFont>
        <a:latin typeface="Tw Cen MT" panose="020B0602020104020603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Circuit">
      <a:fillStyleLst>
        <a:solidFill>
          <a:schemeClr val="phClr"/>
        </a:solidFill>
        <a:gradFill rotWithShape="1">
          <a:gsLst>
            <a:gs pos="0">
              <a:schemeClr val="phClr">
                <a:tint val="58000"/>
                <a:satMod val="108000"/>
                <a:lumMod val="110000"/>
              </a:schemeClr>
            </a:gs>
            <a:gs pos="100000">
              <a:schemeClr val="phClr">
                <a:tint val="81000"/>
                <a:satMod val="109000"/>
                <a:lumMod val="105000"/>
              </a:schemeClr>
            </a:gs>
          </a:gsLst>
          <a:lin ang="5040000" scaled="0"/>
        </a:gradFill>
        <a:gradFill rotWithShape="1">
          <a:gsLst>
            <a:gs pos="0">
              <a:schemeClr val="phClr">
                <a:tint val="94000"/>
                <a:satMod val="105000"/>
                <a:lumMod val="102000"/>
              </a:schemeClr>
            </a:gs>
            <a:gs pos="100000">
              <a:schemeClr val="phClr">
                <a:shade val="74000"/>
                <a:satMod val="128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8000"/>
                <a:hueMod val="94000"/>
                <a:satMod val="148000"/>
                <a:lumMod val="150000"/>
              </a:schemeClr>
            </a:gs>
            <a:gs pos="100000">
              <a:schemeClr val="phClr">
                <a:shade val="92000"/>
                <a:hueMod val="104000"/>
                <a:satMod val="140000"/>
                <a:lumMod val="68000"/>
              </a:schemeClr>
            </a:gs>
          </a:gsLst>
          <a:lin ang="5040000" scaled="0"/>
        </a:gradFill>
        <a:blipFill>
          <a:blip xmlns:r="http://schemas.openxmlformats.org/officeDocument/2006/relationships" r:embed="rId1">
            <a:duotone>
              <a:schemeClr val="phClr">
                <a:shade val="88000"/>
                <a:hueMod val="106000"/>
                <a:satMod val="140000"/>
                <a:lumMod val="54000"/>
              </a:schemeClr>
              <a:schemeClr val="phClr">
                <a:tint val="98000"/>
                <a:hueMod val="90000"/>
                <a:satMod val="150000"/>
                <a:lumMod val="160000"/>
              </a:schemeClr>
            </a:duotone>
          </a:blip>
          <a:stretch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Circuit" id="{0AC2F7E7-15F5-431C-B2A2-456FE929F56C}" vid="{0911B802-464C-4241-8DD9-B60FF88E379F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D6:M33"/>
  <sheetViews>
    <sheetView tabSelected="1" topLeftCell="A13" workbookViewId="0">
      <selection activeCell="G31" sqref="G31"/>
    </sheetView>
  </sheetViews>
  <sheetFormatPr defaultRowHeight="13.2" x14ac:dyDescent="0.25"/>
  <sheetData>
    <row r="6" spans="4:6" x14ac:dyDescent="0.25">
      <c r="D6" t="s">
        <v>24</v>
      </c>
      <c r="E6" t="s">
        <v>25</v>
      </c>
      <c r="F6" t="s">
        <v>7</v>
      </c>
    </row>
    <row r="7" spans="4:6" x14ac:dyDescent="0.25">
      <c r="D7" t="s">
        <v>11</v>
      </c>
      <c r="E7" t="s">
        <v>21</v>
      </c>
      <c r="F7">
        <v>1</v>
      </c>
    </row>
    <row r="8" spans="4:6" x14ac:dyDescent="0.25">
      <c r="E8" t="s">
        <v>22</v>
      </c>
      <c r="F8">
        <v>2</v>
      </c>
    </row>
    <row r="9" spans="4:6" x14ac:dyDescent="0.25">
      <c r="E9" t="s">
        <v>26</v>
      </c>
      <c r="F9">
        <v>3</v>
      </c>
    </row>
    <row r="10" spans="4:6" x14ac:dyDescent="0.25">
      <c r="D10" t="s">
        <v>12</v>
      </c>
      <c r="E10" t="s">
        <v>22</v>
      </c>
      <c r="F10">
        <v>4</v>
      </c>
    </row>
    <row r="11" spans="4:6" x14ac:dyDescent="0.25">
      <c r="E11" t="s">
        <v>21</v>
      </c>
      <c r="F11">
        <v>5</v>
      </c>
    </row>
    <row r="12" spans="4:6" x14ac:dyDescent="0.25">
      <c r="E12" t="s">
        <v>29</v>
      </c>
      <c r="F12">
        <v>6</v>
      </c>
    </row>
    <row r="13" spans="4:6" x14ac:dyDescent="0.25">
      <c r="D13" t="s">
        <v>23</v>
      </c>
      <c r="E13" t="s">
        <v>22</v>
      </c>
      <c r="F13">
        <v>7</v>
      </c>
    </row>
    <row r="14" spans="4:6" x14ac:dyDescent="0.25">
      <c r="E14" t="s">
        <v>21</v>
      </c>
      <c r="F14">
        <v>8</v>
      </c>
    </row>
    <row r="15" spans="4:6" x14ac:dyDescent="0.25">
      <c r="E15" t="s">
        <v>26</v>
      </c>
      <c r="F15">
        <v>9</v>
      </c>
    </row>
    <row r="25" spans="9:13" x14ac:dyDescent="0.25">
      <c r="I25" t="str" cm="1">
        <f t="array" ref="I25:I28">_xlfn.UNIQUE(E7:E15)</f>
        <v>BB</v>
      </c>
      <c r="J25">
        <v>24</v>
      </c>
      <c r="L25" t="str" cm="1">
        <f t="array" aca="1" ref="L25:M28" ca="1">_xlfn.HSTACK(_xlfn.ANCHORARRAY(I25),OFFSET(_xlfn.ANCHORARRAY(I25),0,1))</f>
        <v>BB</v>
      </c>
      <c r="M25">
        <f ca="1"/>
        <v>24</v>
      </c>
    </row>
    <row r="26" spans="9:13" x14ac:dyDescent="0.25">
      <c r="I26" t="str">
        <v>CC</v>
      </c>
      <c r="J26">
        <v>18</v>
      </c>
      <c r="L26" t="str">
        <f ca="1"/>
        <v>CC</v>
      </c>
      <c r="M26">
        <f ca="1"/>
        <v>18</v>
      </c>
    </row>
    <row r="27" spans="9:13" x14ac:dyDescent="0.25">
      <c r="I27" t="str">
        <v>AA</v>
      </c>
      <c r="J27">
        <v>26</v>
      </c>
      <c r="L27" t="str">
        <f ca="1"/>
        <v>AA</v>
      </c>
      <c r="M27">
        <f ca="1"/>
        <v>26</v>
      </c>
    </row>
    <row r="28" spans="9:13" x14ac:dyDescent="0.25">
      <c r="I28" t="str">
        <v>ZZ</v>
      </c>
      <c r="J28">
        <v>23</v>
      </c>
      <c r="L28" t="str">
        <f ca="1"/>
        <v>ZZ</v>
      </c>
      <c r="M28">
        <f ca="1"/>
        <v>23</v>
      </c>
    </row>
    <row r="32" spans="9:13" x14ac:dyDescent="0.25">
      <c r="I32" t="s">
        <v>27</v>
      </c>
    </row>
    <row r="33" spans="9:9" x14ac:dyDescent="0.25">
      <c r="I33" t="s">
        <v>28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E8867-A2D1-43A4-9ACC-7AB2760F7CD8}">
  <sheetPr codeName="Sheet2">
    <tabColor theme="0" tint="-0.249977111117893"/>
  </sheetPr>
  <dimension ref="A1:F37"/>
  <sheetViews>
    <sheetView workbookViewId="0">
      <selection activeCell="H10" sqref="H10"/>
    </sheetView>
  </sheetViews>
  <sheetFormatPr defaultRowHeight="13.2" x14ac:dyDescent="0.25"/>
  <cols>
    <col min="2" max="4" width="12.6640625" customWidth="1"/>
  </cols>
  <sheetData>
    <row r="1" spans="1:5" x14ac:dyDescent="0.25">
      <c r="A1" s="1" t="s">
        <v>0</v>
      </c>
      <c r="B1" s="2" t="s">
        <v>1</v>
      </c>
      <c r="C1" s="2"/>
    </row>
    <row r="2" spans="1:5" x14ac:dyDescent="0.25">
      <c r="A2" s="1" t="s">
        <v>2</v>
      </c>
      <c r="B2" s="2"/>
      <c r="C2" s="2"/>
    </row>
    <row r="3" spans="1:5" x14ac:dyDescent="0.25">
      <c r="A3" s="1" t="s">
        <v>3</v>
      </c>
      <c r="B3" s="2" t="str" cm="1">
        <f t="array" aca="1" ref="B3" ca="1">HD_Date</f>
        <v>20-Dec-2024</v>
      </c>
      <c r="C3" s="2"/>
    </row>
    <row r="5" spans="1:5" ht="13.8" x14ac:dyDescent="0.25">
      <c r="A5" s="4" t="s">
        <v>15</v>
      </c>
    </row>
    <row r="7" spans="1:5" x14ac:dyDescent="0.25">
      <c r="B7" t="s">
        <v>4</v>
      </c>
      <c r="C7" t="s">
        <v>5</v>
      </c>
      <c r="D7" t="s">
        <v>6</v>
      </c>
      <c r="E7" t="s">
        <v>7</v>
      </c>
    </row>
    <row r="8" spans="1:5" x14ac:dyDescent="0.25">
      <c r="B8" t="s">
        <v>8</v>
      </c>
      <c r="C8">
        <v>1</v>
      </c>
      <c r="D8" t="s">
        <v>11</v>
      </c>
      <c r="E8">
        <v>1</v>
      </c>
    </row>
    <row r="9" spans="1:5" x14ac:dyDescent="0.25">
      <c r="B9" t="s">
        <v>8</v>
      </c>
      <c r="C9">
        <v>2</v>
      </c>
      <c r="D9" t="s">
        <v>12</v>
      </c>
      <c r="E9">
        <v>2</v>
      </c>
    </row>
    <row r="10" spans="1:5" x14ac:dyDescent="0.25">
      <c r="B10" t="s">
        <v>9</v>
      </c>
      <c r="C10">
        <v>1</v>
      </c>
      <c r="D10" t="s">
        <v>11</v>
      </c>
      <c r="E10">
        <v>3</v>
      </c>
    </row>
    <row r="11" spans="1:5" x14ac:dyDescent="0.25">
      <c r="B11" t="s">
        <v>9</v>
      </c>
      <c r="C11">
        <v>2</v>
      </c>
      <c r="D11" t="s">
        <v>12</v>
      </c>
      <c r="E11">
        <v>4</v>
      </c>
    </row>
    <row r="12" spans="1:5" x14ac:dyDescent="0.25">
      <c r="B12" t="s">
        <v>10</v>
      </c>
      <c r="C12">
        <v>1</v>
      </c>
      <c r="D12" t="s">
        <v>11</v>
      </c>
      <c r="E12">
        <v>5</v>
      </c>
    </row>
    <row r="13" spans="1:5" x14ac:dyDescent="0.25">
      <c r="B13" t="s">
        <v>10</v>
      </c>
      <c r="C13">
        <v>2</v>
      </c>
      <c r="D13" t="s">
        <v>12</v>
      </c>
      <c r="E13">
        <v>6</v>
      </c>
    </row>
    <row r="17" spans="1:6" x14ac:dyDescent="0.25">
      <c r="B17" s="3" t="s">
        <v>14</v>
      </c>
      <c r="D17" s="3" t="s">
        <v>6</v>
      </c>
    </row>
    <row r="18" spans="1:6" x14ac:dyDescent="0.25">
      <c r="B18" s="3" t="s">
        <v>4</v>
      </c>
      <c r="C18" s="3" t="s">
        <v>5</v>
      </c>
      <c r="D18" t="s">
        <v>11</v>
      </c>
      <c r="E18" t="s">
        <v>12</v>
      </c>
      <c r="F18" t="s">
        <v>13</v>
      </c>
    </row>
    <row r="19" spans="1:6" x14ac:dyDescent="0.25">
      <c r="B19" t="s">
        <v>8</v>
      </c>
    </row>
    <row r="20" spans="1:6" x14ac:dyDescent="0.25">
      <c r="C20">
        <v>1</v>
      </c>
      <c r="D20">
        <v>1</v>
      </c>
      <c r="F20">
        <v>1</v>
      </c>
    </row>
    <row r="21" spans="1:6" x14ac:dyDescent="0.25">
      <c r="C21">
        <v>2</v>
      </c>
      <c r="E21">
        <v>2</v>
      </c>
      <c r="F21">
        <v>2</v>
      </c>
    </row>
    <row r="22" spans="1:6" x14ac:dyDescent="0.25">
      <c r="B22" t="s">
        <v>9</v>
      </c>
    </row>
    <row r="23" spans="1:6" x14ac:dyDescent="0.25">
      <c r="C23">
        <v>1</v>
      </c>
      <c r="D23">
        <v>3</v>
      </c>
      <c r="F23">
        <v>3</v>
      </c>
    </row>
    <row r="24" spans="1:6" x14ac:dyDescent="0.25">
      <c r="C24">
        <v>2</v>
      </c>
      <c r="E24">
        <v>4</v>
      </c>
      <c r="F24">
        <v>4</v>
      </c>
    </row>
    <row r="25" spans="1:6" x14ac:dyDescent="0.25">
      <c r="B25" t="s">
        <v>10</v>
      </c>
    </row>
    <row r="26" spans="1:6" x14ac:dyDescent="0.25">
      <c r="C26">
        <v>1</v>
      </c>
      <c r="D26">
        <v>5</v>
      </c>
      <c r="F26">
        <v>5</v>
      </c>
    </row>
    <row r="27" spans="1:6" x14ac:dyDescent="0.25">
      <c r="C27">
        <v>2</v>
      </c>
      <c r="E27">
        <v>6</v>
      </c>
      <c r="F27">
        <v>6</v>
      </c>
    </row>
    <row r="28" spans="1:6" x14ac:dyDescent="0.25">
      <c r="B28" t="s">
        <v>13</v>
      </c>
      <c r="D28">
        <v>9</v>
      </c>
      <c r="E28">
        <v>12</v>
      </c>
      <c r="F28">
        <v>21</v>
      </c>
    </row>
    <row r="32" spans="1:6" ht="13.8" x14ac:dyDescent="0.25">
      <c r="A32" s="4" t="s">
        <v>16</v>
      </c>
    </row>
    <row r="34" spans="2:2" x14ac:dyDescent="0.25">
      <c r="B34" s="8" t="s">
        <v>17</v>
      </c>
    </row>
    <row r="35" spans="2:2" x14ac:dyDescent="0.25">
      <c r="B35" s="7" t="s">
        <v>18</v>
      </c>
    </row>
    <row r="36" spans="2:2" x14ac:dyDescent="0.25">
      <c r="B36" s="6" t="s">
        <v>19</v>
      </c>
    </row>
    <row r="37" spans="2:2" x14ac:dyDescent="0.25">
      <c r="B37" s="5" t="s">
        <v>20</v>
      </c>
    </row>
  </sheetData>
  <pageMargins left="0.7" right="0.7" top="0.75" bottom="0.75" header="0.3" footer="0.3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3436D-CE0C-4639-B951-C1B98556791F}">
  <sheetPr codeName="Sheet3">
    <tabColor theme="0" tint="-0.249977111117893"/>
  </sheetPr>
  <dimension ref="A1:C3"/>
  <sheetViews>
    <sheetView workbookViewId="0">
      <selection activeCell="J42" sqref="J42"/>
    </sheetView>
  </sheetViews>
  <sheetFormatPr defaultRowHeight="13.2" x14ac:dyDescent="0.25"/>
  <sheetData>
    <row r="1" spans="1:3" x14ac:dyDescent="0.25">
      <c r="A1" s="1" t="s">
        <v>0</v>
      </c>
      <c r="B1" s="2" t="s">
        <v>1</v>
      </c>
      <c r="C1" s="2"/>
    </row>
    <row r="2" spans="1:3" x14ac:dyDescent="0.25">
      <c r="A2" s="1" t="s">
        <v>2</v>
      </c>
      <c r="B2" s="2"/>
      <c r="C2" s="2"/>
    </row>
    <row r="3" spans="1:3" x14ac:dyDescent="0.25">
      <c r="A3" s="1" t="s">
        <v>3</v>
      </c>
      <c r="B3" s="2" t="str" cm="1">
        <f t="array" aca="1" ref="B3" ca="1">HD_Date</f>
        <v>20-Dec-2024</v>
      </c>
      <c r="C3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Report</vt:lpstr>
      <vt:lpstr>Formats</vt:lpstr>
      <vt:lpstr>Lists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dcterms:created xsi:type="dcterms:W3CDTF">2021-09-27T12:19:57Z</dcterms:created>
  <dcterms:modified xsi:type="dcterms:W3CDTF">2024-12-20T21:45:39Z</dcterms:modified>
</cp:coreProperties>
</file>