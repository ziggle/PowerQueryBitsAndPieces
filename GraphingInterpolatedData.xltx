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1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PowerQueryBitsAndPieces\"/>
    </mc:Choice>
  </mc:AlternateContent>
  <xr:revisionPtr revIDLastSave="0" documentId="13_ncr:1_{8ADF1497-F616-4D7A-B372-1A23033696EE}" xr6:coauthVersionLast="47" xr6:coauthVersionMax="47" xr10:uidLastSave="{00000000-0000-0000-0000-000000000000}"/>
  <bookViews>
    <workbookView xWindow="-120" yWindow="-120" windowWidth="29040" windowHeight="15720" xr2:uid="{B9646992-58BC-44A8-9040-42DC40CCACD9}"/>
  </bookViews>
  <sheets>
    <sheet name="Sheet1" sheetId="1" r:id="rId1"/>
  </sheets>
  <definedNames>
    <definedName name="_tbl">Table1[#All]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S21" i="1"/>
  <c r="P21" i="1"/>
  <c r="M55" i="1" a="1"/>
  <c r="M55" i="1" s="1"/>
  <c r="M45" i="1" a="1"/>
  <c r="M45" i="1" s="1"/>
  <c r="M35" i="1" a="1"/>
  <c r="M35" i="1" s="1"/>
  <c r="M25" i="1" a="1"/>
  <c r="M25" i="1" s="1"/>
  <c r="K12" i="1" a="1"/>
  <c r="K12" i="1" s="1"/>
  <c r="L12" i="1" a="1"/>
  <c r="L12" i="1" s="1"/>
  <c r="J12" i="1" a="1"/>
  <c r="J12" i="1" s="1"/>
  <c r="I12" i="1" a="1"/>
  <c r="I12" i="1" s="1"/>
  <c r="P11" i="1" a="1"/>
  <c r="P11" i="1" s="1"/>
  <c r="O12" i="1" a="1"/>
  <c r="O12" i="1" s="1"/>
  <c r="F12" i="1" a="1"/>
  <c r="F12" i="1" s="1"/>
  <c r="G12" i="1" a="1"/>
  <c r="G12" i="1" s="1"/>
  <c r="H12" i="1" a="1"/>
  <c r="H12" i="1" s="1"/>
  <c r="E12" i="1" a="1"/>
  <c r="E12" i="1" s="1"/>
  <c r="E5" i="1" a="1"/>
  <c r="E5" i="1" s="1"/>
  <c r="Q12" i="1" l="1"/>
  <c r="P15" i="1"/>
  <c r="P14" i="1"/>
  <c r="S15" i="1"/>
  <c r="P18" i="1"/>
  <c r="P17" i="1"/>
  <c r="S19" i="1"/>
  <c r="R19" i="1"/>
  <c r="R15" i="1"/>
  <c r="P16" i="1"/>
  <c r="Q19" i="1"/>
  <c r="Q15" i="1"/>
  <c r="S14" i="1"/>
  <c r="P13" i="1"/>
  <c r="Q14" i="1"/>
  <c r="R17" i="1"/>
  <c r="R13" i="1"/>
  <c r="S18" i="1"/>
  <c r="S17" i="1"/>
  <c r="S13" i="1"/>
  <c r="S20" i="1"/>
  <c r="S16" i="1"/>
  <c r="S12" i="1"/>
  <c r="P20" i="1"/>
  <c r="R20" i="1"/>
  <c r="R16" i="1"/>
  <c r="R12" i="1"/>
  <c r="R18" i="1"/>
  <c r="R14" i="1"/>
  <c r="Q18" i="1"/>
  <c r="P12" i="1"/>
  <c r="Q17" i="1"/>
  <c r="Q13" i="1"/>
  <c r="P19" i="1"/>
  <c r="Q20" i="1"/>
  <c r="Q1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<sst xmlns="http://schemas.openxmlformats.org/spreadsheetml/2006/main" count="39" uniqueCount="14">
  <si>
    <t>FROM:</t>
  </si>
  <si>
    <t>SUBJECT:</t>
  </si>
  <si>
    <t>DATE:</t>
  </si>
  <si>
    <t>Mark Biegert</t>
  </si>
  <si>
    <t>Dummy Data</t>
  </si>
  <si>
    <t>Voltage</t>
  </si>
  <si>
    <t>Time</t>
  </si>
  <si>
    <t>UUT</t>
  </si>
  <si>
    <t>UUT1</t>
  </si>
  <si>
    <t>UUT2</t>
  </si>
  <si>
    <t>UUT3</t>
  </si>
  <si>
    <t>UUT4</t>
  </si>
  <si>
    <t>Break Out Data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</si>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</sst>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6" formatCode="0.000"/>
  </numFmts>
  <fonts count="13" x14ac:knownFonts="1">
    <font>
      <sz val="10"/>
      <color theme="1"/>
      <name val="Consolas"/>
      <family val="2"/>
    </font>
    <font>
      <sz val="10"/>
      <color theme="1"/>
      <name val="Consolas"/>
      <family val="2"/>
    </font>
    <font>
      <b/>
      <sz val="11"/>
      <color theme="3"/>
      <name val="Consolas"/>
      <family val="2"/>
    </font>
    <font>
      <b/>
      <sz val="10"/>
      <color theme="1"/>
      <name val="Consolas"/>
      <family val="2"/>
    </font>
    <font>
      <b/>
      <sz val="11"/>
      <color theme="5" tint="-0.24994659260841701"/>
      <name val="Consolas"/>
      <family val="2"/>
    </font>
    <font>
      <i/>
      <sz val="11"/>
      <color theme="3"/>
      <name val="Consolas"/>
      <family val="2"/>
    </font>
    <font>
      <b/>
      <u/>
      <sz val="10"/>
      <color theme="5" tint="-0.24994659260841701"/>
      <name val="Consolas"/>
      <family val="2"/>
    </font>
    <font>
      <b/>
      <sz val="9"/>
      <color rgb="FF7030A0"/>
      <name val="Consolas"/>
      <family val="2"/>
    </font>
    <font>
      <sz val="10"/>
      <color rgb="FF7F7F7F"/>
      <name val="Consolas"/>
      <family val="2"/>
    </font>
    <font>
      <sz val="8"/>
      <name val="Consolas"/>
      <family val="2"/>
    </font>
    <font>
      <b/>
      <sz val="10"/>
      <color theme="0"/>
      <name val="Consolas"/>
      <family val="3"/>
    </font>
    <font>
      <sz val="10"/>
      <color theme="0"/>
      <name val="Consolas"/>
      <family val="2"/>
    </font>
    <font>
      <sz val="12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1">
    <xf numFmtId="0" fontId="0" fillId="0" borderId="0"/>
    <xf numFmtId="0" fontId="4" fillId="0" borderId="0" applyNumberFormat="0" applyAlignment="0" applyProtection="0"/>
    <xf numFmtId="0" fontId="5" fillId="0" borderId="0" applyNumberFormat="0" applyAlignment="0" applyProtection="0"/>
    <xf numFmtId="0" fontId="6" fillId="0" borderId="1" applyNumberFormat="0" applyAlignment="0" applyProtection="0"/>
    <xf numFmtId="0" fontId="2" fillId="0" borderId="0" applyNumberFormat="0" applyFill="0" applyBorder="0" applyAlignment="0" applyProtection="0"/>
    <xf numFmtId="0" fontId="1" fillId="2" borderId="0" applyNumberFormat="0" applyAlignment="0" applyProtection="0"/>
    <xf numFmtId="0" fontId="8" fillId="0" borderId="0" applyNumberFormat="0" applyAlignment="0" applyProtection="0"/>
    <xf numFmtId="0" fontId="7" fillId="0" borderId="0" applyNumberFormat="0" applyAlignment="0" applyProtection="0"/>
    <xf numFmtId="0" fontId="3" fillId="3" borderId="0" applyNumberFormat="0" applyAlignment="0" applyProtection="0"/>
    <xf numFmtId="0" fontId="1" fillId="4" borderId="0" applyNumberFormat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3" fillId="3" borderId="0" xfId="8"/>
    <xf numFmtId="0" fontId="1" fillId="4" borderId="0" xfId="9"/>
    <xf numFmtId="0" fontId="0" fillId="4" borderId="0" xfId="9" applyFont="1"/>
    <xf numFmtId="15" fontId="1" fillId="4" borderId="0" xfId="9" applyNumberFormat="1"/>
    <xf numFmtId="166" fontId="0" fillId="0" borderId="0" xfId="0" applyNumberFormat="1"/>
    <xf numFmtId="0" fontId="0" fillId="0" borderId="0" xfId="0" applyAlignment="1">
      <alignment horizontal="centerContinuous"/>
    </xf>
    <xf numFmtId="9" fontId="0" fillId="0" borderId="0" xfId="0" applyNumberFormat="1"/>
    <xf numFmtId="0" fontId="11" fillId="0" borderId="0" xfId="0" applyFont="1"/>
    <xf numFmtId="0" fontId="10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166" fontId="0" fillId="0" borderId="5" xfId="0" applyNumberFormat="1" applyBorder="1"/>
    <xf numFmtId="9" fontId="0" fillId="0" borderId="6" xfId="10" applyFont="1" applyBorder="1"/>
    <xf numFmtId="9" fontId="0" fillId="0" borderId="7" xfId="10" applyFont="1" applyBorder="1"/>
    <xf numFmtId="0" fontId="12" fillId="0" borderId="0" xfId="0" applyFont="1" applyAlignment="1">
      <alignment horizontal="centerContinuous"/>
    </xf>
  </cellXfs>
  <cellStyles count="11">
    <cellStyle name="Comment" xfId="7" xr:uid="{763C255E-5D87-466E-95B0-D699BCBDC27A}"/>
    <cellStyle name="Explanatory Text" xfId="6" builtinId="53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hidden="1"/>
    <cellStyle name="Input" xfId="5" builtinId="20" customBuiltin="1"/>
    <cellStyle name="Introduction" xfId="8" xr:uid="{5B02A008-1F7D-4D4F-95AF-9E9DCAA6C469}"/>
    <cellStyle name="Normal" xfId="0" builtinId="0"/>
    <cellStyle name="Percent" xfId="10" builtinId="5"/>
    <cellStyle name="Salutation" xfId="9" xr:uid="{F719B4EA-B44E-4761-B427-915CA2DD4EE6}"/>
  </cellStyles>
  <dxfs count="0"/>
  <tableStyles count="1" defaultTableStyle="TableStyleMedium2" defaultPivotStyle="PivotStyleLight16">
    <tableStyle name="Invisible" pivot="0" table="0" count="0" xr9:uid="{992B8720-80F5-4CEC-981C-F9F76316980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Sheet1!$M$25:$M$64</c:f>
              <c:numCache>
                <c:formatCode>0.000</c:formatCode>
                <c:ptCount val="4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  <c:pt idx="10">
                  <c:v>3</c:v>
                </c:pt>
                <c:pt idx="11">
                  <c:v>3.1444444444444444</c:v>
                </c:pt>
                <c:pt idx="12">
                  <c:v>3.2888888888888888</c:v>
                </c:pt>
                <c:pt idx="13">
                  <c:v>3.4333333333333331</c:v>
                </c:pt>
                <c:pt idx="14">
                  <c:v>3.5777777777777775</c:v>
                </c:pt>
                <c:pt idx="15">
                  <c:v>3.7222222222222219</c:v>
                </c:pt>
                <c:pt idx="16">
                  <c:v>3.8666666666666663</c:v>
                </c:pt>
                <c:pt idx="17">
                  <c:v>4.0111111111111111</c:v>
                </c:pt>
                <c:pt idx="18">
                  <c:v>4.1555555555555559</c:v>
                </c:pt>
                <c:pt idx="19">
                  <c:v>4.3000000000000007</c:v>
                </c:pt>
                <c:pt idx="20">
                  <c:v>3</c:v>
                </c:pt>
                <c:pt idx="21">
                  <c:v>3.1444444444444444</c:v>
                </c:pt>
                <c:pt idx="22">
                  <c:v>3.2888888888888888</c:v>
                </c:pt>
                <c:pt idx="23">
                  <c:v>3.4333333333333331</c:v>
                </c:pt>
                <c:pt idx="24">
                  <c:v>3.5777777777777775</c:v>
                </c:pt>
                <c:pt idx="25">
                  <c:v>3.7222222222222219</c:v>
                </c:pt>
                <c:pt idx="26">
                  <c:v>3.8666666666666663</c:v>
                </c:pt>
                <c:pt idx="27">
                  <c:v>4.0111111111111111</c:v>
                </c:pt>
                <c:pt idx="28">
                  <c:v>4.1555555555555559</c:v>
                </c:pt>
                <c:pt idx="29">
                  <c:v>4.3000000000000007</c:v>
                </c:pt>
                <c:pt idx="30">
                  <c:v>3</c:v>
                </c:pt>
                <c:pt idx="31">
                  <c:v>3.1444444444444444</c:v>
                </c:pt>
                <c:pt idx="32">
                  <c:v>3.2888888888888888</c:v>
                </c:pt>
                <c:pt idx="33">
                  <c:v>3.4333333333333331</c:v>
                </c:pt>
                <c:pt idx="34">
                  <c:v>3.5777777777777775</c:v>
                </c:pt>
                <c:pt idx="35">
                  <c:v>3.7222222222222219</c:v>
                </c:pt>
                <c:pt idx="36">
                  <c:v>3.8666666666666663</c:v>
                </c:pt>
                <c:pt idx="37">
                  <c:v>4.0111111111111111</c:v>
                </c:pt>
                <c:pt idx="38">
                  <c:v>4.1555555555555559</c:v>
                </c:pt>
                <c:pt idx="39">
                  <c:v>4.3000000000000007</c:v>
                </c:pt>
              </c:numCache>
            </c:numRef>
          </c:xVal>
          <c:yVal>
            <c:numRef>
              <c:f>Sheet1!$N$25:$N$64</c:f>
              <c:numCache>
                <c:formatCode>General</c:formatCode>
                <c:ptCount val="40"/>
                <c:pt idx="0">
                  <c:v>0</c:v>
                </c:pt>
                <c:pt idx="1">
                  <c:v>0.28888888888888875</c:v>
                </c:pt>
                <c:pt idx="2">
                  <c:v>0.5777777777777775</c:v>
                </c:pt>
                <c:pt idx="3">
                  <c:v>0.86666666666666625</c:v>
                </c:pt>
                <c:pt idx="4">
                  <c:v>1.155555555555555</c:v>
                </c:pt>
                <c:pt idx="5">
                  <c:v>1.4444444444444438</c:v>
                </c:pt>
                <c:pt idx="6">
                  <c:v>1.7333333333333325</c:v>
                </c:pt>
                <c:pt idx="7">
                  <c:v>2.0370370370370345</c:v>
                </c:pt>
                <c:pt idx="8">
                  <c:v>2.518518518518519</c:v>
                </c:pt>
                <c:pt idx="9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F-4B19-ABCE-4BBA0B6BB45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Sheet1!$M$25:$M$64</c:f>
              <c:numCache>
                <c:formatCode>0.000</c:formatCode>
                <c:ptCount val="4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  <c:pt idx="10">
                  <c:v>3</c:v>
                </c:pt>
                <c:pt idx="11">
                  <c:v>3.1444444444444444</c:v>
                </c:pt>
                <c:pt idx="12">
                  <c:v>3.2888888888888888</c:v>
                </c:pt>
                <c:pt idx="13">
                  <c:v>3.4333333333333331</c:v>
                </c:pt>
                <c:pt idx="14">
                  <c:v>3.5777777777777775</c:v>
                </c:pt>
                <c:pt idx="15">
                  <c:v>3.7222222222222219</c:v>
                </c:pt>
                <c:pt idx="16">
                  <c:v>3.8666666666666663</c:v>
                </c:pt>
                <c:pt idx="17">
                  <c:v>4.0111111111111111</c:v>
                </c:pt>
                <c:pt idx="18">
                  <c:v>4.1555555555555559</c:v>
                </c:pt>
                <c:pt idx="19">
                  <c:v>4.3000000000000007</c:v>
                </c:pt>
                <c:pt idx="20">
                  <c:v>3</c:v>
                </c:pt>
                <c:pt idx="21">
                  <c:v>3.1444444444444444</c:v>
                </c:pt>
                <c:pt idx="22">
                  <c:v>3.2888888888888888</c:v>
                </c:pt>
                <c:pt idx="23">
                  <c:v>3.4333333333333331</c:v>
                </c:pt>
                <c:pt idx="24">
                  <c:v>3.5777777777777775</c:v>
                </c:pt>
                <c:pt idx="25">
                  <c:v>3.7222222222222219</c:v>
                </c:pt>
                <c:pt idx="26">
                  <c:v>3.8666666666666663</c:v>
                </c:pt>
                <c:pt idx="27">
                  <c:v>4.0111111111111111</c:v>
                </c:pt>
                <c:pt idx="28">
                  <c:v>4.1555555555555559</c:v>
                </c:pt>
                <c:pt idx="29">
                  <c:v>4.3000000000000007</c:v>
                </c:pt>
                <c:pt idx="30">
                  <c:v>3</c:v>
                </c:pt>
                <c:pt idx="31">
                  <c:v>3.1444444444444444</c:v>
                </c:pt>
                <c:pt idx="32">
                  <c:v>3.2888888888888888</c:v>
                </c:pt>
                <c:pt idx="33">
                  <c:v>3.4333333333333331</c:v>
                </c:pt>
                <c:pt idx="34">
                  <c:v>3.5777777777777775</c:v>
                </c:pt>
                <c:pt idx="35">
                  <c:v>3.7222222222222219</c:v>
                </c:pt>
                <c:pt idx="36">
                  <c:v>3.8666666666666663</c:v>
                </c:pt>
                <c:pt idx="37">
                  <c:v>4.0111111111111111</c:v>
                </c:pt>
                <c:pt idx="38">
                  <c:v>4.1555555555555559</c:v>
                </c:pt>
                <c:pt idx="39">
                  <c:v>4.3000000000000007</c:v>
                </c:pt>
              </c:numCache>
            </c:numRef>
          </c:xVal>
          <c:yVal>
            <c:numRef>
              <c:f>Sheet1!$O$25:$O$64</c:f>
              <c:numCache>
                <c:formatCode>General</c:formatCode>
                <c:ptCount val="40"/>
                <c:pt idx="10">
                  <c:v>0</c:v>
                </c:pt>
                <c:pt idx="11">
                  <c:v>0.72222222222222143</c:v>
                </c:pt>
                <c:pt idx="12">
                  <c:v>1.2222222222222214</c:v>
                </c:pt>
                <c:pt idx="13">
                  <c:v>1.5833333333333321</c:v>
                </c:pt>
                <c:pt idx="14">
                  <c:v>1.9444444444444429</c:v>
                </c:pt>
                <c:pt idx="15">
                  <c:v>2.2444444444444436</c:v>
                </c:pt>
                <c:pt idx="16">
                  <c:v>2.5333333333333332</c:v>
                </c:pt>
                <c:pt idx="17">
                  <c:v>2.8222222222222229</c:v>
                </c:pt>
                <c:pt idx="18">
                  <c:v>3.5555555555555571</c:v>
                </c:pt>
                <c:pt idx="19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BF-4B19-ABCE-4BBA0B6BB45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Sheet1!$M$25:$M$64</c:f>
              <c:numCache>
                <c:formatCode>0.000</c:formatCode>
                <c:ptCount val="4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  <c:pt idx="10">
                  <c:v>3</c:v>
                </c:pt>
                <c:pt idx="11">
                  <c:v>3.1444444444444444</c:v>
                </c:pt>
                <c:pt idx="12">
                  <c:v>3.2888888888888888</c:v>
                </c:pt>
                <c:pt idx="13">
                  <c:v>3.4333333333333331</c:v>
                </c:pt>
                <c:pt idx="14">
                  <c:v>3.5777777777777775</c:v>
                </c:pt>
                <c:pt idx="15">
                  <c:v>3.7222222222222219</c:v>
                </c:pt>
                <c:pt idx="16">
                  <c:v>3.8666666666666663</c:v>
                </c:pt>
                <c:pt idx="17">
                  <c:v>4.0111111111111111</c:v>
                </c:pt>
                <c:pt idx="18">
                  <c:v>4.1555555555555559</c:v>
                </c:pt>
                <c:pt idx="19">
                  <c:v>4.3000000000000007</c:v>
                </c:pt>
                <c:pt idx="20">
                  <c:v>3</c:v>
                </c:pt>
                <c:pt idx="21">
                  <c:v>3.1444444444444444</c:v>
                </c:pt>
                <c:pt idx="22">
                  <c:v>3.2888888888888888</c:v>
                </c:pt>
                <c:pt idx="23">
                  <c:v>3.4333333333333331</c:v>
                </c:pt>
                <c:pt idx="24">
                  <c:v>3.5777777777777775</c:v>
                </c:pt>
                <c:pt idx="25">
                  <c:v>3.7222222222222219</c:v>
                </c:pt>
                <c:pt idx="26">
                  <c:v>3.8666666666666663</c:v>
                </c:pt>
                <c:pt idx="27">
                  <c:v>4.0111111111111111</c:v>
                </c:pt>
                <c:pt idx="28">
                  <c:v>4.1555555555555559</c:v>
                </c:pt>
                <c:pt idx="29">
                  <c:v>4.3000000000000007</c:v>
                </c:pt>
                <c:pt idx="30">
                  <c:v>3</c:v>
                </c:pt>
                <c:pt idx="31">
                  <c:v>3.1444444444444444</c:v>
                </c:pt>
                <c:pt idx="32">
                  <c:v>3.2888888888888888</c:v>
                </c:pt>
                <c:pt idx="33">
                  <c:v>3.4333333333333331</c:v>
                </c:pt>
                <c:pt idx="34">
                  <c:v>3.5777777777777775</c:v>
                </c:pt>
                <c:pt idx="35">
                  <c:v>3.7222222222222219</c:v>
                </c:pt>
                <c:pt idx="36">
                  <c:v>3.8666666666666663</c:v>
                </c:pt>
                <c:pt idx="37">
                  <c:v>4.0111111111111111</c:v>
                </c:pt>
                <c:pt idx="38">
                  <c:v>4.1555555555555559</c:v>
                </c:pt>
                <c:pt idx="39">
                  <c:v>4.3000000000000007</c:v>
                </c:pt>
              </c:numCache>
            </c:numRef>
          </c:xVal>
          <c:yVal>
            <c:numRef>
              <c:f>Sheet1!$P$25:$P$64</c:f>
              <c:numCache>
                <c:formatCode>General</c:formatCode>
                <c:ptCount val="40"/>
                <c:pt idx="20">
                  <c:v>0</c:v>
                </c:pt>
                <c:pt idx="21">
                  <c:v>0.72222222222222143</c:v>
                </c:pt>
                <c:pt idx="22">
                  <c:v>1.2222222222222214</c:v>
                </c:pt>
                <c:pt idx="23">
                  <c:v>1.5833333333333321</c:v>
                </c:pt>
                <c:pt idx="24">
                  <c:v>1.9444444444444429</c:v>
                </c:pt>
                <c:pt idx="25">
                  <c:v>2.2444444444444436</c:v>
                </c:pt>
                <c:pt idx="26">
                  <c:v>2.5333333333333332</c:v>
                </c:pt>
                <c:pt idx="27">
                  <c:v>2.8222222222222229</c:v>
                </c:pt>
                <c:pt idx="28">
                  <c:v>3.5555555555555571</c:v>
                </c:pt>
                <c:pt idx="29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BF-4B19-ABCE-4BBA0B6BB45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Sheet1!$M$25:$M$64</c:f>
              <c:numCache>
                <c:formatCode>0.000</c:formatCode>
                <c:ptCount val="4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  <c:pt idx="10">
                  <c:v>3</c:v>
                </c:pt>
                <c:pt idx="11">
                  <c:v>3.1444444444444444</c:v>
                </c:pt>
                <c:pt idx="12">
                  <c:v>3.2888888888888888</c:v>
                </c:pt>
                <c:pt idx="13">
                  <c:v>3.4333333333333331</c:v>
                </c:pt>
                <c:pt idx="14">
                  <c:v>3.5777777777777775</c:v>
                </c:pt>
                <c:pt idx="15">
                  <c:v>3.7222222222222219</c:v>
                </c:pt>
                <c:pt idx="16">
                  <c:v>3.8666666666666663</c:v>
                </c:pt>
                <c:pt idx="17">
                  <c:v>4.0111111111111111</c:v>
                </c:pt>
                <c:pt idx="18">
                  <c:v>4.1555555555555559</c:v>
                </c:pt>
                <c:pt idx="19">
                  <c:v>4.3000000000000007</c:v>
                </c:pt>
                <c:pt idx="20">
                  <c:v>3</c:v>
                </c:pt>
                <c:pt idx="21">
                  <c:v>3.1444444444444444</c:v>
                </c:pt>
                <c:pt idx="22">
                  <c:v>3.2888888888888888</c:v>
                </c:pt>
                <c:pt idx="23">
                  <c:v>3.4333333333333331</c:v>
                </c:pt>
                <c:pt idx="24">
                  <c:v>3.5777777777777775</c:v>
                </c:pt>
                <c:pt idx="25">
                  <c:v>3.7222222222222219</c:v>
                </c:pt>
                <c:pt idx="26">
                  <c:v>3.8666666666666663</c:v>
                </c:pt>
                <c:pt idx="27">
                  <c:v>4.0111111111111111</c:v>
                </c:pt>
                <c:pt idx="28">
                  <c:v>4.1555555555555559</c:v>
                </c:pt>
                <c:pt idx="29">
                  <c:v>4.3000000000000007</c:v>
                </c:pt>
                <c:pt idx="30">
                  <c:v>3</c:v>
                </c:pt>
                <c:pt idx="31">
                  <c:v>3.1444444444444444</c:v>
                </c:pt>
                <c:pt idx="32">
                  <c:v>3.2888888888888888</c:v>
                </c:pt>
                <c:pt idx="33">
                  <c:v>3.4333333333333331</c:v>
                </c:pt>
                <c:pt idx="34">
                  <c:v>3.5777777777777775</c:v>
                </c:pt>
                <c:pt idx="35">
                  <c:v>3.7222222222222219</c:v>
                </c:pt>
                <c:pt idx="36">
                  <c:v>3.8666666666666663</c:v>
                </c:pt>
                <c:pt idx="37">
                  <c:v>4.0111111111111111</c:v>
                </c:pt>
                <c:pt idx="38">
                  <c:v>4.1555555555555559</c:v>
                </c:pt>
                <c:pt idx="39">
                  <c:v>4.3000000000000007</c:v>
                </c:pt>
              </c:numCache>
            </c:numRef>
          </c:xVal>
          <c:yVal>
            <c:numRef>
              <c:f>Sheet1!$Q$25:$Q$64</c:f>
              <c:numCache>
                <c:formatCode>General</c:formatCode>
                <c:ptCount val="40"/>
                <c:pt idx="30">
                  <c:v>0</c:v>
                </c:pt>
                <c:pt idx="31">
                  <c:v>0.28888888888888875</c:v>
                </c:pt>
                <c:pt idx="32">
                  <c:v>0.5777777777777775</c:v>
                </c:pt>
                <c:pt idx="33">
                  <c:v>0.86666666666666625</c:v>
                </c:pt>
                <c:pt idx="34">
                  <c:v>1.155555555555555</c:v>
                </c:pt>
                <c:pt idx="35">
                  <c:v>1.4444444444444438</c:v>
                </c:pt>
                <c:pt idx="36">
                  <c:v>1.7333333333333325</c:v>
                </c:pt>
                <c:pt idx="37">
                  <c:v>2.0370370370370345</c:v>
                </c:pt>
                <c:pt idx="38">
                  <c:v>2.518518518518519</c:v>
                </c:pt>
                <c:pt idx="39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BF-4B19-ABCE-4BBA0B6BB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2921119"/>
        <c:axId val="1282918623"/>
      </c:scatterChart>
      <c:valAx>
        <c:axId val="128292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918623"/>
        <c:crosses val="autoZero"/>
        <c:crossBetween val="midCat"/>
      </c:valAx>
      <c:valAx>
        <c:axId val="128291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9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Sheet1!$P$12:$P$21</c:f>
              <c:numCache>
                <c:formatCode>0%</c:formatCode>
                <c:ptCount val="10"/>
                <c:pt idx="0">
                  <c:v>4.4408920985006262E-16</c:v>
                </c:pt>
                <c:pt idx="1">
                  <c:v>0.11555555555555586</c:v>
                </c:pt>
                <c:pt idx="2">
                  <c:v>0.23111111111111127</c:v>
                </c:pt>
                <c:pt idx="3">
                  <c:v>0.34666666666666668</c:v>
                </c:pt>
                <c:pt idx="4">
                  <c:v>0.44666666666666655</c:v>
                </c:pt>
                <c:pt idx="5">
                  <c:v>0.53333333333333299</c:v>
                </c:pt>
                <c:pt idx="6">
                  <c:v>0.61999999999999988</c:v>
                </c:pt>
                <c:pt idx="7">
                  <c:v>0.71111111111111036</c:v>
                </c:pt>
                <c:pt idx="8">
                  <c:v>0.85555555555555518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0B-4494-80B8-47C2B86AA0B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Sheet1!$Q$12:$Q$21</c:f>
              <c:numCache>
                <c:formatCode>0%</c:formatCode>
                <c:ptCount val="10"/>
                <c:pt idx="0">
                  <c:v>8.8817841970012523E-16</c:v>
                </c:pt>
                <c:pt idx="1">
                  <c:v>0.21666666666666679</c:v>
                </c:pt>
                <c:pt idx="2">
                  <c:v>0.34444444444444433</c:v>
                </c:pt>
                <c:pt idx="3">
                  <c:v>0.41666666666666652</c:v>
                </c:pt>
                <c:pt idx="4">
                  <c:v>0.48888888888888893</c:v>
                </c:pt>
                <c:pt idx="5">
                  <c:v>0.52444444444444449</c:v>
                </c:pt>
                <c:pt idx="6">
                  <c:v>0.55333333333333345</c:v>
                </c:pt>
                <c:pt idx="7">
                  <c:v>0.58222222222222242</c:v>
                </c:pt>
                <c:pt idx="8">
                  <c:v>0.71111111111111125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0B-4494-80B8-47C2B86AA0B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Sheet1!$R$12:$R$21</c:f>
              <c:numCache>
                <c:formatCode>0%</c:formatCode>
                <c:ptCount val="10"/>
                <c:pt idx="0">
                  <c:v>0</c:v>
                </c:pt>
                <c:pt idx="1">
                  <c:v>0.15888888888888841</c:v>
                </c:pt>
                <c:pt idx="2">
                  <c:v>0.28444444444444406</c:v>
                </c:pt>
                <c:pt idx="3">
                  <c:v>0.38916666666666622</c:v>
                </c:pt>
                <c:pt idx="4">
                  <c:v>0.49388888888888838</c:v>
                </c:pt>
                <c:pt idx="5">
                  <c:v>0.53200000000000003</c:v>
                </c:pt>
                <c:pt idx="6">
                  <c:v>0.55799999999999994</c:v>
                </c:pt>
                <c:pt idx="7">
                  <c:v>0.58400000000000007</c:v>
                </c:pt>
                <c:pt idx="8">
                  <c:v>0.7333333333333325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0B-4494-80B8-47C2B86AA0B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Sheet1!$S$12:$S$21</c:f>
              <c:numCache>
                <c:formatCode>0%</c:formatCode>
                <c:ptCount val="10"/>
                <c:pt idx="0">
                  <c:v>0</c:v>
                </c:pt>
                <c:pt idx="1">
                  <c:v>5.4888888888888765E-2</c:v>
                </c:pt>
                <c:pt idx="2">
                  <c:v>0.10977777777777753</c:v>
                </c:pt>
                <c:pt idx="3">
                  <c:v>0.16466666666666652</c:v>
                </c:pt>
                <c:pt idx="4">
                  <c:v>0.2848888888888883</c:v>
                </c:pt>
                <c:pt idx="5">
                  <c:v>0.46111111111111036</c:v>
                </c:pt>
                <c:pt idx="6">
                  <c:v>0.63733333333333242</c:v>
                </c:pt>
                <c:pt idx="7">
                  <c:v>0.80740740740740735</c:v>
                </c:pt>
                <c:pt idx="8">
                  <c:v>0.9037037037037039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0B-4494-80B8-47C2B86AA0B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Sheet1!$P$11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0B-4494-80B8-47C2B86AA0B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Sheet1!$Q$11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0B-4494-80B8-47C2B86AA0B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Sheet1!$R$11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0B-4494-80B8-47C2B86AA0B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Sheet1!$O$12:$O$21</c:f>
              <c:numCache>
                <c:formatCode>0.000</c:formatCode>
                <c:ptCount val="10"/>
                <c:pt idx="0">
                  <c:v>3</c:v>
                </c:pt>
                <c:pt idx="1">
                  <c:v>3.1444444444444444</c:v>
                </c:pt>
                <c:pt idx="2">
                  <c:v>3.2888888888888888</c:v>
                </c:pt>
                <c:pt idx="3">
                  <c:v>3.4333333333333331</c:v>
                </c:pt>
                <c:pt idx="4">
                  <c:v>3.5777777777777775</c:v>
                </c:pt>
                <c:pt idx="5">
                  <c:v>3.7222222222222219</c:v>
                </c:pt>
                <c:pt idx="6">
                  <c:v>3.8666666666666663</c:v>
                </c:pt>
                <c:pt idx="7">
                  <c:v>4.0111111111111111</c:v>
                </c:pt>
                <c:pt idx="8">
                  <c:v>4.1555555555555559</c:v>
                </c:pt>
                <c:pt idx="9">
                  <c:v>4.3000000000000007</c:v>
                </c:pt>
              </c:numCache>
            </c:numRef>
          </c:xVal>
          <c:yVal>
            <c:numRef>
              <c:f>Sheet1!$S$11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30B-4494-80B8-47C2B86AA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961391"/>
        <c:axId val="1455963055"/>
      </c:scatterChart>
      <c:valAx>
        <c:axId val="1455961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963055"/>
        <c:crosses val="autoZero"/>
        <c:crossBetween val="midCat"/>
      </c:valAx>
      <c:valAx>
        <c:axId val="145596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961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314324</xdr:colOff>
      <xdr:row>11</xdr:row>
      <xdr:rowOff>0</xdr:rowOff>
    </xdr:from>
    <xdr:to>
      <xdr:col>14</xdr:col>
      <xdr:colOff>19049</xdr:colOff>
      <xdr:row>21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C187AA-140A-C792-E755-DB9247D6419D}"/>
            </a:ext>
          </a:extLst>
        </xdr:cNvPr>
        <xdr:cNvSpPr txBox="1"/>
      </xdr:nvSpPr>
      <xdr:spPr>
        <a:xfrm>
          <a:off x="8305799" y="1781175"/>
          <a:ext cx="314325" cy="1638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11</xdr:col>
      <xdr:colOff>314324</xdr:colOff>
      <xdr:row>24</xdr:row>
      <xdr:rowOff>0</xdr:rowOff>
    </xdr:from>
    <xdr:to>
      <xdr:col>12</xdr:col>
      <xdr:colOff>19049</xdr:colOff>
      <xdr:row>34</xdr:row>
      <xdr:rowOff>19050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B39F45C-0D82-446D-A705-10818617F2C0}"/>
            </a:ext>
          </a:extLst>
        </xdr:cNvPr>
        <xdr:cNvSpPr txBox="1"/>
      </xdr:nvSpPr>
      <xdr:spPr>
        <a:xfrm>
          <a:off x="8305799" y="1781175"/>
          <a:ext cx="3143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11</xdr:col>
      <xdr:colOff>314324</xdr:colOff>
      <xdr:row>34</xdr:row>
      <xdr:rowOff>0</xdr:rowOff>
    </xdr:from>
    <xdr:to>
      <xdr:col>12</xdr:col>
      <xdr:colOff>19049</xdr:colOff>
      <xdr:row>44</xdr:row>
      <xdr:rowOff>19050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C9AF356-15E0-4D6A-AA13-F9EE3A7705BA}"/>
            </a:ext>
          </a:extLst>
        </xdr:cNvPr>
        <xdr:cNvSpPr txBox="1"/>
      </xdr:nvSpPr>
      <xdr:spPr>
        <a:xfrm>
          <a:off x="8305799" y="1781175"/>
          <a:ext cx="3143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11</xdr:col>
      <xdr:colOff>314324</xdr:colOff>
      <xdr:row>44</xdr:row>
      <xdr:rowOff>0</xdr:rowOff>
    </xdr:from>
    <xdr:to>
      <xdr:col>12</xdr:col>
      <xdr:colOff>19049</xdr:colOff>
      <xdr:row>54</xdr:row>
      <xdr:rowOff>19050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0356BE0-4D47-4061-B86C-783F8DB0A298}"/>
            </a:ext>
          </a:extLst>
        </xdr:cNvPr>
        <xdr:cNvSpPr txBox="1"/>
      </xdr:nvSpPr>
      <xdr:spPr>
        <a:xfrm>
          <a:off x="8305799" y="1781175"/>
          <a:ext cx="3143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11</xdr:col>
      <xdr:colOff>314324</xdr:colOff>
      <xdr:row>54</xdr:row>
      <xdr:rowOff>0</xdr:rowOff>
    </xdr:from>
    <xdr:to>
      <xdr:col>12</xdr:col>
      <xdr:colOff>19049</xdr:colOff>
      <xdr:row>64</xdr:row>
      <xdr:rowOff>19050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A257EB2-7003-4B47-A8EE-F7964D5720E4}"/>
            </a:ext>
          </a:extLst>
        </xdr:cNvPr>
        <xdr:cNvSpPr txBox="1"/>
      </xdr:nvSpPr>
      <xdr:spPr>
        <a:xfrm>
          <a:off x="8305799" y="1781175"/>
          <a:ext cx="3143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17</xdr:col>
      <xdr:colOff>466725</xdr:colOff>
      <xdr:row>28</xdr:row>
      <xdr:rowOff>119062</xdr:rowOff>
    </xdr:from>
    <xdr:to>
      <xdr:col>25</xdr:col>
      <xdr:colOff>161925</xdr:colOff>
      <xdr:row>45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2DBBCC8-C75C-1470-C96B-F3994A258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271462</xdr:colOff>
      <xdr:row>33</xdr:row>
      <xdr:rowOff>90487</xdr:rowOff>
    </xdr:from>
    <xdr:to>
      <xdr:col>8</xdr:col>
      <xdr:colOff>576262</xdr:colOff>
      <xdr:row>50</xdr:row>
      <xdr:rowOff>80962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3228029-BC93-D1CD-1CDA-F671D04B7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6A094-0BCD-4C85-90B6-B37A9DC01477}" name="Table1" displayName="Table1" ref="A11:C31" totalsRowShown="0">
  <autoFilter ref="A11:C31" xr:uid="{5166A094-0BCD-4C85-90B6-B37A9DC01477}"/>
  <tableColumns count="3">
    <tableColumn id="1" xr3:uid="{A33AD591-E24F-426E-A0C2-6C6075F101C0}" name="Voltage"/>
    <tableColumn id="2" xr3:uid="{966BD6C6-50BE-4BBD-B19D-BE3636ABF460}" name="Time"/>
    <tableColumn id="3" xr3:uid="{96CABEDF-EA71-4E81-AFEF-ABB7EF9E72EC}" name="U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egert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996600"/>
      </a:hlink>
      <a:folHlink>
        <a:srgbClr val="003296"/>
      </a:folHlink>
    </a:clrScheme>
    <a:fontScheme name="BIeger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4C3D-CB93-427A-A3A9-B177BAA3DAB9}">
  <sheetPr codeName="Sheet1"/>
  <dimension ref="A1:S64"/>
  <sheetViews>
    <sheetView showGridLines="0" tabSelected="1" workbookViewId="0">
      <selection activeCell="G25" sqref="G25"/>
    </sheetView>
  </sheetViews>
  <sheetFormatPr defaultRowHeight="12.75" x14ac:dyDescent="0.2"/>
  <cols>
    <col min="1" max="1" width="10.140625" customWidth="1"/>
    <col min="16" max="19" width="13.140625" bestFit="1" customWidth="1"/>
  </cols>
  <sheetData>
    <row r="1" spans="1:19" x14ac:dyDescent="0.2">
      <c r="A1" s="1" t="s">
        <v>0</v>
      </c>
      <c r="B1" s="3" t="s">
        <v>3</v>
      </c>
      <c r="C1" s="3"/>
    </row>
    <row r="2" spans="1:19" x14ac:dyDescent="0.2">
      <c r="A2" s="1" t="s">
        <v>1</v>
      </c>
      <c r="B2" s="2"/>
      <c r="C2" s="2"/>
    </row>
    <row r="3" spans="1:19" x14ac:dyDescent="0.2">
      <c r="A3" s="1" t="s">
        <v>2</v>
      </c>
      <c r="B3" s="4"/>
      <c r="C3" s="2"/>
    </row>
    <row r="5" spans="1:19" x14ac:dyDescent="0.2">
      <c r="E5" t="str" cm="1">
        <f t="array" ref="E5:H5">TRANSPOSE(_xlfn.UNIQUE(Table1[UUT]))</f>
        <v>UUT1</v>
      </c>
      <c r="F5" t="str">
        <v>UUT2</v>
      </c>
      <c r="G5" t="str">
        <v>UUT3</v>
      </c>
      <c r="H5" t="str">
        <v>UUT4</v>
      </c>
    </row>
    <row r="8" spans="1:19" x14ac:dyDescent="0.2">
      <c r="E8" t="s">
        <v>12</v>
      </c>
    </row>
    <row r="9" spans="1:19" ht="15.75" x14ac:dyDescent="0.25">
      <c r="A9" t="s">
        <v>4</v>
      </c>
      <c r="P9" s="15" t="s">
        <v>13</v>
      </c>
      <c r="Q9" s="6"/>
      <c r="R9" s="6"/>
      <c r="S9" s="6"/>
    </row>
    <row r="10" spans="1:19" x14ac:dyDescent="0.2">
      <c r="E10">
        <v>0</v>
      </c>
      <c r="F10">
        <v>1</v>
      </c>
      <c r="G10">
        <v>0</v>
      </c>
      <c r="H10">
        <v>1</v>
      </c>
      <c r="I10">
        <v>0</v>
      </c>
      <c r="J10">
        <v>1</v>
      </c>
      <c r="K10">
        <v>0</v>
      </c>
      <c r="L10">
        <v>1</v>
      </c>
      <c r="P10" s="8">
        <v>0</v>
      </c>
      <c r="Q10" s="8">
        <v>1</v>
      </c>
      <c r="R10" s="8">
        <v>2</v>
      </c>
      <c r="S10" s="8">
        <v>3</v>
      </c>
    </row>
    <row r="11" spans="1:19" ht="13.5" thickBot="1" x14ac:dyDescent="0.25">
      <c r="A11" t="s">
        <v>5</v>
      </c>
      <c r="B11" t="s">
        <v>6</v>
      </c>
      <c r="C11" t="s">
        <v>7</v>
      </c>
      <c r="E11" t="s">
        <v>8</v>
      </c>
      <c r="F11" t="s">
        <v>8</v>
      </c>
      <c r="G11" t="s">
        <v>9</v>
      </c>
      <c r="H11" t="s">
        <v>9</v>
      </c>
      <c r="I11" t="s">
        <v>10</v>
      </c>
      <c r="J11" t="s">
        <v>10</v>
      </c>
      <c r="K11" t="s">
        <v>11</v>
      </c>
      <c r="L11" t="s">
        <v>11</v>
      </c>
      <c r="O11" s="9" t="s">
        <v>5</v>
      </c>
      <c r="P11" s="10" t="str" cm="1">
        <f t="array" ref="P11:S11">TRANSPOSE(_xlfn.UNIQUE(Table1[UUT]))</f>
        <v>UUT1</v>
      </c>
      <c r="Q11" s="10" t="str">
        <v>UUT2</v>
      </c>
      <c r="R11" s="10" t="str">
        <v>UUT3</v>
      </c>
      <c r="S11" s="11" t="str">
        <v>UUT4</v>
      </c>
    </row>
    <row r="12" spans="1:19" ht="13.5" thickTop="1" x14ac:dyDescent="0.2">
      <c r="A12">
        <v>3</v>
      </c>
      <c r="B12" s="7">
        <v>0</v>
      </c>
      <c r="C12" t="s">
        <v>8</v>
      </c>
      <c r="E12" cm="1">
        <f t="array" ref="E12:E15">_xlfn._xlws.FILTER(_xlfn._xlws.FILTER(Table1[],Table1[[UUT]:[UUT]]=E$11),CHOOSE(E$10+1,{1,0,0},{0,1,0}))</f>
        <v>3</v>
      </c>
      <c r="F12" cm="1">
        <f t="array" ref="F12:F15">_xlfn._xlws.FILTER(_xlfn._xlws.FILTER(Table1[],Table1[[UUT]:[UUT]]=F$11),CHOOSE(F$10+1,{1,0,0},{0,1,0}))</f>
        <v>0</v>
      </c>
      <c r="G12" cm="1">
        <f t="array" ref="G12:G17">_xlfn._xlws.FILTER(_xlfn._xlws.FILTER(Table1[],Table1[[UUT]:[UUT]]=G$11),CHOOSE(G$10+1,{1,0,0},{0,1,0}))</f>
        <v>3</v>
      </c>
      <c r="H12" cm="1">
        <f t="array" ref="H12:H17">_xlfn._xlws.FILTER(_xlfn._xlws.FILTER(Table1[],Table1[[UUT]:[UUT]]=H$11),CHOOSE(H$10+1,{1,0,0},{0,1,0}))</f>
        <v>0</v>
      </c>
      <c r="I12" cm="1">
        <f t="array" ref="I12:I17">_xlfn._xlws.FILTER(_xlfn._xlws.FILTER(Table1[],Table1[[UUT]:[UUT]]=I$11),CHOOSE(I$10+1,{1,0,0},{0,1,0}))</f>
        <v>3</v>
      </c>
      <c r="J12" cm="1">
        <f t="array" ref="J12:J17">_xlfn._xlws.FILTER(_xlfn._xlws.FILTER(Table1[],Table1[[UUT]:[UUT]]=J$11),CHOOSE(J$10+1,{1,0,0},{0,1,0}))</f>
        <v>0</v>
      </c>
      <c r="K12" cm="1">
        <f t="array" ref="K12:K15">_xlfn._xlws.FILTER(_xlfn._xlws.FILTER(Table1[],Table1[[UUT]:[UUT]]=K$11),CHOOSE(K$10+1,{1,0,0},{0,1,0}))</f>
        <v>3</v>
      </c>
      <c r="L12" cm="1">
        <f t="array" ref="L12:L15">_xlfn._xlws.FILTER(_xlfn._xlws.FILTER(Table1[],Table1[[UUT]:[UUT]]=L$11),CHOOSE(L$10+1,{1,0,0},{0,1,0}))</f>
        <v>0</v>
      </c>
      <c r="O12" s="12" cm="1">
        <f t="array" ref="O12:O21">_xlfn.SEQUENCE(10,1,3,(4.3-3)/9)</f>
        <v>3</v>
      </c>
      <c r="P12" s="13">
        <f ca="1">IF($O12=4.3,1,_xlfn.LET(_xlpm.NewX,$O12,_xlpm.KnownX,OFFSET(_xlfn.ANCHORARRAY($E$12),0,2*P$10),_xlpm.KnownY,OFFSET(_xlfn.ANCHORARRAY($E$12),0,2*P$10+1),FORECAST(_xlpm.NewX,OFFSET(_xlpm.KnownY,MATCH(_xlpm.NewX,_xlpm.KnownX,1)-1,0,2), OFFSET(_xlpm.KnownX,MATCH(_xlpm.NewX,_xlpm.KnownX,1)-1,0,2))))</f>
        <v>4.4408920985006262E-16</v>
      </c>
      <c r="Q12" s="13">
        <f t="shared" ref="Q12:S12" ca="1" si="0">IF($O12=4.3,1,_xlfn.LET(_xlpm.NewX,$O12,_xlpm.KnownX,OFFSET(_xlfn.ANCHORARRAY($E$12),0,2*Q$10),_xlpm.KnownY,OFFSET(_xlfn.ANCHORARRAY($E$12),0,2*Q$10+1),FORECAST(_xlpm.NewX,OFFSET(_xlpm.KnownY,MATCH(_xlpm.NewX,_xlpm.KnownX,1)-1,0,2), OFFSET(_xlpm.KnownX,MATCH(_xlpm.NewX,_xlpm.KnownX,1)-1,0,2))))</f>
        <v>8.8817841970012523E-16</v>
      </c>
      <c r="R12" s="13">
        <f t="shared" ca="1" si="0"/>
        <v>0</v>
      </c>
      <c r="S12" s="14">
        <f t="shared" ca="1" si="0"/>
        <v>0</v>
      </c>
    </row>
    <row r="13" spans="1:19" x14ac:dyDescent="0.2">
      <c r="A13">
        <v>3.5</v>
      </c>
      <c r="B13" s="7">
        <v>0.4</v>
      </c>
      <c r="C13" t="s">
        <v>8</v>
      </c>
      <c r="E13">
        <v>3.5</v>
      </c>
      <c r="F13">
        <v>0.4</v>
      </c>
      <c r="G13">
        <v>3.2</v>
      </c>
      <c r="H13">
        <v>0.3</v>
      </c>
      <c r="I13">
        <v>3.2</v>
      </c>
      <c r="J13">
        <v>0.22</v>
      </c>
      <c r="K13">
        <v>3.5</v>
      </c>
      <c r="L13">
        <v>0.19</v>
      </c>
      <c r="O13" s="12">
        <v>3.1444444444444444</v>
      </c>
      <c r="P13" s="13">
        <f t="shared" ref="P13:S21" ca="1" si="1">IF($O13=4.3,1,_xlfn.LET(_xlpm.NewX,$O13,_xlpm.KnownX,OFFSET(_xlfn.ANCHORARRAY($E$12),0,2*P$10),_xlpm.KnownY,OFFSET(_xlfn.ANCHORARRAY($E$12),0,2*P$10+1),FORECAST(_xlpm.NewX,OFFSET(_xlpm.KnownY,MATCH(_xlpm.NewX,_xlpm.KnownX,1)-1,0,2), OFFSET(_xlpm.KnownX,MATCH(_xlpm.NewX,_xlpm.KnownX,1)-1,0,2))))</f>
        <v>0.11555555555555586</v>
      </c>
      <c r="Q13" s="13">
        <f t="shared" ca="1" si="1"/>
        <v>0.21666666666666679</v>
      </c>
      <c r="R13" s="13">
        <f t="shared" ca="1" si="1"/>
        <v>0.15888888888888841</v>
      </c>
      <c r="S13" s="14">
        <f t="shared" ca="1" si="1"/>
        <v>5.4888888888888765E-2</v>
      </c>
    </row>
    <row r="14" spans="1:19" x14ac:dyDescent="0.2">
      <c r="A14">
        <v>4</v>
      </c>
      <c r="B14" s="7">
        <v>0.7</v>
      </c>
      <c r="C14" t="s">
        <v>8</v>
      </c>
      <c r="E14">
        <v>4</v>
      </c>
      <c r="F14">
        <v>0.7</v>
      </c>
      <c r="G14">
        <v>3.6</v>
      </c>
      <c r="H14">
        <v>0.5</v>
      </c>
      <c r="I14">
        <v>3.6</v>
      </c>
      <c r="J14">
        <v>0.51</v>
      </c>
      <c r="K14">
        <v>4</v>
      </c>
      <c r="L14">
        <v>0.8</v>
      </c>
      <c r="O14" s="12">
        <v>3.2888888888888888</v>
      </c>
      <c r="P14" s="13">
        <f t="shared" ca="1" si="1"/>
        <v>0.23111111111111127</v>
      </c>
      <c r="Q14" s="13">
        <f t="shared" ca="1" si="1"/>
        <v>0.34444444444444433</v>
      </c>
      <c r="R14" s="13">
        <f t="shared" ca="1" si="1"/>
        <v>0.28444444444444406</v>
      </c>
      <c r="S14" s="14">
        <f t="shared" ca="1" si="1"/>
        <v>0.10977777777777753</v>
      </c>
    </row>
    <row r="15" spans="1:19" x14ac:dyDescent="0.2">
      <c r="A15">
        <v>4.3</v>
      </c>
      <c r="B15" s="7">
        <v>0.99999999999999989</v>
      </c>
      <c r="C15" t="s">
        <v>8</v>
      </c>
      <c r="E15">
        <v>4.3</v>
      </c>
      <c r="F15">
        <v>0.99999999999999989</v>
      </c>
      <c r="G15">
        <v>4.0999999999999996</v>
      </c>
      <c r="H15">
        <v>0.6</v>
      </c>
      <c r="I15">
        <v>4.0999999999999996</v>
      </c>
      <c r="J15">
        <v>0.6</v>
      </c>
      <c r="K15">
        <v>4.3</v>
      </c>
      <c r="L15">
        <v>1</v>
      </c>
      <c r="O15" s="12">
        <v>3.4333333333333331</v>
      </c>
      <c r="P15" s="13">
        <f t="shared" ca="1" si="1"/>
        <v>0.34666666666666668</v>
      </c>
      <c r="Q15" s="13">
        <f t="shared" ca="1" si="1"/>
        <v>0.41666666666666652</v>
      </c>
      <c r="R15" s="13">
        <f t="shared" ca="1" si="1"/>
        <v>0.38916666666666622</v>
      </c>
      <c r="S15" s="14">
        <f t="shared" ca="1" si="1"/>
        <v>0.16466666666666652</v>
      </c>
    </row>
    <row r="16" spans="1:19" x14ac:dyDescent="0.2">
      <c r="A16">
        <v>3</v>
      </c>
      <c r="B16" s="7">
        <v>0</v>
      </c>
      <c r="C16" t="s">
        <v>9</v>
      </c>
      <c r="G16">
        <v>4.2</v>
      </c>
      <c r="H16">
        <v>0.8</v>
      </c>
      <c r="I16">
        <v>4.2</v>
      </c>
      <c r="J16">
        <v>0.84</v>
      </c>
      <c r="O16" s="12">
        <v>3.5777777777777775</v>
      </c>
      <c r="P16" s="13">
        <f t="shared" ca="1" si="1"/>
        <v>0.44666666666666655</v>
      </c>
      <c r="Q16" s="13">
        <f t="shared" ca="1" si="1"/>
        <v>0.48888888888888893</v>
      </c>
      <c r="R16" s="13">
        <f t="shared" ca="1" si="1"/>
        <v>0.49388888888888838</v>
      </c>
      <c r="S16" s="14">
        <f t="shared" ca="1" si="1"/>
        <v>0.2848888888888883</v>
      </c>
    </row>
    <row r="17" spans="1:19" x14ac:dyDescent="0.2">
      <c r="A17">
        <v>3.2</v>
      </c>
      <c r="B17" s="7">
        <v>0.3</v>
      </c>
      <c r="C17" t="s">
        <v>9</v>
      </c>
      <c r="G17">
        <v>4.3</v>
      </c>
      <c r="H17">
        <v>1</v>
      </c>
      <c r="I17">
        <v>4.3</v>
      </c>
      <c r="J17">
        <v>1</v>
      </c>
      <c r="O17" s="12">
        <v>3.7222222222222219</v>
      </c>
      <c r="P17" s="13">
        <f t="shared" ca="1" si="1"/>
        <v>0.53333333333333299</v>
      </c>
      <c r="Q17" s="13">
        <f t="shared" ca="1" si="1"/>
        <v>0.52444444444444449</v>
      </c>
      <c r="R17" s="13">
        <f t="shared" ca="1" si="1"/>
        <v>0.53200000000000003</v>
      </c>
      <c r="S17" s="14">
        <f t="shared" ca="1" si="1"/>
        <v>0.46111111111111036</v>
      </c>
    </row>
    <row r="18" spans="1:19" x14ac:dyDescent="0.2">
      <c r="A18">
        <v>3.6</v>
      </c>
      <c r="B18" s="7">
        <v>0.5</v>
      </c>
      <c r="C18" t="s">
        <v>9</v>
      </c>
      <c r="O18" s="12">
        <v>3.8666666666666663</v>
      </c>
      <c r="P18" s="13">
        <f t="shared" ca="1" si="1"/>
        <v>0.61999999999999988</v>
      </c>
      <c r="Q18" s="13">
        <f t="shared" ca="1" si="1"/>
        <v>0.55333333333333345</v>
      </c>
      <c r="R18" s="13">
        <f t="shared" ca="1" si="1"/>
        <v>0.55799999999999994</v>
      </c>
      <c r="S18" s="14">
        <f t="shared" ca="1" si="1"/>
        <v>0.63733333333333242</v>
      </c>
    </row>
    <row r="19" spans="1:19" x14ac:dyDescent="0.2">
      <c r="A19">
        <v>4.0999999999999996</v>
      </c>
      <c r="B19" s="7">
        <v>0.6</v>
      </c>
      <c r="C19" t="s">
        <v>9</v>
      </c>
      <c r="O19" s="12">
        <v>4.0111111111111111</v>
      </c>
      <c r="P19" s="13">
        <f t="shared" ca="1" si="1"/>
        <v>0.71111111111111036</v>
      </c>
      <c r="Q19" s="13">
        <f t="shared" ca="1" si="1"/>
        <v>0.58222222222222242</v>
      </c>
      <c r="R19" s="13">
        <f t="shared" ca="1" si="1"/>
        <v>0.58400000000000007</v>
      </c>
      <c r="S19" s="14">
        <f t="shared" ca="1" si="1"/>
        <v>0.80740740740740735</v>
      </c>
    </row>
    <row r="20" spans="1:19" x14ac:dyDescent="0.2">
      <c r="A20">
        <v>4.2</v>
      </c>
      <c r="B20" s="7">
        <v>0.8</v>
      </c>
      <c r="C20" t="s">
        <v>9</v>
      </c>
      <c r="O20" s="12">
        <v>4.1555555555555559</v>
      </c>
      <c r="P20" s="13">
        <f t="shared" ca="1" si="1"/>
        <v>0.85555555555555518</v>
      </c>
      <c r="Q20" s="13">
        <f t="shared" ca="1" si="1"/>
        <v>0.71111111111111125</v>
      </c>
      <c r="R20" s="13">
        <f t="shared" ca="1" si="1"/>
        <v>0.7333333333333325</v>
      </c>
      <c r="S20" s="14">
        <f t="shared" ca="1" si="1"/>
        <v>0.9037037037037039</v>
      </c>
    </row>
    <row r="21" spans="1:19" x14ac:dyDescent="0.2">
      <c r="A21">
        <v>4.3</v>
      </c>
      <c r="B21" s="7">
        <v>1</v>
      </c>
      <c r="C21" t="s">
        <v>9</v>
      </c>
      <c r="O21" s="12">
        <v>4.3000000000000007</v>
      </c>
      <c r="P21" s="13">
        <f t="shared" ca="1" si="1"/>
        <v>1</v>
      </c>
      <c r="Q21" s="13">
        <f t="shared" ca="1" si="1"/>
        <v>1</v>
      </c>
      <c r="R21" s="13">
        <f t="shared" ca="1" si="1"/>
        <v>1</v>
      </c>
      <c r="S21" s="14">
        <f t="shared" ca="1" si="1"/>
        <v>1</v>
      </c>
    </row>
    <row r="22" spans="1:19" x14ac:dyDescent="0.2">
      <c r="A22">
        <v>3</v>
      </c>
      <c r="B22" s="7">
        <v>0</v>
      </c>
      <c r="C22" t="s">
        <v>10</v>
      </c>
    </row>
    <row r="23" spans="1:19" x14ac:dyDescent="0.2">
      <c r="A23">
        <v>3.2</v>
      </c>
      <c r="B23" s="7">
        <v>0.22</v>
      </c>
      <c r="C23" t="s">
        <v>10</v>
      </c>
    </row>
    <row r="24" spans="1:19" x14ac:dyDescent="0.2">
      <c r="A24">
        <v>3.6</v>
      </c>
      <c r="B24" s="7">
        <v>0.51</v>
      </c>
      <c r="C24" t="s">
        <v>10</v>
      </c>
    </row>
    <row r="25" spans="1:19" x14ac:dyDescent="0.2">
      <c r="A25">
        <v>4.0999999999999996</v>
      </c>
      <c r="B25" s="7">
        <v>0.6</v>
      </c>
      <c r="C25" t="s">
        <v>10</v>
      </c>
      <c r="M25" s="5" cm="1">
        <f t="array" ref="M25:M34">_xlfn.SEQUENCE(10,1,3,(4.3-3)/9)</f>
        <v>3</v>
      </c>
      <c r="N25">
        <v>0</v>
      </c>
    </row>
    <row r="26" spans="1:19" x14ac:dyDescent="0.2">
      <c r="A26">
        <v>4.2</v>
      </c>
      <c r="B26" s="7">
        <v>0.84</v>
      </c>
      <c r="C26" t="s">
        <v>10</v>
      </c>
      <c r="M26" s="5">
        <v>3.1444444444444444</v>
      </c>
      <c r="N26">
        <v>0.28888888888888875</v>
      </c>
    </row>
    <row r="27" spans="1:19" x14ac:dyDescent="0.2">
      <c r="A27">
        <v>4.3</v>
      </c>
      <c r="B27" s="7">
        <v>1</v>
      </c>
      <c r="C27" t="s">
        <v>10</v>
      </c>
      <c r="M27" s="5">
        <v>3.2888888888888888</v>
      </c>
      <c r="N27">
        <v>0.5777777777777775</v>
      </c>
    </row>
    <row r="28" spans="1:19" x14ac:dyDescent="0.2">
      <c r="A28">
        <v>3</v>
      </c>
      <c r="B28" s="7">
        <v>0</v>
      </c>
      <c r="C28" t="s">
        <v>11</v>
      </c>
      <c r="M28" s="5">
        <v>3.4333333333333331</v>
      </c>
      <c r="N28">
        <v>0.86666666666666625</v>
      </c>
    </row>
    <row r="29" spans="1:19" x14ac:dyDescent="0.2">
      <c r="A29">
        <v>3.5</v>
      </c>
      <c r="B29" s="7">
        <v>0.19</v>
      </c>
      <c r="C29" t="s">
        <v>11</v>
      </c>
      <c r="M29" s="5">
        <v>3.5777777777777775</v>
      </c>
      <c r="N29">
        <v>1.155555555555555</v>
      </c>
    </row>
    <row r="30" spans="1:19" x14ac:dyDescent="0.2">
      <c r="A30">
        <v>4</v>
      </c>
      <c r="B30" s="7">
        <v>0.8</v>
      </c>
      <c r="C30" t="s">
        <v>11</v>
      </c>
      <c r="M30" s="5">
        <v>3.7222222222222219</v>
      </c>
      <c r="N30">
        <v>1.4444444444444438</v>
      </c>
    </row>
    <row r="31" spans="1:19" x14ac:dyDescent="0.2">
      <c r="A31">
        <v>4.3</v>
      </c>
      <c r="B31" s="7">
        <v>1</v>
      </c>
      <c r="C31" t="s">
        <v>11</v>
      </c>
      <c r="M31" s="5">
        <v>3.8666666666666663</v>
      </c>
      <c r="N31">
        <v>1.7333333333333325</v>
      </c>
    </row>
    <row r="32" spans="1:19" x14ac:dyDescent="0.2">
      <c r="M32" s="5">
        <v>4.0111111111111111</v>
      </c>
      <c r="N32">
        <v>2.0370370370370345</v>
      </c>
    </row>
    <row r="33" spans="13:16" x14ac:dyDescent="0.2">
      <c r="M33" s="5">
        <v>4.1555555555555559</v>
      </c>
      <c r="N33">
        <v>2.518518518518519</v>
      </c>
    </row>
    <row r="34" spans="13:16" x14ac:dyDescent="0.2">
      <c r="M34" s="5">
        <v>4.3000000000000007</v>
      </c>
      <c r="N34">
        <v>3</v>
      </c>
    </row>
    <row r="35" spans="13:16" x14ac:dyDescent="0.2">
      <c r="M35" s="5" cm="1">
        <f t="array" ref="M35:M44">_xlfn.SEQUENCE(10,1,3,(4.3-3)/9)</f>
        <v>3</v>
      </c>
      <c r="O35">
        <v>0</v>
      </c>
    </row>
    <row r="36" spans="13:16" x14ac:dyDescent="0.2">
      <c r="M36" s="5">
        <v>3.1444444444444444</v>
      </c>
      <c r="O36">
        <v>0.72222222222222143</v>
      </c>
    </row>
    <row r="37" spans="13:16" x14ac:dyDescent="0.2">
      <c r="M37" s="5">
        <v>3.2888888888888888</v>
      </c>
      <c r="O37">
        <v>1.2222222222222214</v>
      </c>
    </row>
    <row r="38" spans="13:16" x14ac:dyDescent="0.2">
      <c r="M38" s="5">
        <v>3.4333333333333331</v>
      </c>
      <c r="O38">
        <v>1.5833333333333321</v>
      </c>
    </row>
    <row r="39" spans="13:16" x14ac:dyDescent="0.2">
      <c r="M39" s="5">
        <v>3.5777777777777775</v>
      </c>
      <c r="O39">
        <v>1.9444444444444429</v>
      </c>
    </row>
    <row r="40" spans="13:16" x14ac:dyDescent="0.2">
      <c r="M40" s="5">
        <v>3.7222222222222219</v>
      </c>
      <c r="O40">
        <v>2.2444444444444436</v>
      </c>
    </row>
    <row r="41" spans="13:16" x14ac:dyDescent="0.2">
      <c r="M41" s="5">
        <v>3.8666666666666663</v>
      </c>
      <c r="O41">
        <v>2.5333333333333332</v>
      </c>
    </row>
    <row r="42" spans="13:16" x14ac:dyDescent="0.2">
      <c r="M42" s="5">
        <v>4.0111111111111111</v>
      </c>
      <c r="O42">
        <v>2.8222222222222229</v>
      </c>
    </row>
    <row r="43" spans="13:16" x14ac:dyDescent="0.2">
      <c r="M43" s="5">
        <v>4.1555555555555559</v>
      </c>
      <c r="O43">
        <v>3.5555555555555571</v>
      </c>
    </row>
    <row r="44" spans="13:16" x14ac:dyDescent="0.2">
      <c r="M44" s="5">
        <v>4.3000000000000007</v>
      </c>
      <c r="O44">
        <v>5</v>
      </c>
    </row>
    <row r="45" spans="13:16" x14ac:dyDescent="0.2">
      <c r="M45" s="5" cm="1">
        <f t="array" ref="M45:M54">_xlfn.SEQUENCE(10,1,3,(4.3-3)/9)</f>
        <v>3</v>
      </c>
      <c r="P45">
        <v>0</v>
      </c>
    </row>
    <row r="46" spans="13:16" x14ac:dyDescent="0.2">
      <c r="M46" s="5">
        <v>3.1444444444444444</v>
      </c>
      <c r="P46">
        <v>0.72222222222222143</v>
      </c>
    </row>
    <row r="47" spans="13:16" x14ac:dyDescent="0.2">
      <c r="M47" s="5">
        <v>3.2888888888888888</v>
      </c>
      <c r="P47">
        <v>1.2222222222222214</v>
      </c>
    </row>
    <row r="48" spans="13:16" x14ac:dyDescent="0.2">
      <c r="M48" s="5">
        <v>3.4333333333333331</v>
      </c>
      <c r="P48">
        <v>1.5833333333333321</v>
      </c>
    </row>
    <row r="49" spans="13:17" x14ac:dyDescent="0.2">
      <c r="M49" s="5">
        <v>3.5777777777777775</v>
      </c>
      <c r="P49">
        <v>1.9444444444444429</v>
      </c>
    </row>
    <row r="50" spans="13:17" x14ac:dyDescent="0.2">
      <c r="M50" s="5">
        <v>3.7222222222222219</v>
      </c>
      <c r="P50">
        <v>2.2444444444444436</v>
      </c>
    </row>
    <row r="51" spans="13:17" x14ac:dyDescent="0.2">
      <c r="M51" s="5">
        <v>3.8666666666666663</v>
      </c>
      <c r="P51">
        <v>2.5333333333333332</v>
      </c>
    </row>
    <row r="52" spans="13:17" x14ac:dyDescent="0.2">
      <c r="M52" s="5">
        <v>4.0111111111111111</v>
      </c>
      <c r="P52">
        <v>2.8222222222222229</v>
      </c>
    </row>
    <row r="53" spans="13:17" x14ac:dyDescent="0.2">
      <c r="M53" s="5">
        <v>4.1555555555555559</v>
      </c>
      <c r="P53">
        <v>3.5555555555555571</v>
      </c>
    </row>
    <row r="54" spans="13:17" x14ac:dyDescent="0.2">
      <c r="M54" s="5">
        <v>4.3000000000000007</v>
      </c>
      <c r="P54">
        <v>5</v>
      </c>
    </row>
    <row r="55" spans="13:17" x14ac:dyDescent="0.2">
      <c r="M55" s="5" cm="1">
        <f t="array" ref="M55:M64">_xlfn.SEQUENCE(10,1,3,(4.3-3)/9)</f>
        <v>3</v>
      </c>
      <c r="Q55">
        <v>0</v>
      </c>
    </row>
    <row r="56" spans="13:17" x14ac:dyDescent="0.2">
      <c r="M56" s="5">
        <v>3.1444444444444444</v>
      </c>
      <c r="Q56">
        <v>0.28888888888888875</v>
      </c>
    </row>
    <row r="57" spans="13:17" x14ac:dyDescent="0.2">
      <c r="M57" s="5">
        <v>3.2888888888888888</v>
      </c>
      <c r="Q57">
        <v>0.5777777777777775</v>
      </c>
    </row>
    <row r="58" spans="13:17" x14ac:dyDescent="0.2">
      <c r="M58" s="5">
        <v>3.4333333333333331</v>
      </c>
      <c r="Q58">
        <v>0.86666666666666625</v>
      </c>
    </row>
    <row r="59" spans="13:17" x14ac:dyDescent="0.2">
      <c r="M59" s="5">
        <v>3.5777777777777775</v>
      </c>
      <c r="Q59">
        <v>1.155555555555555</v>
      </c>
    </row>
    <row r="60" spans="13:17" x14ac:dyDescent="0.2">
      <c r="M60" s="5">
        <v>3.7222222222222219</v>
      </c>
      <c r="Q60">
        <v>1.4444444444444438</v>
      </c>
    </row>
    <row r="61" spans="13:17" x14ac:dyDescent="0.2">
      <c r="M61" s="5">
        <v>3.8666666666666663</v>
      </c>
      <c r="Q61">
        <v>1.7333333333333325</v>
      </c>
    </row>
    <row r="62" spans="13:17" x14ac:dyDescent="0.2">
      <c r="M62" s="5">
        <v>4.0111111111111111</v>
      </c>
      <c r="Q62">
        <v>2.0370370370370345</v>
      </c>
    </row>
    <row r="63" spans="13:17" x14ac:dyDescent="0.2">
      <c r="M63" s="5">
        <v>4.1555555555555559</v>
      </c>
      <c r="Q63">
        <v>2.518518518518519</v>
      </c>
    </row>
    <row r="64" spans="13:17" x14ac:dyDescent="0.2">
      <c r="M64" s="5">
        <v>4.3000000000000007</v>
      </c>
      <c r="Q64">
        <v>3</v>
      </c>
    </row>
  </sheetData>
  <phoneticPr fontId="9" type="noConversion"/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_tbl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 Biegert</cp:lastModifiedBy>
  <dcterms:created xsi:type="dcterms:W3CDTF">2019-01-24T15:32:01Z</dcterms:created>
  <dcterms:modified xsi:type="dcterms:W3CDTF">2023-01-21T21:42:06Z</dcterms:modified>
</cp:coreProperties>
</file>