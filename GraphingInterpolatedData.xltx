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wmf" ContentType="image/x-wmf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110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ark\Dropbox\GitHub\PowerQueryBitsAndPieces\"/>
    </mc:Choice>
  </mc:AlternateContent>
  <xr:revisionPtr revIDLastSave="0" documentId="13_ncr:1_{63810A9E-986C-45BF-B8F8-3E30DC9048B3}" xr6:coauthVersionLast="47" xr6:coauthVersionMax="47" xr10:uidLastSave="{00000000-0000-0000-0000-000000000000}"/>
  <bookViews>
    <workbookView xWindow="-120" yWindow="-120" windowWidth="29040" windowHeight="15720" xr2:uid="{B9646992-58BC-44A8-9040-42DC40CCACD9}"/>
  </bookViews>
  <sheets>
    <sheet name="Sheet1" sheetId="1" r:id="rId1"/>
  </sheets>
  <definedNames>
    <definedName name="_tbl">Table1[#All]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O27" i="1" l="1" a="1"/>
  <c r="O27" i="1" s="1"/>
  <c r="Q12" i="1"/>
  <c r="R12" i="1"/>
  <c r="S12" i="1"/>
  <c r="Q13" i="1"/>
  <c r="R13" i="1"/>
  <c r="S13" i="1"/>
  <c r="Q14" i="1"/>
  <c r="R14" i="1"/>
  <c r="S14" i="1"/>
  <c r="Q15" i="1"/>
  <c r="R15" i="1"/>
  <c r="S15" i="1"/>
  <c r="Q16" i="1"/>
  <c r="R16" i="1"/>
  <c r="S16" i="1"/>
  <c r="Q17" i="1"/>
  <c r="R17" i="1"/>
  <c r="S17" i="1"/>
  <c r="Q18" i="1"/>
  <c r="R18" i="1"/>
  <c r="S18" i="1"/>
  <c r="Q19" i="1"/>
  <c r="R19" i="1"/>
  <c r="S19" i="1"/>
  <c r="Q20" i="1"/>
  <c r="R20" i="1"/>
  <c r="S20" i="1"/>
  <c r="Q21" i="1"/>
  <c r="R21" i="1"/>
  <c r="S21" i="1"/>
  <c r="E12" i="1" a="1"/>
  <c r="E12" i="1" s="1"/>
  <c r="P16" i="1" s="1"/>
  <c r="K12" i="1" a="1"/>
  <c r="K12" i="1" s="1"/>
  <c r="L12" i="1" a="1"/>
  <c r="L12" i="1" s="1"/>
  <c r="J12" i="1" a="1"/>
  <c r="J12" i="1" s="1"/>
  <c r="I12" i="1" a="1"/>
  <c r="I12" i="1" s="1"/>
  <c r="P11" i="1" a="1"/>
  <c r="P11" i="1" s="1"/>
  <c r="O12" i="1" a="1"/>
  <c r="O12" i="1" s="1"/>
  <c r="F12" i="1" a="1"/>
  <c r="F12" i="1" s="1"/>
  <c r="G12" i="1" a="1"/>
  <c r="G12" i="1" s="1"/>
  <c r="H12" i="1" a="1"/>
  <c r="H12" i="1" s="1"/>
  <c r="E5" i="1" a="1"/>
  <c r="E5" i="1" s="1"/>
  <c r="T43" i="1" l="1"/>
  <c r="S48" i="1"/>
  <c r="T16" i="1"/>
  <c r="P15" i="1"/>
  <c r="T15" i="1" s="1"/>
  <c r="P14" i="1"/>
  <c r="T14" i="1" s="1"/>
  <c r="P13" i="1"/>
  <c r="T13" i="1" s="1"/>
  <c r="P12" i="1"/>
  <c r="T12" i="1" s="1"/>
  <c r="P21" i="1"/>
  <c r="T21" i="1" s="1"/>
  <c r="P18" i="1"/>
  <c r="T18" i="1" s="1"/>
  <c r="P19" i="1"/>
  <c r="T19" i="1" s="1"/>
  <c r="P17" i="1"/>
  <c r="T17" i="1" s="1"/>
  <c r="P20" i="1"/>
  <c r="T20" i="1" s="1"/>
  <c r="S42" i="1" l="1"/>
  <c r="T57" i="1"/>
  <c r="T34" i="1"/>
  <c r="S72" i="1"/>
  <c r="S116" i="1"/>
  <c r="T66" i="1"/>
  <c r="T110" i="1"/>
  <c r="T94" i="1"/>
  <c r="T73" i="1"/>
  <c r="S86" i="1"/>
  <c r="S46" i="1"/>
  <c r="T76" i="1"/>
  <c r="T101" i="1"/>
  <c r="T31" i="1"/>
  <c r="T68" i="1"/>
  <c r="T105" i="1"/>
  <c r="T35" i="1"/>
  <c r="T84" i="1"/>
  <c r="T121" i="1"/>
  <c r="T80" i="1"/>
  <c r="T117" i="1"/>
  <c r="T47" i="1"/>
  <c r="T96" i="1"/>
  <c r="T86" i="1"/>
  <c r="S89" i="1"/>
  <c r="S83" i="1"/>
  <c r="T100" i="1"/>
  <c r="T125" i="1"/>
  <c r="T55" i="1"/>
  <c r="T92" i="1"/>
  <c r="T62" i="1"/>
  <c r="T59" i="1"/>
  <c r="T108" i="1"/>
  <c r="T39" i="1"/>
  <c r="T104" i="1"/>
  <c r="T51" i="1"/>
  <c r="S106" i="1"/>
  <c r="S102" i="1"/>
  <c r="T79" i="1"/>
  <c r="S114" i="1"/>
  <c r="S97" i="1"/>
  <c r="T126" i="1"/>
  <c r="T30" i="1"/>
  <c r="T91" i="1"/>
  <c r="T74" i="1"/>
  <c r="T58" i="1"/>
  <c r="T95" i="1"/>
  <c r="T37" i="1"/>
  <c r="T75" i="1"/>
  <c r="T88" i="1"/>
  <c r="T112" i="1"/>
  <c r="T71" i="1"/>
  <c r="T124" i="1"/>
  <c r="T116" i="1"/>
  <c r="T46" i="1"/>
  <c r="T83" i="1"/>
  <c r="T98" i="1"/>
  <c r="T63" i="1"/>
  <c r="S79" i="1"/>
  <c r="S63" i="1"/>
  <c r="T29" i="1"/>
  <c r="T42" i="1"/>
  <c r="T103" i="1"/>
  <c r="T33" i="1"/>
  <c r="T70" i="1"/>
  <c r="T107" i="1"/>
  <c r="T49" i="1"/>
  <c r="T87" i="1"/>
  <c r="T67" i="1"/>
  <c r="T120" i="1"/>
  <c r="T50" i="1"/>
  <c r="S91" i="1"/>
  <c r="S75" i="1"/>
  <c r="T41" i="1"/>
  <c r="T54" i="1"/>
  <c r="T115" i="1"/>
  <c r="T45" i="1"/>
  <c r="T82" i="1"/>
  <c r="T119" i="1"/>
  <c r="T61" i="1"/>
  <c r="T99" i="1"/>
  <c r="S77" i="1"/>
  <c r="T113" i="1"/>
  <c r="T114" i="1"/>
  <c r="S123" i="1"/>
  <c r="T36" i="1"/>
  <c r="T111" i="1"/>
  <c r="S117" i="1"/>
  <c r="T65" i="1"/>
  <c r="T32" i="1"/>
  <c r="T106" i="1"/>
  <c r="T48" i="1"/>
  <c r="T123" i="1"/>
  <c r="S57" i="1"/>
  <c r="T52" i="1"/>
  <c r="T77" i="1"/>
  <c r="T90" i="1"/>
  <c r="T44" i="1"/>
  <c r="T81" i="1"/>
  <c r="T118" i="1"/>
  <c r="T60" i="1"/>
  <c r="T97" i="1"/>
  <c r="T122" i="1"/>
  <c r="T53" i="1"/>
  <c r="T40" i="1"/>
  <c r="T78" i="1"/>
  <c r="T69" i="1"/>
  <c r="T85" i="1"/>
  <c r="R69" i="1"/>
  <c r="S69" i="1"/>
  <c r="T64" i="1"/>
  <c r="T89" i="1"/>
  <c r="T102" i="1"/>
  <c r="T56" i="1"/>
  <c r="T93" i="1"/>
  <c r="T38" i="1"/>
  <c r="T72" i="1"/>
  <c r="T109" i="1"/>
  <c r="T28" i="1"/>
  <c r="S101" i="1"/>
  <c r="S56" i="1"/>
  <c r="S62" i="1"/>
  <c r="S64" i="1"/>
  <c r="S113" i="1"/>
  <c r="S31" i="1"/>
  <c r="S93" i="1"/>
  <c r="S35" i="1"/>
  <c r="S84" i="1"/>
  <c r="S38" i="1"/>
  <c r="S28" i="1"/>
  <c r="S76" i="1"/>
  <c r="S125" i="1"/>
  <c r="S43" i="1"/>
  <c r="S80" i="1"/>
  <c r="S105" i="1"/>
  <c r="S47" i="1"/>
  <c r="S96" i="1"/>
  <c r="S50" i="1"/>
  <c r="S40" i="1"/>
  <c r="S109" i="1"/>
  <c r="S100" i="1"/>
  <c r="S52" i="1"/>
  <c r="S126" i="1"/>
  <c r="S81" i="1"/>
  <c r="S88" i="1"/>
  <c r="S110" i="1"/>
  <c r="S55" i="1"/>
  <c r="S92" i="1"/>
  <c r="S98" i="1"/>
  <c r="S59" i="1"/>
  <c r="S108" i="1"/>
  <c r="S39" i="1"/>
  <c r="S112" i="1"/>
  <c r="S30" i="1"/>
  <c r="S67" i="1"/>
  <c r="S104" i="1"/>
  <c r="S34" i="1"/>
  <c r="S71" i="1"/>
  <c r="S120" i="1"/>
  <c r="S51" i="1"/>
  <c r="S37" i="1"/>
  <c r="S54" i="1"/>
  <c r="S95" i="1"/>
  <c r="S41" i="1"/>
  <c r="S103" i="1"/>
  <c r="S61" i="1"/>
  <c r="S29" i="1"/>
  <c r="S58" i="1"/>
  <c r="S49" i="1"/>
  <c r="S66" i="1"/>
  <c r="S122" i="1"/>
  <c r="S70" i="1"/>
  <c r="S107" i="1"/>
  <c r="S87" i="1"/>
  <c r="S53" i="1"/>
  <c r="S78" i="1"/>
  <c r="S115" i="1"/>
  <c r="S33" i="1"/>
  <c r="S82" i="1"/>
  <c r="S119" i="1"/>
  <c r="S73" i="1"/>
  <c r="S99" i="1"/>
  <c r="S65" i="1"/>
  <c r="S90" i="1"/>
  <c r="S74" i="1"/>
  <c r="S45" i="1"/>
  <c r="S94" i="1"/>
  <c r="S36" i="1"/>
  <c r="S85" i="1"/>
  <c r="S111" i="1"/>
  <c r="S32" i="1"/>
  <c r="S60" i="1"/>
  <c r="S44" i="1"/>
  <c r="S118" i="1"/>
  <c r="S121" i="1"/>
  <c r="S124" i="1"/>
  <c r="S68" i="1"/>
  <c r="Q39" i="1"/>
  <c r="R53" i="1"/>
  <c r="R80" i="1"/>
  <c r="R59" i="1"/>
  <c r="R64" i="1"/>
  <c r="R65" i="1"/>
  <c r="R90" i="1"/>
  <c r="R92" i="1"/>
  <c r="R71" i="1"/>
  <c r="R108" i="1"/>
  <c r="R38" i="1"/>
  <c r="R28" i="1"/>
  <c r="R76" i="1"/>
  <c r="R77" i="1"/>
  <c r="R102" i="1"/>
  <c r="R104" i="1"/>
  <c r="R46" i="1"/>
  <c r="R83" i="1"/>
  <c r="R120" i="1"/>
  <c r="R39" i="1"/>
  <c r="R74" i="1"/>
  <c r="R107" i="1"/>
  <c r="R63" i="1"/>
  <c r="R117" i="1"/>
  <c r="R35" i="1"/>
  <c r="R68" i="1"/>
  <c r="R101" i="1"/>
  <c r="R88" i="1"/>
  <c r="R116" i="1"/>
  <c r="R51" i="1"/>
  <c r="R105" i="1"/>
  <c r="R112" i="1"/>
  <c r="R113" i="1"/>
  <c r="R91" i="1"/>
  <c r="R82" i="1"/>
  <c r="R119" i="1"/>
  <c r="R37" i="1"/>
  <c r="R75" i="1"/>
  <c r="R124" i="1"/>
  <c r="R125" i="1"/>
  <c r="R62" i="1"/>
  <c r="R50" i="1"/>
  <c r="R94" i="1"/>
  <c r="R98" i="1"/>
  <c r="R49" i="1"/>
  <c r="R87" i="1"/>
  <c r="Q52" i="1"/>
  <c r="R43" i="1"/>
  <c r="R115" i="1"/>
  <c r="R110" i="1"/>
  <c r="R33" i="1"/>
  <c r="R106" i="1"/>
  <c r="R36" i="1"/>
  <c r="R61" i="1"/>
  <c r="R99" i="1"/>
  <c r="R29" i="1"/>
  <c r="R97" i="1"/>
  <c r="R89" i="1"/>
  <c r="R58" i="1"/>
  <c r="R126" i="1"/>
  <c r="R30" i="1"/>
  <c r="R114" i="1"/>
  <c r="R95" i="1"/>
  <c r="R100" i="1"/>
  <c r="R70" i="1"/>
  <c r="R122" i="1"/>
  <c r="Q35" i="1"/>
  <c r="R67" i="1"/>
  <c r="R32" i="1"/>
  <c r="R45" i="1"/>
  <c r="R118" i="1"/>
  <c r="R48" i="1"/>
  <c r="R73" i="1"/>
  <c r="R111" i="1"/>
  <c r="Q60" i="1"/>
  <c r="R103" i="1"/>
  <c r="R42" i="1"/>
  <c r="R44" i="1"/>
  <c r="R57" i="1"/>
  <c r="R86" i="1"/>
  <c r="R60" i="1"/>
  <c r="R85" i="1"/>
  <c r="R123" i="1"/>
  <c r="R31" i="1"/>
  <c r="R54" i="1"/>
  <c r="R40" i="1"/>
  <c r="R81" i="1"/>
  <c r="R47" i="1"/>
  <c r="R84" i="1"/>
  <c r="R109" i="1"/>
  <c r="R55" i="1"/>
  <c r="R72" i="1"/>
  <c r="R41" i="1"/>
  <c r="R121" i="1"/>
  <c r="R56" i="1"/>
  <c r="R66" i="1"/>
  <c r="R52" i="1"/>
  <c r="R78" i="1"/>
  <c r="R93" i="1"/>
  <c r="R96" i="1"/>
  <c r="R79" i="1"/>
  <c r="R34" i="1"/>
  <c r="Q64" i="1"/>
  <c r="Q76" i="1"/>
  <c r="Q90" i="1"/>
  <c r="Q91" i="1"/>
  <c r="Q104" i="1"/>
  <c r="Q117" i="1"/>
  <c r="Q48" i="1"/>
  <c r="Q49" i="1"/>
  <c r="Q63" i="1"/>
  <c r="Q67" i="1"/>
  <c r="Q114" i="1"/>
  <c r="Q124" i="1"/>
  <c r="Q126" i="1"/>
  <c r="Q106" i="1"/>
  <c r="Q59" i="1"/>
  <c r="Q119" i="1"/>
  <c r="Q84" i="1"/>
  <c r="Q85" i="1"/>
  <c r="Q99" i="1"/>
  <c r="Q102" i="1"/>
  <c r="Q112" i="1"/>
  <c r="Q47" i="1"/>
  <c r="Q73" i="1"/>
  <c r="Q118" i="1"/>
  <c r="Q77" i="1"/>
  <c r="Q103" i="1"/>
  <c r="Q61" i="1"/>
  <c r="Q71" i="1"/>
  <c r="Q87" i="1"/>
  <c r="Q41" i="1"/>
  <c r="Q98" i="1"/>
  <c r="Q113" i="1"/>
  <c r="Q125" i="1"/>
  <c r="Q32" i="1"/>
  <c r="Q45" i="1"/>
  <c r="Q46" i="1"/>
  <c r="Q120" i="1"/>
  <c r="Q121" i="1"/>
  <c r="Q100" i="1"/>
  <c r="Q66" i="1"/>
  <c r="Q80" i="1"/>
  <c r="Q101" i="1"/>
  <c r="Q116" i="1"/>
  <c r="Q75" i="1"/>
  <c r="Q115" i="1"/>
  <c r="Q72" i="1"/>
  <c r="Q95" i="1"/>
  <c r="Q97" i="1"/>
  <c r="Q86" i="1"/>
  <c r="Q44" i="1"/>
  <c r="Q57" i="1"/>
  <c r="Q58" i="1"/>
  <c r="Q50" i="1"/>
  <c r="Q38" i="1"/>
  <c r="Q29" i="1"/>
  <c r="Q93" i="1"/>
  <c r="Q33" i="1"/>
  <c r="Q108" i="1"/>
  <c r="Q109" i="1"/>
  <c r="Q30" i="1"/>
  <c r="P43" i="1"/>
  <c r="Q42" i="1"/>
  <c r="Q43" i="1"/>
  <c r="Q56" i="1"/>
  <c r="Q69" i="1"/>
  <c r="Q70" i="1"/>
  <c r="Q74" i="1"/>
  <c r="Q62" i="1"/>
  <c r="Q53" i="1"/>
  <c r="Q94" i="1"/>
  <c r="Q88" i="1"/>
  <c r="Q107" i="1"/>
  <c r="Q96" i="1"/>
  <c r="Q111" i="1"/>
  <c r="Q83" i="1"/>
  <c r="Q34" i="1"/>
  <c r="Q123" i="1"/>
  <c r="Q31" i="1"/>
  <c r="Q40" i="1"/>
  <c r="Q54" i="1"/>
  <c r="Q55" i="1"/>
  <c r="Q68" i="1"/>
  <c r="Q81" i="1"/>
  <c r="Q82" i="1"/>
  <c r="Q122" i="1"/>
  <c r="Q110" i="1"/>
  <c r="Q65" i="1"/>
  <c r="Q89" i="1"/>
  <c r="Q78" i="1"/>
  <c r="Q79" i="1"/>
  <c r="Q92" i="1"/>
  <c r="Q105" i="1"/>
  <c r="Q36" i="1"/>
  <c r="Q37" i="1"/>
  <c r="Q51" i="1"/>
  <c r="Q28" i="1"/>
  <c r="T27" i="1"/>
  <c r="Q27" i="1"/>
  <c r="S27" i="1"/>
  <c r="P30" i="1"/>
  <c r="P32" i="1"/>
  <c r="P36" i="1"/>
  <c r="P34" i="1"/>
  <c r="R27" i="1"/>
  <c r="P65" i="1"/>
  <c r="P57" i="1"/>
  <c r="P40" i="1"/>
  <c r="P69" i="1"/>
  <c r="P97" i="1"/>
  <c r="P101" i="1"/>
  <c r="P122" i="1"/>
  <c r="P68" i="1"/>
  <c r="P93" i="1"/>
  <c r="P35" i="1"/>
  <c r="P72" i="1"/>
  <c r="P121" i="1"/>
  <c r="P76" i="1"/>
  <c r="P113" i="1"/>
  <c r="P31" i="1"/>
  <c r="P80" i="1"/>
  <c r="P105" i="1"/>
  <c r="P47" i="1"/>
  <c r="P84" i="1"/>
  <c r="P38" i="1"/>
  <c r="P117" i="1"/>
  <c r="P96" i="1"/>
  <c r="P62" i="1"/>
  <c r="P100" i="1"/>
  <c r="P55" i="1"/>
  <c r="P104" i="1"/>
  <c r="P110" i="1"/>
  <c r="P71" i="1"/>
  <c r="P108" i="1"/>
  <c r="P74" i="1"/>
  <c r="P125" i="1"/>
  <c r="P42" i="1"/>
  <c r="P83" i="1"/>
  <c r="P120" i="1"/>
  <c r="P39" i="1"/>
  <c r="P124" i="1"/>
  <c r="P50" i="1"/>
  <c r="P51" i="1"/>
  <c r="P59" i="1"/>
  <c r="P67" i="1"/>
  <c r="P54" i="1"/>
  <c r="P79" i="1"/>
  <c r="P46" i="1"/>
  <c r="P95" i="1"/>
  <c r="P37" i="1"/>
  <c r="P29" i="1"/>
  <c r="P66" i="1"/>
  <c r="P91" i="1"/>
  <c r="P98" i="1"/>
  <c r="P58" i="1"/>
  <c r="P107" i="1"/>
  <c r="P49" i="1"/>
  <c r="P63" i="1"/>
  <c r="P92" i="1"/>
  <c r="P112" i="1"/>
  <c r="P116" i="1"/>
  <c r="P41" i="1"/>
  <c r="P78" i="1"/>
  <c r="P103" i="1"/>
  <c r="P33" i="1"/>
  <c r="P70" i="1"/>
  <c r="P119" i="1"/>
  <c r="P61" i="1"/>
  <c r="P75" i="1"/>
  <c r="P53" i="1"/>
  <c r="P90" i="1"/>
  <c r="P115" i="1"/>
  <c r="P45" i="1"/>
  <c r="P82" i="1"/>
  <c r="P86" i="1"/>
  <c r="P73" i="1"/>
  <c r="P87" i="1"/>
  <c r="P85" i="1"/>
  <c r="P99" i="1"/>
  <c r="P88" i="1"/>
  <c r="P102" i="1"/>
  <c r="P114" i="1"/>
  <c r="P111" i="1"/>
  <c r="P94" i="1"/>
  <c r="P77" i="1"/>
  <c r="P106" i="1"/>
  <c r="P52" i="1"/>
  <c r="P56" i="1"/>
  <c r="P118" i="1"/>
  <c r="P60" i="1"/>
  <c r="P109" i="1"/>
  <c r="P123" i="1"/>
  <c r="P44" i="1"/>
  <c r="P48" i="1"/>
  <c r="P89" i="1"/>
  <c r="P126" i="1"/>
  <c r="P81" i="1"/>
  <c r="P64" i="1"/>
  <c r="P28" i="1"/>
  <c r="P27" i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<sst xmlns="http://schemas.openxmlformats.org/spreadsheetml/2006/main" count="44" uniqueCount="15">
  <si>
    <t>FROM:</t>
  </si>
  <si>
    <t>SUBJECT:</t>
  </si>
  <si>
    <t>DATE:</t>
  </si>
  <si>
    <t>Mark Biegert</t>
  </si>
  <si>
    <t>Dummy Data</t>
  </si>
  <si>
    <t>Voltage</t>
  </si>
  <si>
    <t>Time</t>
  </si>
  <si>
    <t>UUT</t>
  </si>
  <si>
    <t>UUT1</t>
  </si>
  <si>
    <t>UUT2</t>
  </si>
  <si>
    <t>UUT3</t>
  </si>
  <si>
    <t>UUT4</t>
  </si>
  <si>
    <t>Break Out Data</t>
  </si>
  <si>
    <t>Y</t>
  </si>
  <si>
    <t>Mean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</si>
</sst>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64" formatCode="0.000"/>
  </numFmts>
  <fonts count="13" x14ac:knownFonts="1">
    <font>
      <sz val="10"/>
      <color theme="1"/>
      <name val="Consolas"/>
      <family val="2"/>
    </font>
    <font>
      <sz val="10"/>
      <color theme="1"/>
      <name val="Consolas"/>
      <family val="2"/>
    </font>
    <font>
      <b/>
      <sz val="11"/>
      <color theme="3"/>
      <name val="Consolas"/>
      <family val="2"/>
    </font>
    <font>
      <b/>
      <sz val="10"/>
      <color theme="1"/>
      <name val="Consolas"/>
      <family val="2"/>
    </font>
    <font>
      <b/>
      <sz val="11"/>
      <color theme="5" tint="-0.24994659260841701"/>
      <name val="Consolas"/>
      <family val="2"/>
    </font>
    <font>
      <i/>
      <sz val="11"/>
      <color theme="3"/>
      <name val="Consolas"/>
      <family val="2"/>
    </font>
    <font>
      <b/>
      <u/>
      <sz val="10"/>
      <color theme="5" tint="-0.24994659260841701"/>
      <name val="Consolas"/>
      <family val="2"/>
    </font>
    <font>
      <b/>
      <sz val="9"/>
      <color rgb="FF7030A0"/>
      <name val="Consolas"/>
      <family val="2"/>
    </font>
    <font>
      <sz val="10"/>
      <color rgb="FF7F7F7F"/>
      <name val="Consolas"/>
      <family val="2"/>
    </font>
    <font>
      <sz val="8"/>
      <name val="Consolas"/>
      <family val="2"/>
    </font>
    <font>
      <b/>
      <sz val="10"/>
      <color theme="0"/>
      <name val="Consolas"/>
      <family val="3"/>
    </font>
    <font>
      <sz val="10"/>
      <color theme="0"/>
      <name val="Consolas"/>
      <family val="2"/>
    </font>
    <font>
      <sz val="12"/>
      <color theme="1"/>
      <name val="Consolas"/>
      <family val="2"/>
    </font>
  </fonts>
  <fills count="6">
    <fill>
      <patternFill patternType="none"/>
    </fill>
    <fill>
      <patternFill patternType="gray125"/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2" tint="-9.9948118533890809E-2"/>
        <bgColor indexed="64"/>
      </patternFill>
    </fill>
    <fill>
      <patternFill patternType="solid">
        <fgColor theme="5"/>
        <bgColor indexed="64"/>
      </patternFill>
    </fill>
  </fills>
  <borders count="7">
    <border>
      <left/>
      <right/>
      <top/>
      <bottom/>
      <diagonal/>
    </border>
    <border>
      <left/>
      <right/>
      <top/>
      <bottom style="medium">
        <color theme="4" tint="0.39997558519241921"/>
      </bottom>
      <diagonal/>
    </border>
    <border>
      <left/>
      <right style="thin">
        <color auto="1"/>
      </right>
      <top/>
      <bottom style="double">
        <color indexed="64"/>
      </bottom>
      <diagonal/>
    </border>
    <border>
      <left style="thin">
        <color auto="1"/>
      </left>
      <right style="thin">
        <color auto="1"/>
      </right>
      <top/>
      <bottom style="double">
        <color indexed="64"/>
      </bottom>
      <diagonal/>
    </border>
    <border>
      <left style="thin">
        <color auto="1"/>
      </left>
      <right/>
      <top/>
      <bottom style="double">
        <color indexed="64"/>
      </bottom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/>
      <diagonal/>
    </border>
  </borders>
  <cellStyleXfs count="11">
    <xf numFmtId="0" fontId="0" fillId="0" borderId="0"/>
    <xf numFmtId="0" fontId="4" fillId="0" borderId="0" applyNumberFormat="0" applyAlignment="0" applyProtection="0"/>
    <xf numFmtId="0" fontId="5" fillId="0" borderId="0" applyNumberFormat="0" applyAlignment="0" applyProtection="0"/>
    <xf numFmtId="0" fontId="6" fillId="0" borderId="1" applyNumberFormat="0" applyAlignment="0" applyProtection="0"/>
    <xf numFmtId="0" fontId="2" fillId="0" borderId="0" applyNumberFormat="0" applyFill="0" applyBorder="0" applyAlignment="0" applyProtection="0"/>
    <xf numFmtId="0" fontId="1" fillId="2" borderId="0" applyNumberFormat="0" applyAlignment="0" applyProtection="0"/>
    <xf numFmtId="0" fontId="8" fillId="0" borderId="0" applyNumberFormat="0" applyAlignment="0" applyProtection="0"/>
    <xf numFmtId="0" fontId="7" fillId="0" borderId="0" applyNumberFormat="0" applyAlignment="0" applyProtection="0"/>
    <xf numFmtId="0" fontId="3" fillId="3" borderId="0" applyNumberFormat="0" applyAlignment="0" applyProtection="0"/>
    <xf numFmtId="0" fontId="1" fillId="4" borderId="0" applyNumberFormat="0" applyAlignment="0" applyProtection="0"/>
    <xf numFmtId="9" fontId="1" fillId="0" borderId="0" applyFont="0" applyFill="0" applyBorder="0" applyAlignment="0" applyProtection="0"/>
  </cellStyleXfs>
  <cellXfs count="16">
    <xf numFmtId="0" fontId="0" fillId="0" borderId="0" xfId="0"/>
    <xf numFmtId="0" fontId="3" fillId="3" borderId="0" xfId="8"/>
    <xf numFmtId="0" fontId="1" fillId="4" borderId="0" xfId="9"/>
    <xf numFmtId="0" fontId="0" fillId="4" borderId="0" xfId="9" applyFont="1"/>
    <xf numFmtId="15" fontId="1" fillId="4" borderId="0" xfId="9" applyNumberFormat="1"/>
    <xf numFmtId="164" fontId="0" fillId="0" borderId="0" xfId="0" applyNumberFormat="1"/>
    <xf numFmtId="0" fontId="0" fillId="0" borderId="0" xfId="0" applyAlignment="1">
      <alignment horizontal="centerContinuous"/>
    </xf>
    <xf numFmtId="0" fontId="11" fillId="0" borderId="0" xfId="0" applyFont="1"/>
    <xf numFmtId="0" fontId="10" fillId="5" borderId="2" xfId="0" applyFont="1" applyFill="1" applyBorder="1" applyAlignment="1">
      <alignment horizontal="center"/>
    </xf>
    <xf numFmtId="0" fontId="10" fillId="5" borderId="3" xfId="0" applyFont="1" applyFill="1" applyBorder="1" applyAlignment="1">
      <alignment horizontal="center"/>
    </xf>
    <xf numFmtId="0" fontId="10" fillId="5" borderId="4" xfId="0" applyFont="1" applyFill="1" applyBorder="1" applyAlignment="1">
      <alignment horizontal="center"/>
    </xf>
    <xf numFmtId="164" fontId="0" fillId="0" borderId="5" xfId="0" applyNumberFormat="1" applyBorder="1"/>
    <xf numFmtId="0" fontId="12" fillId="0" borderId="0" xfId="0" applyFont="1" applyAlignment="1">
      <alignment horizontal="centerContinuous"/>
    </xf>
    <xf numFmtId="2" fontId="0" fillId="0" borderId="0" xfId="0" applyNumberFormat="1"/>
    <xf numFmtId="2" fontId="0" fillId="0" borderId="6" xfId="10" applyNumberFormat="1" applyFont="1" applyBorder="1"/>
    <xf numFmtId="2" fontId="0" fillId="0" borderId="6" xfId="0" applyNumberFormat="1" applyBorder="1"/>
  </cellXfs>
  <cellStyles count="11">
    <cellStyle name="Comment" xfId="7" xr:uid="{763C255E-5D87-466E-95B0-D699BCBDC27A}"/>
    <cellStyle name="Explanatory Text" xfId="6" builtinId="53" customBuiltin="1"/>
    <cellStyle name="Heading 1" xfId="1" builtinId="16" customBuiltin="1"/>
    <cellStyle name="Heading 2" xfId="2" builtinId="17" customBuiltin="1"/>
    <cellStyle name="Heading 3" xfId="3" builtinId="18" customBuiltin="1"/>
    <cellStyle name="Heading 4" xfId="4" builtinId="19" hidden="1"/>
    <cellStyle name="Input" xfId="5" builtinId="20" customBuiltin="1"/>
    <cellStyle name="Introduction" xfId="8" xr:uid="{5B02A008-1F7D-4D4F-95AF-9E9DCAA6C469}"/>
    <cellStyle name="Normal" xfId="0" builtinId="0"/>
    <cellStyle name="Percent" xfId="10" builtinId="5"/>
    <cellStyle name="Salutation" xfId="9" xr:uid="{F719B4EA-B44E-4761-B427-915CA2DD4EE6}"/>
  </cellStyles>
  <dxfs count="1">
    <dxf>
      <numFmt numFmtId="2" formatCode="0.00"/>
    </dxf>
  </dxfs>
  <tableStyles count="1" defaultTableStyle="TableStyleMedium2" defaultPivotStyle="PivotStyleLight16">
    <tableStyle name="Invisible" pivot="0" table="0" count="0" xr9:uid="{992B8720-80F5-4CEC-981C-F9F763169803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Sheet1!$O$27:$O$126</c:f>
              <c:numCache>
                <c:formatCode>General</c:formatCode>
                <c:ptCount val="100"/>
                <c:pt idx="0">
                  <c:v>0</c:v>
                </c:pt>
                <c:pt idx="1">
                  <c:v>0.12121212121212122</c:v>
                </c:pt>
                <c:pt idx="2">
                  <c:v>0.24242424242424243</c:v>
                </c:pt>
                <c:pt idx="3">
                  <c:v>0.36363636363636365</c:v>
                </c:pt>
                <c:pt idx="4">
                  <c:v>0.48484848484848486</c:v>
                </c:pt>
                <c:pt idx="5">
                  <c:v>0.60606060606060608</c:v>
                </c:pt>
                <c:pt idx="6">
                  <c:v>0.72727272727272729</c:v>
                </c:pt>
                <c:pt idx="7">
                  <c:v>0.84848484848484851</c:v>
                </c:pt>
                <c:pt idx="8">
                  <c:v>0.96969696969696972</c:v>
                </c:pt>
                <c:pt idx="9">
                  <c:v>1.0909090909090908</c:v>
                </c:pt>
                <c:pt idx="10">
                  <c:v>1.2121212121212119</c:v>
                </c:pt>
                <c:pt idx="11">
                  <c:v>1.333333333333333</c:v>
                </c:pt>
                <c:pt idx="12">
                  <c:v>1.4545454545454541</c:v>
                </c:pt>
                <c:pt idx="13">
                  <c:v>1.5757575757575752</c:v>
                </c:pt>
                <c:pt idx="14">
                  <c:v>1.6969696969696964</c:v>
                </c:pt>
                <c:pt idx="15">
                  <c:v>1.8181818181818175</c:v>
                </c:pt>
                <c:pt idx="16">
                  <c:v>1.9393939393939386</c:v>
                </c:pt>
                <c:pt idx="17">
                  <c:v>2.0606060606060597</c:v>
                </c:pt>
                <c:pt idx="18">
                  <c:v>2.1818181818181808</c:v>
                </c:pt>
                <c:pt idx="19">
                  <c:v>2.3030303030303019</c:v>
                </c:pt>
                <c:pt idx="20">
                  <c:v>2.424242424242423</c:v>
                </c:pt>
                <c:pt idx="21">
                  <c:v>2.5454545454545441</c:v>
                </c:pt>
                <c:pt idx="22">
                  <c:v>2.6666666666666652</c:v>
                </c:pt>
                <c:pt idx="23">
                  <c:v>2.7878787878787863</c:v>
                </c:pt>
                <c:pt idx="24">
                  <c:v>2.9090909090909074</c:v>
                </c:pt>
                <c:pt idx="25">
                  <c:v>3.0303030303030285</c:v>
                </c:pt>
                <c:pt idx="26">
                  <c:v>3.1515151515151496</c:v>
                </c:pt>
                <c:pt idx="27">
                  <c:v>3.2727272727272707</c:v>
                </c:pt>
                <c:pt idx="28">
                  <c:v>3.3939393939393918</c:v>
                </c:pt>
                <c:pt idx="29">
                  <c:v>3.5151515151515129</c:v>
                </c:pt>
                <c:pt idx="30">
                  <c:v>3.636363636363634</c:v>
                </c:pt>
                <c:pt idx="31">
                  <c:v>3.7575757575757551</c:v>
                </c:pt>
                <c:pt idx="32">
                  <c:v>3.8787878787878762</c:v>
                </c:pt>
                <c:pt idx="33">
                  <c:v>3.9999999999999973</c:v>
                </c:pt>
                <c:pt idx="34">
                  <c:v>4.1212121212121184</c:v>
                </c:pt>
                <c:pt idx="35">
                  <c:v>4.2424242424242395</c:v>
                </c:pt>
                <c:pt idx="36">
                  <c:v>4.3636363636363606</c:v>
                </c:pt>
                <c:pt idx="37">
                  <c:v>4.4848484848484818</c:v>
                </c:pt>
                <c:pt idx="38">
                  <c:v>4.6060606060606029</c:v>
                </c:pt>
                <c:pt idx="39">
                  <c:v>4.727272727272724</c:v>
                </c:pt>
                <c:pt idx="40">
                  <c:v>4.8484848484848451</c:v>
                </c:pt>
                <c:pt idx="41">
                  <c:v>4.9696969696969662</c:v>
                </c:pt>
                <c:pt idx="42">
                  <c:v>5.0909090909090873</c:v>
                </c:pt>
                <c:pt idx="43">
                  <c:v>5.2121212121212084</c:v>
                </c:pt>
                <c:pt idx="44">
                  <c:v>5.3333333333333295</c:v>
                </c:pt>
                <c:pt idx="45">
                  <c:v>5.4545454545454506</c:v>
                </c:pt>
                <c:pt idx="46">
                  <c:v>5.5757575757575717</c:v>
                </c:pt>
                <c:pt idx="47">
                  <c:v>5.6969696969696928</c:v>
                </c:pt>
                <c:pt idx="48">
                  <c:v>5.8181818181818139</c:v>
                </c:pt>
                <c:pt idx="49">
                  <c:v>5.939393939393935</c:v>
                </c:pt>
                <c:pt idx="50">
                  <c:v>6.0606060606060561</c:v>
                </c:pt>
                <c:pt idx="51">
                  <c:v>6.1818181818181772</c:v>
                </c:pt>
                <c:pt idx="52">
                  <c:v>6.3030303030302983</c:v>
                </c:pt>
                <c:pt idx="53">
                  <c:v>6.4242424242424194</c:v>
                </c:pt>
                <c:pt idx="54">
                  <c:v>6.5454545454545405</c:v>
                </c:pt>
                <c:pt idx="55">
                  <c:v>6.6666666666666616</c:v>
                </c:pt>
                <c:pt idx="56">
                  <c:v>6.7878787878787827</c:v>
                </c:pt>
                <c:pt idx="57">
                  <c:v>6.9090909090909038</c:v>
                </c:pt>
                <c:pt idx="58">
                  <c:v>7.0303030303030249</c:v>
                </c:pt>
                <c:pt idx="59">
                  <c:v>7.1515151515151461</c:v>
                </c:pt>
                <c:pt idx="60">
                  <c:v>7.2727272727272672</c:v>
                </c:pt>
                <c:pt idx="61">
                  <c:v>7.3939393939393883</c:v>
                </c:pt>
                <c:pt idx="62">
                  <c:v>7.5151515151515094</c:v>
                </c:pt>
                <c:pt idx="63">
                  <c:v>7.6363636363636305</c:v>
                </c:pt>
                <c:pt idx="64">
                  <c:v>7.7575757575757516</c:v>
                </c:pt>
                <c:pt idx="65">
                  <c:v>7.8787878787878727</c:v>
                </c:pt>
                <c:pt idx="66">
                  <c:v>7.9999999999999938</c:v>
                </c:pt>
                <c:pt idx="67">
                  <c:v>8.1212121212121158</c:v>
                </c:pt>
                <c:pt idx="68">
                  <c:v>8.2424242424242369</c:v>
                </c:pt>
                <c:pt idx="69">
                  <c:v>8.363636363636358</c:v>
                </c:pt>
                <c:pt idx="70">
                  <c:v>8.4848484848484791</c:v>
                </c:pt>
                <c:pt idx="71">
                  <c:v>8.6060606060606002</c:v>
                </c:pt>
                <c:pt idx="72">
                  <c:v>8.7272727272727213</c:v>
                </c:pt>
                <c:pt idx="73">
                  <c:v>8.8484848484848424</c:v>
                </c:pt>
                <c:pt idx="74">
                  <c:v>8.9696969696969635</c:v>
                </c:pt>
                <c:pt idx="75">
                  <c:v>9.0909090909090846</c:v>
                </c:pt>
                <c:pt idx="76">
                  <c:v>9.2121212121212057</c:v>
                </c:pt>
                <c:pt idx="77">
                  <c:v>9.3333333333333268</c:v>
                </c:pt>
                <c:pt idx="78">
                  <c:v>9.4545454545454479</c:v>
                </c:pt>
                <c:pt idx="79">
                  <c:v>9.575757575757569</c:v>
                </c:pt>
                <c:pt idx="80">
                  <c:v>9.6969696969696901</c:v>
                </c:pt>
                <c:pt idx="81">
                  <c:v>9.8181818181818112</c:v>
                </c:pt>
                <c:pt idx="82">
                  <c:v>9.9393939393939323</c:v>
                </c:pt>
                <c:pt idx="83">
                  <c:v>10.060606060606053</c:v>
                </c:pt>
                <c:pt idx="84">
                  <c:v>10.181818181818175</c:v>
                </c:pt>
                <c:pt idx="85">
                  <c:v>10.303030303030296</c:v>
                </c:pt>
                <c:pt idx="86">
                  <c:v>10.424242424242417</c:v>
                </c:pt>
                <c:pt idx="87">
                  <c:v>10.545454545454538</c:v>
                </c:pt>
                <c:pt idx="88">
                  <c:v>10.666666666666659</c:v>
                </c:pt>
                <c:pt idx="89">
                  <c:v>10.78787878787878</c:v>
                </c:pt>
                <c:pt idx="90">
                  <c:v>10.909090909090901</c:v>
                </c:pt>
                <c:pt idx="91">
                  <c:v>11.030303030303022</c:v>
                </c:pt>
                <c:pt idx="92">
                  <c:v>11.151515151515143</c:v>
                </c:pt>
                <c:pt idx="93">
                  <c:v>11.272727272727264</c:v>
                </c:pt>
                <c:pt idx="94">
                  <c:v>11.393939393939386</c:v>
                </c:pt>
                <c:pt idx="95">
                  <c:v>11.515151515151507</c:v>
                </c:pt>
                <c:pt idx="96">
                  <c:v>11.636363636363628</c:v>
                </c:pt>
                <c:pt idx="97">
                  <c:v>11.757575757575749</c:v>
                </c:pt>
                <c:pt idx="98">
                  <c:v>11.87878787878787</c:v>
                </c:pt>
                <c:pt idx="99">
                  <c:v>11.999999999999991</c:v>
                </c:pt>
              </c:numCache>
            </c:numRef>
          </c:xVal>
          <c:yVal>
            <c:numRef>
              <c:f>Sheet1!$P$27:$P$126</c:f>
              <c:numCache>
                <c:formatCode>General</c:formatCode>
                <c:ptCount val="100"/>
                <c:pt idx="0">
                  <c:v>2.9999999999999996</c:v>
                </c:pt>
                <c:pt idx="1">
                  <c:v>3.0151515151515147</c:v>
                </c:pt>
                <c:pt idx="2">
                  <c:v>3.0303030303030298</c:v>
                </c:pt>
                <c:pt idx="3">
                  <c:v>3.045454545454545</c:v>
                </c:pt>
                <c:pt idx="4">
                  <c:v>3.0606060606060601</c:v>
                </c:pt>
                <c:pt idx="5">
                  <c:v>3.0757575757575752</c:v>
                </c:pt>
                <c:pt idx="6">
                  <c:v>3.0909090909090904</c:v>
                </c:pt>
                <c:pt idx="7">
                  <c:v>3.1060606060606055</c:v>
                </c:pt>
                <c:pt idx="8">
                  <c:v>3.1212121212121207</c:v>
                </c:pt>
                <c:pt idx="9">
                  <c:v>3.1363636363636358</c:v>
                </c:pt>
                <c:pt idx="10">
                  <c:v>3.1515151515151514</c:v>
                </c:pt>
                <c:pt idx="11">
                  <c:v>3.1666666666666665</c:v>
                </c:pt>
                <c:pt idx="12">
                  <c:v>3.1818181818181817</c:v>
                </c:pt>
                <c:pt idx="13">
                  <c:v>3.1969696969696968</c:v>
                </c:pt>
                <c:pt idx="14">
                  <c:v>3.2121212121212119</c:v>
                </c:pt>
                <c:pt idx="15">
                  <c:v>3.2272727272727271</c:v>
                </c:pt>
                <c:pt idx="16">
                  <c:v>3.2424242424242422</c:v>
                </c:pt>
                <c:pt idx="17">
                  <c:v>3.2575757575757573</c:v>
                </c:pt>
                <c:pt idx="18">
                  <c:v>3.2727272727272725</c:v>
                </c:pt>
                <c:pt idx="19">
                  <c:v>3.2878787878787876</c:v>
                </c:pt>
                <c:pt idx="20">
                  <c:v>3.3030303030303023</c:v>
                </c:pt>
                <c:pt idx="21">
                  <c:v>3.3181818181818175</c:v>
                </c:pt>
                <c:pt idx="22">
                  <c:v>3.3333333333333326</c:v>
                </c:pt>
                <c:pt idx="23">
                  <c:v>3.3484848484848477</c:v>
                </c:pt>
                <c:pt idx="24">
                  <c:v>3.3636363636363629</c:v>
                </c:pt>
                <c:pt idx="25">
                  <c:v>3.378787878787878</c:v>
                </c:pt>
                <c:pt idx="26">
                  <c:v>3.3939393939393936</c:v>
                </c:pt>
                <c:pt idx="27">
                  <c:v>3.4090909090909083</c:v>
                </c:pt>
                <c:pt idx="28">
                  <c:v>3.4242424242424239</c:v>
                </c:pt>
                <c:pt idx="29">
                  <c:v>3.4416267942583731</c:v>
                </c:pt>
                <c:pt idx="30">
                  <c:v>3.4623604465709725</c:v>
                </c:pt>
                <c:pt idx="31">
                  <c:v>3.4830940988835724</c:v>
                </c:pt>
                <c:pt idx="32">
                  <c:v>3.5038277511961722</c:v>
                </c:pt>
                <c:pt idx="33">
                  <c:v>3.5245614035087716</c:v>
                </c:pt>
                <c:pt idx="34">
                  <c:v>3.5452950558213714</c:v>
                </c:pt>
                <c:pt idx="35">
                  <c:v>3.5660287081339708</c:v>
                </c:pt>
                <c:pt idx="36">
                  <c:v>3.5909090909090899</c:v>
                </c:pt>
                <c:pt idx="37">
                  <c:v>3.6212121212121202</c:v>
                </c:pt>
                <c:pt idx="38">
                  <c:v>3.6515151515151505</c:v>
                </c:pt>
                <c:pt idx="39">
                  <c:v>3.6818181818181808</c:v>
                </c:pt>
                <c:pt idx="40">
                  <c:v>3.712121212121211</c:v>
                </c:pt>
                <c:pt idx="41">
                  <c:v>3.7424242424242418</c:v>
                </c:pt>
                <c:pt idx="42">
                  <c:v>3.772727272727272</c:v>
                </c:pt>
                <c:pt idx="43">
                  <c:v>3.8030303030303023</c:v>
                </c:pt>
                <c:pt idx="44">
                  <c:v>3.8333333333333326</c:v>
                </c:pt>
                <c:pt idx="45">
                  <c:v>3.8636363636363629</c:v>
                </c:pt>
                <c:pt idx="46">
                  <c:v>3.889789196310935</c:v>
                </c:pt>
                <c:pt idx="47">
                  <c:v>3.9154808959156782</c:v>
                </c:pt>
                <c:pt idx="48">
                  <c:v>3.9411725955204218</c:v>
                </c:pt>
                <c:pt idx="49">
                  <c:v>3.9668642951251654</c:v>
                </c:pt>
                <c:pt idx="50">
                  <c:v>3.9925559947299085</c:v>
                </c:pt>
                <c:pt idx="51">
                  <c:v>4.0136363636363646</c:v>
                </c:pt>
                <c:pt idx="52">
                  <c:v>4.0227272727272734</c:v>
                </c:pt>
                <c:pt idx="53">
                  <c:v>4.0318181818181831</c:v>
                </c:pt>
                <c:pt idx="54">
                  <c:v>4.0409090909090919</c:v>
                </c:pt>
                <c:pt idx="55">
                  <c:v>4.0500000000000007</c:v>
                </c:pt>
                <c:pt idx="56">
                  <c:v>4.0590909090909095</c:v>
                </c:pt>
                <c:pt idx="57">
                  <c:v>4.0681818181818192</c:v>
                </c:pt>
                <c:pt idx="58">
                  <c:v>4.077272727272728</c:v>
                </c:pt>
                <c:pt idx="59">
                  <c:v>4.0863636363636369</c:v>
                </c:pt>
                <c:pt idx="60">
                  <c:v>4.0954545454545457</c:v>
                </c:pt>
                <c:pt idx="61">
                  <c:v>4.1045454545454554</c:v>
                </c:pt>
                <c:pt idx="62">
                  <c:v>4.1136363636363642</c:v>
                </c:pt>
                <c:pt idx="63">
                  <c:v>4.122727272727273</c:v>
                </c:pt>
                <c:pt idx="64">
                  <c:v>4.1318181818181827</c:v>
                </c:pt>
                <c:pt idx="65">
                  <c:v>4.1409090909090915</c:v>
                </c:pt>
                <c:pt idx="66">
                  <c:v>4.1500000000000004</c:v>
                </c:pt>
                <c:pt idx="67">
                  <c:v>4.1590909090909083</c:v>
                </c:pt>
                <c:pt idx="68">
                  <c:v>4.1681818181818171</c:v>
                </c:pt>
                <c:pt idx="69">
                  <c:v>4.1772727272727259</c:v>
                </c:pt>
                <c:pt idx="70">
                  <c:v>4.1863636363636347</c:v>
                </c:pt>
                <c:pt idx="71">
                  <c:v>4.1954545454545435</c:v>
                </c:pt>
                <c:pt idx="72">
                  <c:v>4.2045454545454524</c:v>
                </c:pt>
                <c:pt idx="73">
                  <c:v>4.2136363636363612</c:v>
                </c:pt>
                <c:pt idx="74">
                  <c:v>4.22272727272727</c:v>
                </c:pt>
                <c:pt idx="75">
                  <c:v>4.2318181818181788</c:v>
                </c:pt>
                <c:pt idx="76">
                  <c:v>4.2409090909090876</c:v>
                </c:pt>
                <c:pt idx="77">
                  <c:v>4.2499999999999964</c:v>
                </c:pt>
                <c:pt idx="78">
                  <c:v>4.2590909090909053</c:v>
                </c:pt>
                <c:pt idx="79">
                  <c:v>4.2681818181818141</c:v>
                </c:pt>
                <c:pt idx="80">
                  <c:v>4.2772727272727229</c:v>
                </c:pt>
                <c:pt idx="81">
                  <c:v>4.2863636363636317</c:v>
                </c:pt>
                <c:pt idx="82">
                  <c:v>4.2954545454545414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19A-4A52-9E16-E8C96D58FC52}"/>
            </c:ext>
          </c:extLst>
        </c:ser>
        <c:ser>
          <c:idx val="1"/>
          <c:order val="1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Sheet1!$O$27:$O$126</c:f>
              <c:numCache>
                <c:formatCode>General</c:formatCode>
                <c:ptCount val="100"/>
                <c:pt idx="0">
                  <c:v>0</c:v>
                </c:pt>
                <c:pt idx="1">
                  <c:v>0.12121212121212122</c:v>
                </c:pt>
                <c:pt idx="2">
                  <c:v>0.24242424242424243</c:v>
                </c:pt>
                <c:pt idx="3">
                  <c:v>0.36363636363636365</c:v>
                </c:pt>
                <c:pt idx="4">
                  <c:v>0.48484848484848486</c:v>
                </c:pt>
                <c:pt idx="5">
                  <c:v>0.60606060606060608</c:v>
                </c:pt>
                <c:pt idx="6">
                  <c:v>0.72727272727272729</c:v>
                </c:pt>
                <c:pt idx="7">
                  <c:v>0.84848484848484851</c:v>
                </c:pt>
                <c:pt idx="8">
                  <c:v>0.96969696969696972</c:v>
                </c:pt>
                <c:pt idx="9">
                  <c:v>1.0909090909090908</c:v>
                </c:pt>
                <c:pt idx="10">
                  <c:v>1.2121212121212119</c:v>
                </c:pt>
                <c:pt idx="11">
                  <c:v>1.333333333333333</c:v>
                </c:pt>
                <c:pt idx="12">
                  <c:v>1.4545454545454541</c:v>
                </c:pt>
                <c:pt idx="13">
                  <c:v>1.5757575757575752</c:v>
                </c:pt>
                <c:pt idx="14">
                  <c:v>1.6969696969696964</c:v>
                </c:pt>
                <c:pt idx="15">
                  <c:v>1.8181818181818175</c:v>
                </c:pt>
                <c:pt idx="16">
                  <c:v>1.9393939393939386</c:v>
                </c:pt>
                <c:pt idx="17">
                  <c:v>2.0606060606060597</c:v>
                </c:pt>
                <c:pt idx="18">
                  <c:v>2.1818181818181808</c:v>
                </c:pt>
                <c:pt idx="19">
                  <c:v>2.3030303030303019</c:v>
                </c:pt>
                <c:pt idx="20">
                  <c:v>2.424242424242423</c:v>
                </c:pt>
                <c:pt idx="21">
                  <c:v>2.5454545454545441</c:v>
                </c:pt>
                <c:pt idx="22">
                  <c:v>2.6666666666666652</c:v>
                </c:pt>
                <c:pt idx="23">
                  <c:v>2.7878787878787863</c:v>
                </c:pt>
                <c:pt idx="24">
                  <c:v>2.9090909090909074</c:v>
                </c:pt>
                <c:pt idx="25">
                  <c:v>3.0303030303030285</c:v>
                </c:pt>
                <c:pt idx="26">
                  <c:v>3.1515151515151496</c:v>
                </c:pt>
                <c:pt idx="27">
                  <c:v>3.2727272727272707</c:v>
                </c:pt>
                <c:pt idx="28">
                  <c:v>3.3939393939393918</c:v>
                </c:pt>
                <c:pt idx="29">
                  <c:v>3.5151515151515129</c:v>
                </c:pt>
                <c:pt idx="30">
                  <c:v>3.636363636363634</c:v>
                </c:pt>
                <c:pt idx="31">
                  <c:v>3.7575757575757551</c:v>
                </c:pt>
                <c:pt idx="32">
                  <c:v>3.8787878787878762</c:v>
                </c:pt>
                <c:pt idx="33">
                  <c:v>3.9999999999999973</c:v>
                </c:pt>
                <c:pt idx="34">
                  <c:v>4.1212121212121184</c:v>
                </c:pt>
                <c:pt idx="35">
                  <c:v>4.2424242424242395</c:v>
                </c:pt>
                <c:pt idx="36">
                  <c:v>4.3636363636363606</c:v>
                </c:pt>
                <c:pt idx="37">
                  <c:v>4.4848484848484818</c:v>
                </c:pt>
                <c:pt idx="38">
                  <c:v>4.6060606060606029</c:v>
                </c:pt>
                <c:pt idx="39">
                  <c:v>4.727272727272724</c:v>
                </c:pt>
                <c:pt idx="40">
                  <c:v>4.8484848484848451</c:v>
                </c:pt>
                <c:pt idx="41">
                  <c:v>4.9696969696969662</c:v>
                </c:pt>
                <c:pt idx="42">
                  <c:v>5.0909090909090873</c:v>
                </c:pt>
                <c:pt idx="43">
                  <c:v>5.2121212121212084</c:v>
                </c:pt>
                <c:pt idx="44">
                  <c:v>5.3333333333333295</c:v>
                </c:pt>
                <c:pt idx="45">
                  <c:v>5.4545454545454506</c:v>
                </c:pt>
                <c:pt idx="46">
                  <c:v>5.5757575757575717</c:v>
                </c:pt>
                <c:pt idx="47">
                  <c:v>5.6969696969696928</c:v>
                </c:pt>
                <c:pt idx="48">
                  <c:v>5.8181818181818139</c:v>
                </c:pt>
                <c:pt idx="49">
                  <c:v>5.939393939393935</c:v>
                </c:pt>
                <c:pt idx="50">
                  <c:v>6.0606060606060561</c:v>
                </c:pt>
                <c:pt idx="51">
                  <c:v>6.1818181818181772</c:v>
                </c:pt>
                <c:pt idx="52">
                  <c:v>6.3030303030302983</c:v>
                </c:pt>
                <c:pt idx="53">
                  <c:v>6.4242424242424194</c:v>
                </c:pt>
                <c:pt idx="54">
                  <c:v>6.5454545454545405</c:v>
                </c:pt>
                <c:pt idx="55">
                  <c:v>6.6666666666666616</c:v>
                </c:pt>
                <c:pt idx="56">
                  <c:v>6.7878787878787827</c:v>
                </c:pt>
                <c:pt idx="57">
                  <c:v>6.9090909090909038</c:v>
                </c:pt>
                <c:pt idx="58">
                  <c:v>7.0303030303030249</c:v>
                </c:pt>
                <c:pt idx="59">
                  <c:v>7.1515151515151461</c:v>
                </c:pt>
                <c:pt idx="60">
                  <c:v>7.2727272727272672</c:v>
                </c:pt>
                <c:pt idx="61">
                  <c:v>7.3939393939393883</c:v>
                </c:pt>
                <c:pt idx="62">
                  <c:v>7.5151515151515094</c:v>
                </c:pt>
                <c:pt idx="63">
                  <c:v>7.6363636363636305</c:v>
                </c:pt>
                <c:pt idx="64">
                  <c:v>7.7575757575757516</c:v>
                </c:pt>
                <c:pt idx="65">
                  <c:v>7.8787878787878727</c:v>
                </c:pt>
                <c:pt idx="66">
                  <c:v>7.9999999999999938</c:v>
                </c:pt>
                <c:pt idx="67">
                  <c:v>8.1212121212121158</c:v>
                </c:pt>
                <c:pt idx="68">
                  <c:v>8.2424242424242369</c:v>
                </c:pt>
                <c:pt idx="69">
                  <c:v>8.363636363636358</c:v>
                </c:pt>
                <c:pt idx="70">
                  <c:v>8.4848484848484791</c:v>
                </c:pt>
                <c:pt idx="71">
                  <c:v>8.6060606060606002</c:v>
                </c:pt>
                <c:pt idx="72">
                  <c:v>8.7272727272727213</c:v>
                </c:pt>
                <c:pt idx="73">
                  <c:v>8.8484848484848424</c:v>
                </c:pt>
                <c:pt idx="74">
                  <c:v>8.9696969696969635</c:v>
                </c:pt>
                <c:pt idx="75">
                  <c:v>9.0909090909090846</c:v>
                </c:pt>
                <c:pt idx="76">
                  <c:v>9.2121212121212057</c:v>
                </c:pt>
                <c:pt idx="77">
                  <c:v>9.3333333333333268</c:v>
                </c:pt>
                <c:pt idx="78">
                  <c:v>9.4545454545454479</c:v>
                </c:pt>
                <c:pt idx="79">
                  <c:v>9.575757575757569</c:v>
                </c:pt>
                <c:pt idx="80">
                  <c:v>9.6969696969696901</c:v>
                </c:pt>
                <c:pt idx="81">
                  <c:v>9.8181818181818112</c:v>
                </c:pt>
                <c:pt idx="82">
                  <c:v>9.9393939393939323</c:v>
                </c:pt>
                <c:pt idx="83">
                  <c:v>10.060606060606053</c:v>
                </c:pt>
                <c:pt idx="84">
                  <c:v>10.181818181818175</c:v>
                </c:pt>
                <c:pt idx="85">
                  <c:v>10.303030303030296</c:v>
                </c:pt>
                <c:pt idx="86">
                  <c:v>10.424242424242417</c:v>
                </c:pt>
                <c:pt idx="87">
                  <c:v>10.545454545454538</c:v>
                </c:pt>
                <c:pt idx="88">
                  <c:v>10.666666666666659</c:v>
                </c:pt>
                <c:pt idx="89">
                  <c:v>10.78787878787878</c:v>
                </c:pt>
                <c:pt idx="90">
                  <c:v>10.909090909090901</c:v>
                </c:pt>
                <c:pt idx="91">
                  <c:v>11.030303030303022</c:v>
                </c:pt>
                <c:pt idx="92">
                  <c:v>11.151515151515143</c:v>
                </c:pt>
                <c:pt idx="93">
                  <c:v>11.272727272727264</c:v>
                </c:pt>
                <c:pt idx="94">
                  <c:v>11.393939393939386</c:v>
                </c:pt>
                <c:pt idx="95">
                  <c:v>11.515151515151507</c:v>
                </c:pt>
                <c:pt idx="96">
                  <c:v>11.636363636363628</c:v>
                </c:pt>
                <c:pt idx="97">
                  <c:v>11.757575757575749</c:v>
                </c:pt>
                <c:pt idx="98">
                  <c:v>11.87878787878787</c:v>
                </c:pt>
                <c:pt idx="99">
                  <c:v>11.999999999999991</c:v>
                </c:pt>
              </c:numCache>
            </c:numRef>
          </c:xVal>
          <c:yVal>
            <c:numRef>
              <c:f>Sheet1!$Q$27:$Q$126</c:f>
              <c:numCache>
                <c:formatCode>General</c:formatCode>
                <c:ptCount val="100"/>
                <c:pt idx="0">
                  <c:v>0</c:v>
                </c:pt>
                <c:pt idx="1">
                  <c:v>0.12121212121212122</c:v>
                </c:pt>
                <c:pt idx="2">
                  <c:v>0.24242424242424243</c:v>
                </c:pt>
                <c:pt idx="3">
                  <c:v>0.36363636363636365</c:v>
                </c:pt>
                <c:pt idx="4">
                  <c:v>0.48484848484848486</c:v>
                </c:pt>
                <c:pt idx="5">
                  <c:v>0.60606060606060608</c:v>
                </c:pt>
                <c:pt idx="6">
                  <c:v>0.72727272727272729</c:v>
                </c:pt>
                <c:pt idx="7">
                  <c:v>0.84848484848484851</c:v>
                </c:pt>
                <c:pt idx="8">
                  <c:v>0.96969696969696972</c:v>
                </c:pt>
                <c:pt idx="9">
                  <c:v>1.0909090909090908</c:v>
                </c:pt>
                <c:pt idx="10">
                  <c:v>1.2121212121212119</c:v>
                </c:pt>
                <c:pt idx="11">
                  <c:v>1.333333333333333</c:v>
                </c:pt>
                <c:pt idx="12">
                  <c:v>1.4545454545454541</c:v>
                </c:pt>
                <c:pt idx="13">
                  <c:v>1.5757575757575752</c:v>
                </c:pt>
                <c:pt idx="14">
                  <c:v>1.6969696969696964</c:v>
                </c:pt>
                <c:pt idx="15">
                  <c:v>1.8181818181818175</c:v>
                </c:pt>
                <c:pt idx="16">
                  <c:v>1.9393939393939386</c:v>
                </c:pt>
                <c:pt idx="17">
                  <c:v>2.0606060606060597</c:v>
                </c:pt>
                <c:pt idx="18">
                  <c:v>2.1818181818181808</c:v>
                </c:pt>
                <c:pt idx="19">
                  <c:v>2.3030303030303019</c:v>
                </c:pt>
                <c:pt idx="20">
                  <c:v>2.424242424242423</c:v>
                </c:pt>
                <c:pt idx="21">
                  <c:v>2.5454545454545441</c:v>
                </c:pt>
                <c:pt idx="22">
                  <c:v>2.6666666666666652</c:v>
                </c:pt>
                <c:pt idx="23">
                  <c:v>2.7878787878787863</c:v>
                </c:pt>
                <c:pt idx="24">
                  <c:v>2.9090909090909074</c:v>
                </c:pt>
                <c:pt idx="25">
                  <c:v>3.0303030303030285</c:v>
                </c:pt>
                <c:pt idx="26">
                  <c:v>3.1515151515151496</c:v>
                </c:pt>
                <c:pt idx="27">
                  <c:v>3.2727272727272707</c:v>
                </c:pt>
                <c:pt idx="28">
                  <c:v>3.3939393939393918</c:v>
                </c:pt>
                <c:pt idx="29">
                  <c:v>3.5151515151515129</c:v>
                </c:pt>
                <c:pt idx="30">
                  <c:v>3.636363636363634</c:v>
                </c:pt>
                <c:pt idx="31">
                  <c:v>3.7575757575757551</c:v>
                </c:pt>
                <c:pt idx="32">
                  <c:v>3.8787878787878762</c:v>
                </c:pt>
                <c:pt idx="33">
                  <c:v>3.9999999999999973</c:v>
                </c:pt>
                <c:pt idx="34">
                  <c:v>4.1212121212121184</c:v>
                </c:pt>
                <c:pt idx="35">
                  <c:v>4.2424242424242395</c:v>
                </c:pt>
                <c:pt idx="36">
                  <c:v>4.3636363636363606</c:v>
                </c:pt>
                <c:pt idx="37">
                  <c:v>4.4848484848484818</c:v>
                </c:pt>
                <c:pt idx="38">
                  <c:v>4.6060606060606029</c:v>
                </c:pt>
                <c:pt idx="39">
                  <c:v>4.727272727272724</c:v>
                </c:pt>
                <c:pt idx="40">
                  <c:v>4.8484848484848451</c:v>
                </c:pt>
                <c:pt idx="41">
                  <c:v>4.9696969696969662</c:v>
                </c:pt>
                <c:pt idx="42">
                  <c:v>5.0909090909090873</c:v>
                </c:pt>
                <c:pt idx="43">
                  <c:v>5.2121212121212084</c:v>
                </c:pt>
                <c:pt idx="44">
                  <c:v>5.3333333333333295</c:v>
                </c:pt>
                <c:pt idx="45">
                  <c:v>5.4545454545454506</c:v>
                </c:pt>
                <c:pt idx="46">
                  <c:v>5.5757575757575717</c:v>
                </c:pt>
                <c:pt idx="47">
                  <c:v>5.6969696969696928</c:v>
                </c:pt>
                <c:pt idx="48">
                  <c:v>5.8181818181818139</c:v>
                </c:pt>
                <c:pt idx="49">
                  <c:v>5.939393939393935</c:v>
                </c:pt>
                <c:pt idx="50">
                  <c:v>6.0606060606060561</c:v>
                </c:pt>
                <c:pt idx="51">
                  <c:v>6.1818181818181772</c:v>
                </c:pt>
                <c:pt idx="52">
                  <c:v>6.3030303030302983</c:v>
                </c:pt>
                <c:pt idx="53">
                  <c:v>6.4242424242424194</c:v>
                </c:pt>
                <c:pt idx="54">
                  <c:v>6.5454545454545405</c:v>
                </c:pt>
                <c:pt idx="55">
                  <c:v>6.6666666666666616</c:v>
                </c:pt>
                <c:pt idx="56">
                  <c:v>6.7878787878787827</c:v>
                </c:pt>
                <c:pt idx="57">
                  <c:v>6.9090909090909038</c:v>
                </c:pt>
                <c:pt idx="58">
                  <c:v>7.0303030303030249</c:v>
                </c:pt>
                <c:pt idx="59">
                  <c:v>7.1515151515151461</c:v>
                </c:pt>
                <c:pt idx="60">
                  <c:v>7.2727272727272672</c:v>
                </c:pt>
                <c:pt idx="61">
                  <c:v>7.3939393939393883</c:v>
                </c:pt>
                <c:pt idx="62">
                  <c:v>7.5151515151515094</c:v>
                </c:pt>
                <c:pt idx="63">
                  <c:v>7.6363636363636305</c:v>
                </c:pt>
                <c:pt idx="64">
                  <c:v>7.7575757575757516</c:v>
                </c:pt>
                <c:pt idx="65">
                  <c:v>7.8787878787878727</c:v>
                </c:pt>
                <c:pt idx="66">
                  <c:v>7.9999999999999938</c:v>
                </c:pt>
                <c:pt idx="67">
                  <c:v>8.1212121212121158</c:v>
                </c:pt>
                <c:pt idx="68">
                  <c:v>8.2424242424242369</c:v>
                </c:pt>
                <c:pt idx="69">
                  <c:v>8.363636363636358</c:v>
                </c:pt>
                <c:pt idx="70">
                  <c:v>8.4848484848484791</c:v>
                </c:pt>
                <c:pt idx="71">
                  <c:v>8.6060606060606002</c:v>
                </c:pt>
                <c:pt idx="72">
                  <c:v>8.7272727272727213</c:v>
                </c:pt>
                <c:pt idx="73">
                  <c:v>8.8484848484848424</c:v>
                </c:pt>
                <c:pt idx="74">
                  <c:v>8.9696969696969635</c:v>
                </c:pt>
                <c:pt idx="75">
                  <c:v>9.0909090909090846</c:v>
                </c:pt>
                <c:pt idx="76">
                  <c:v>9.2121212121212057</c:v>
                </c:pt>
                <c:pt idx="77">
                  <c:v>9.3333333333333268</c:v>
                </c:pt>
                <c:pt idx="78">
                  <c:v>9.4545454545454479</c:v>
                </c:pt>
                <c:pt idx="79">
                  <c:v>9.575757575757569</c:v>
                </c:pt>
                <c:pt idx="80">
                  <c:v>9.6969696969696901</c:v>
                </c:pt>
                <c:pt idx="81">
                  <c:v>9.8181818181818112</c:v>
                </c:pt>
                <c:pt idx="82">
                  <c:v>9.9393939393939323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319A-4A52-9E16-E8C96D58FC52}"/>
            </c:ext>
          </c:extLst>
        </c:ser>
        <c:ser>
          <c:idx val="2"/>
          <c:order val="2"/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Sheet1!$O$27:$O$126</c:f>
              <c:numCache>
                <c:formatCode>General</c:formatCode>
                <c:ptCount val="100"/>
                <c:pt idx="0">
                  <c:v>0</c:v>
                </c:pt>
                <c:pt idx="1">
                  <c:v>0.12121212121212122</c:v>
                </c:pt>
                <c:pt idx="2">
                  <c:v>0.24242424242424243</c:v>
                </c:pt>
                <c:pt idx="3">
                  <c:v>0.36363636363636365</c:v>
                </c:pt>
                <c:pt idx="4">
                  <c:v>0.48484848484848486</c:v>
                </c:pt>
                <c:pt idx="5">
                  <c:v>0.60606060606060608</c:v>
                </c:pt>
                <c:pt idx="6">
                  <c:v>0.72727272727272729</c:v>
                </c:pt>
                <c:pt idx="7">
                  <c:v>0.84848484848484851</c:v>
                </c:pt>
                <c:pt idx="8">
                  <c:v>0.96969696969696972</c:v>
                </c:pt>
                <c:pt idx="9">
                  <c:v>1.0909090909090908</c:v>
                </c:pt>
                <c:pt idx="10">
                  <c:v>1.2121212121212119</c:v>
                </c:pt>
                <c:pt idx="11">
                  <c:v>1.333333333333333</c:v>
                </c:pt>
                <c:pt idx="12">
                  <c:v>1.4545454545454541</c:v>
                </c:pt>
                <c:pt idx="13">
                  <c:v>1.5757575757575752</c:v>
                </c:pt>
                <c:pt idx="14">
                  <c:v>1.6969696969696964</c:v>
                </c:pt>
                <c:pt idx="15">
                  <c:v>1.8181818181818175</c:v>
                </c:pt>
                <c:pt idx="16">
                  <c:v>1.9393939393939386</c:v>
                </c:pt>
                <c:pt idx="17">
                  <c:v>2.0606060606060597</c:v>
                </c:pt>
                <c:pt idx="18">
                  <c:v>2.1818181818181808</c:v>
                </c:pt>
                <c:pt idx="19">
                  <c:v>2.3030303030303019</c:v>
                </c:pt>
                <c:pt idx="20">
                  <c:v>2.424242424242423</c:v>
                </c:pt>
                <c:pt idx="21">
                  <c:v>2.5454545454545441</c:v>
                </c:pt>
                <c:pt idx="22">
                  <c:v>2.6666666666666652</c:v>
                </c:pt>
                <c:pt idx="23">
                  <c:v>2.7878787878787863</c:v>
                </c:pt>
                <c:pt idx="24">
                  <c:v>2.9090909090909074</c:v>
                </c:pt>
                <c:pt idx="25">
                  <c:v>3.0303030303030285</c:v>
                </c:pt>
                <c:pt idx="26">
                  <c:v>3.1515151515151496</c:v>
                </c:pt>
                <c:pt idx="27">
                  <c:v>3.2727272727272707</c:v>
                </c:pt>
                <c:pt idx="28">
                  <c:v>3.3939393939393918</c:v>
                </c:pt>
                <c:pt idx="29">
                  <c:v>3.5151515151515129</c:v>
                </c:pt>
                <c:pt idx="30">
                  <c:v>3.636363636363634</c:v>
                </c:pt>
                <c:pt idx="31">
                  <c:v>3.7575757575757551</c:v>
                </c:pt>
                <c:pt idx="32">
                  <c:v>3.8787878787878762</c:v>
                </c:pt>
                <c:pt idx="33">
                  <c:v>3.9999999999999973</c:v>
                </c:pt>
                <c:pt idx="34">
                  <c:v>4.1212121212121184</c:v>
                </c:pt>
                <c:pt idx="35">
                  <c:v>4.2424242424242395</c:v>
                </c:pt>
                <c:pt idx="36">
                  <c:v>4.3636363636363606</c:v>
                </c:pt>
                <c:pt idx="37">
                  <c:v>4.4848484848484818</c:v>
                </c:pt>
                <c:pt idx="38">
                  <c:v>4.6060606060606029</c:v>
                </c:pt>
                <c:pt idx="39">
                  <c:v>4.727272727272724</c:v>
                </c:pt>
                <c:pt idx="40">
                  <c:v>4.8484848484848451</c:v>
                </c:pt>
                <c:pt idx="41">
                  <c:v>4.9696969696969662</c:v>
                </c:pt>
                <c:pt idx="42">
                  <c:v>5.0909090909090873</c:v>
                </c:pt>
                <c:pt idx="43">
                  <c:v>5.2121212121212084</c:v>
                </c:pt>
                <c:pt idx="44">
                  <c:v>5.3333333333333295</c:v>
                </c:pt>
                <c:pt idx="45">
                  <c:v>5.4545454545454506</c:v>
                </c:pt>
                <c:pt idx="46">
                  <c:v>5.5757575757575717</c:v>
                </c:pt>
                <c:pt idx="47">
                  <c:v>5.6969696969696928</c:v>
                </c:pt>
                <c:pt idx="48">
                  <c:v>5.8181818181818139</c:v>
                </c:pt>
                <c:pt idx="49">
                  <c:v>5.939393939393935</c:v>
                </c:pt>
                <c:pt idx="50">
                  <c:v>6.0606060606060561</c:v>
                </c:pt>
                <c:pt idx="51">
                  <c:v>6.1818181818181772</c:v>
                </c:pt>
                <c:pt idx="52">
                  <c:v>6.3030303030302983</c:v>
                </c:pt>
                <c:pt idx="53">
                  <c:v>6.4242424242424194</c:v>
                </c:pt>
                <c:pt idx="54">
                  <c:v>6.5454545454545405</c:v>
                </c:pt>
                <c:pt idx="55">
                  <c:v>6.6666666666666616</c:v>
                </c:pt>
                <c:pt idx="56">
                  <c:v>6.7878787878787827</c:v>
                </c:pt>
                <c:pt idx="57">
                  <c:v>6.9090909090909038</c:v>
                </c:pt>
                <c:pt idx="58">
                  <c:v>7.0303030303030249</c:v>
                </c:pt>
                <c:pt idx="59">
                  <c:v>7.1515151515151461</c:v>
                </c:pt>
                <c:pt idx="60">
                  <c:v>7.2727272727272672</c:v>
                </c:pt>
                <c:pt idx="61">
                  <c:v>7.3939393939393883</c:v>
                </c:pt>
                <c:pt idx="62">
                  <c:v>7.5151515151515094</c:v>
                </c:pt>
                <c:pt idx="63">
                  <c:v>7.6363636363636305</c:v>
                </c:pt>
                <c:pt idx="64">
                  <c:v>7.7575757575757516</c:v>
                </c:pt>
                <c:pt idx="65">
                  <c:v>7.8787878787878727</c:v>
                </c:pt>
                <c:pt idx="66">
                  <c:v>7.9999999999999938</c:v>
                </c:pt>
                <c:pt idx="67">
                  <c:v>8.1212121212121158</c:v>
                </c:pt>
                <c:pt idx="68">
                  <c:v>8.2424242424242369</c:v>
                </c:pt>
                <c:pt idx="69">
                  <c:v>8.363636363636358</c:v>
                </c:pt>
                <c:pt idx="70">
                  <c:v>8.4848484848484791</c:v>
                </c:pt>
                <c:pt idx="71">
                  <c:v>8.6060606060606002</c:v>
                </c:pt>
                <c:pt idx="72">
                  <c:v>8.7272727272727213</c:v>
                </c:pt>
                <c:pt idx="73">
                  <c:v>8.8484848484848424</c:v>
                </c:pt>
                <c:pt idx="74">
                  <c:v>8.9696969696969635</c:v>
                </c:pt>
                <c:pt idx="75">
                  <c:v>9.0909090909090846</c:v>
                </c:pt>
                <c:pt idx="76">
                  <c:v>9.2121212121212057</c:v>
                </c:pt>
                <c:pt idx="77">
                  <c:v>9.3333333333333268</c:v>
                </c:pt>
                <c:pt idx="78">
                  <c:v>9.4545454545454479</c:v>
                </c:pt>
                <c:pt idx="79">
                  <c:v>9.575757575757569</c:v>
                </c:pt>
                <c:pt idx="80">
                  <c:v>9.6969696969696901</c:v>
                </c:pt>
                <c:pt idx="81">
                  <c:v>9.8181818181818112</c:v>
                </c:pt>
                <c:pt idx="82">
                  <c:v>9.9393939393939323</c:v>
                </c:pt>
                <c:pt idx="83">
                  <c:v>10.060606060606053</c:v>
                </c:pt>
                <c:pt idx="84">
                  <c:v>10.181818181818175</c:v>
                </c:pt>
                <c:pt idx="85">
                  <c:v>10.303030303030296</c:v>
                </c:pt>
                <c:pt idx="86">
                  <c:v>10.424242424242417</c:v>
                </c:pt>
                <c:pt idx="87">
                  <c:v>10.545454545454538</c:v>
                </c:pt>
                <c:pt idx="88">
                  <c:v>10.666666666666659</c:v>
                </c:pt>
                <c:pt idx="89">
                  <c:v>10.78787878787878</c:v>
                </c:pt>
                <c:pt idx="90">
                  <c:v>10.909090909090901</c:v>
                </c:pt>
                <c:pt idx="91">
                  <c:v>11.030303030303022</c:v>
                </c:pt>
                <c:pt idx="92">
                  <c:v>11.151515151515143</c:v>
                </c:pt>
                <c:pt idx="93">
                  <c:v>11.272727272727264</c:v>
                </c:pt>
                <c:pt idx="94">
                  <c:v>11.393939393939386</c:v>
                </c:pt>
                <c:pt idx="95">
                  <c:v>11.515151515151507</c:v>
                </c:pt>
                <c:pt idx="96">
                  <c:v>11.636363636363628</c:v>
                </c:pt>
                <c:pt idx="97">
                  <c:v>11.757575757575749</c:v>
                </c:pt>
                <c:pt idx="98">
                  <c:v>11.87878787878787</c:v>
                </c:pt>
                <c:pt idx="99">
                  <c:v>11.999999999999991</c:v>
                </c:pt>
              </c:numCache>
            </c:numRef>
          </c:xVal>
          <c:yVal>
            <c:numRef>
              <c:f>Sheet1!$R$27:$R$126</c:f>
              <c:numCache>
                <c:formatCode>General</c:formatCode>
                <c:ptCount val="100"/>
                <c:pt idx="0">
                  <c:v>-2.2204460492503131E-16</c:v>
                </c:pt>
                <c:pt idx="1">
                  <c:v>0.30303030303030265</c:v>
                </c:pt>
                <c:pt idx="2">
                  <c:v>0.60606060606060552</c:v>
                </c:pt>
                <c:pt idx="3">
                  <c:v>0.90909090909090839</c:v>
                </c:pt>
                <c:pt idx="4">
                  <c:v>1.2121212121212113</c:v>
                </c:pt>
                <c:pt idx="5">
                  <c:v>1.5151515151515142</c:v>
                </c:pt>
                <c:pt idx="6">
                  <c:v>1.818181818181817</c:v>
                </c:pt>
                <c:pt idx="7">
                  <c:v>2.1212121212121202</c:v>
                </c:pt>
                <c:pt idx="8">
                  <c:v>2.424242424242423</c:v>
                </c:pt>
                <c:pt idx="9">
                  <c:v>2.7272727272727257</c:v>
                </c:pt>
                <c:pt idx="10">
                  <c:v>2.9759129759129737</c:v>
                </c:pt>
                <c:pt idx="11">
                  <c:v>3.16239316239316</c:v>
                </c:pt>
                <c:pt idx="12">
                  <c:v>3.3488733488733464</c:v>
                </c:pt>
                <c:pt idx="13">
                  <c:v>3.5353535353535328</c:v>
                </c:pt>
                <c:pt idx="14">
                  <c:v>3.7218337218337192</c:v>
                </c:pt>
                <c:pt idx="15">
                  <c:v>3.908313908313906</c:v>
                </c:pt>
                <c:pt idx="16">
                  <c:v>4.0947940947940928</c:v>
                </c:pt>
                <c:pt idx="17">
                  <c:v>4.2812742812742783</c:v>
                </c:pt>
                <c:pt idx="18">
                  <c:v>4.4677544677544656</c:v>
                </c:pt>
                <c:pt idx="19">
                  <c:v>4.654234654234652</c:v>
                </c:pt>
                <c:pt idx="20">
                  <c:v>4.7727272727272698</c:v>
                </c:pt>
                <c:pt idx="21">
                  <c:v>4.8863636363636331</c:v>
                </c:pt>
                <c:pt idx="22">
                  <c:v>4.9999999999999964</c:v>
                </c:pt>
                <c:pt idx="23">
                  <c:v>5.1136363636363606</c:v>
                </c:pt>
                <c:pt idx="24">
                  <c:v>5.227272727272724</c:v>
                </c:pt>
                <c:pt idx="25">
                  <c:v>5.3409090909090873</c:v>
                </c:pt>
                <c:pt idx="26">
                  <c:v>5.4545454545454515</c:v>
                </c:pt>
                <c:pt idx="27">
                  <c:v>5.5681818181818148</c:v>
                </c:pt>
                <c:pt idx="28">
                  <c:v>5.6818181818181781</c:v>
                </c:pt>
                <c:pt idx="29">
                  <c:v>5.8122009569377955</c:v>
                </c:pt>
                <c:pt idx="30">
                  <c:v>5.9677033492822931</c:v>
                </c:pt>
                <c:pt idx="31">
                  <c:v>6.1232057416267907</c:v>
                </c:pt>
                <c:pt idx="32">
                  <c:v>6.2787081339712882</c:v>
                </c:pt>
                <c:pt idx="33">
                  <c:v>6.4342105263157858</c:v>
                </c:pt>
                <c:pt idx="34">
                  <c:v>6.5897129186602834</c:v>
                </c:pt>
                <c:pt idx="35">
                  <c:v>6.745215311004781</c:v>
                </c:pt>
                <c:pt idx="36">
                  <c:v>6.8929292929292894</c:v>
                </c:pt>
                <c:pt idx="37">
                  <c:v>7.0304584304584266</c:v>
                </c:pt>
                <c:pt idx="38">
                  <c:v>7.1679875679875646</c:v>
                </c:pt>
                <c:pt idx="39">
                  <c:v>7.3055167055167018</c:v>
                </c:pt>
                <c:pt idx="40">
                  <c:v>7.443045843045839</c:v>
                </c:pt>
                <c:pt idx="41">
                  <c:v>7.5696969696969658</c:v>
                </c:pt>
                <c:pt idx="42">
                  <c:v>7.6909090909090878</c:v>
                </c:pt>
                <c:pt idx="43">
                  <c:v>7.8121212121212089</c:v>
                </c:pt>
                <c:pt idx="44">
                  <c:v>7.9333333333333309</c:v>
                </c:pt>
                <c:pt idx="45">
                  <c:v>8.0545454545454511</c:v>
                </c:pt>
                <c:pt idx="46">
                  <c:v>8.1591567852437414</c:v>
                </c:pt>
                <c:pt idx="47">
                  <c:v>8.2619235836627141</c:v>
                </c:pt>
                <c:pt idx="48">
                  <c:v>8.3646903820816885</c:v>
                </c:pt>
                <c:pt idx="49">
                  <c:v>8.4674571805006629</c:v>
                </c:pt>
                <c:pt idx="50">
                  <c:v>8.5702239789196355</c:v>
                </c:pt>
                <c:pt idx="51">
                  <c:v>8.660372960372964</c:v>
                </c:pt>
                <c:pt idx="52">
                  <c:v>8.717715617715621</c:v>
                </c:pt>
                <c:pt idx="53">
                  <c:v>8.775058275058278</c:v>
                </c:pt>
                <c:pt idx="54">
                  <c:v>8.8324009324009349</c:v>
                </c:pt>
                <c:pt idx="55">
                  <c:v>8.8897435897435919</c:v>
                </c:pt>
                <c:pt idx="56">
                  <c:v>8.9470862470862489</c:v>
                </c:pt>
                <c:pt idx="57">
                  <c:v>9.0044289044289059</c:v>
                </c:pt>
                <c:pt idx="58">
                  <c:v>9.0617715617715628</c:v>
                </c:pt>
                <c:pt idx="59">
                  <c:v>9.1191142191142198</c:v>
                </c:pt>
                <c:pt idx="60">
                  <c:v>9.1764568764568768</c:v>
                </c:pt>
                <c:pt idx="61">
                  <c:v>9.2337995337995338</c:v>
                </c:pt>
                <c:pt idx="62">
                  <c:v>9.2911421911421908</c:v>
                </c:pt>
                <c:pt idx="63">
                  <c:v>9.3484848484848477</c:v>
                </c:pt>
                <c:pt idx="64">
                  <c:v>9.4058275058275047</c:v>
                </c:pt>
                <c:pt idx="65">
                  <c:v>9.4631701631701617</c:v>
                </c:pt>
                <c:pt idx="66">
                  <c:v>9.5205128205128187</c:v>
                </c:pt>
                <c:pt idx="67">
                  <c:v>9.5909090909090864</c:v>
                </c:pt>
                <c:pt idx="68">
                  <c:v>9.6818181818181746</c:v>
                </c:pt>
                <c:pt idx="69">
                  <c:v>9.7727272727272627</c:v>
                </c:pt>
                <c:pt idx="70">
                  <c:v>9.8636363636363527</c:v>
                </c:pt>
                <c:pt idx="71">
                  <c:v>9.9545454545454408</c:v>
                </c:pt>
                <c:pt idx="72">
                  <c:v>10.045454545454529</c:v>
                </c:pt>
                <c:pt idx="73">
                  <c:v>10.136363636363619</c:v>
                </c:pt>
                <c:pt idx="74">
                  <c:v>10.227272727272705</c:v>
                </c:pt>
                <c:pt idx="75">
                  <c:v>10.318181818181795</c:v>
                </c:pt>
                <c:pt idx="76">
                  <c:v>10.409090909090883</c:v>
                </c:pt>
                <c:pt idx="77">
                  <c:v>10.499999999999972</c:v>
                </c:pt>
                <c:pt idx="78">
                  <c:v>10.590909090909062</c:v>
                </c:pt>
                <c:pt idx="79">
                  <c:v>10.68181818181815</c:v>
                </c:pt>
                <c:pt idx="80">
                  <c:v>10.772727272727238</c:v>
                </c:pt>
                <c:pt idx="81">
                  <c:v>10.863636363636328</c:v>
                </c:pt>
                <c:pt idx="82">
                  <c:v>10.954545454545414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319A-4A52-9E16-E8C96D58FC52}"/>
            </c:ext>
          </c:extLst>
        </c:ser>
        <c:ser>
          <c:idx val="3"/>
          <c:order val="3"/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Sheet1!$O$27:$O$126</c:f>
              <c:numCache>
                <c:formatCode>General</c:formatCode>
                <c:ptCount val="100"/>
                <c:pt idx="0">
                  <c:v>0</c:v>
                </c:pt>
                <c:pt idx="1">
                  <c:v>0.12121212121212122</c:v>
                </c:pt>
                <c:pt idx="2">
                  <c:v>0.24242424242424243</c:v>
                </c:pt>
                <c:pt idx="3">
                  <c:v>0.36363636363636365</c:v>
                </c:pt>
                <c:pt idx="4">
                  <c:v>0.48484848484848486</c:v>
                </c:pt>
                <c:pt idx="5">
                  <c:v>0.60606060606060608</c:v>
                </c:pt>
                <c:pt idx="6">
                  <c:v>0.72727272727272729</c:v>
                </c:pt>
                <c:pt idx="7">
                  <c:v>0.84848484848484851</c:v>
                </c:pt>
                <c:pt idx="8">
                  <c:v>0.96969696969696972</c:v>
                </c:pt>
                <c:pt idx="9">
                  <c:v>1.0909090909090908</c:v>
                </c:pt>
                <c:pt idx="10">
                  <c:v>1.2121212121212119</c:v>
                </c:pt>
                <c:pt idx="11">
                  <c:v>1.333333333333333</c:v>
                </c:pt>
                <c:pt idx="12">
                  <c:v>1.4545454545454541</c:v>
                </c:pt>
                <c:pt idx="13">
                  <c:v>1.5757575757575752</c:v>
                </c:pt>
                <c:pt idx="14">
                  <c:v>1.6969696969696964</c:v>
                </c:pt>
                <c:pt idx="15">
                  <c:v>1.8181818181818175</c:v>
                </c:pt>
                <c:pt idx="16">
                  <c:v>1.9393939393939386</c:v>
                </c:pt>
                <c:pt idx="17">
                  <c:v>2.0606060606060597</c:v>
                </c:pt>
                <c:pt idx="18">
                  <c:v>2.1818181818181808</c:v>
                </c:pt>
                <c:pt idx="19">
                  <c:v>2.3030303030303019</c:v>
                </c:pt>
                <c:pt idx="20">
                  <c:v>2.424242424242423</c:v>
                </c:pt>
                <c:pt idx="21">
                  <c:v>2.5454545454545441</c:v>
                </c:pt>
                <c:pt idx="22">
                  <c:v>2.6666666666666652</c:v>
                </c:pt>
                <c:pt idx="23">
                  <c:v>2.7878787878787863</c:v>
                </c:pt>
                <c:pt idx="24">
                  <c:v>2.9090909090909074</c:v>
                </c:pt>
                <c:pt idx="25">
                  <c:v>3.0303030303030285</c:v>
                </c:pt>
                <c:pt idx="26">
                  <c:v>3.1515151515151496</c:v>
                </c:pt>
                <c:pt idx="27">
                  <c:v>3.2727272727272707</c:v>
                </c:pt>
                <c:pt idx="28">
                  <c:v>3.3939393939393918</c:v>
                </c:pt>
                <c:pt idx="29">
                  <c:v>3.5151515151515129</c:v>
                </c:pt>
                <c:pt idx="30">
                  <c:v>3.636363636363634</c:v>
                </c:pt>
                <c:pt idx="31">
                  <c:v>3.7575757575757551</c:v>
                </c:pt>
                <c:pt idx="32">
                  <c:v>3.8787878787878762</c:v>
                </c:pt>
                <c:pt idx="33">
                  <c:v>3.9999999999999973</c:v>
                </c:pt>
                <c:pt idx="34">
                  <c:v>4.1212121212121184</c:v>
                </c:pt>
                <c:pt idx="35">
                  <c:v>4.2424242424242395</c:v>
                </c:pt>
                <c:pt idx="36">
                  <c:v>4.3636363636363606</c:v>
                </c:pt>
                <c:pt idx="37">
                  <c:v>4.4848484848484818</c:v>
                </c:pt>
                <c:pt idx="38">
                  <c:v>4.6060606060606029</c:v>
                </c:pt>
                <c:pt idx="39">
                  <c:v>4.727272727272724</c:v>
                </c:pt>
                <c:pt idx="40">
                  <c:v>4.8484848484848451</c:v>
                </c:pt>
                <c:pt idx="41">
                  <c:v>4.9696969696969662</c:v>
                </c:pt>
                <c:pt idx="42">
                  <c:v>5.0909090909090873</c:v>
                </c:pt>
                <c:pt idx="43">
                  <c:v>5.2121212121212084</c:v>
                </c:pt>
                <c:pt idx="44">
                  <c:v>5.3333333333333295</c:v>
                </c:pt>
                <c:pt idx="45">
                  <c:v>5.4545454545454506</c:v>
                </c:pt>
                <c:pt idx="46">
                  <c:v>5.5757575757575717</c:v>
                </c:pt>
                <c:pt idx="47">
                  <c:v>5.6969696969696928</c:v>
                </c:pt>
                <c:pt idx="48">
                  <c:v>5.8181818181818139</c:v>
                </c:pt>
                <c:pt idx="49">
                  <c:v>5.939393939393935</c:v>
                </c:pt>
                <c:pt idx="50">
                  <c:v>6.0606060606060561</c:v>
                </c:pt>
                <c:pt idx="51">
                  <c:v>6.1818181818181772</c:v>
                </c:pt>
                <c:pt idx="52">
                  <c:v>6.3030303030302983</c:v>
                </c:pt>
                <c:pt idx="53">
                  <c:v>6.4242424242424194</c:v>
                </c:pt>
                <c:pt idx="54">
                  <c:v>6.5454545454545405</c:v>
                </c:pt>
                <c:pt idx="55">
                  <c:v>6.6666666666666616</c:v>
                </c:pt>
                <c:pt idx="56">
                  <c:v>6.7878787878787827</c:v>
                </c:pt>
                <c:pt idx="57">
                  <c:v>6.9090909090909038</c:v>
                </c:pt>
                <c:pt idx="58">
                  <c:v>7.0303030303030249</c:v>
                </c:pt>
                <c:pt idx="59">
                  <c:v>7.1515151515151461</c:v>
                </c:pt>
                <c:pt idx="60">
                  <c:v>7.2727272727272672</c:v>
                </c:pt>
                <c:pt idx="61">
                  <c:v>7.3939393939393883</c:v>
                </c:pt>
                <c:pt idx="62">
                  <c:v>7.5151515151515094</c:v>
                </c:pt>
                <c:pt idx="63">
                  <c:v>7.6363636363636305</c:v>
                </c:pt>
                <c:pt idx="64">
                  <c:v>7.7575757575757516</c:v>
                </c:pt>
                <c:pt idx="65">
                  <c:v>7.8787878787878727</c:v>
                </c:pt>
                <c:pt idx="66">
                  <c:v>7.9999999999999938</c:v>
                </c:pt>
                <c:pt idx="67">
                  <c:v>8.1212121212121158</c:v>
                </c:pt>
                <c:pt idx="68">
                  <c:v>8.2424242424242369</c:v>
                </c:pt>
                <c:pt idx="69">
                  <c:v>8.363636363636358</c:v>
                </c:pt>
                <c:pt idx="70">
                  <c:v>8.4848484848484791</c:v>
                </c:pt>
                <c:pt idx="71">
                  <c:v>8.6060606060606002</c:v>
                </c:pt>
                <c:pt idx="72">
                  <c:v>8.7272727272727213</c:v>
                </c:pt>
                <c:pt idx="73">
                  <c:v>8.8484848484848424</c:v>
                </c:pt>
                <c:pt idx="74">
                  <c:v>8.9696969696969635</c:v>
                </c:pt>
                <c:pt idx="75">
                  <c:v>9.0909090909090846</c:v>
                </c:pt>
                <c:pt idx="76">
                  <c:v>9.2121212121212057</c:v>
                </c:pt>
                <c:pt idx="77">
                  <c:v>9.3333333333333268</c:v>
                </c:pt>
                <c:pt idx="78">
                  <c:v>9.4545454545454479</c:v>
                </c:pt>
                <c:pt idx="79">
                  <c:v>9.575757575757569</c:v>
                </c:pt>
                <c:pt idx="80">
                  <c:v>9.6969696969696901</c:v>
                </c:pt>
                <c:pt idx="81">
                  <c:v>9.8181818181818112</c:v>
                </c:pt>
                <c:pt idx="82">
                  <c:v>9.9393939393939323</c:v>
                </c:pt>
                <c:pt idx="83">
                  <c:v>10.060606060606053</c:v>
                </c:pt>
                <c:pt idx="84">
                  <c:v>10.181818181818175</c:v>
                </c:pt>
                <c:pt idx="85">
                  <c:v>10.303030303030296</c:v>
                </c:pt>
                <c:pt idx="86">
                  <c:v>10.424242424242417</c:v>
                </c:pt>
                <c:pt idx="87">
                  <c:v>10.545454545454538</c:v>
                </c:pt>
                <c:pt idx="88">
                  <c:v>10.666666666666659</c:v>
                </c:pt>
                <c:pt idx="89">
                  <c:v>10.78787878787878</c:v>
                </c:pt>
                <c:pt idx="90">
                  <c:v>10.909090909090901</c:v>
                </c:pt>
                <c:pt idx="91">
                  <c:v>11.030303030303022</c:v>
                </c:pt>
                <c:pt idx="92">
                  <c:v>11.151515151515143</c:v>
                </c:pt>
                <c:pt idx="93">
                  <c:v>11.272727272727264</c:v>
                </c:pt>
                <c:pt idx="94">
                  <c:v>11.393939393939386</c:v>
                </c:pt>
                <c:pt idx="95">
                  <c:v>11.515151515151507</c:v>
                </c:pt>
                <c:pt idx="96">
                  <c:v>11.636363636363628</c:v>
                </c:pt>
                <c:pt idx="97">
                  <c:v>11.757575757575749</c:v>
                </c:pt>
                <c:pt idx="98">
                  <c:v>11.87878787878787</c:v>
                </c:pt>
                <c:pt idx="99">
                  <c:v>11.999999999999991</c:v>
                </c:pt>
              </c:numCache>
            </c:numRef>
          </c:xVal>
          <c:yVal>
            <c:numRef>
              <c:f>Sheet1!$S$27:$S$126</c:f>
              <c:numCache>
                <c:formatCode>General</c:formatCode>
                <c:ptCount val="100"/>
                <c:pt idx="0">
                  <c:v>-5.5511151231257827E-17</c:v>
                </c:pt>
                <c:pt idx="1">
                  <c:v>7.5757575757575663E-2</c:v>
                </c:pt>
                <c:pt idx="2">
                  <c:v>0.15151515151515138</c:v>
                </c:pt>
                <c:pt idx="3">
                  <c:v>0.2272727272727271</c:v>
                </c:pt>
                <c:pt idx="4">
                  <c:v>0.30303030303030282</c:v>
                </c:pt>
                <c:pt idx="5">
                  <c:v>0.37878787878787856</c:v>
                </c:pt>
                <c:pt idx="6">
                  <c:v>0.45454545454545425</c:v>
                </c:pt>
                <c:pt idx="7">
                  <c:v>0.53030303030303005</c:v>
                </c:pt>
                <c:pt idx="8">
                  <c:v>0.60606060606060574</c:v>
                </c:pt>
                <c:pt idx="9">
                  <c:v>0.68181818181818143</c:v>
                </c:pt>
                <c:pt idx="10">
                  <c:v>0.74669774669774602</c:v>
                </c:pt>
                <c:pt idx="11">
                  <c:v>0.79914529914529842</c:v>
                </c:pt>
                <c:pt idx="12">
                  <c:v>0.85159285159285092</c:v>
                </c:pt>
                <c:pt idx="13">
                  <c:v>0.90404040404040331</c:v>
                </c:pt>
                <c:pt idx="14">
                  <c:v>0.9564879564879557</c:v>
                </c:pt>
                <c:pt idx="15">
                  <c:v>1.0089355089355081</c:v>
                </c:pt>
                <c:pt idx="16">
                  <c:v>1.0613830613830606</c:v>
                </c:pt>
                <c:pt idx="17">
                  <c:v>1.1138306138306131</c:v>
                </c:pt>
                <c:pt idx="18">
                  <c:v>1.1662781662781656</c:v>
                </c:pt>
                <c:pt idx="19">
                  <c:v>1.2187257187257179</c:v>
                </c:pt>
                <c:pt idx="20">
                  <c:v>1.2575757575757567</c:v>
                </c:pt>
                <c:pt idx="21">
                  <c:v>1.2954545454545445</c:v>
                </c:pt>
                <c:pt idx="22">
                  <c:v>1.3333333333333321</c:v>
                </c:pt>
                <c:pt idx="23">
                  <c:v>1.3712121212121202</c:v>
                </c:pt>
                <c:pt idx="24">
                  <c:v>1.4090909090909078</c:v>
                </c:pt>
                <c:pt idx="25">
                  <c:v>1.4469696969696959</c:v>
                </c:pt>
                <c:pt idx="26">
                  <c:v>1.4848484848484835</c:v>
                </c:pt>
                <c:pt idx="27">
                  <c:v>1.5227272727272716</c:v>
                </c:pt>
                <c:pt idx="28">
                  <c:v>1.5606060606060592</c:v>
                </c:pt>
                <c:pt idx="29">
                  <c:v>1.6040669856459315</c:v>
                </c:pt>
                <c:pt idx="30">
                  <c:v>1.6559011164274307</c:v>
                </c:pt>
                <c:pt idx="31">
                  <c:v>1.7077352472089296</c:v>
                </c:pt>
                <c:pt idx="32">
                  <c:v>1.7595693779904287</c:v>
                </c:pt>
                <c:pt idx="33">
                  <c:v>1.8114035087719278</c:v>
                </c:pt>
                <c:pt idx="34">
                  <c:v>1.8632376395534269</c:v>
                </c:pt>
                <c:pt idx="35">
                  <c:v>1.9150717703349258</c:v>
                </c:pt>
                <c:pt idx="36">
                  <c:v>1.9717171717171693</c:v>
                </c:pt>
                <c:pt idx="37">
                  <c:v>2.0346542346542322</c:v>
                </c:pt>
                <c:pt idx="38">
                  <c:v>2.0975912975912956</c:v>
                </c:pt>
                <c:pt idx="39">
                  <c:v>2.1605283605283585</c:v>
                </c:pt>
                <c:pt idx="40">
                  <c:v>2.2234654234654214</c:v>
                </c:pt>
                <c:pt idx="41">
                  <c:v>2.2848484848484829</c:v>
                </c:pt>
                <c:pt idx="42">
                  <c:v>2.3454545454545439</c:v>
                </c:pt>
                <c:pt idx="43">
                  <c:v>2.4060606060606045</c:v>
                </c:pt>
                <c:pt idx="44">
                  <c:v>2.4666666666666655</c:v>
                </c:pt>
                <c:pt idx="45">
                  <c:v>2.527272727272726</c:v>
                </c:pt>
                <c:pt idx="46">
                  <c:v>2.5795783926218707</c:v>
                </c:pt>
                <c:pt idx="47">
                  <c:v>2.6309617918313575</c:v>
                </c:pt>
                <c:pt idx="48">
                  <c:v>2.6823451910408442</c:v>
                </c:pt>
                <c:pt idx="49">
                  <c:v>2.733728590250331</c:v>
                </c:pt>
                <c:pt idx="50">
                  <c:v>2.7851119894598182</c:v>
                </c:pt>
                <c:pt idx="51">
                  <c:v>2.8350427350427374</c:v>
                </c:pt>
                <c:pt idx="52">
                  <c:v>2.8811965811965834</c:v>
                </c:pt>
                <c:pt idx="53">
                  <c:v>2.9273504273504294</c:v>
                </c:pt>
                <c:pt idx="54">
                  <c:v>2.9735042735042754</c:v>
                </c:pt>
                <c:pt idx="55">
                  <c:v>3.0196581196581209</c:v>
                </c:pt>
                <c:pt idx="56">
                  <c:v>3.0658119658119669</c:v>
                </c:pt>
                <c:pt idx="57">
                  <c:v>3.1119658119658129</c:v>
                </c:pt>
                <c:pt idx="58">
                  <c:v>3.1581196581196589</c:v>
                </c:pt>
                <c:pt idx="59">
                  <c:v>3.2042735042735044</c:v>
                </c:pt>
                <c:pt idx="60">
                  <c:v>3.2504273504273504</c:v>
                </c:pt>
                <c:pt idx="61">
                  <c:v>3.2965811965811964</c:v>
                </c:pt>
                <c:pt idx="62">
                  <c:v>3.3427350427350424</c:v>
                </c:pt>
                <c:pt idx="63">
                  <c:v>3.388888888888888</c:v>
                </c:pt>
                <c:pt idx="64">
                  <c:v>3.4350427350427339</c:v>
                </c:pt>
                <c:pt idx="65">
                  <c:v>3.4811965811965799</c:v>
                </c:pt>
                <c:pt idx="66">
                  <c:v>3.5273504273504259</c:v>
                </c:pt>
                <c:pt idx="67">
                  <c:v>3.7132867132866849</c:v>
                </c:pt>
                <c:pt idx="68">
                  <c:v>4.1188811188810845</c:v>
                </c:pt>
                <c:pt idx="69">
                  <c:v>4.5244755244754806</c:v>
                </c:pt>
                <c:pt idx="70">
                  <c:v>4.9300699300698767</c:v>
                </c:pt>
                <c:pt idx="71">
                  <c:v>5.3356643356642763</c:v>
                </c:pt>
                <c:pt idx="72">
                  <c:v>5.7412587412586724</c:v>
                </c:pt>
                <c:pt idx="73">
                  <c:v>6.1468531468530685</c:v>
                </c:pt>
                <c:pt idx="74">
                  <c:v>6.5524475524474681</c:v>
                </c:pt>
                <c:pt idx="75">
                  <c:v>6.9580419580418642</c:v>
                </c:pt>
                <c:pt idx="76">
                  <c:v>7.3636363636362603</c:v>
                </c:pt>
                <c:pt idx="77">
                  <c:v>7.7692307692306599</c:v>
                </c:pt>
                <c:pt idx="78">
                  <c:v>8.174825174825056</c:v>
                </c:pt>
                <c:pt idx="79">
                  <c:v>8.5804195804194521</c:v>
                </c:pt>
                <c:pt idx="80">
                  <c:v>8.9860139860138517</c:v>
                </c:pt>
                <c:pt idx="81">
                  <c:v>9.3916083916082442</c:v>
                </c:pt>
                <c:pt idx="82">
                  <c:v>9.7972027972026439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319A-4A52-9E16-E8C96D58FC52}"/>
            </c:ext>
          </c:extLst>
        </c:ser>
        <c:ser>
          <c:idx val="4"/>
          <c:order val="4"/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Sheet1!$O$27:$O$126</c:f>
              <c:numCache>
                <c:formatCode>General</c:formatCode>
                <c:ptCount val="100"/>
                <c:pt idx="0">
                  <c:v>0</c:v>
                </c:pt>
                <c:pt idx="1">
                  <c:v>0.12121212121212122</c:v>
                </c:pt>
                <c:pt idx="2">
                  <c:v>0.24242424242424243</c:v>
                </c:pt>
                <c:pt idx="3">
                  <c:v>0.36363636363636365</c:v>
                </c:pt>
                <c:pt idx="4">
                  <c:v>0.48484848484848486</c:v>
                </c:pt>
                <c:pt idx="5">
                  <c:v>0.60606060606060608</c:v>
                </c:pt>
                <c:pt idx="6">
                  <c:v>0.72727272727272729</c:v>
                </c:pt>
                <c:pt idx="7">
                  <c:v>0.84848484848484851</c:v>
                </c:pt>
                <c:pt idx="8">
                  <c:v>0.96969696969696972</c:v>
                </c:pt>
                <c:pt idx="9">
                  <c:v>1.0909090909090908</c:v>
                </c:pt>
                <c:pt idx="10">
                  <c:v>1.2121212121212119</c:v>
                </c:pt>
                <c:pt idx="11">
                  <c:v>1.333333333333333</c:v>
                </c:pt>
                <c:pt idx="12">
                  <c:v>1.4545454545454541</c:v>
                </c:pt>
                <c:pt idx="13">
                  <c:v>1.5757575757575752</c:v>
                </c:pt>
                <c:pt idx="14">
                  <c:v>1.6969696969696964</c:v>
                </c:pt>
                <c:pt idx="15">
                  <c:v>1.8181818181818175</c:v>
                </c:pt>
                <c:pt idx="16">
                  <c:v>1.9393939393939386</c:v>
                </c:pt>
                <c:pt idx="17">
                  <c:v>2.0606060606060597</c:v>
                </c:pt>
                <c:pt idx="18">
                  <c:v>2.1818181818181808</c:v>
                </c:pt>
                <c:pt idx="19">
                  <c:v>2.3030303030303019</c:v>
                </c:pt>
                <c:pt idx="20">
                  <c:v>2.424242424242423</c:v>
                </c:pt>
                <c:pt idx="21">
                  <c:v>2.5454545454545441</c:v>
                </c:pt>
                <c:pt idx="22">
                  <c:v>2.6666666666666652</c:v>
                </c:pt>
                <c:pt idx="23">
                  <c:v>2.7878787878787863</c:v>
                </c:pt>
                <c:pt idx="24">
                  <c:v>2.9090909090909074</c:v>
                </c:pt>
                <c:pt idx="25">
                  <c:v>3.0303030303030285</c:v>
                </c:pt>
                <c:pt idx="26">
                  <c:v>3.1515151515151496</c:v>
                </c:pt>
                <c:pt idx="27">
                  <c:v>3.2727272727272707</c:v>
                </c:pt>
                <c:pt idx="28">
                  <c:v>3.3939393939393918</c:v>
                </c:pt>
                <c:pt idx="29">
                  <c:v>3.5151515151515129</c:v>
                </c:pt>
                <c:pt idx="30">
                  <c:v>3.636363636363634</c:v>
                </c:pt>
                <c:pt idx="31">
                  <c:v>3.7575757575757551</c:v>
                </c:pt>
                <c:pt idx="32">
                  <c:v>3.8787878787878762</c:v>
                </c:pt>
                <c:pt idx="33">
                  <c:v>3.9999999999999973</c:v>
                </c:pt>
                <c:pt idx="34">
                  <c:v>4.1212121212121184</c:v>
                </c:pt>
                <c:pt idx="35">
                  <c:v>4.2424242424242395</c:v>
                </c:pt>
                <c:pt idx="36">
                  <c:v>4.3636363636363606</c:v>
                </c:pt>
                <c:pt idx="37">
                  <c:v>4.4848484848484818</c:v>
                </c:pt>
                <c:pt idx="38">
                  <c:v>4.6060606060606029</c:v>
                </c:pt>
                <c:pt idx="39">
                  <c:v>4.727272727272724</c:v>
                </c:pt>
                <c:pt idx="40">
                  <c:v>4.8484848484848451</c:v>
                </c:pt>
                <c:pt idx="41">
                  <c:v>4.9696969696969662</c:v>
                </c:pt>
                <c:pt idx="42">
                  <c:v>5.0909090909090873</c:v>
                </c:pt>
                <c:pt idx="43">
                  <c:v>5.2121212121212084</c:v>
                </c:pt>
                <c:pt idx="44">
                  <c:v>5.3333333333333295</c:v>
                </c:pt>
                <c:pt idx="45">
                  <c:v>5.4545454545454506</c:v>
                </c:pt>
                <c:pt idx="46">
                  <c:v>5.5757575757575717</c:v>
                </c:pt>
                <c:pt idx="47">
                  <c:v>5.6969696969696928</c:v>
                </c:pt>
                <c:pt idx="48">
                  <c:v>5.8181818181818139</c:v>
                </c:pt>
                <c:pt idx="49">
                  <c:v>5.939393939393935</c:v>
                </c:pt>
                <c:pt idx="50">
                  <c:v>6.0606060606060561</c:v>
                </c:pt>
                <c:pt idx="51">
                  <c:v>6.1818181818181772</c:v>
                </c:pt>
                <c:pt idx="52">
                  <c:v>6.3030303030302983</c:v>
                </c:pt>
                <c:pt idx="53">
                  <c:v>6.4242424242424194</c:v>
                </c:pt>
                <c:pt idx="54">
                  <c:v>6.5454545454545405</c:v>
                </c:pt>
                <c:pt idx="55">
                  <c:v>6.6666666666666616</c:v>
                </c:pt>
                <c:pt idx="56">
                  <c:v>6.7878787878787827</c:v>
                </c:pt>
                <c:pt idx="57">
                  <c:v>6.9090909090909038</c:v>
                </c:pt>
                <c:pt idx="58">
                  <c:v>7.0303030303030249</c:v>
                </c:pt>
                <c:pt idx="59">
                  <c:v>7.1515151515151461</c:v>
                </c:pt>
                <c:pt idx="60">
                  <c:v>7.2727272727272672</c:v>
                </c:pt>
                <c:pt idx="61">
                  <c:v>7.3939393939393883</c:v>
                </c:pt>
                <c:pt idx="62">
                  <c:v>7.5151515151515094</c:v>
                </c:pt>
                <c:pt idx="63">
                  <c:v>7.6363636363636305</c:v>
                </c:pt>
                <c:pt idx="64">
                  <c:v>7.7575757575757516</c:v>
                </c:pt>
                <c:pt idx="65">
                  <c:v>7.8787878787878727</c:v>
                </c:pt>
                <c:pt idx="66">
                  <c:v>7.9999999999999938</c:v>
                </c:pt>
                <c:pt idx="67">
                  <c:v>8.1212121212121158</c:v>
                </c:pt>
                <c:pt idx="68">
                  <c:v>8.2424242424242369</c:v>
                </c:pt>
                <c:pt idx="69">
                  <c:v>8.363636363636358</c:v>
                </c:pt>
                <c:pt idx="70">
                  <c:v>8.4848484848484791</c:v>
                </c:pt>
                <c:pt idx="71">
                  <c:v>8.6060606060606002</c:v>
                </c:pt>
                <c:pt idx="72">
                  <c:v>8.7272727272727213</c:v>
                </c:pt>
                <c:pt idx="73">
                  <c:v>8.8484848484848424</c:v>
                </c:pt>
                <c:pt idx="74">
                  <c:v>8.9696969696969635</c:v>
                </c:pt>
                <c:pt idx="75">
                  <c:v>9.0909090909090846</c:v>
                </c:pt>
                <c:pt idx="76">
                  <c:v>9.2121212121212057</c:v>
                </c:pt>
                <c:pt idx="77">
                  <c:v>9.3333333333333268</c:v>
                </c:pt>
                <c:pt idx="78">
                  <c:v>9.4545454545454479</c:v>
                </c:pt>
                <c:pt idx="79">
                  <c:v>9.575757575757569</c:v>
                </c:pt>
                <c:pt idx="80">
                  <c:v>9.6969696969696901</c:v>
                </c:pt>
                <c:pt idx="81">
                  <c:v>9.8181818181818112</c:v>
                </c:pt>
                <c:pt idx="82">
                  <c:v>9.9393939393939323</c:v>
                </c:pt>
                <c:pt idx="83">
                  <c:v>10.060606060606053</c:v>
                </c:pt>
                <c:pt idx="84">
                  <c:v>10.181818181818175</c:v>
                </c:pt>
                <c:pt idx="85">
                  <c:v>10.303030303030296</c:v>
                </c:pt>
                <c:pt idx="86">
                  <c:v>10.424242424242417</c:v>
                </c:pt>
                <c:pt idx="87">
                  <c:v>10.545454545454538</c:v>
                </c:pt>
                <c:pt idx="88">
                  <c:v>10.666666666666659</c:v>
                </c:pt>
                <c:pt idx="89">
                  <c:v>10.78787878787878</c:v>
                </c:pt>
                <c:pt idx="90">
                  <c:v>10.909090909090901</c:v>
                </c:pt>
                <c:pt idx="91">
                  <c:v>11.030303030303022</c:v>
                </c:pt>
                <c:pt idx="92">
                  <c:v>11.151515151515143</c:v>
                </c:pt>
                <c:pt idx="93">
                  <c:v>11.272727272727264</c:v>
                </c:pt>
                <c:pt idx="94">
                  <c:v>11.393939393939386</c:v>
                </c:pt>
                <c:pt idx="95">
                  <c:v>11.515151515151507</c:v>
                </c:pt>
                <c:pt idx="96">
                  <c:v>11.636363636363628</c:v>
                </c:pt>
                <c:pt idx="97">
                  <c:v>11.757575757575749</c:v>
                </c:pt>
                <c:pt idx="98">
                  <c:v>11.87878787878787</c:v>
                </c:pt>
                <c:pt idx="99">
                  <c:v>11.999999999999991</c:v>
                </c:pt>
              </c:numCache>
            </c:numRef>
          </c:xVal>
          <c:yVal>
            <c:numRef>
              <c:f>Sheet1!$T$27:$T$126</c:f>
              <c:numCache>
                <c:formatCode>General</c:formatCode>
                <c:ptCount val="100"/>
                <c:pt idx="0">
                  <c:v>-5.5511151231257827E-17</c:v>
                </c:pt>
                <c:pt idx="1">
                  <c:v>9.0909090909090967E-2</c:v>
                </c:pt>
                <c:pt idx="2">
                  <c:v>0.18181818181818199</c:v>
                </c:pt>
                <c:pt idx="3">
                  <c:v>0.27272727272727298</c:v>
                </c:pt>
                <c:pt idx="4">
                  <c:v>0.36363636363636404</c:v>
                </c:pt>
                <c:pt idx="5">
                  <c:v>0.45454545454545503</c:v>
                </c:pt>
                <c:pt idx="6">
                  <c:v>0.54545454545454608</c:v>
                </c:pt>
                <c:pt idx="7">
                  <c:v>0.63636363636363713</c:v>
                </c:pt>
                <c:pt idx="8">
                  <c:v>0.72727272727272818</c:v>
                </c:pt>
                <c:pt idx="9">
                  <c:v>0.81818181818181901</c:v>
                </c:pt>
                <c:pt idx="10">
                  <c:v>0.90909090909090984</c:v>
                </c:pt>
                <c:pt idx="11">
                  <c:v>1.0000000000000007</c:v>
                </c:pt>
                <c:pt idx="12">
                  <c:v>1.0909090909090917</c:v>
                </c:pt>
                <c:pt idx="13">
                  <c:v>1.1818181818181825</c:v>
                </c:pt>
                <c:pt idx="14">
                  <c:v>1.2727272727272736</c:v>
                </c:pt>
                <c:pt idx="15">
                  <c:v>1.3636363636363644</c:v>
                </c:pt>
                <c:pt idx="16">
                  <c:v>1.4545454545454555</c:v>
                </c:pt>
                <c:pt idx="17">
                  <c:v>1.5454545454545463</c:v>
                </c:pt>
                <c:pt idx="18">
                  <c:v>1.6363636363636374</c:v>
                </c:pt>
                <c:pt idx="19">
                  <c:v>1.7272727272727282</c:v>
                </c:pt>
                <c:pt idx="20">
                  <c:v>1.8181818181818188</c:v>
                </c:pt>
                <c:pt idx="21">
                  <c:v>1.9090909090909092</c:v>
                </c:pt>
                <c:pt idx="22">
                  <c:v>1.9999999999999998</c:v>
                </c:pt>
                <c:pt idx="23">
                  <c:v>2.0909090909090904</c:v>
                </c:pt>
                <c:pt idx="24">
                  <c:v>2.1818181818181808</c:v>
                </c:pt>
                <c:pt idx="25">
                  <c:v>2.2727272727272716</c:v>
                </c:pt>
                <c:pt idx="26">
                  <c:v>2.363636363636362</c:v>
                </c:pt>
                <c:pt idx="27">
                  <c:v>2.4545454545454524</c:v>
                </c:pt>
                <c:pt idx="28">
                  <c:v>2.5454545454545432</c:v>
                </c:pt>
                <c:pt idx="29">
                  <c:v>2.6497607655502367</c:v>
                </c:pt>
                <c:pt idx="30">
                  <c:v>2.7741626794258347</c:v>
                </c:pt>
                <c:pt idx="31">
                  <c:v>2.8985645933014323</c:v>
                </c:pt>
                <c:pt idx="32">
                  <c:v>3.0229665071770304</c:v>
                </c:pt>
                <c:pt idx="33">
                  <c:v>3.1473684210526285</c:v>
                </c:pt>
                <c:pt idx="34">
                  <c:v>3.2717703349282266</c:v>
                </c:pt>
                <c:pt idx="35">
                  <c:v>3.3961722488038246</c:v>
                </c:pt>
                <c:pt idx="36">
                  <c:v>3.5454545454545405</c:v>
                </c:pt>
                <c:pt idx="37">
                  <c:v>3.7272727272727222</c:v>
                </c:pt>
                <c:pt idx="38">
                  <c:v>3.9090909090909047</c:v>
                </c:pt>
                <c:pt idx="39">
                  <c:v>4.0909090909090864</c:v>
                </c:pt>
                <c:pt idx="40">
                  <c:v>4.272727272727268</c:v>
                </c:pt>
                <c:pt idx="41">
                  <c:v>4.4545454545454497</c:v>
                </c:pt>
                <c:pt idx="42">
                  <c:v>4.6363636363636314</c:v>
                </c:pt>
                <c:pt idx="43">
                  <c:v>4.8181818181818121</c:v>
                </c:pt>
                <c:pt idx="44">
                  <c:v>4.9999999999999938</c:v>
                </c:pt>
                <c:pt idx="45">
                  <c:v>5.1818181818181737</c:v>
                </c:pt>
                <c:pt idx="46">
                  <c:v>5.3458498023715357</c:v>
                </c:pt>
                <c:pt idx="47">
                  <c:v>5.5079051383399174</c:v>
                </c:pt>
                <c:pt idx="48">
                  <c:v>5.6699604743082981</c:v>
                </c:pt>
                <c:pt idx="49">
                  <c:v>5.8320158102766797</c:v>
                </c:pt>
                <c:pt idx="50">
                  <c:v>5.9940711462450613</c:v>
                </c:pt>
                <c:pt idx="51">
                  <c:v>6.1363636363636358</c:v>
                </c:pt>
                <c:pt idx="52">
                  <c:v>6.2272727272727257</c:v>
                </c:pt>
                <c:pt idx="53">
                  <c:v>6.3181818181818166</c:v>
                </c:pt>
                <c:pt idx="54">
                  <c:v>6.4090909090909065</c:v>
                </c:pt>
                <c:pt idx="55">
                  <c:v>6.4999999999999964</c:v>
                </c:pt>
                <c:pt idx="56">
                  <c:v>6.5909090909090864</c:v>
                </c:pt>
                <c:pt idx="57">
                  <c:v>6.6818181818181772</c:v>
                </c:pt>
                <c:pt idx="58">
                  <c:v>6.7727272727272672</c:v>
                </c:pt>
                <c:pt idx="59">
                  <c:v>6.8636363636363571</c:v>
                </c:pt>
                <c:pt idx="60">
                  <c:v>6.954545454545447</c:v>
                </c:pt>
                <c:pt idx="61">
                  <c:v>7.0454545454545379</c:v>
                </c:pt>
                <c:pt idx="62">
                  <c:v>7.1363636363636278</c:v>
                </c:pt>
                <c:pt idx="63">
                  <c:v>7.2272727272727177</c:v>
                </c:pt>
                <c:pt idx="64">
                  <c:v>7.3181818181818077</c:v>
                </c:pt>
                <c:pt idx="65">
                  <c:v>7.4090909090908985</c:v>
                </c:pt>
                <c:pt idx="66">
                  <c:v>7.4999999999999885</c:v>
                </c:pt>
                <c:pt idx="67">
                  <c:v>7.5909090909090793</c:v>
                </c:pt>
                <c:pt idx="68">
                  <c:v>7.6818181818181701</c:v>
                </c:pt>
                <c:pt idx="69">
                  <c:v>7.7727272727272601</c:v>
                </c:pt>
                <c:pt idx="70">
                  <c:v>7.86363636363635</c:v>
                </c:pt>
                <c:pt idx="71">
                  <c:v>7.9545454545454408</c:v>
                </c:pt>
                <c:pt idx="72">
                  <c:v>8.0454545454545325</c:v>
                </c:pt>
                <c:pt idx="73">
                  <c:v>8.1363636363636225</c:v>
                </c:pt>
                <c:pt idx="74">
                  <c:v>8.2272727272727124</c:v>
                </c:pt>
                <c:pt idx="75">
                  <c:v>8.3181818181818024</c:v>
                </c:pt>
                <c:pt idx="76">
                  <c:v>8.4090909090908923</c:v>
                </c:pt>
                <c:pt idx="77">
                  <c:v>8.4999999999999822</c:v>
                </c:pt>
                <c:pt idx="78">
                  <c:v>8.5909090909090722</c:v>
                </c:pt>
                <c:pt idx="79">
                  <c:v>8.6818181818181639</c:v>
                </c:pt>
                <c:pt idx="80">
                  <c:v>8.7727272727272556</c:v>
                </c:pt>
                <c:pt idx="81">
                  <c:v>8.8636363636363455</c:v>
                </c:pt>
                <c:pt idx="82">
                  <c:v>8.9545454545454355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319A-4A52-9E16-E8C96D58FC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39015135"/>
        <c:axId val="1439019711"/>
      </c:scatterChart>
      <c:valAx>
        <c:axId val="143901513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39019711"/>
        <c:crosses val="autoZero"/>
        <c:crossBetween val="midCat"/>
      </c:valAx>
      <c:valAx>
        <c:axId val="143901971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39015135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314324</xdr:colOff>
      <xdr:row>11</xdr:row>
      <xdr:rowOff>0</xdr:rowOff>
    </xdr:from>
    <xdr:to>
      <xdr:col>14</xdr:col>
      <xdr:colOff>19049</xdr:colOff>
      <xdr:row>21</xdr:row>
      <xdr:rowOff>19050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17C187AA-140A-C792-E755-DB9247D6419D}"/>
            </a:ext>
          </a:extLst>
        </xdr:cNvPr>
        <xdr:cNvSpPr txBox="1"/>
      </xdr:nvSpPr>
      <xdr:spPr>
        <a:xfrm>
          <a:off x="8305799" y="1781175"/>
          <a:ext cx="314325" cy="163830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/>
            <a:t>X</a:t>
          </a:r>
        </a:p>
      </xdr:txBody>
    </xdr:sp>
    <xdr:clientData/>
  </xdr:twoCellAnchor>
  <xdr:twoCellAnchor>
    <xdr:from>
      <xdr:col>10</xdr:col>
      <xdr:colOff>466725</xdr:colOff>
      <xdr:row>95</xdr:row>
      <xdr:rowOff>14287</xdr:rowOff>
    </xdr:from>
    <xdr:to>
      <xdr:col>17</xdr:col>
      <xdr:colOff>238125</xdr:colOff>
      <xdr:row>112</xdr:row>
      <xdr:rowOff>4762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DF607FEB-E18B-89D4-CA04-59A031AF34E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5166A094-0BCD-4C85-90B6-B37A9DC01477}" name="Table1" displayName="Table1" ref="A11:C35" totalsRowShown="0">
  <autoFilter ref="A11:C35" xr:uid="{5166A094-0BCD-4C85-90B6-B37A9DC01477}"/>
  <tableColumns count="3">
    <tableColumn id="1" xr3:uid="{A33AD591-E24F-426E-A0C2-6C6075F101C0}" name="Voltage"/>
    <tableColumn id="2" xr3:uid="{966BD6C6-50BE-4BBD-B19D-BE3636ABF460}" name="Time" dataDxfId="0"/>
    <tableColumn id="3" xr3:uid="{96CABEDF-EA71-4E81-AFEF-ABB7EF9E72EC}" name="UUT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Biegert">
      <a:dk1>
        <a:sysClr val="windowText" lastClr="000000"/>
      </a:dk1>
      <a:lt1>
        <a:sysClr val="window" lastClr="FFFFFF"/>
      </a:lt1>
      <a:dk2>
        <a:srgbClr val="4E3B30"/>
      </a:dk2>
      <a:lt2>
        <a:srgbClr val="FBEEC9"/>
      </a:lt2>
      <a:accent1>
        <a:srgbClr val="F0A22E"/>
      </a:accent1>
      <a:accent2>
        <a:srgbClr val="A5644E"/>
      </a:accent2>
      <a:accent3>
        <a:srgbClr val="B58B80"/>
      </a:accent3>
      <a:accent4>
        <a:srgbClr val="C3986D"/>
      </a:accent4>
      <a:accent5>
        <a:srgbClr val="A19574"/>
      </a:accent5>
      <a:accent6>
        <a:srgbClr val="C17529"/>
      </a:accent6>
      <a:hlink>
        <a:srgbClr val="996600"/>
      </a:hlink>
      <a:folHlink>
        <a:srgbClr val="003296"/>
      </a:folHlink>
    </a:clrScheme>
    <a:fontScheme name="BIegert">
      <a:majorFont>
        <a:latin typeface="Consolas"/>
        <a:ea typeface=""/>
        <a:cs typeface=""/>
      </a:majorFont>
      <a:minorFont>
        <a:latin typeface="Consolas"/>
        <a:ea typeface=""/>
        <a:cs typeface=""/>
      </a:minorFont>
    </a:fontScheme>
    <a:fmtScheme name="Reflection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alpha val="100000"/>
                <a:satMod val="140000"/>
                <a:lumMod val="105000"/>
              </a:schemeClr>
            </a:gs>
            <a:gs pos="41000">
              <a:schemeClr val="phClr">
                <a:tint val="57000"/>
                <a:satMod val="160000"/>
                <a:lumMod val="99000"/>
              </a:schemeClr>
            </a:gs>
            <a:gs pos="100000">
              <a:schemeClr val="phClr">
                <a:tint val="80000"/>
                <a:satMod val="180000"/>
                <a:lumMod val="104000"/>
              </a:schemeClr>
            </a:gs>
          </a:gsLst>
          <a:lin ang="5400000" scaled="1"/>
        </a:gradFill>
        <a:gradFill rotWithShape="1">
          <a:gsLst>
            <a:gs pos="0">
              <a:schemeClr val="phClr">
                <a:tint val="97000"/>
                <a:satMod val="115000"/>
                <a:lumMod val="114000"/>
              </a:schemeClr>
            </a:gs>
            <a:gs pos="60000">
              <a:schemeClr val="phClr">
                <a:tint val="100000"/>
                <a:shade val="96000"/>
                <a:satMod val="100000"/>
                <a:lumMod val="108000"/>
              </a:schemeClr>
            </a:gs>
            <a:gs pos="100000">
              <a:schemeClr val="phClr">
                <a:shade val="91000"/>
                <a:satMod val="100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</a:ln>
        <a:ln w="19050" cap="flat" cmpd="sng" algn="ctr">
          <a:solidFill>
            <a:schemeClr val="phClr"/>
          </a:solidFill>
          <a:prstDash val="solid"/>
        </a:ln>
        <a:ln w="28575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38100" dist="25400" dir="5400000" rotWithShape="0">
              <a:srgbClr val="000000">
                <a:alpha val="28000"/>
              </a:srgbClr>
            </a:outerShdw>
          </a:effectLst>
        </a:effectStyle>
        <a:effectStyle>
          <a:effectLst>
            <a:outerShdw blurRad="50800" dist="31750" dir="5400000" sy="98000" rotWithShape="0">
              <a:srgbClr val="000000">
                <a:alpha val="47000"/>
              </a:srgbClr>
            </a:outerShdw>
          </a:effectLst>
          <a:scene3d>
            <a:camera prst="orthographicFront">
              <a:rot lat="0" lon="0" rev="0"/>
            </a:camera>
            <a:lightRig rig="twoPt" dir="t">
              <a:rot lat="0" lon="0" rev="4800000"/>
            </a:lightRig>
          </a:scene3d>
          <a:sp3d prstMaterial="matte">
            <a:bevelT w="25400" h="44450"/>
          </a:sp3d>
        </a:effectStyle>
        <a:effectStyle>
          <a:effectLst>
            <a:reflection blurRad="25400" stA="32000" endPos="28000" dist="8889" dir="5400000" sy="-100000" rotWithShape="0"/>
          </a:effectLst>
          <a:scene3d>
            <a:camera prst="orthographicFront">
              <a:rot lat="0" lon="0" rev="0"/>
            </a:camera>
            <a:lightRig rig="threePt" dir="t">
              <a:rot lat="0" lon="0" rev="4800000"/>
            </a:lightRig>
          </a:scene3d>
          <a:sp3d>
            <a:bevelT w="50800" h="25400"/>
          </a:sp3d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E64C3D-CB93-427A-A3A9-B177BAA3DAB9}">
  <sheetPr codeName="Sheet1"/>
  <dimension ref="A1:T126"/>
  <sheetViews>
    <sheetView showGridLines="0" tabSelected="1" topLeftCell="A81" workbookViewId="0">
      <selection activeCell="O27" sqref="O27:T126"/>
    </sheetView>
  </sheetViews>
  <sheetFormatPr defaultRowHeight="12.75" x14ac:dyDescent="0.2"/>
  <cols>
    <col min="1" max="1" width="10.140625" customWidth="1"/>
    <col min="16" max="19" width="13.140625" bestFit="1" customWidth="1"/>
  </cols>
  <sheetData>
    <row r="1" spans="1:20" x14ac:dyDescent="0.2">
      <c r="A1" s="1" t="s">
        <v>0</v>
      </c>
      <c r="B1" s="3" t="s">
        <v>3</v>
      </c>
      <c r="C1" s="3"/>
    </row>
    <row r="2" spans="1:20" x14ac:dyDescent="0.2">
      <c r="A2" s="1" t="s">
        <v>1</v>
      </c>
      <c r="B2" s="2"/>
      <c r="C2" s="2"/>
    </row>
    <row r="3" spans="1:20" x14ac:dyDescent="0.2">
      <c r="A3" s="1" t="s">
        <v>2</v>
      </c>
      <c r="B3" s="4"/>
      <c r="C3" s="2"/>
    </row>
    <row r="5" spans="1:20" x14ac:dyDescent="0.2">
      <c r="E5" t="str" cm="1">
        <f t="array" ref="E5:H5">TRANSPOSE(_xlfn.UNIQUE(Table1[UUT]))</f>
        <v>UUT1</v>
      </c>
      <c r="F5" t="str">
        <v>UUT2</v>
      </c>
      <c r="G5" t="str">
        <v>UUT3</v>
      </c>
      <c r="H5" t="str">
        <v>UUT4</v>
      </c>
    </row>
    <row r="8" spans="1:20" x14ac:dyDescent="0.2">
      <c r="E8" t="s">
        <v>12</v>
      </c>
    </row>
    <row r="9" spans="1:20" ht="15.75" x14ac:dyDescent="0.25">
      <c r="A9" t="s">
        <v>4</v>
      </c>
      <c r="P9" s="12" t="s">
        <v>13</v>
      </c>
      <c r="Q9" s="6"/>
      <c r="R9" s="6"/>
      <c r="S9" s="6"/>
    </row>
    <row r="10" spans="1:20" x14ac:dyDescent="0.2">
      <c r="E10">
        <v>0</v>
      </c>
      <c r="F10">
        <v>1</v>
      </c>
      <c r="G10">
        <v>0</v>
      </c>
      <c r="H10">
        <v>1</v>
      </c>
      <c r="I10">
        <v>0</v>
      </c>
      <c r="J10">
        <v>1</v>
      </c>
      <c r="K10">
        <v>0</v>
      </c>
      <c r="L10">
        <v>1</v>
      </c>
      <c r="P10" s="7">
        <v>0</v>
      </c>
      <c r="Q10" s="7">
        <v>1</v>
      </c>
      <c r="R10" s="7">
        <v>2</v>
      </c>
      <c r="S10" s="7">
        <v>3</v>
      </c>
    </row>
    <row r="11" spans="1:20" ht="13.5" thickBot="1" x14ac:dyDescent="0.25">
      <c r="A11" t="s">
        <v>5</v>
      </c>
      <c r="B11" t="s">
        <v>6</v>
      </c>
      <c r="C11" t="s">
        <v>7</v>
      </c>
      <c r="E11" t="s">
        <v>8</v>
      </c>
      <c r="F11" t="s">
        <v>8</v>
      </c>
      <c r="G11" t="s">
        <v>9</v>
      </c>
      <c r="H11" t="s">
        <v>9</v>
      </c>
      <c r="I11" t="s">
        <v>10</v>
      </c>
      <c r="J11" t="s">
        <v>10</v>
      </c>
      <c r="K11" t="s">
        <v>11</v>
      </c>
      <c r="L11" t="s">
        <v>11</v>
      </c>
      <c r="O11" s="8" t="s">
        <v>5</v>
      </c>
      <c r="P11" s="9" t="str" cm="1">
        <f t="array" ref="P11:S11">TRANSPOSE(_xlfn.UNIQUE(Table1[UUT]))</f>
        <v>UUT1</v>
      </c>
      <c r="Q11" s="9" t="str">
        <v>UUT2</v>
      </c>
      <c r="R11" s="9" t="str">
        <v>UUT3</v>
      </c>
      <c r="S11" s="10" t="str">
        <v>UUT4</v>
      </c>
      <c r="T11" s="9" t="s">
        <v>14</v>
      </c>
    </row>
    <row r="12" spans="1:20" ht="13.5" thickTop="1" x14ac:dyDescent="0.2">
      <c r="A12">
        <v>3</v>
      </c>
      <c r="B12" s="13">
        <v>0</v>
      </c>
      <c r="C12" t="s">
        <v>8</v>
      </c>
      <c r="E12" cm="1">
        <f t="array" ref="E12:E16">_xlfn._xlws.FILTER(_xlfn._xlws.FILTER(Table1[],Table1[[UUT]:[UUT]]=E$11),CHOOSE(E$10+1,{1,0,0},{0,1,0}))</f>
        <v>3</v>
      </c>
      <c r="F12" cm="1">
        <f t="array" ref="F12:F16">_xlfn._xlws.FILTER(_xlfn._xlws.FILTER(Table1[],Table1[[UUT]:[UUT]]=F$11),CHOOSE(F$10+1,{1,0,0},{0,1,0}))</f>
        <v>0</v>
      </c>
      <c r="G12" cm="1">
        <f t="array" ref="G12:G18">_xlfn._xlws.FILTER(_xlfn._xlws.FILTER(Table1[],Table1[[UUT]:[UUT]]=G$11),CHOOSE(G$10+1,{1,0,0},{0,1,0}))</f>
        <v>3</v>
      </c>
      <c r="H12" cm="1">
        <f t="array" ref="H12:H18">_xlfn._xlws.FILTER(_xlfn._xlws.FILTER(Table1[],Table1[[UUT]:[UUT]]=H$11),CHOOSE(H$10+1,{1,0,0},{0,1,0}))</f>
        <v>0</v>
      </c>
      <c r="I12" cm="1">
        <f t="array" ref="I12:I18">_xlfn._xlws.FILTER(_xlfn._xlws.FILTER(Table1[],Table1[[UUT]:[UUT]]=I$11),CHOOSE(I$10+1,{1,0,0},{0,1,0}))</f>
        <v>3</v>
      </c>
      <c r="J12" cm="1">
        <f t="array" ref="J12:J18">_xlfn._xlws.FILTER(_xlfn._xlws.FILTER(Table1[],Table1[[UUT]:[UUT]]=J$11),CHOOSE(J$10+1,{1,0,0},{0,1,0}))</f>
        <v>0</v>
      </c>
      <c r="K12" cm="1">
        <f t="array" ref="K12:K16">_xlfn._xlws.FILTER(_xlfn._xlws.FILTER(Table1[],Table1[[UUT]:[UUT]]=K$11),CHOOSE(K$10+1,{1,0,0},{0,1,0}))</f>
        <v>3</v>
      </c>
      <c r="L12" cm="1">
        <f t="array" ref="L12:L16">_xlfn._xlws.FILTER(_xlfn._xlws.FILTER(Table1[],Table1[[UUT]:[UUT]]=L$11),CHOOSE(L$10+1,{1,0,0},{0,1,0}))</f>
        <v>0</v>
      </c>
      <c r="O12" s="11" cm="1">
        <f t="array" ref="O12:O21">_xlfn.SEQUENCE(10,1,3,(4.3-3)/9)</f>
        <v>3</v>
      </c>
      <c r="P12" s="14">
        <f ca="1">_xlfn.LET(_xlpm.NewX,$O12,_xlpm.KnownX,OFFSET(_xlfn.ANCHORARRAY($E$12),0,2*P$10),_xlpm.KnownY,OFFSET(_xlfn.ANCHORARRAY($E$12),0,2*P$10+1),FORECAST(_xlpm.NewX,OFFSET(_xlpm.KnownY,MATCH(_xlpm.NewX,_xlpm.KnownX,1)-1,0,2), OFFSET(_xlpm.KnownX,MATCH(_xlpm.NewX,_xlpm.KnownX,1)-1,0,2)))</f>
        <v>0</v>
      </c>
      <c r="Q12" s="14">
        <f t="shared" ref="Q12:S12" ca="1" si="0">_xlfn.LET(_xlpm.NewX,$O12,_xlpm.KnownX,OFFSET(_xlfn.ANCHORARRAY($E$12),0,2*Q$10),_xlpm.KnownY,OFFSET(_xlfn.ANCHORARRAY($E$12),0,2*Q$10+1),FORECAST(_xlpm.NewX,OFFSET(_xlpm.KnownY,MATCH(_xlpm.NewX,_xlpm.KnownX,1)-1,0,2), OFFSET(_xlpm.KnownX,MATCH(_xlpm.NewX,_xlpm.KnownX,1)-1,0,2)))</f>
        <v>0</v>
      </c>
      <c r="R12" s="14">
        <f t="shared" ca="1" si="0"/>
        <v>0</v>
      </c>
      <c r="S12" s="14">
        <f t="shared" ca="1" si="0"/>
        <v>0</v>
      </c>
      <c r="T12" s="15">
        <f ca="1">AVERAGE(P12:S12)</f>
        <v>0</v>
      </c>
    </row>
    <row r="13" spans="1:20" x14ac:dyDescent="0.2">
      <c r="A13">
        <v>3.5</v>
      </c>
      <c r="B13" s="13">
        <v>4</v>
      </c>
      <c r="C13" t="s">
        <v>8</v>
      </c>
      <c r="E13">
        <v>3.5</v>
      </c>
      <c r="F13">
        <v>4</v>
      </c>
      <c r="G13">
        <v>3.2</v>
      </c>
      <c r="H13">
        <v>4</v>
      </c>
      <c r="I13">
        <v>3.2</v>
      </c>
      <c r="J13">
        <v>1</v>
      </c>
      <c r="K13">
        <v>3.5</v>
      </c>
      <c r="L13">
        <v>3</v>
      </c>
      <c r="O13" s="11">
        <v>3.1444444444444444</v>
      </c>
      <c r="P13" s="14">
        <f t="shared" ref="P13:S21" ca="1" si="1">_xlfn.LET(_xlpm.NewX,$O13,_xlpm.KnownX,OFFSET(_xlfn.ANCHORARRAY($E$12),0,2*P$10),_xlpm.KnownY,OFFSET(_xlfn.ANCHORARRAY($E$12),0,2*P$10+1),FORECAST(_xlpm.NewX,OFFSET(_xlpm.KnownY,MATCH(_xlpm.NewX,_xlpm.KnownX,1)-1,0,2), OFFSET(_xlpm.KnownX,MATCH(_xlpm.NewX,_xlpm.KnownX,1)-1,0,2)))</f>
        <v>1.155555555555555</v>
      </c>
      <c r="Q13" s="14">
        <f t="shared" ca="1" si="1"/>
        <v>2.8888888888888857</v>
      </c>
      <c r="R13" s="14">
        <f t="shared" ca="1" si="1"/>
        <v>0.72222222222222143</v>
      </c>
      <c r="S13" s="14">
        <f t="shared" ca="1" si="1"/>
        <v>0.86666666666666714</v>
      </c>
      <c r="T13" s="15">
        <f t="shared" ref="T13:T21" ca="1" si="2">AVERAGE(P13:S13)</f>
        <v>1.4083333333333323</v>
      </c>
    </row>
    <row r="14" spans="1:20" x14ac:dyDescent="0.2">
      <c r="A14">
        <v>4</v>
      </c>
      <c r="B14" s="13">
        <v>6</v>
      </c>
      <c r="C14" t="s">
        <v>8</v>
      </c>
      <c r="E14">
        <v>4</v>
      </c>
      <c r="F14">
        <v>6</v>
      </c>
      <c r="G14">
        <v>3.6</v>
      </c>
      <c r="H14">
        <v>7</v>
      </c>
      <c r="I14">
        <v>3.6</v>
      </c>
      <c r="J14">
        <v>2</v>
      </c>
      <c r="K14">
        <v>4</v>
      </c>
      <c r="L14">
        <v>6</v>
      </c>
      <c r="O14" s="11">
        <v>3.2888888888888888</v>
      </c>
      <c r="P14" s="14">
        <f t="shared" ca="1" si="1"/>
        <v>2.31111111111111</v>
      </c>
      <c r="Q14" s="14">
        <f t="shared" ca="1" si="1"/>
        <v>4.6666666666666643</v>
      </c>
      <c r="R14" s="14">
        <f t="shared" ca="1" si="1"/>
        <v>1.2222222222222214</v>
      </c>
      <c r="S14" s="14">
        <f t="shared" ca="1" si="1"/>
        <v>1.7333333333333343</v>
      </c>
      <c r="T14" s="15">
        <f t="shared" ca="1" si="2"/>
        <v>2.4833333333333325</v>
      </c>
    </row>
    <row r="15" spans="1:20" x14ac:dyDescent="0.2">
      <c r="A15">
        <v>4.3</v>
      </c>
      <c r="B15" s="13">
        <v>10</v>
      </c>
      <c r="C15" t="s">
        <v>8</v>
      </c>
      <c r="E15">
        <v>4.3</v>
      </c>
      <c r="F15">
        <v>10</v>
      </c>
      <c r="G15">
        <v>4.0999999999999996</v>
      </c>
      <c r="H15">
        <v>9</v>
      </c>
      <c r="I15">
        <v>4.0999999999999996</v>
      </c>
      <c r="J15">
        <v>3</v>
      </c>
      <c r="K15">
        <v>4.3</v>
      </c>
      <c r="L15">
        <v>9</v>
      </c>
      <c r="O15" s="11">
        <v>3.4333333333333331</v>
      </c>
      <c r="P15" s="14">
        <f t="shared" ca="1" si="1"/>
        <v>3.466666666666665</v>
      </c>
      <c r="Q15" s="14">
        <f t="shared" ca="1" si="1"/>
        <v>5.7499999999999964</v>
      </c>
      <c r="R15" s="14">
        <f t="shared" ca="1" si="1"/>
        <v>1.5833333333333321</v>
      </c>
      <c r="S15" s="14">
        <f t="shared" ca="1" si="1"/>
        <v>2.5999999999999979</v>
      </c>
      <c r="T15" s="15">
        <f t="shared" ca="1" si="2"/>
        <v>3.3499999999999979</v>
      </c>
    </row>
    <row r="16" spans="1:20" x14ac:dyDescent="0.2">
      <c r="A16">
        <v>4.3099999999999996</v>
      </c>
      <c r="B16" s="13">
        <v>11</v>
      </c>
      <c r="C16" t="s">
        <v>8</v>
      </c>
      <c r="E16">
        <v>4.3099999999999996</v>
      </c>
      <c r="F16">
        <v>11</v>
      </c>
      <c r="G16">
        <v>4.2</v>
      </c>
      <c r="H16">
        <v>10</v>
      </c>
      <c r="I16">
        <v>4.2</v>
      </c>
      <c r="J16">
        <v>4</v>
      </c>
      <c r="K16">
        <v>4.3099999999999996</v>
      </c>
      <c r="L16">
        <v>9.5</v>
      </c>
      <c r="O16" s="11">
        <v>3.5777777777777775</v>
      </c>
      <c r="P16" s="14">
        <f t="shared" ca="1" si="1"/>
        <v>4.31111111111111</v>
      </c>
      <c r="Q16" s="14">
        <f t="shared" ca="1" si="1"/>
        <v>6.8333333333333321</v>
      </c>
      <c r="R16" s="14">
        <f t="shared" ca="1" si="1"/>
        <v>1.9444444444444429</v>
      </c>
      <c r="S16" s="14">
        <f t="shared" ca="1" si="1"/>
        <v>3.466666666666665</v>
      </c>
      <c r="T16" s="15">
        <f t="shared" ca="1" si="2"/>
        <v>4.1388888888888875</v>
      </c>
    </row>
    <row r="17" spans="1:20" x14ac:dyDescent="0.2">
      <c r="A17">
        <v>3</v>
      </c>
      <c r="B17" s="13">
        <v>0</v>
      </c>
      <c r="C17" t="s">
        <v>9</v>
      </c>
      <c r="G17">
        <v>4.3</v>
      </c>
      <c r="H17">
        <v>11</v>
      </c>
      <c r="I17">
        <v>4.3</v>
      </c>
      <c r="J17">
        <v>10</v>
      </c>
      <c r="O17" s="11">
        <v>3.7222222222222219</v>
      </c>
      <c r="P17" s="14">
        <f t="shared" ca="1" si="1"/>
        <v>4.8888888888888875</v>
      </c>
      <c r="Q17" s="14">
        <f t="shared" ca="1" si="1"/>
        <v>7.4888888888888872</v>
      </c>
      <c r="R17" s="14">
        <f t="shared" ca="1" si="1"/>
        <v>2.2444444444444436</v>
      </c>
      <c r="S17" s="14">
        <f t="shared" ca="1" si="1"/>
        <v>4.3333333333333321</v>
      </c>
      <c r="T17" s="15">
        <f t="shared" ca="1" si="2"/>
        <v>4.7388888888888872</v>
      </c>
    </row>
    <row r="18" spans="1:20" x14ac:dyDescent="0.2">
      <c r="A18">
        <v>3.2</v>
      </c>
      <c r="B18" s="13">
        <v>4</v>
      </c>
      <c r="C18" t="s">
        <v>9</v>
      </c>
      <c r="G18">
        <v>4.3099999999999996</v>
      </c>
      <c r="H18">
        <v>12</v>
      </c>
      <c r="I18">
        <v>4.3099999999999996</v>
      </c>
      <c r="J18">
        <v>11</v>
      </c>
      <c r="O18" s="11">
        <v>3.8666666666666663</v>
      </c>
      <c r="P18" s="14">
        <f t="shared" ca="1" si="1"/>
        <v>5.466666666666665</v>
      </c>
      <c r="Q18" s="14">
        <f t="shared" ca="1" si="1"/>
        <v>8.0666666666666664</v>
      </c>
      <c r="R18" s="14">
        <f t="shared" ca="1" si="1"/>
        <v>2.5333333333333332</v>
      </c>
      <c r="S18" s="14">
        <f t="shared" ca="1" si="1"/>
        <v>5.1999999999999957</v>
      </c>
      <c r="T18" s="15">
        <f t="shared" ca="1" si="2"/>
        <v>5.3166666666666647</v>
      </c>
    </row>
    <row r="19" spans="1:20" x14ac:dyDescent="0.2">
      <c r="A19">
        <v>3.6</v>
      </c>
      <c r="B19" s="13">
        <v>7</v>
      </c>
      <c r="C19" t="s">
        <v>9</v>
      </c>
      <c r="O19" s="11">
        <v>4.0111111111111111</v>
      </c>
      <c r="P19" s="14">
        <f t="shared" ca="1" si="1"/>
        <v>6.1481481481481381</v>
      </c>
      <c r="Q19" s="14">
        <f t="shared" ca="1" si="1"/>
        <v>8.6444444444444457</v>
      </c>
      <c r="R19" s="14">
        <f t="shared" ca="1" si="1"/>
        <v>2.8222222222222229</v>
      </c>
      <c r="S19" s="14">
        <f t="shared" ca="1" si="1"/>
        <v>6.1111111111111072</v>
      </c>
      <c r="T19" s="15">
        <f t="shared" ca="1" si="2"/>
        <v>5.9314814814814785</v>
      </c>
    </row>
    <row r="20" spans="1:20" x14ac:dyDescent="0.2">
      <c r="A20">
        <v>4.0999999999999996</v>
      </c>
      <c r="B20" s="13">
        <v>9</v>
      </c>
      <c r="C20" t="s">
        <v>9</v>
      </c>
      <c r="O20" s="11">
        <v>4.1555555555555559</v>
      </c>
      <c r="P20" s="14">
        <f t="shared" ca="1" si="1"/>
        <v>8.0740740740740762</v>
      </c>
      <c r="Q20" s="14">
        <f t="shared" ca="1" si="1"/>
        <v>9.5555555555555571</v>
      </c>
      <c r="R20" s="14">
        <f t="shared" ca="1" si="1"/>
        <v>3.5555555555555571</v>
      </c>
      <c r="S20" s="14">
        <f t="shared" ca="1" si="1"/>
        <v>7.55555555555555</v>
      </c>
      <c r="T20" s="15">
        <f t="shared" ca="1" si="2"/>
        <v>7.1851851851851851</v>
      </c>
    </row>
    <row r="21" spans="1:20" x14ac:dyDescent="0.2">
      <c r="A21">
        <v>4.2</v>
      </c>
      <c r="B21" s="13">
        <v>10</v>
      </c>
      <c r="C21" t="s">
        <v>9</v>
      </c>
      <c r="O21" s="11">
        <v>4.3000000000000007</v>
      </c>
      <c r="P21" s="14">
        <f t="shared" ca="1" si="1"/>
        <v>10.000000000000057</v>
      </c>
      <c r="Q21" s="14">
        <f t="shared" ca="1" si="1"/>
        <v>11.000000000000007</v>
      </c>
      <c r="R21" s="14">
        <f t="shared" ca="1" si="1"/>
        <v>10.000000000000057</v>
      </c>
      <c r="S21" s="14">
        <f t="shared" ca="1" si="1"/>
        <v>9.0000000000000284</v>
      </c>
      <c r="T21" s="15">
        <f t="shared" ca="1" si="2"/>
        <v>10.000000000000037</v>
      </c>
    </row>
    <row r="22" spans="1:20" x14ac:dyDescent="0.2">
      <c r="A22">
        <v>4.3</v>
      </c>
      <c r="B22" s="13">
        <v>11</v>
      </c>
      <c r="C22" t="s">
        <v>9</v>
      </c>
    </row>
    <row r="23" spans="1:20" x14ac:dyDescent="0.2">
      <c r="A23">
        <v>4.3099999999999996</v>
      </c>
      <c r="B23" s="13">
        <v>12</v>
      </c>
      <c r="C23" t="s">
        <v>9</v>
      </c>
    </row>
    <row r="24" spans="1:20" x14ac:dyDescent="0.2">
      <c r="A24">
        <v>3</v>
      </c>
      <c r="B24" s="13">
        <v>0</v>
      </c>
      <c r="C24" t="s">
        <v>10</v>
      </c>
    </row>
    <row r="25" spans="1:20" x14ac:dyDescent="0.2">
      <c r="A25">
        <v>3.2</v>
      </c>
      <c r="B25" s="13">
        <v>1</v>
      </c>
      <c r="C25" t="s">
        <v>10</v>
      </c>
      <c r="M25" s="5"/>
    </row>
    <row r="26" spans="1:20" x14ac:dyDescent="0.2">
      <c r="A26">
        <v>3.6</v>
      </c>
      <c r="B26" s="13">
        <v>2</v>
      </c>
      <c r="C26" t="s">
        <v>10</v>
      </c>
      <c r="M26" s="5"/>
    </row>
    <row r="27" spans="1:20" x14ac:dyDescent="0.2">
      <c r="A27">
        <v>4.0999999999999996</v>
      </c>
      <c r="B27" s="13">
        <v>3</v>
      </c>
      <c r="C27" t="s">
        <v>10</v>
      </c>
      <c r="M27" s="5"/>
      <c r="O27" cm="1">
        <f t="array" ref="O27:O126">_xlfn.SEQUENCE(100,1,0,(12-0)/99)</f>
        <v>0</v>
      </c>
      <c r="P27">
        <f ca="1">_xlfn.LET(_xlpm.NewX,$O27,_xlpm.KnownX,$P$12:$P$21,_xlpm.KnownY,_xlfn.ANCHORARRAY(O$12),FORECAST(_xlpm.NewX,OFFSET(_xlpm.KnownY,MATCH(_xlpm.NewX,_xlpm.KnownX,1)-1,0,2), OFFSET(_xlpm.KnownX,MATCH(_xlpm.NewX,_xlpm.KnownX,1)-1,0,2)))</f>
        <v>2.9999999999999996</v>
      </c>
      <c r="Q27">
        <f t="shared" ref="Q27:T27" ca="1" si="3">_xlfn.LET(_xlpm.NewX,$O27,_xlpm.KnownX,$P$12:$P$21,_xlpm.KnownY,_xlfn.ANCHORARRAY(P$12),FORECAST(_xlpm.NewX,OFFSET(_xlpm.KnownY,MATCH(_xlpm.NewX,_xlpm.KnownX,1)-1,0,2), OFFSET(_xlpm.KnownX,MATCH(_xlpm.NewX,_xlpm.KnownX,1)-1,0,2)))</f>
        <v>0</v>
      </c>
      <c r="R27">
        <f t="shared" ca="1" si="3"/>
        <v>-2.2204460492503131E-16</v>
      </c>
      <c r="S27">
        <f t="shared" ca="1" si="3"/>
        <v>-5.5511151231257827E-17</v>
      </c>
      <c r="T27">
        <f t="shared" ca="1" si="3"/>
        <v>-5.5511151231257827E-17</v>
      </c>
    </row>
    <row r="28" spans="1:20" x14ac:dyDescent="0.2">
      <c r="A28">
        <v>4.2</v>
      </c>
      <c r="B28" s="13">
        <v>4</v>
      </c>
      <c r="C28" t="s">
        <v>10</v>
      </c>
      <c r="M28" s="5"/>
      <c r="O28">
        <v>0.12121212121212122</v>
      </c>
      <c r="P28">
        <f t="shared" ref="P28:S91" ca="1" si="4">_xlfn.LET(_xlpm.NewX,$O28,_xlpm.KnownX,$P$12:$P$21,_xlpm.KnownY,_xlfn.ANCHORARRAY(O$12),FORECAST(_xlpm.NewX,OFFSET(_xlpm.KnownY,MATCH(_xlpm.NewX,_xlpm.KnownX,1)-1,0,2), OFFSET(_xlpm.KnownX,MATCH(_xlpm.NewX,_xlpm.KnownX,1)-1,0,2)))</f>
        <v>3.0151515151515147</v>
      </c>
      <c r="Q28">
        <f t="shared" ca="1" si="4"/>
        <v>0.12121212121212122</v>
      </c>
      <c r="R28">
        <f t="shared" ca="1" si="4"/>
        <v>0.30303030303030265</v>
      </c>
      <c r="S28">
        <f t="shared" ca="1" si="4"/>
        <v>7.5757575757575663E-2</v>
      </c>
      <c r="T28">
        <f t="shared" ref="T28" ca="1" si="5">_xlfn.LET(_xlpm.NewX,$O28,_xlpm.KnownX,$P$12:$P$21,_xlpm.KnownY,_xlfn.ANCHORARRAY(S$12),FORECAST(_xlpm.NewX,OFFSET(_xlpm.KnownY,MATCH(_xlpm.NewX,_xlpm.KnownX,1)-1,0,2), OFFSET(_xlpm.KnownX,MATCH(_xlpm.NewX,_xlpm.KnownX,1)-1,0,2)))</f>
        <v>9.0909090909090967E-2</v>
      </c>
    </row>
    <row r="29" spans="1:20" x14ac:dyDescent="0.2">
      <c r="A29">
        <v>4.3</v>
      </c>
      <c r="B29" s="13">
        <v>10</v>
      </c>
      <c r="C29" t="s">
        <v>10</v>
      </c>
      <c r="M29" s="5"/>
      <c r="O29">
        <v>0.24242424242424243</v>
      </c>
      <c r="P29">
        <f t="shared" ca="1" si="4"/>
        <v>3.0303030303030298</v>
      </c>
      <c r="Q29">
        <f t="shared" ca="1" si="4"/>
        <v>0.24242424242424243</v>
      </c>
      <c r="R29">
        <f t="shared" ca="1" si="4"/>
        <v>0.60606060606060552</v>
      </c>
      <c r="S29">
        <f t="shared" ca="1" si="4"/>
        <v>0.15151515151515138</v>
      </c>
      <c r="T29">
        <f t="shared" ref="T29" ca="1" si="6">_xlfn.LET(_xlpm.NewX,$O29,_xlpm.KnownX,$P$12:$P$21,_xlpm.KnownY,_xlfn.ANCHORARRAY(S$12),FORECAST(_xlpm.NewX,OFFSET(_xlpm.KnownY,MATCH(_xlpm.NewX,_xlpm.KnownX,1)-1,0,2), OFFSET(_xlpm.KnownX,MATCH(_xlpm.NewX,_xlpm.KnownX,1)-1,0,2)))</f>
        <v>0.18181818181818199</v>
      </c>
    </row>
    <row r="30" spans="1:20" x14ac:dyDescent="0.2">
      <c r="A30">
        <v>4.3099999999999996</v>
      </c>
      <c r="B30" s="13">
        <v>11</v>
      </c>
      <c r="C30" t="s">
        <v>10</v>
      </c>
      <c r="M30" s="5"/>
      <c r="O30">
        <v>0.36363636363636365</v>
      </c>
      <c r="P30">
        <f t="shared" ca="1" si="4"/>
        <v>3.045454545454545</v>
      </c>
      <c r="Q30">
        <f t="shared" ca="1" si="4"/>
        <v>0.36363636363636365</v>
      </c>
      <c r="R30">
        <f t="shared" ca="1" si="4"/>
        <v>0.90909090909090839</v>
      </c>
      <c r="S30">
        <f t="shared" ca="1" si="4"/>
        <v>0.2272727272727271</v>
      </c>
      <c r="T30">
        <f t="shared" ref="T30" ca="1" si="7">_xlfn.LET(_xlpm.NewX,$O30,_xlpm.KnownX,$P$12:$P$21,_xlpm.KnownY,_xlfn.ANCHORARRAY(S$12),FORECAST(_xlpm.NewX,OFFSET(_xlpm.KnownY,MATCH(_xlpm.NewX,_xlpm.KnownX,1)-1,0,2), OFFSET(_xlpm.KnownX,MATCH(_xlpm.NewX,_xlpm.KnownX,1)-1,0,2)))</f>
        <v>0.27272727272727298</v>
      </c>
    </row>
    <row r="31" spans="1:20" x14ac:dyDescent="0.2">
      <c r="A31">
        <v>3</v>
      </c>
      <c r="B31" s="13">
        <v>0</v>
      </c>
      <c r="C31" t="s">
        <v>11</v>
      </c>
      <c r="M31" s="5"/>
      <c r="O31">
        <v>0.48484848484848486</v>
      </c>
      <c r="P31">
        <f t="shared" ca="1" si="4"/>
        <v>3.0606060606060601</v>
      </c>
      <c r="Q31">
        <f t="shared" ca="1" si="4"/>
        <v>0.48484848484848486</v>
      </c>
      <c r="R31">
        <f t="shared" ca="1" si="4"/>
        <v>1.2121212121212113</v>
      </c>
      <c r="S31">
        <f t="shared" ca="1" si="4"/>
        <v>0.30303030303030282</v>
      </c>
      <c r="T31">
        <f t="shared" ref="T31" ca="1" si="8">_xlfn.LET(_xlpm.NewX,$O31,_xlpm.KnownX,$P$12:$P$21,_xlpm.KnownY,_xlfn.ANCHORARRAY(S$12),FORECAST(_xlpm.NewX,OFFSET(_xlpm.KnownY,MATCH(_xlpm.NewX,_xlpm.KnownX,1)-1,0,2), OFFSET(_xlpm.KnownX,MATCH(_xlpm.NewX,_xlpm.KnownX,1)-1,0,2)))</f>
        <v>0.36363636363636404</v>
      </c>
    </row>
    <row r="32" spans="1:20" x14ac:dyDescent="0.2">
      <c r="A32">
        <v>3.5</v>
      </c>
      <c r="B32" s="13">
        <v>3</v>
      </c>
      <c r="C32" t="s">
        <v>11</v>
      </c>
      <c r="M32" s="5"/>
      <c r="O32">
        <v>0.60606060606060608</v>
      </c>
      <c r="P32">
        <f t="shared" ca="1" si="4"/>
        <v>3.0757575757575752</v>
      </c>
      <c r="Q32">
        <f t="shared" ca="1" si="4"/>
        <v>0.60606060606060608</v>
      </c>
      <c r="R32">
        <f t="shared" ca="1" si="4"/>
        <v>1.5151515151515142</v>
      </c>
      <c r="S32">
        <f t="shared" ca="1" si="4"/>
        <v>0.37878787878787856</v>
      </c>
      <c r="T32">
        <f t="shared" ref="T32" ca="1" si="9">_xlfn.LET(_xlpm.NewX,$O32,_xlpm.KnownX,$P$12:$P$21,_xlpm.KnownY,_xlfn.ANCHORARRAY(S$12),FORECAST(_xlpm.NewX,OFFSET(_xlpm.KnownY,MATCH(_xlpm.NewX,_xlpm.KnownX,1)-1,0,2), OFFSET(_xlpm.KnownX,MATCH(_xlpm.NewX,_xlpm.KnownX,1)-1,0,2)))</f>
        <v>0.45454545454545503</v>
      </c>
    </row>
    <row r="33" spans="1:20" x14ac:dyDescent="0.2">
      <c r="A33">
        <v>4</v>
      </c>
      <c r="B33" s="13">
        <v>6</v>
      </c>
      <c r="C33" t="s">
        <v>11</v>
      </c>
      <c r="M33" s="5"/>
      <c r="O33">
        <v>0.72727272727272729</v>
      </c>
      <c r="P33">
        <f t="shared" ca="1" si="4"/>
        <v>3.0909090909090904</v>
      </c>
      <c r="Q33">
        <f t="shared" ca="1" si="4"/>
        <v>0.72727272727272729</v>
      </c>
      <c r="R33">
        <f t="shared" ca="1" si="4"/>
        <v>1.818181818181817</v>
      </c>
      <c r="S33">
        <f t="shared" ca="1" si="4"/>
        <v>0.45454545454545425</v>
      </c>
      <c r="T33">
        <f t="shared" ref="T33" ca="1" si="10">_xlfn.LET(_xlpm.NewX,$O33,_xlpm.KnownX,$P$12:$P$21,_xlpm.KnownY,_xlfn.ANCHORARRAY(S$12),FORECAST(_xlpm.NewX,OFFSET(_xlpm.KnownY,MATCH(_xlpm.NewX,_xlpm.KnownX,1)-1,0,2), OFFSET(_xlpm.KnownX,MATCH(_xlpm.NewX,_xlpm.KnownX,1)-1,0,2)))</f>
        <v>0.54545454545454608</v>
      </c>
    </row>
    <row r="34" spans="1:20" x14ac:dyDescent="0.2">
      <c r="A34">
        <v>4.3</v>
      </c>
      <c r="B34" s="13">
        <v>9</v>
      </c>
      <c r="C34" t="s">
        <v>11</v>
      </c>
      <c r="M34" s="5"/>
      <c r="O34">
        <v>0.84848484848484851</v>
      </c>
      <c r="P34">
        <f t="shared" ca="1" si="4"/>
        <v>3.1060606060606055</v>
      </c>
      <c r="Q34">
        <f t="shared" ca="1" si="4"/>
        <v>0.84848484848484851</v>
      </c>
      <c r="R34">
        <f t="shared" ca="1" si="4"/>
        <v>2.1212121212121202</v>
      </c>
      <c r="S34">
        <f t="shared" ca="1" si="4"/>
        <v>0.53030303030303005</v>
      </c>
      <c r="T34">
        <f t="shared" ref="T34" ca="1" si="11">_xlfn.LET(_xlpm.NewX,$O34,_xlpm.KnownX,$P$12:$P$21,_xlpm.KnownY,_xlfn.ANCHORARRAY(S$12),FORECAST(_xlpm.NewX,OFFSET(_xlpm.KnownY,MATCH(_xlpm.NewX,_xlpm.KnownX,1)-1,0,2), OFFSET(_xlpm.KnownX,MATCH(_xlpm.NewX,_xlpm.KnownX,1)-1,0,2)))</f>
        <v>0.63636363636363713</v>
      </c>
    </row>
    <row r="35" spans="1:20" x14ac:dyDescent="0.2">
      <c r="A35">
        <v>4.3099999999999996</v>
      </c>
      <c r="B35" s="13">
        <v>9.5</v>
      </c>
      <c r="C35" t="s">
        <v>11</v>
      </c>
      <c r="M35" s="5"/>
      <c r="O35">
        <v>0.96969696969696972</v>
      </c>
      <c r="P35">
        <f t="shared" ca="1" si="4"/>
        <v>3.1212121212121207</v>
      </c>
      <c r="Q35">
        <f t="shared" ca="1" si="4"/>
        <v>0.96969696969696972</v>
      </c>
      <c r="R35">
        <f t="shared" ca="1" si="4"/>
        <v>2.424242424242423</v>
      </c>
      <c r="S35">
        <f t="shared" ca="1" si="4"/>
        <v>0.60606060606060574</v>
      </c>
      <c r="T35">
        <f t="shared" ref="T35" ca="1" si="12">_xlfn.LET(_xlpm.NewX,$O35,_xlpm.KnownX,$P$12:$P$21,_xlpm.KnownY,_xlfn.ANCHORARRAY(S$12),FORECAST(_xlpm.NewX,OFFSET(_xlpm.KnownY,MATCH(_xlpm.NewX,_xlpm.KnownX,1)-1,0,2), OFFSET(_xlpm.KnownX,MATCH(_xlpm.NewX,_xlpm.KnownX,1)-1,0,2)))</f>
        <v>0.72727272727272818</v>
      </c>
    </row>
    <row r="36" spans="1:20" x14ac:dyDescent="0.2">
      <c r="M36" s="5"/>
      <c r="O36">
        <v>1.0909090909090908</v>
      </c>
      <c r="P36">
        <f t="shared" ca="1" si="4"/>
        <v>3.1363636363636358</v>
      </c>
      <c r="Q36">
        <f t="shared" ca="1" si="4"/>
        <v>1.0909090909090908</v>
      </c>
      <c r="R36">
        <f t="shared" ca="1" si="4"/>
        <v>2.7272727272727257</v>
      </c>
      <c r="S36">
        <f t="shared" ca="1" si="4"/>
        <v>0.68181818181818143</v>
      </c>
      <c r="T36">
        <f t="shared" ref="T36" ca="1" si="13">_xlfn.LET(_xlpm.NewX,$O36,_xlpm.KnownX,$P$12:$P$21,_xlpm.KnownY,_xlfn.ANCHORARRAY(S$12),FORECAST(_xlpm.NewX,OFFSET(_xlpm.KnownY,MATCH(_xlpm.NewX,_xlpm.KnownX,1)-1,0,2), OFFSET(_xlpm.KnownX,MATCH(_xlpm.NewX,_xlpm.KnownX,1)-1,0,2)))</f>
        <v>0.81818181818181901</v>
      </c>
    </row>
    <row r="37" spans="1:20" x14ac:dyDescent="0.2">
      <c r="M37" s="5"/>
      <c r="O37">
        <v>1.2121212121212119</v>
      </c>
      <c r="P37">
        <f t="shared" ca="1" si="4"/>
        <v>3.1515151515151514</v>
      </c>
      <c r="Q37">
        <f t="shared" ca="1" si="4"/>
        <v>1.2121212121212119</v>
      </c>
      <c r="R37">
        <f t="shared" ca="1" si="4"/>
        <v>2.9759129759129737</v>
      </c>
      <c r="S37">
        <f t="shared" ca="1" si="4"/>
        <v>0.74669774669774602</v>
      </c>
      <c r="T37">
        <f t="shared" ref="T37" ca="1" si="14">_xlfn.LET(_xlpm.NewX,$O37,_xlpm.KnownX,$P$12:$P$21,_xlpm.KnownY,_xlfn.ANCHORARRAY(S$12),FORECAST(_xlpm.NewX,OFFSET(_xlpm.KnownY,MATCH(_xlpm.NewX,_xlpm.KnownX,1)-1,0,2), OFFSET(_xlpm.KnownX,MATCH(_xlpm.NewX,_xlpm.KnownX,1)-1,0,2)))</f>
        <v>0.90909090909090984</v>
      </c>
    </row>
    <row r="38" spans="1:20" x14ac:dyDescent="0.2">
      <c r="M38" s="5"/>
      <c r="O38">
        <v>1.333333333333333</v>
      </c>
      <c r="P38">
        <f t="shared" ca="1" si="4"/>
        <v>3.1666666666666665</v>
      </c>
      <c r="Q38">
        <f t="shared" ca="1" si="4"/>
        <v>1.333333333333333</v>
      </c>
      <c r="R38">
        <f t="shared" ca="1" si="4"/>
        <v>3.16239316239316</v>
      </c>
      <c r="S38">
        <f t="shared" ca="1" si="4"/>
        <v>0.79914529914529842</v>
      </c>
      <c r="T38">
        <f t="shared" ref="T38" ca="1" si="15">_xlfn.LET(_xlpm.NewX,$O38,_xlpm.KnownX,$P$12:$P$21,_xlpm.KnownY,_xlfn.ANCHORARRAY(S$12),FORECAST(_xlpm.NewX,OFFSET(_xlpm.KnownY,MATCH(_xlpm.NewX,_xlpm.KnownX,1)-1,0,2), OFFSET(_xlpm.KnownX,MATCH(_xlpm.NewX,_xlpm.KnownX,1)-1,0,2)))</f>
        <v>1.0000000000000007</v>
      </c>
    </row>
    <row r="39" spans="1:20" x14ac:dyDescent="0.2">
      <c r="M39" s="5"/>
      <c r="O39">
        <v>1.4545454545454541</v>
      </c>
      <c r="P39">
        <f t="shared" ca="1" si="4"/>
        <v>3.1818181818181817</v>
      </c>
      <c r="Q39">
        <f t="shared" ca="1" si="4"/>
        <v>1.4545454545454541</v>
      </c>
      <c r="R39">
        <f t="shared" ca="1" si="4"/>
        <v>3.3488733488733464</v>
      </c>
      <c r="S39">
        <f t="shared" ca="1" si="4"/>
        <v>0.85159285159285092</v>
      </c>
      <c r="T39">
        <f t="shared" ref="T39" ca="1" si="16">_xlfn.LET(_xlpm.NewX,$O39,_xlpm.KnownX,$P$12:$P$21,_xlpm.KnownY,_xlfn.ANCHORARRAY(S$12),FORECAST(_xlpm.NewX,OFFSET(_xlpm.KnownY,MATCH(_xlpm.NewX,_xlpm.KnownX,1)-1,0,2), OFFSET(_xlpm.KnownX,MATCH(_xlpm.NewX,_xlpm.KnownX,1)-1,0,2)))</f>
        <v>1.0909090909090917</v>
      </c>
    </row>
    <row r="40" spans="1:20" x14ac:dyDescent="0.2">
      <c r="M40" s="5"/>
      <c r="O40">
        <v>1.5757575757575752</v>
      </c>
      <c r="P40">
        <f t="shared" ca="1" si="4"/>
        <v>3.1969696969696968</v>
      </c>
      <c r="Q40">
        <f t="shared" ca="1" si="4"/>
        <v>1.5757575757575752</v>
      </c>
      <c r="R40">
        <f t="shared" ca="1" si="4"/>
        <v>3.5353535353535328</v>
      </c>
      <c r="S40">
        <f t="shared" ca="1" si="4"/>
        <v>0.90404040404040331</v>
      </c>
      <c r="T40">
        <f t="shared" ref="T40" ca="1" si="17">_xlfn.LET(_xlpm.NewX,$O40,_xlpm.KnownX,$P$12:$P$21,_xlpm.KnownY,_xlfn.ANCHORARRAY(S$12),FORECAST(_xlpm.NewX,OFFSET(_xlpm.KnownY,MATCH(_xlpm.NewX,_xlpm.KnownX,1)-1,0,2), OFFSET(_xlpm.KnownX,MATCH(_xlpm.NewX,_xlpm.KnownX,1)-1,0,2)))</f>
        <v>1.1818181818181825</v>
      </c>
    </row>
    <row r="41" spans="1:20" x14ac:dyDescent="0.2">
      <c r="M41" s="5"/>
      <c r="O41">
        <v>1.6969696969696964</v>
      </c>
      <c r="P41">
        <f t="shared" ca="1" si="4"/>
        <v>3.2121212121212119</v>
      </c>
      <c r="Q41">
        <f t="shared" ca="1" si="4"/>
        <v>1.6969696969696964</v>
      </c>
      <c r="R41">
        <f t="shared" ca="1" si="4"/>
        <v>3.7218337218337192</v>
      </c>
      <c r="S41">
        <f t="shared" ca="1" si="4"/>
        <v>0.9564879564879557</v>
      </c>
      <c r="T41">
        <f t="shared" ref="T41" ca="1" si="18">_xlfn.LET(_xlpm.NewX,$O41,_xlpm.KnownX,$P$12:$P$21,_xlpm.KnownY,_xlfn.ANCHORARRAY(S$12),FORECAST(_xlpm.NewX,OFFSET(_xlpm.KnownY,MATCH(_xlpm.NewX,_xlpm.KnownX,1)-1,0,2), OFFSET(_xlpm.KnownX,MATCH(_xlpm.NewX,_xlpm.KnownX,1)-1,0,2)))</f>
        <v>1.2727272727272736</v>
      </c>
    </row>
    <row r="42" spans="1:20" x14ac:dyDescent="0.2">
      <c r="M42" s="5"/>
      <c r="O42">
        <v>1.8181818181818175</v>
      </c>
      <c r="P42">
        <f t="shared" ca="1" si="4"/>
        <v>3.2272727272727271</v>
      </c>
      <c r="Q42">
        <f t="shared" ca="1" si="4"/>
        <v>1.8181818181818175</v>
      </c>
      <c r="R42">
        <f t="shared" ca="1" si="4"/>
        <v>3.908313908313906</v>
      </c>
      <c r="S42">
        <f t="shared" ca="1" si="4"/>
        <v>1.0089355089355081</v>
      </c>
      <c r="T42">
        <f t="shared" ref="T42" ca="1" si="19">_xlfn.LET(_xlpm.NewX,$O42,_xlpm.KnownX,$P$12:$P$21,_xlpm.KnownY,_xlfn.ANCHORARRAY(S$12),FORECAST(_xlpm.NewX,OFFSET(_xlpm.KnownY,MATCH(_xlpm.NewX,_xlpm.KnownX,1)-1,0,2), OFFSET(_xlpm.KnownX,MATCH(_xlpm.NewX,_xlpm.KnownX,1)-1,0,2)))</f>
        <v>1.3636363636363644</v>
      </c>
    </row>
    <row r="43" spans="1:20" x14ac:dyDescent="0.2">
      <c r="M43" s="5"/>
      <c r="O43">
        <v>1.9393939393939386</v>
      </c>
      <c r="P43">
        <f t="shared" ca="1" si="4"/>
        <v>3.2424242424242422</v>
      </c>
      <c r="Q43">
        <f t="shared" ca="1" si="4"/>
        <v>1.9393939393939386</v>
      </c>
      <c r="R43">
        <f t="shared" ca="1" si="4"/>
        <v>4.0947940947940928</v>
      </c>
      <c r="S43">
        <f t="shared" ca="1" si="4"/>
        <v>1.0613830613830606</v>
      </c>
      <c r="T43">
        <f t="shared" ref="T43" ca="1" si="20">_xlfn.LET(_xlpm.NewX,$O43,_xlpm.KnownX,$P$12:$P$21,_xlpm.KnownY,_xlfn.ANCHORARRAY(S$12),FORECAST(_xlpm.NewX,OFFSET(_xlpm.KnownY,MATCH(_xlpm.NewX,_xlpm.KnownX,1)-1,0,2), OFFSET(_xlpm.KnownX,MATCH(_xlpm.NewX,_xlpm.KnownX,1)-1,0,2)))</f>
        <v>1.4545454545454555</v>
      </c>
    </row>
    <row r="44" spans="1:20" x14ac:dyDescent="0.2">
      <c r="M44" s="5"/>
      <c r="O44">
        <v>2.0606060606060597</v>
      </c>
      <c r="P44">
        <f t="shared" ca="1" si="4"/>
        <v>3.2575757575757573</v>
      </c>
      <c r="Q44">
        <f t="shared" ca="1" si="4"/>
        <v>2.0606060606060597</v>
      </c>
      <c r="R44">
        <f t="shared" ca="1" si="4"/>
        <v>4.2812742812742783</v>
      </c>
      <c r="S44">
        <f t="shared" ca="1" si="4"/>
        <v>1.1138306138306131</v>
      </c>
      <c r="T44">
        <f t="shared" ref="T44" ca="1" si="21">_xlfn.LET(_xlpm.NewX,$O44,_xlpm.KnownX,$P$12:$P$21,_xlpm.KnownY,_xlfn.ANCHORARRAY(S$12),FORECAST(_xlpm.NewX,OFFSET(_xlpm.KnownY,MATCH(_xlpm.NewX,_xlpm.KnownX,1)-1,0,2), OFFSET(_xlpm.KnownX,MATCH(_xlpm.NewX,_xlpm.KnownX,1)-1,0,2)))</f>
        <v>1.5454545454545463</v>
      </c>
    </row>
    <row r="45" spans="1:20" x14ac:dyDescent="0.2">
      <c r="M45" s="5"/>
      <c r="O45">
        <v>2.1818181818181808</v>
      </c>
      <c r="P45">
        <f t="shared" ca="1" si="4"/>
        <v>3.2727272727272725</v>
      </c>
      <c r="Q45">
        <f t="shared" ca="1" si="4"/>
        <v>2.1818181818181808</v>
      </c>
      <c r="R45">
        <f t="shared" ca="1" si="4"/>
        <v>4.4677544677544656</v>
      </c>
      <c r="S45">
        <f t="shared" ca="1" si="4"/>
        <v>1.1662781662781656</v>
      </c>
      <c r="T45">
        <f t="shared" ref="T45" ca="1" si="22">_xlfn.LET(_xlpm.NewX,$O45,_xlpm.KnownX,$P$12:$P$21,_xlpm.KnownY,_xlfn.ANCHORARRAY(S$12),FORECAST(_xlpm.NewX,OFFSET(_xlpm.KnownY,MATCH(_xlpm.NewX,_xlpm.KnownX,1)-1,0,2), OFFSET(_xlpm.KnownX,MATCH(_xlpm.NewX,_xlpm.KnownX,1)-1,0,2)))</f>
        <v>1.6363636363636374</v>
      </c>
    </row>
    <row r="46" spans="1:20" x14ac:dyDescent="0.2">
      <c r="M46" s="5"/>
      <c r="O46">
        <v>2.3030303030303019</v>
      </c>
      <c r="P46">
        <f t="shared" ca="1" si="4"/>
        <v>3.2878787878787876</v>
      </c>
      <c r="Q46">
        <f t="shared" ca="1" si="4"/>
        <v>2.3030303030303019</v>
      </c>
      <c r="R46">
        <f t="shared" ca="1" si="4"/>
        <v>4.654234654234652</v>
      </c>
      <c r="S46">
        <f t="shared" ca="1" si="4"/>
        <v>1.2187257187257179</v>
      </c>
      <c r="T46">
        <f t="shared" ref="T46" ca="1" si="23">_xlfn.LET(_xlpm.NewX,$O46,_xlpm.KnownX,$P$12:$P$21,_xlpm.KnownY,_xlfn.ANCHORARRAY(S$12),FORECAST(_xlpm.NewX,OFFSET(_xlpm.KnownY,MATCH(_xlpm.NewX,_xlpm.KnownX,1)-1,0,2), OFFSET(_xlpm.KnownX,MATCH(_xlpm.NewX,_xlpm.KnownX,1)-1,0,2)))</f>
        <v>1.7272727272727282</v>
      </c>
    </row>
    <row r="47" spans="1:20" x14ac:dyDescent="0.2">
      <c r="M47" s="5"/>
      <c r="O47">
        <v>2.424242424242423</v>
      </c>
      <c r="P47">
        <f t="shared" ca="1" si="4"/>
        <v>3.3030303030303023</v>
      </c>
      <c r="Q47">
        <f t="shared" ca="1" si="4"/>
        <v>2.424242424242423</v>
      </c>
      <c r="R47">
        <f t="shared" ca="1" si="4"/>
        <v>4.7727272727272698</v>
      </c>
      <c r="S47">
        <f t="shared" ca="1" si="4"/>
        <v>1.2575757575757567</v>
      </c>
      <c r="T47">
        <f t="shared" ref="T47" ca="1" si="24">_xlfn.LET(_xlpm.NewX,$O47,_xlpm.KnownX,$P$12:$P$21,_xlpm.KnownY,_xlfn.ANCHORARRAY(S$12),FORECAST(_xlpm.NewX,OFFSET(_xlpm.KnownY,MATCH(_xlpm.NewX,_xlpm.KnownX,1)-1,0,2), OFFSET(_xlpm.KnownX,MATCH(_xlpm.NewX,_xlpm.KnownX,1)-1,0,2)))</f>
        <v>1.8181818181818188</v>
      </c>
    </row>
    <row r="48" spans="1:20" x14ac:dyDescent="0.2">
      <c r="M48" s="5"/>
      <c r="O48">
        <v>2.5454545454545441</v>
      </c>
      <c r="P48">
        <f t="shared" ca="1" si="4"/>
        <v>3.3181818181818175</v>
      </c>
      <c r="Q48">
        <f t="shared" ca="1" si="4"/>
        <v>2.5454545454545441</v>
      </c>
      <c r="R48">
        <f t="shared" ca="1" si="4"/>
        <v>4.8863636363636331</v>
      </c>
      <c r="S48">
        <f t="shared" ca="1" si="4"/>
        <v>1.2954545454545445</v>
      </c>
      <c r="T48">
        <f t="shared" ref="T48" ca="1" si="25">_xlfn.LET(_xlpm.NewX,$O48,_xlpm.KnownX,$P$12:$P$21,_xlpm.KnownY,_xlfn.ANCHORARRAY(S$12),FORECAST(_xlpm.NewX,OFFSET(_xlpm.KnownY,MATCH(_xlpm.NewX,_xlpm.KnownX,1)-1,0,2), OFFSET(_xlpm.KnownX,MATCH(_xlpm.NewX,_xlpm.KnownX,1)-1,0,2)))</f>
        <v>1.9090909090909092</v>
      </c>
    </row>
    <row r="49" spans="13:20" x14ac:dyDescent="0.2">
      <c r="M49" s="5"/>
      <c r="O49">
        <v>2.6666666666666652</v>
      </c>
      <c r="P49">
        <f t="shared" ca="1" si="4"/>
        <v>3.3333333333333326</v>
      </c>
      <c r="Q49">
        <f t="shared" ca="1" si="4"/>
        <v>2.6666666666666652</v>
      </c>
      <c r="R49">
        <f t="shared" ca="1" si="4"/>
        <v>4.9999999999999964</v>
      </c>
      <c r="S49">
        <f t="shared" ca="1" si="4"/>
        <v>1.3333333333333321</v>
      </c>
      <c r="T49">
        <f t="shared" ref="T49" ca="1" si="26">_xlfn.LET(_xlpm.NewX,$O49,_xlpm.KnownX,$P$12:$P$21,_xlpm.KnownY,_xlfn.ANCHORARRAY(S$12),FORECAST(_xlpm.NewX,OFFSET(_xlpm.KnownY,MATCH(_xlpm.NewX,_xlpm.KnownX,1)-1,0,2), OFFSET(_xlpm.KnownX,MATCH(_xlpm.NewX,_xlpm.KnownX,1)-1,0,2)))</f>
        <v>1.9999999999999998</v>
      </c>
    </row>
    <row r="50" spans="13:20" x14ac:dyDescent="0.2">
      <c r="M50" s="5"/>
      <c r="O50">
        <v>2.7878787878787863</v>
      </c>
      <c r="P50">
        <f t="shared" ca="1" si="4"/>
        <v>3.3484848484848477</v>
      </c>
      <c r="Q50">
        <f t="shared" ca="1" si="4"/>
        <v>2.7878787878787863</v>
      </c>
      <c r="R50">
        <f t="shared" ca="1" si="4"/>
        <v>5.1136363636363606</v>
      </c>
      <c r="S50">
        <f t="shared" ca="1" si="4"/>
        <v>1.3712121212121202</v>
      </c>
      <c r="T50">
        <f t="shared" ref="T50" ca="1" si="27">_xlfn.LET(_xlpm.NewX,$O50,_xlpm.KnownX,$P$12:$P$21,_xlpm.KnownY,_xlfn.ANCHORARRAY(S$12),FORECAST(_xlpm.NewX,OFFSET(_xlpm.KnownY,MATCH(_xlpm.NewX,_xlpm.KnownX,1)-1,0,2), OFFSET(_xlpm.KnownX,MATCH(_xlpm.NewX,_xlpm.KnownX,1)-1,0,2)))</f>
        <v>2.0909090909090904</v>
      </c>
    </row>
    <row r="51" spans="13:20" x14ac:dyDescent="0.2">
      <c r="M51" s="5"/>
      <c r="O51">
        <v>2.9090909090909074</v>
      </c>
      <c r="P51">
        <f t="shared" ca="1" si="4"/>
        <v>3.3636363636363629</v>
      </c>
      <c r="Q51">
        <f t="shared" ca="1" si="4"/>
        <v>2.9090909090909074</v>
      </c>
      <c r="R51">
        <f t="shared" ca="1" si="4"/>
        <v>5.227272727272724</v>
      </c>
      <c r="S51">
        <f t="shared" ca="1" si="4"/>
        <v>1.4090909090909078</v>
      </c>
      <c r="T51">
        <f t="shared" ref="T51" ca="1" si="28">_xlfn.LET(_xlpm.NewX,$O51,_xlpm.KnownX,$P$12:$P$21,_xlpm.KnownY,_xlfn.ANCHORARRAY(S$12),FORECAST(_xlpm.NewX,OFFSET(_xlpm.KnownY,MATCH(_xlpm.NewX,_xlpm.KnownX,1)-1,0,2), OFFSET(_xlpm.KnownX,MATCH(_xlpm.NewX,_xlpm.KnownX,1)-1,0,2)))</f>
        <v>2.1818181818181808</v>
      </c>
    </row>
    <row r="52" spans="13:20" x14ac:dyDescent="0.2">
      <c r="M52" s="5"/>
      <c r="O52">
        <v>3.0303030303030285</v>
      </c>
      <c r="P52">
        <f t="shared" ca="1" si="4"/>
        <v>3.378787878787878</v>
      </c>
      <c r="Q52">
        <f t="shared" ca="1" si="4"/>
        <v>3.0303030303030285</v>
      </c>
      <c r="R52">
        <f t="shared" ca="1" si="4"/>
        <v>5.3409090909090873</v>
      </c>
      <c r="S52">
        <f t="shared" ca="1" si="4"/>
        <v>1.4469696969696959</v>
      </c>
      <c r="T52">
        <f t="shared" ref="T52" ca="1" si="29">_xlfn.LET(_xlpm.NewX,$O52,_xlpm.KnownX,$P$12:$P$21,_xlpm.KnownY,_xlfn.ANCHORARRAY(S$12),FORECAST(_xlpm.NewX,OFFSET(_xlpm.KnownY,MATCH(_xlpm.NewX,_xlpm.KnownX,1)-1,0,2), OFFSET(_xlpm.KnownX,MATCH(_xlpm.NewX,_xlpm.KnownX,1)-1,0,2)))</f>
        <v>2.2727272727272716</v>
      </c>
    </row>
    <row r="53" spans="13:20" x14ac:dyDescent="0.2">
      <c r="M53" s="5"/>
      <c r="O53">
        <v>3.1515151515151496</v>
      </c>
      <c r="P53">
        <f t="shared" ca="1" si="4"/>
        <v>3.3939393939393936</v>
      </c>
      <c r="Q53">
        <f t="shared" ca="1" si="4"/>
        <v>3.1515151515151496</v>
      </c>
      <c r="R53">
        <f t="shared" ca="1" si="4"/>
        <v>5.4545454545454515</v>
      </c>
      <c r="S53">
        <f t="shared" ca="1" si="4"/>
        <v>1.4848484848484835</v>
      </c>
      <c r="T53">
        <f t="shared" ref="T53" ca="1" si="30">_xlfn.LET(_xlpm.NewX,$O53,_xlpm.KnownX,$P$12:$P$21,_xlpm.KnownY,_xlfn.ANCHORARRAY(S$12),FORECAST(_xlpm.NewX,OFFSET(_xlpm.KnownY,MATCH(_xlpm.NewX,_xlpm.KnownX,1)-1,0,2), OFFSET(_xlpm.KnownX,MATCH(_xlpm.NewX,_xlpm.KnownX,1)-1,0,2)))</f>
        <v>2.363636363636362</v>
      </c>
    </row>
    <row r="54" spans="13:20" x14ac:dyDescent="0.2">
      <c r="M54" s="5"/>
      <c r="O54">
        <v>3.2727272727272707</v>
      </c>
      <c r="P54">
        <f t="shared" ca="1" si="4"/>
        <v>3.4090909090909083</v>
      </c>
      <c r="Q54">
        <f t="shared" ca="1" si="4"/>
        <v>3.2727272727272707</v>
      </c>
      <c r="R54">
        <f t="shared" ca="1" si="4"/>
        <v>5.5681818181818148</v>
      </c>
      <c r="S54">
        <f t="shared" ca="1" si="4"/>
        <v>1.5227272727272716</v>
      </c>
      <c r="T54">
        <f t="shared" ref="T54" ca="1" si="31">_xlfn.LET(_xlpm.NewX,$O54,_xlpm.KnownX,$P$12:$P$21,_xlpm.KnownY,_xlfn.ANCHORARRAY(S$12),FORECAST(_xlpm.NewX,OFFSET(_xlpm.KnownY,MATCH(_xlpm.NewX,_xlpm.KnownX,1)-1,0,2), OFFSET(_xlpm.KnownX,MATCH(_xlpm.NewX,_xlpm.KnownX,1)-1,0,2)))</f>
        <v>2.4545454545454524</v>
      </c>
    </row>
    <row r="55" spans="13:20" x14ac:dyDescent="0.2">
      <c r="M55" s="5"/>
      <c r="O55">
        <v>3.3939393939393918</v>
      </c>
      <c r="P55">
        <f t="shared" ca="1" si="4"/>
        <v>3.4242424242424239</v>
      </c>
      <c r="Q55">
        <f t="shared" ca="1" si="4"/>
        <v>3.3939393939393918</v>
      </c>
      <c r="R55">
        <f t="shared" ca="1" si="4"/>
        <v>5.6818181818181781</v>
      </c>
      <c r="S55">
        <f t="shared" ca="1" si="4"/>
        <v>1.5606060606060592</v>
      </c>
      <c r="T55">
        <f t="shared" ref="T55" ca="1" si="32">_xlfn.LET(_xlpm.NewX,$O55,_xlpm.KnownX,$P$12:$P$21,_xlpm.KnownY,_xlfn.ANCHORARRAY(S$12),FORECAST(_xlpm.NewX,OFFSET(_xlpm.KnownY,MATCH(_xlpm.NewX,_xlpm.KnownX,1)-1,0,2), OFFSET(_xlpm.KnownX,MATCH(_xlpm.NewX,_xlpm.KnownX,1)-1,0,2)))</f>
        <v>2.5454545454545432</v>
      </c>
    </row>
    <row r="56" spans="13:20" x14ac:dyDescent="0.2">
      <c r="M56" s="5"/>
      <c r="O56">
        <v>3.5151515151515129</v>
      </c>
      <c r="P56">
        <f t="shared" ca="1" si="4"/>
        <v>3.4416267942583731</v>
      </c>
      <c r="Q56">
        <f t="shared" ca="1" si="4"/>
        <v>3.5151515151515129</v>
      </c>
      <c r="R56">
        <f t="shared" ca="1" si="4"/>
        <v>5.8122009569377955</v>
      </c>
      <c r="S56">
        <f t="shared" ca="1" si="4"/>
        <v>1.6040669856459315</v>
      </c>
      <c r="T56">
        <f t="shared" ref="T56" ca="1" si="33">_xlfn.LET(_xlpm.NewX,$O56,_xlpm.KnownX,$P$12:$P$21,_xlpm.KnownY,_xlfn.ANCHORARRAY(S$12),FORECAST(_xlpm.NewX,OFFSET(_xlpm.KnownY,MATCH(_xlpm.NewX,_xlpm.KnownX,1)-1,0,2), OFFSET(_xlpm.KnownX,MATCH(_xlpm.NewX,_xlpm.KnownX,1)-1,0,2)))</f>
        <v>2.6497607655502367</v>
      </c>
    </row>
    <row r="57" spans="13:20" x14ac:dyDescent="0.2">
      <c r="M57" s="5"/>
      <c r="O57">
        <v>3.636363636363634</v>
      </c>
      <c r="P57">
        <f t="shared" ca="1" si="4"/>
        <v>3.4623604465709725</v>
      </c>
      <c r="Q57">
        <f t="shared" ca="1" si="4"/>
        <v>3.636363636363634</v>
      </c>
      <c r="R57">
        <f t="shared" ca="1" si="4"/>
        <v>5.9677033492822931</v>
      </c>
      <c r="S57">
        <f t="shared" ca="1" si="4"/>
        <v>1.6559011164274307</v>
      </c>
      <c r="T57">
        <f t="shared" ref="T57" ca="1" si="34">_xlfn.LET(_xlpm.NewX,$O57,_xlpm.KnownX,$P$12:$P$21,_xlpm.KnownY,_xlfn.ANCHORARRAY(S$12),FORECAST(_xlpm.NewX,OFFSET(_xlpm.KnownY,MATCH(_xlpm.NewX,_xlpm.KnownX,1)-1,0,2), OFFSET(_xlpm.KnownX,MATCH(_xlpm.NewX,_xlpm.KnownX,1)-1,0,2)))</f>
        <v>2.7741626794258347</v>
      </c>
    </row>
    <row r="58" spans="13:20" x14ac:dyDescent="0.2">
      <c r="M58" s="5"/>
      <c r="O58">
        <v>3.7575757575757551</v>
      </c>
      <c r="P58">
        <f t="shared" ca="1" si="4"/>
        <v>3.4830940988835724</v>
      </c>
      <c r="Q58">
        <f t="shared" ca="1" si="4"/>
        <v>3.7575757575757551</v>
      </c>
      <c r="R58">
        <f t="shared" ca="1" si="4"/>
        <v>6.1232057416267907</v>
      </c>
      <c r="S58">
        <f t="shared" ca="1" si="4"/>
        <v>1.7077352472089296</v>
      </c>
      <c r="T58">
        <f t="shared" ref="T58" ca="1" si="35">_xlfn.LET(_xlpm.NewX,$O58,_xlpm.KnownX,$P$12:$P$21,_xlpm.KnownY,_xlfn.ANCHORARRAY(S$12),FORECAST(_xlpm.NewX,OFFSET(_xlpm.KnownY,MATCH(_xlpm.NewX,_xlpm.KnownX,1)-1,0,2), OFFSET(_xlpm.KnownX,MATCH(_xlpm.NewX,_xlpm.KnownX,1)-1,0,2)))</f>
        <v>2.8985645933014323</v>
      </c>
    </row>
    <row r="59" spans="13:20" x14ac:dyDescent="0.2">
      <c r="M59" s="5"/>
      <c r="O59">
        <v>3.8787878787878762</v>
      </c>
      <c r="P59">
        <f t="shared" ca="1" si="4"/>
        <v>3.5038277511961722</v>
      </c>
      <c r="Q59">
        <f t="shared" ca="1" si="4"/>
        <v>3.8787878787878762</v>
      </c>
      <c r="R59">
        <f t="shared" ca="1" si="4"/>
        <v>6.2787081339712882</v>
      </c>
      <c r="S59">
        <f t="shared" ca="1" si="4"/>
        <v>1.7595693779904287</v>
      </c>
      <c r="T59">
        <f t="shared" ref="T59" ca="1" si="36">_xlfn.LET(_xlpm.NewX,$O59,_xlpm.KnownX,$P$12:$P$21,_xlpm.KnownY,_xlfn.ANCHORARRAY(S$12),FORECAST(_xlpm.NewX,OFFSET(_xlpm.KnownY,MATCH(_xlpm.NewX,_xlpm.KnownX,1)-1,0,2), OFFSET(_xlpm.KnownX,MATCH(_xlpm.NewX,_xlpm.KnownX,1)-1,0,2)))</f>
        <v>3.0229665071770304</v>
      </c>
    </row>
    <row r="60" spans="13:20" x14ac:dyDescent="0.2">
      <c r="M60" s="5"/>
      <c r="O60">
        <v>3.9999999999999973</v>
      </c>
      <c r="P60">
        <f t="shared" ca="1" si="4"/>
        <v>3.5245614035087716</v>
      </c>
      <c r="Q60">
        <f t="shared" ca="1" si="4"/>
        <v>3.9999999999999973</v>
      </c>
      <c r="R60">
        <f t="shared" ca="1" si="4"/>
        <v>6.4342105263157858</v>
      </c>
      <c r="S60">
        <f t="shared" ca="1" si="4"/>
        <v>1.8114035087719278</v>
      </c>
      <c r="T60">
        <f t="shared" ref="T60" ca="1" si="37">_xlfn.LET(_xlpm.NewX,$O60,_xlpm.KnownX,$P$12:$P$21,_xlpm.KnownY,_xlfn.ANCHORARRAY(S$12),FORECAST(_xlpm.NewX,OFFSET(_xlpm.KnownY,MATCH(_xlpm.NewX,_xlpm.KnownX,1)-1,0,2), OFFSET(_xlpm.KnownX,MATCH(_xlpm.NewX,_xlpm.KnownX,1)-1,0,2)))</f>
        <v>3.1473684210526285</v>
      </c>
    </row>
    <row r="61" spans="13:20" x14ac:dyDescent="0.2">
      <c r="M61" s="5"/>
      <c r="O61">
        <v>4.1212121212121184</v>
      </c>
      <c r="P61">
        <f t="shared" ca="1" si="4"/>
        <v>3.5452950558213714</v>
      </c>
      <c r="Q61">
        <f t="shared" ca="1" si="4"/>
        <v>4.1212121212121184</v>
      </c>
      <c r="R61">
        <f t="shared" ca="1" si="4"/>
        <v>6.5897129186602834</v>
      </c>
      <c r="S61">
        <f t="shared" ca="1" si="4"/>
        <v>1.8632376395534269</v>
      </c>
      <c r="T61">
        <f t="shared" ref="T61" ca="1" si="38">_xlfn.LET(_xlpm.NewX,$O61,_xlpm.KnownX,$P$12:$P$21,_xlpm.KnownY,_xlfn.ANCHORARRAY(S$12),FORECAST(_xlpm.NewX,OFFSET(_xlpm.KnownY,MATCH(_xlpm.NewX,_xlpm.KnownX,1)-1,0,2), OFFSET(_xlpm.KnownX,MATCH(_xlpm.NewX,_xlpm.KnownX,1)-1,0,2)))</f>
        <v>3.2717703349282266</v>
      </c>
    </row>
    <row r="62" spans="13:20" x14ac:dyDescent="0.2">
      <c r="M62" s="5"/>
      <c r="O62">
        <v>4.2424242424242395</v>
      </c>
      <c r="P62">
        <f t="shared" ca="1" si="4"/>
        <v>3.5660287081339708</v>
      </c>
      <c r="Q62">
        <f t="shared" ca="1" si="4"/>
        <v>4.2424242424242395</v>
      </c>
      <c r="R62">
        <f t="shared" ca="1" si="4"/>
        <v>6.745215311004781</v>
      </c>
      <c r="S62">
        <f t="shared" ca="1" si="4"/>
        <v>1.9150717703349258</v>
      </c>
      <c r="T62">
        <f t="shared" ref="T62" ca="1" si="39">_xlfn.LET(_xlpm.NewX,$O62,_xlpm.KnownX,$P$12:$P$21,_xlpm.KnownY,_xlfn.ANCHORARRAY(S$12),FORECAST(_xlpm.NewX,OFFSET(_xlpm.KnownY,MATCH(_xlpm.NewX,_xlpm.KnownX,1)-1,0,2), OFFSET(_xlpm.KnownX,MATCH(_xlpm.NewX,_xlpm.KnownX,1)-1,0,2)))</f>
        <v>3.3961722488038246</v>
      </c>
    </row>
    <row r="63" spans="13:20" x14ac:dyDescent="0.2">
      <c r="M63" s="5"/>
      <c r="O63">
        <v>4.3636363636363606</v>
      </c>
      <c r="P63">
        <f t="shared" ca="1" si="4"/>
        <v>3.5909090909090899</v>
      </c>
      <c r="Q63">
        <f t="shared" ca="1" si="4"/>
        <v>4.3636363636363606</v>
      </c>
      <c r="R63">
        <f t="shared" ca="1" si="4"/>
        <v>6.8929292929292894</v>
      </c>
      <c r="S63">
        <f t="shared" ca="1" si="4"/>
        <v>1.9717171717171693</v>
      </c>
      <c r="T63">
        <f t="shared" ref="T63" ca="1" si="40">_xlfn.LET(_xlpm.NewX,$O63,_xlpm.KnownX,$P$12:$P$21,_xlpm.KnownY,_xlfn.ANCHORARRAY(S$12),FORECAST(_xlpm.NewX,OFFSET(_xlpm.KnownY,MATCH(_xlpm.NewX,_xlpm.KnownX,1)-1,0,2), OFFSET(_xlpm.KnownX,MATCH(_xlpm.NewX,_xlpm.KnownX,1)-1,0,2)))</f>
        <v>3.5454545454545405</v>
      </c>
    </row>
    <row r="64" spans="13:20" x14ac:dyDescent="0.2">
      <c r="M64" s="5"/>
      <c r="O64">
        <v>4.4848484848484818</v>
      </c>
      <c r="P64">
        <f t="shared" ca="1" si="4"/>
        <v>3.6212121212121202</v>
      </c>
      <c r="Q64">
        <f t="shared" ca="1" si="4"/>
        <v>4.4848484848484818</v>
      </c>
      <c r="R64">
        <f t="shared" ca="1" si="4"/>
        <v>7.0304584304584266</v>
      </c>
      <c r="S64">
        <f t="shared" ca="1" si="4"/>
        <v>2.0346542346542322</v>
      </c>
      <c r="T64">
        <f t="shared" ref="T64" ca="1" si="41">_xlfn.LET(_xlpm.NewX,$O64,_xlpm.KnownX,$P$12:$P$21,_xlpm.KnownY,_xlfn.ANCHORARRAY(S$12),FORECAST(_xlpm.NewX,OFFSET(_xlpm.KnownY,MATCH(_xlpm.NewX,_xlpm.KnownX,1)-1,0,2), OFFSET(_xlpm.KnownX,MATCH(_xlpm.NewX,_xlpm.KnownX,1)-1,0,2)))</f>
        <v>3.7272727272727222</v>
      </c>
    </row>
    <row r="65" spans="15:20" x14ac:dyDescent="0.2">
      <c r="O65">
        <v>4.6060606060606029</v>
      </c>
      <c r="P65">
        <f t="shared" ca="1" si="4"/>
        <v>3.6515151515151505</v>
      </c>
      <c r="Q65">
        <f t="shared" ca="1" si="4"/>
        <v>4.6060606060606029</v>
      </c>
      <c r="R65">
        <f t="shared" ca="1" si="4"/>
        <v>7.1679875679875646</v>
      </c>
      <c r="S65">
        <f t="shared" ca="1" si="4"/>
        <v>2.0975912975912956</v>
      </c>
      <c r="T65">
        <f t="shared" ref="T65" ca="1" si="42">_xlfn.LET(_xlpm.NewX,$O65,_xlpm.KnownX,$P$12:$P$21,_xlpm.KnownY,_xlfn.ANCHORARRAY(S$12),FORECAST(_xlpm.NewX,OFFSET(_xlpm.KnownY,MATCH(_xlpm.NewX,_xlpm.KnownX,1)-1,0,2), OFFSET(_xlpm.KnownX,MATCH(_xlpm.NewX,_xlpm.KnownX,1)-1,0,2)))</f>
        <v>3.9090909090909047</v>
      </c>
    </row>
    <row r="66" spans="15:20" x14ac:dyDescent="0.2">
      <c r="O66">
        <v>4.727272727272724</v>
      </c>
      <c r="P66">
        <f t="shared" ca="1" si="4"/>
        <v>3.6818181818181808</v>
      </c>
      <c r="Q66">
        <f t="shared" ca="1" si="4"/>
        <v>4.727272727272724</v>
      </c>
      <c r="R66">
        <f t="shared" ca="1" si="4"/>
        <v>7.3055167055167018</v>
      </c>
      <c r="S66">
        <f t="shared" ca="1" si="4"/>
        <v>2.1605283605283585</v>
      </c>
      <c r="T66">
        <f t="shared" ref="T66" ca="1" si="43">_xlfn.LET(_xlpm.NewX,$O66,_xlpm.KnownX,$P$12:$P$21,_xlpm.KnownY,_xlfn.ANCHORARRAY(S$12),FORECAST(_xlpm.NewX,OFFSET(_xlpm.KnownY,MATCH(_xlpm.NewX,_xlpm.KnownX,1)-1,0,2), OFFSET(_xlpm.KnownX,MATCH(_xlpm.NewX,_xlpm.KnownX,1)-1,0,2)))</f>
        <v>4.0909090909090864</v>
      </c>
    </row>
    <row r="67" spans="15:20" x14ac:dyDescent="0.2">
      <c r="O67">
        <v>4.8484848484848451</v>
      </c>
      <c r="P67">
        <f t="shared" ca="1" si="4"/>
        <v>3.712121212121211</v>
      </c>
      <c r="Q67">
        <f t="shared" ca="1" si="4"/>
        <v>4.8484848484848451</v>
      </c>
      <c r="R67">
        <f t="shared" ca="1" si="4"/>
        <v>7.443045843045839</v>
      </c>
      <c r="S67">
        <f t="shared" ca="1" si="4"/>
        <v>2.2234654234654214</v>
      </c>
      <c r="T67">
        <f t="shared" ref="T67" ca="1" si="44">_xlfn.LET(_xlpm.NewX,$O67,_xlpm.KnownX,$P$12:$P$21,_xlpm.KnownY,_xlfn.ANCHORARRAY(S$12),FORECAST(_xlpm.NewX,OFFSET(_xlpm.KnownY,MATCH(_xlpm.NewX,_xlpm.KnownX,1)-1,0,2), OFFSET(_xlpm.KnownX,MATCH(_xlpm.NewX,_xlpm.KnownX,1)-1,0,2)))</f>
        <v>4.272727272727268</v>
      </c>
    </row>
    <row r="68" spans="15:20" x14ac:dyDescent="0.2">
      <c r="O68">
        <v>4.9696969696969662</v>
      </c>
      <c r="P68">
        <f t="shared" ca="1" si="4"/>
        <v>3.7424242424242418</v>
      </c>
      <c r="Q68">
        <f t="shared" ca="1" si="4"/>
        <v>4.9696969696969662</v>
      </c>
      <c r="R68">
        <f t="shared" ca="1" si="4"/>
        <v>7.5696969696969658</v>
      </c>
      <c r="S68">
        <f t="shared" ca="1" si="4"/>
        <v>2.2848484848484829</v>
      </c>
      <c r="T68">
        <f t="shared" ref="T68" ca="1" si="45">_xlfn.LET(_xlpm.NewX,$O68,_xlpm.KnownX,$P$12:$P$21,_xlpm.KnownY,_xlfn.ANCHORARRAY(S$12),FORECAST(_xlpm.NewX,OFFSET(_xlpm.KnownY,MATCH(_xlpm.NewX,_xlpm.KnownX,1)-1,0,2), OFFSET(_xlpm.KnownX,MATCH(_xlpm.NewX,_xlpm.KnownX,1)-1,0,2)))</f>
        <v>4.4545454545454497</v>
      </c>
    </row>
    <row r="69" spans="15:20" x14ac:dyDescent="0.2">
      <c r="O69">
        <v>5.0909090909090873</v>
      </c>
      <c r="P69">
        <f t="shared" ca="1" si="4"/>
        <v>3.772727272727272</v>
      </c>
      <c r="Q69">
        <f t="shared" ca="1" si="4"/>
        <v>5.0909090909090873</v>
      </c>
      <c r="R69">
        <f t="shared" ca="1" si="4"/>
        <v>7.6909090909090878</v>
      </c>
      <c r="S69">
        <f t="shared" ca="1" si="4"/>
        <v>2.3454545454545439</v>
      </c>
      <c r="T69">
        <f t="shared" ref="T69" ca="1" si="46">_xlfn.LET(_xlpm.NewX,$O69,_xlpm.KnownX,$P$12:$P$21,_xlpm.KnownY,_xlfn.ANCHORARRAY(S$12),FORECAST(_xlpm.NewX,OFFSET(_xlpm.KnownY,MATCH(_xlpm.NewX,_xlpm.KnownX,1)-1,0,2), OFFSET(_xlpm.KnownX,MATCH(_xlpm.NewX,_xlpm.KnownX,1)-1,0,2)))</f>
        <v>4.6363636363636314</v>
      </c>
    </row>
    <row r="70" spans="15:20" x14ac:dyDescent="0.2">
      <c r="O70">
        <v>5.2121212121212084</v>
      </c>
      <c r="P70">
        <f t="shared" ca="1" si="4"/>
        <v>3.8030303030303023</v>
      </c>
      <c r="Q70">
        <f t="shared" ca="1" si="4"/>
        <v>5.2121212121212084</v>
      </c>
      <c r="R70">
        <f t="shared" ca="1" si="4"/>
        <v>7.8121212121212089</v>
      </c>
      <c r="S70">
        <f t="shared" ca="1" si="4"/>
        <v>2.4060606060606045</v>
      </c>
      <c r="T70">
        <f t="shared" ref="T70" ca="1" si="47">_xlfn.LET(_xlpm.NewX,$O70,_xlpm.KnownX,$P$12:$P$21,_xlpm.KnownY,_xlfn.ANCHORARRAY(S$12),FORECAST(_xlpm.NewX,OFFSET(_xlpm.KnownY,MATCH(_xlpm.NewX,_xlpm.KnownX,1)-1,0,2), OFFSET(_xlpm.KnownX,MATCH(_xlpm.NewX,_xlpm.KnownX,1)-1,0,2)))</f>
        <v>4.8181818181818121</v>
      </c>
    </row>
    <row r="71" spans="15:20" x14ac:dyDescent="0.2">
      <c r="O71">
        <v>5.3333333333333295</v>
      </c>
      <c r="P71">
        <f t="shared" ca="1" si="4"/>
        <v>3.8333333333333326</v>
      </c>
      <c r="Q71">
        <f t="shared" ca="1" si="4"/>
        <v>5.3333333333333295</v>
      </c>
      <c r="R71">
        <f t="shared" ca="1" si="4"/>
        <v>7.9333333333333309</v>
      </c>
      <c r="S71">
        <f t="shared" ca="1" si="4"/>
        <v>2.4666666666666655</v>
      </c>
      <c r="T71">
        <f t="shared" ref="T71" ca="1" si="48">_xlfn.LET(_xlpm.NewX,$O71,_xlpm.KnownX,$P$12:$P$21,_xlpm.KnownY,_xlfn.ANCHORARRAY(S$12),FORECAST(_xlpm.NewX,OFFSET(_xlpm.KnownY,MATCH(_xlpm.NewX,_xlpm.KnownX,1)-1,0,2), OFFSET(_xlpm.KnownX,MATCH(_xlpm.NewX,_xlpm.KnownX,1)-1,0,2)))</f>
        <v>4.9999999999999938</v>
      </c>
    </row>
    <row r="72" spans="15:20" x14ac:dyDescent="0.2">
      <c r="O72">
        <v>5.4545454545454506</v>
      </c>
      <c r="P72">
        <f t="shared" ca="1" si="4"/>
        <v>3.8636363636363629</v>
      </c>
      <c r="Q72">
        <f t="shared" ca="1" si="4"/>
        <v>5.4545454545454506</v>
      </c>
      <c r="R72">
        <f t="shared" ca="1" si="4"/>
        <v>8.0545454545454511</v>
      </c>
      <c r="S72">
        <f t="shared" ca="1" si="4"/>
        <v>2.527272727272726</v>
      </c>
      <c r="T72">
        <f t="shared" ref="T72" ca="1" si="49">_xlfn.LET(_xlpm.NewX,$O72,_xlpm.KnownX,$P$12:$P$21,_xlpm.KnownY,_xlfn.ANCHORARRAY(S$12),FORECAST(_xlpm.NewX,OFFSET(_xlpm.KnownY,MATCH(_xlpm.NewX,_xlpm.KnownX,1)-1,0,2), OFFSET(_xlpm.KnownX,MATCH(_xlpm.NewX,_xlpm.KnownX,1)-1,0,2)))</f>
        <v>5.1818181818181737</v>
      </c>
    </row>
    <row r="73" spans="15:20" x14ac:dyDescent="0.2">
      <c r="O73">
        <v>5.5757575757575717</v>
      </c>
      <c r="P73">
        <f t="shared" ca="1" si="4"/>
        <v>3.889789196310935</v>
      </c>
      <c r="Q73">
        <f t="shared" ca="1" si="4"/>
        <v>5.5757575757575717</v>
      </c>
      <c r="R73">
        <f t="shared" ca="1" si="4"/>
        <v>8.1591567852437414</v>
      </c>
      <c r="S73">
        <f t="shared" ca="1" si="4"/>
        <v>2.5795783926218707</v>
      </c>
      <c r="T73">
        <f t="shared" ref="T73" ca="1" si="50">_xlfn.LET(_xlpm.NewX,$O73,_xlpm.KnownX,$P$12:$P$21,_xlpm.KnownY,_xlfn.ANCHORARRAY(S$12),FORECAST(_xlpm.NewX,OFFSET(_xlpm.KnownY,MATCH(_xlpm.NewX,_xlpm.KnownX,1)-1,0,2), OFFSET(_xlpm.KnownX,MATCH(_xlpm.NewX,_xlpm.KnownX,1)-1,0,2)))</f>
        <v>5.3458498023715357</v>
      </c>
    </row>
    <row r="74" spans="15:20" x14ac:dyDescent="0.2">
      <c r="O74">
        <v>5.6969696969696928</v>
      </c>
      <c r="P74">
        <f t="shared" ca="1" si="4"/>
        <v>3.9154808959156782</v>
      </c>
      <c r="Q74">
        <f t="shared" ca="1" si="4"/>
        <v>5.6969696969696928</v>
      </c>
      <c r="R74">
        <f t="shared" ca="1" si="4"/>
        <v>8.2619235836627141</v>
      </c>
      <c r="S74">
        <f t="shared" ca="1" si="4"/>
        <v>2.6309617918313575</v>
      </c>
      <c r="T74">
        <f t="shared" ref="T74" ca="1" si="51">_xlfn.LET(_xlpm.NewX,$O74,_xlpm.KnownX,$P$12:$P$21,_xlpm.KnownY,_xlfn.ANCHORARRAY(S$12),FORECAST(_xlpm.NewX,OFFSET(_xlpm.KnownY,MATCH(_xlpm.NewX,_xlpm.KnownX,1)-1,0,2), OFFSET(_xlpm.KnownX,MATCH(_xlpm.NewX,_xlpm.KnownX,1)-1,0,2)))</f>
        <v>5.5079051383399174</v>
      </c>
    </row>
    <row r="75" spans="15:20" x14ac:dyDescent="0.2">
      <c r="O75">
        <v>5.8181818181818139</v>
      </c>
      <c r="P75">
        <f t="shared" ca="1" si="4"/>
        <v>3.9411725955204218</v>
      </c>
      <c r="Q75">
        <f t="shared" ca="1" si="4"/>
        <v>5.8181818181818139</v>
      </c>
      <c r="R75">
        <f t="shared" ca="1" si="4"/>
        <v>8.3646903820816885</v>
      </c>
      <c r="S75">
        <f t="shared" ca="1" si="4"/>
        <v>2.6823451910408442</v>
      </c>
      <c r="T75">
        <f t="shared" ref="T75" ca="1" si="52">_xlfn.LET(_xlpm.NewX,$O75,_xlpm.KnownX,$P$12:$P$21,_xlpm.KnownY,_xlfn.ANCHORARRAY(S$12),FORECAST(_xlpm.NewX,OFFSET(_xlpm.KnownY,MATCH(_xlpm.NewX,_xlpm.KnownX,1)-1,0,2), OFFSET(_xlpm.KnownX,MATCH(_xlpm.NewX,_xlpm.KnownX,1)-1,0,2)))</f>
        <v>5.6699604743082981</v>
      </c>
    </row>
    <row r="76" spans="15:20" x14ac:dyDescent="0.2">
      <c r="O76">
        <v>5.939393939393935</v>
      </c>
      <c r="P76">
        <f t="shared" ca="1" si="4"/>
        <v>3.9668642951251654</v>
      </c>
      <c r="Q76">
        <f t="shared" ca="1" si="4"/>
        <v>5.939393939393935</v>
      </c>
      <c r="R76">
        <f t="shared" ca="1" si="4"/>
        <v>8.4674571805006629</v>
      </c>
      <c r="S76">
        <f t="shared" ca="1" si="4"/>
        <v>2.733728590250331</v>
      </c>
      <c r="T76">
        <f t="shared" ref="T76" ca="1" si="53">_xlfn.LET(_xlpm.NewX,$O76,_xlpm.KnownX,$P$12:$P$21,_xlpm.KnownY,_xlfn.ANCHORARRAY(S$12),FORECAST(_xlpm.NewX,OFFSET(_xlpm.KnownY,MATCH(_xlpm.NewX,_xlpm.KnownX,1)-1,0,2), OFFSET(_xlpm.KnownX,MATCH(_xlpm.NewX,_xlpm.KnownX,1)-1,0,2)))</f>
        <v>5.8320158102766797</v>
      </c>
    </row>
    <row r="77" spans="15:20" x14ac:dyDescent="0.2">
      <c r="O77">
        <v>6.0606060606060561</v>
      </c>
      <c r="P77">
        <f t="shared" ca="1" si="4"/>
        <v>3.9925559947299085</v>
      </c>
      <c r="Q77">
        <f t="shared" ca="1" si="4"/>
        <v>6.0606060606060561</v>
      </c>
      <c r="R77">
        <f t="shared" ca="1" si="4"/>
        <v>8.5702239789196355</v>
      </c>
      <c r="S77">
        <f t="shared" ca="1" si="4"/>
        <v>2.7851119894598182</v>
      </c>
      <c r="T77">
        <f t="shared" ref="T77" ca="1" si="54">_xlfn.LET(_xlpm.NewX,$O77,_xlpm.KnownX,$P$12:$P$21,_xlpm.KnownY,_xlfn.ANCHORARRAY(S$12),FORECAST(_xlpm.NewX,OFFSET(_xlpm.KnownY,MATCH(_xlpm.NewX,_xlpm.KnownX,1)-1,0,2), OFFSET(_xlpm.KnownX,MATCH(_xlpm.NewX,_xlpm.KnownX,1)-1,0,2)))</f>
        <v>5.9940711462450613</v>
      </c>
    </row>
    <row r="78" spans="15:20" x14ac:dyDescent="0.2">
      <c r="O78">
        <v>6.1818181818181772</v>
      </c>
      <c r="P78">
        <f t="shared" ca="1" si="4"/>
        <v>4.0136363636363646</v>
      </c>
      <c r="Q78">
        <f t="shared" ca="1" si="4"/>
        <v>6.1818181818181772</v>
      </c>
      <c r="R78">
        <f t="shared" ca="1" si="4"/>
        <v>8.660372960372964</v>
      </c>
      <c r="S78">
        <f t="shared" ca="1" si="4"/>
        <v>2.8350427350427374</v>
      </c>
      <c r="T78">
        <f t="shared" ref="T78" ca="1" si="55">_xlfn.LET(_xlpm.NewX,$O78,_xlpm.KnownX,$P$12:$P$21,_xlpm.KnownY,_xlfn.ANCHORARRAY(S$12),FORECAST(_xlpm.NewX,OFFSET(_xlpm.KnownY,MATCH(_xlpm.NewX,_xlpm.KnownX,1)-1,0,2), OFFSET(_xlpm.KnownX,MATCH(_xlpm.NewX,_xlpm.KnownX,1)-1,0,2)))</f>
        <v>6.1363636363636358</v>
      </c>
    </row>
    <row r="79" spans="15:20" x14ac:dyDescent="0.2">
      <c r="O79">
        <v>6.3030303030302983</v>
      </c>
      <c r="P79">
        <f t="shared" ca="1" si="4"/>
        <v>4.0227272727272734</v>
      </c>
      <c r="Q79">
        <f t="shared" ca="1" si="4"/>
        <v>6.3030303030302983</v>
      </c>
      <c r="R79">
        <f t="shared" ca="1" si="4"/>
        <v>8.717715617715621</v>
      </c>
      <c r="S79">
        <f t="shared" ca="1" si="4"/>
        <v>2.8811965811965834</v>
      </c>
      <c r="T79">
        <f t="shared" ref="T79" ca="1" si="56">_xlfn.LET(_xlpm.NewX,$O79,_xlpm.KnownX,$P$12:$P$21,_xlpm.KnownY,_xlfn.ANCHORARRAY(S$12),FORECAST(_xlpm.NewX,OFFSET(_xlpm.KnownY,MATCH(_xlpm.NewX,_xlpm.KnownX,1)-1,0,2), OFFSET(_xlpm.KnownX,MATCH(_xlpm.NewX,_xlpm.KnownX,1)-1,0,2)))</f>
        <v>6.2272727272727257</v>
      </c>
    </row>
    <row r="80" spans="15:20" x14ac:dyDescent="0.2">
      <c r="O80">
        <v>6.4242424242424194</v>
      </c>
      <c r="P80">
        <f t="shared" ca="1" si="4"/>
        <v>4.0318181818181831</v>
      </c>
      <c r="Q80">
        <f t="shared" ca="1" si="4"/>
        <v>6.4242424242424194</v>
      </c>
      <c r="R80">
        <f t="shared" ca="1" si="4"/>
        <v>8.775058275058278</v>
      </c>
      <c r="S80">
        <f t="shared" ca="1" si="4"/>
        <v>2.9273504273504294</v>
      </c>
      <c r="T80">
        <f t="shared" ref="T80" ca="1" si="57">_xlfn.LET(_xlpm.NewX,$O80,_xlpm.KnownX,$P$12:$P$21,_xlpm.KnownY,_xlfn.ANCHORARRAY(S$12),FORECAST(_xlpm.NewX,OFFSET(_xlpm.KnownY,MATCH(_xlpm.NewX,_xlpm.KnownX,1)-1,0,2), OFFSET(_xlpm.KnownX,MATCH(_xlpm.NewX,_xlpm.KnownX,1)-1,0,2)))</f>
        <v>6.3181818181818166</v>
      </c>
    </row>
    <row r="81" spans="15:20" x14ac:dyDescent="0.2">
      <c r="O81">
        <v>6.5454545454545405</v>
      </c>
      <c r="P81">
        <f t="shared" ca="1" si="4"/>
        <v>4.0409090909090919</v>
      </c>
      <c r="Q81">
        <f t="shared" ca="1" si="4"/>
        <v>6.5454545454545405</v>
      </c>
      <c r="R81">
        <f t="shared" ca="1" si="4"/>
        <v>8.8324009324009349</v>
      </c>
      <c r="S81">
        <f t="shared" ca="1" si="4"/>
        <v>2.9735042735042754</v>
      </c>
      <c r="T81">
        <f t="shared" ref="T81" ca="1" si="58">_xlfn.LET(_xlpm.NewX,$O81,_xlpm.KnownX,$P$12:$P$21,_xlpm.KnownY,_xlfn.ANCHORARRAY(S$12),FORECAST(_xlpm.NewX,OFFSET(_xlpm.KnownY,MATCH(_xlpm.NewX,_xlpm.KnownX,1)-1,0,2), OFFSET(_xlpm.KnownX,MATCH(_xlpm.NewX,_xlpm.KnownX,1)-1,0,2)))</f>
        <v>6.4090909090909065</v>
      </c>
    </row>
    <row r="82" spans="15:20" x14ac:dyDescent="0.2">
      <c r="O82">
        <v>6.6666666666666616</v>
      </c>
      <c r="P82">
        <f t="shared" ca="1" si="4"/>
        <v>4.0500000000000007</v>
      </c>
      <c r="Q82">
        <f t="shared" ca="1" si="4"/>
        <v>6.6666666666666616</v>
      </c>
      <c r="R82">
        <f t="shared" ca="1" si="4"/>
        <v>8.8897435897435919</v>
      </c>
      <c r="S82">
        <f t="shared" ca="1" si="4"/>
        <v>3.0196581196581209</v>
      </c>
      <c r="T82">
        <f t="shared" ref="T82" ca="1" si="59">_xlfn.LET(_xlpm.NewX,$O82,_xlpm.KnownX,$P$12:$P$21,_xlpm.KnownY,_xlfn.ANCHORARRAY(S$12),FORECAST(_xlpm.NewX,OFFSET(_xlpm.KnownY,MATCH(_xlpm.NewX,_xlpm.KnownX,1)-1,0,2), OFFSET(_xlpm.KnownX,MATCH(_xlpm.NewX,_xlpm.KnownX,1)-1,0,2)))</f>
        <v>6.4999999999999964</v>
      </c>
    </row>
    <row r="83" spans="15:20" x14ac:dyDescent="0.2">
      <c r="O83">
        <v>6.7878787878787827</v>
      </c>
      <c r="P83">
        <f t="shared" ca="1" si="4"/>
        <v>4.0590909090909095</v>
      </c>
      <c r="Q83">
        <f t="shared" ca="1" si="4"/>
        <v>6.7878787878787827</v>
      </c>
      <c r="R83">
        <f t="shared" ca="1" si="4"/>
        <v>8.9470862470862489</v>
      </c>
      <c r="S83">
        <f t="shared" ca="1" si="4"/>
        <v>3.0658119658119669</v>
      </c>
      <c r="T83">
        <f t="shared" ref="T83" ca="1" si="60">_xlfn.LET(_xlpm.NewX,$O83,_xlpm.KnownX,$P$12:$P$21,_xlpm.KnownY,_xlfn.ANCHORARRAY(S$12),FORECAST(_xlpm.NewX,OFFSET(_xlpm.KnownY,MATCH(_xlpm.NewX,_xlpm.KnownX,1)-1,0,2), OFFSET(_xlpm.KnownX,MATCH(_xlpm.NewX,_xlpm.KnownX,1)-1,0,2)))</f>
        <v>6.5909090909090864</v>
      </c>
    </row>
    <row r="84" spans="15:20" x14ac:dyDescent="0.2">
      <c r="O84">
        <v>6.9090909090909038</v>
      </c>
      <c r="P84">
        <f t="shared" ca="1" si="4"/>
        <v>4.0681818181818192</v>
      </c>
      <c r="Q84">
        <f t="shared" ca="1" si="4"/>
        <v>6.9090909090909038</v>
      </c>
      <c r="R84">
        <f t="shared" ca="1" si="4"/>
        <v>9.0044289044289059</v>
      </c>
      <c r="S84">
        <f t="shared" ca="1" si="4"/>
        <v>3.1119658119658129</v>
      </c>
      <c r="T84">
        <f t="shared" ref="T84" ca="1" si="61">_xlfn.LET(_xlpm.NewX,$O84,_xlpm.KnownX,$P$12:$P$21,_xlpm.KnownY,_xlfn.ANCHORARRAY(S$12),FORECAST(_xlpm.NewX,OFFSET(_xlpm.KnownY,MATCH(_xlpm.NewX,_xlpm.KnownX,1)-1,0,2), OFFSET(_xlpm.KnownX,MATCH(_xlpm.NewX,_xlpm.KnownX,1)-1,0,2)))</f>
        <v>6.6818181818181772</v>
      </c>
    </row>
    <row r="85" spans="15:20" x14ac:dyDescent="0.2">
      <c r="O85">
        <v>7.0303030303030249</v>
      </c>
      <c r="P85">
        <f t="shared" ca="1" si="4"/>
        <v>4.077272727272728</v>
      </c>
      <c r="Q85">
        <f t="shared" ca="1" si="4"/>
        <v>7.0303030303030249</v>
      </c>
      <c r="R85">
        <f t="shared" ca="1" si="4"/>
        <v>9.0617715617715628</v>
      </c>
      <c r="S85">
        <f t="shared" ca="1" si="4"/>
        <v>3.1581196581196589</v>
      </c>
      <c r="T85">
        <f t="shared" ref="T85" ca="1" si="62">_xlfn.LET(_xlpm.NewX,$O85,_xlpm.KnownX,$P$12:$P$21,_xlpm.KnownY,_xlfn.ANCHORARRAY(S$12),FORECAST(_xlpm.NewX,OFFSET(_xlpm.KnownY,MATCH(_xlpm.NewX,_xlpm.KnownX,1)-1,0,2), OFFSET(_xlpm.KnownX,MATCH(_xlpm.NewX,_xlpm.KnownX,1)-1,0,2)))</f>
        <v>6.7727272727272672</v>
      </c>
    </row>
    <row r="86" spans="15:20" x14ac:dyDescent="0.2">
      <c r="O86">
        <v>7.1515151515151461</v>
      </c>
      <c r="P86">
        <f t="shared" ca="1" si="4"/>
        <v>4.0863636363636369</v>
      </c>
      <c r="Q86">
        <f t="shared" ca="1" si="4"/>
        <v>7.1515151515151461</v>
      </c>
      <c r="R86">
        <f t="shared" ca="1" si="4"/>
        <v>9.1191142191142198</v>
      </c>
      <c r="S86">
        <f t="shared" ca="1" si="4"/>
        <v>3.2042735042735044</v>
      </c>
      <c r="T86">
        <f t="shared" ref="T86" ca="1" si="63">_xlfn.LET(_xlpm.NewX,$O86,_xlpm.KnownX,$P$12:$P$21,_xlpm.KnownY,_xlfn.ANCHORARRAY(S$12),FORECAST(_xlpm.NewX,OFFSET(_xlpm.KnownY,MATCH(_xlpm.NewX,_xlpm.KnownX,1)-1,0,2), OFFSET(_xlpm.KnownX,MATCH(_xlpm.NewX,_xlpm.KnownX,1)-1,0,2)))</f>
        <v>6.8636363636363571</v>
      </c>
    </row>
    <row r="87" spans="15:20" x14ac:dyDescent="0.2">
      <c r="O87">
        <v>7.2727272727272672</v>
      </c>
      <c r="P87">
        <f t="shared" ca="1" si="4"/>
        <v>4.0954545454545457</v>
      </c>
      <c r="Q87">
        <f t="shared" ca="1" si="4"/>
        <v>7.2727272727272672</v>
      </c>
      <c r="R87">
        <f t="shared" ca="1" si="4"/>
        <v>9.1764568764568768</v>
      </c>
      <c r="S87">
        <f t="shared" ca="1" si="4"/>
        <v>3.2504273504273504</v>
      </c>
      <c r="T87">
        <f t="shared" ref="T87" ca="1" si="64">_xlfn.LET(_xlpm.NewX,$O87,_xlpm.KnownX,$P$12:$P$21,_xlpm.KnownY,_xlfn.ANCHORARRAY(S$12),FORECAST(_xlpm.NewX,OFFSET(_xlpm.KnownY,MATCH(_xlpm.NewX,_xlpm.KnownX,1)-1,0,2), OFFSET(_xlpm.KnownX,MATCH(_xlpm.NewX,_xlpm.KnownX,1)-1,0,2)))</f>
        <v>6.954545454545447</v>
      </c>
    </row>
    <row r="88" spans="15:20" x14ac:dyDescent="0.2">
      <c r="O88">
        <v>7.3939393939393883</v>
      </c>
      <c r="P88">
        <f t="shared" ca="1" si="4"/>
        <v>4.1045454545454554</v>
      </c>
      <c r="Q88">
        <f t="shared" ca="1" si="4"/>
        <v>7.3939393939393883</v>
      </c>
      <c r="R88">
        <f t="shared" ca="1" si="4"/>
        <v>9.2337995337995338</v>
      </c>
      <c r="S88">
        <f t="shared" ca="1" si="4"/>
        <v>3.2965811965811964</v>
      </c>
      <c r="T88">
        <f t="shared" ref="T88" ca="1" si="65">_xlfn.LET(_xlpm.NewX,$O88,_xlpm.KnownX,$P$12:$P$21,_xlpm.KnownY,_xlfn.ANCHORARRAY(S$12),FORECAST(_xlpm.NewX,OFFSET(_xlpm.KnownY,MATCH(_xlpm.NewX,_xlpm.KnownX,1)-1,0,2), OFFSET(_xlpm.KnownX,MATCH(_xlpm.NewX,_xlpm.KnownX,1)-1,0,2)))</f>
        <v>7.0454545454545379</v>
      </c>
    </row>
    <row r="89" spans="15:20" x14ac:dyDescent="0.2">
      <c r="O89">
        <v>7.5151515151515094</v>
      </c>
      <c r="P89">
        <f t="shared" ca="1" si="4"/>
        <v>4.1136363636363642</v>
      </c>
      <c r="Q89">
        <f t="shared" ca="1" si="4"/>
        <v>7.5151515151515094</v>
      </c>
      <c r="R89">
        <f t="shared" ca="1" si="4"/>
        <v>9.2911421911421908</v>
      </c>
      <c r="S89">
        <f t="shared" ca="1" si="4"/>
        <v>3.3427350427350424</v>
      </c>
      <c r="T89">
        <f t="shared" ref="T89" ca="1" si="66">_xlfn.LET(_xlpm.NewX,$O89,_xlpm.KnownX,$P$12:$P$21,_xlpm.KnownY,_xlfn.ANCHORARRAY(S$12),FORECAST(_xlpm.NewX,OFFSET(_xlpm.KnownY,MATCH(_xlpm.NewX,_xlpm.KnownX,1)-1,0,2), OFFSET(_xlpm.KnownX,MATCH(_xlpm.NewX,_xlpm.KnownX,1)-1,0,2)))</f>
        <v>7.1363636363636278</v>
      </c>
    </row>
    <row r="90" spans="15:20" x14ac:dyDescent="0.2">
      <c r="O90">
        <v>7.6363636363636305</v>
      </c>
      <c r="P90">
        <f t="shared" ca="1" si="4"/>
        <v>4.122727272727273</v>
      </c>
      <c r="Q90">
        <f t="shared" ca="1" si="4"/>
        <v>7.6363636363636305</v>
      </c>
      <c r="R90">
        <f t="shared" ca="1" si="4"/>
        <v>9.3484848484848477</v>
      </c>
      <c r="S90">
        <f t="shared" ca="1" si="4"/>
        <v>3.388888888888888</v>
      </c>
      <c r="T90">
        <f t="shared" ref="T90" ca="1" si="67">_xlfn.LET(_xlpm.NewX,$O90,_xlpm.KnownX,$P$12:$P$21,_xlpm.KnownY,_xlfn.ANCHORARRAY(S$12),FORECAST(_xlpm.NewX,OFFSET(_xlpm.KnownY,MATCH(_xlpm.NewX,_xlpm.KnownX,1)-1,0,2), OFFSET(_xlpm.KnownX,MATCH(_xlpm.NewX,_xlpm.KnownX,1)-1,0,2)))</f>
        <v>7.2272727272727177</v>
      </c>
    </row>
    <row r="91" spans="15:20" x14ac:dyDescent="0.2">
      <c r="O91">
        <v>7.7575757575757516</v>
      </c>
      <c r="P91">
        <f t="shared" ca="1" si="4"/>
        <v>4.1318181818181827</v>
      </c>
      <c r="Q91">
        <f t="shared" ca="1" si="4"/>
        <v>7.7575757575757516</v>
      </c>
      <c r="R91">
        <f t="shared" ca="1" si="4"/>
        <v>9.4058275058275047</v>
      </c>
      <c r="S91">
        <f t="shared" ref="S91:T91" ca="1" si="68">_xlfn.LET(_xlpm.NewX,$O91,_xlpm.KnownX,$P$12:$P$21,_xlpm.KnownY,_xlfn.ANCHORARRAY(R$12),FORECAST(_xlpm.NewX,OFFSET(_xlpm.KnownY,MATCH(_xlpm.NewX,_xlpm.KnownX,1)-1,0,2), OFFSET(_xlpm.KnownX,MATCH(_xlpm.NewX,_xlpm.KnownX,1)-1,0,2)))</f>
        <v>3.4350427350427339</v>
      </c>
      <c r="T91">
        <f t="shared" ca="1" si="68"/>
        <v>7.3181818181818077</v>
      </c>
    </row>
    <row r="92" spans="15:20" x14ac:dyDescent="0.2">
      <c r="O92">
        <v>7.8787878787878727</v>
      </c>
      <c r="P92">
        <f t="shared" ref="P92:T126" ca="1" si="69">_xlfn.LET(_xlpm.NewX,$O92,_xlpm.KnownX,$P$12:$P$21,_xlpm.KnownY,_xlfn.ANCHORARRAY(O$12),FORECAST(_xlpm.NewX,OFFSET(_xlpm.KnownY,MATCH(_xlpm.NewX,_xlpm.KnownX,1)-1,0,2), OFFSET(_xlpm.KnownX,MATCH(_xlpm.NewX,_xlpm.KnownX,1)-1,0,2)))</f>
        <v>4.1409090909090915</v>
      </c>
      <c r="Q92">
        <f t="shared" ca="1" si="69"/>
        <v>7.8787878787878727</v>
      </c>
      <c r="R92">
        <f t="shared" ca="1" si="69"/>
        <v>9.4631701631701617</v>
      </c>
      <c r="S92">
        <f t="shared" ca="1" si="69"/>
        <v>3.4811965811965799</v>
      </c>
      <c r="T92">
        <f t="shared" ca="1" si="69"/>
        <v>7.4090909090908985</v>
      </c>
    </row>
    <row r="93" spans="15:20" x14ac:dyDescent="0.2">
      <c r="O93">
        <v>7.9999999999999938</v>
      </c>
      <c r="P93">
        <f t="shared" ca="1" si="69"/>
        <v>4.1500000000000004</v>
      </c>
      <c r="Q93">
        <f t="shared" ca="1" si="69"/>
        <v>7.9999999999999938</v>
      </c>
      <c r="R93">
        <f t="shared" ca="1" si="69"/>
        <v>9.5205128205128187</v>
      </c>
      <c r="S93">
        <f t="shared" ca="1" si="69"/>
        <v>3.5273504273504259</v>
      </c>
      <c r="T93">
        <f t="shared" ca="1" si="69"/>
        <v>7.4999999999999885</v>
      </c>
    </row>
    <row r="94" spans="15:20" x14ac:dyDescent="0.2">
      <c r="O94">
        <v>8.1212121212121158</v>
      </c>
      <c r="P94">
        <f t="shared" ca="1" si="69"/>
        <v>4.1590909090909083</v>
      </c>
      <c r="Q94">
        <f t="shared" ca="1" si="69"/>
        <v>8.1212121212121158</v>
      </c>
      <c r="R94">
        <f t="shared" ca="1" si="69"/>
        <v>9.5909090909090864</v>
      </c>
      <c r="S94">
        <f t="shared" ca="1" si="69"/>
        <v>3.7132867132866849</v>
      </c>
      <c r="T94">
        <f t="shared" ca="1" si="69"/>
        <v>7.5909090909090793</v>
      </c>
    </row>
    <row r="95" spans="15:20" x14ac:dyDescent="0.2">
      <c r="O95">
        <v>8.2424242424242369</v>
      </c>
      <c r="P95">
        <f t="shared" ca="1" si="69"/>
        <v>4.1681818181818171</v>
      </c>
      <c r="Q95">
        <f t="shared" ca="1" si="69"/>
        <v>8.2424242424242369</v>
      </c>
      <c r="R95">
        <f t="shared" ca="1" si="69"/>
        <v>9.6818181818181746</v>
      </c>
      <c r="S95">
        <f t="shared" ca="1" si="69"/>
        <v>4.1188811188810845</v>
      </c>
      <c r="T95">
        <f t="shared" ca="1" si="69"/>
        <v>7.6818181818181701</v>
      </c>
    </row>
    <row r="96" spans="15:20" x14ac:dyDescent="0.2">
      <c r="O96">
        <v>8.363636363636358</v>
      </c>
      <c r="P96">
        <f t="shared" ca="1" si="69"/>
        <v>4.1772727272727259</v>
      </c>
      <c r="Q96">
        <f t="shared" ca="1" si="69"/>
        <v>8.363636363636358</v>
      </c>
      <c r="R96">
        <f t="shared" ca="1" si="69"/>
        <v>9.7727272727272627</v>
      </c>
      <c r="S96">
        <f t="shared" ca="1" si="69"/>
        <v>4.5244755244754806</v>
      </c>
      <c r="T96">
        <f t="shared" ca="1" si="69"/>
        <v>7.7727272727272601</v>
      </c>
    </row>
    <row r="97" spans="15:20" x14ac:dyDescent="0.2">
      <c r="O97">
        <v>8.4848484848484791</v>
      </c>
      <c r="P97">
        <f t="shared" ca="1" si="69"/>
        <v>4.1863636363636347</v>
      </c>
      <c r="Q97">
        <f t="shared" ca="1" si="69"/>
        <v>8.4848484848484791</v>
      </c>
      <c r="R97">
        <f t="shared" ca="1" si="69"/>
        <v>9.8636363636363527</v>
      </c>
      <c r="S97">
        <f t="shared" ca="1" si="69"/>
        <v>4.9300699300698767</v>
      </c>
      <c r="T97">
        <f t="shared" ca="1" si="69"/>
        <v>7.86363636363635</v>
      </c>
    </row>
    <row r="98" spans="15:20" x14ac:dyDescent="0.2">
      <c r="O98">
        <v>8.6060606060606002</v>
      </c>
      <c r="P98">
        <f t="shared" ca="1" si="69"/>
        <v>4.1954545454545435</v>
      </c>
      <c r="Q98">
        <f t="shared" ca="1" si="69"/>
        <v>8.6060606060606002</v>
      </c>
      <c r="R98">
        <f t="shared" ca="1" si="69"/>
        <v>9.9545454545454408</v>
      </c>
      <c r="S98">
        <f t="shared" ca="1" si="69"/>
        <v>5.3356643356642763</v>
      </c>
      <c r="T98">
        <f t="shared" ca="1" si="69"/>
        <v>7.9545454545454408</v>
      </c>
    </row>
    <row r="99" spans="15:20" x14ac:dyDescent="0.2">
      <c r="O99">
        <v>8.7272727272727213</v>
      </c>
      <c r="P99">
        <f t="shared" ca="1" si="69"/>
        <v>4.2045454545454524</v>
      </c>
      <c r="Q99">
        <f t="shared" ca="1" si="69"/>
        <v>8.7272727272727213</v>
      </c>
      <c r="R99">
        <f t="shared" ca="1" si="69"/>
        <v>10.045454545454529</v>
      </c>
      <c r="S99">
        <f t="shared" ca="1" si="69"/>
        <v>5.7412587412586724</v>
      </c>
      <c r="T99">
        <f t="shared" ca="1" si="69"/>
        <v>8.0454545454545325</v>
      </c>
    </row>
    <row r="100" spans="15:20" x14ac:dyDescent="0.2">
      <c r="O100">
        <v>8.8484848484848424</v>
      </c>
      <c r="P100">
        <f t="shared" ca="1" si="69"/>
        <v>4.2136363636363612</v>
      </c>
      <c r="Q100">
        <f t="shared" ca="1" si="69"/>
        <v>8.8484848484848424</v>
      </c>
      <c r="R100">
        <f t="shared" ca="1" si="69"/>
        <v>10.136363636363619</v>
      </c>
      <c r="S100">
        <f t="shared" ca="1" si="69"/>
        <v>6.1468531468530685</v>
      </c>
      <c r="T100">
        <f t="shared" ca="1" si="69"/>
        <v>8.1363636363636225</v>
      </c>
    </row>
    <row r="101" spans="15:20" x14ac:dyDescent="0.2">
      <c r="O101">
        <v>8.9696969696969635</v>
      </c>
      <c r="P101">
        <f t="shared" ca="1" si="69"/>
        <v>4.22272727272727</v>
      </c>
      <c r="Q101">
        <f t="shared" ca="1" si="69"/>
        <v>8.9696969696969635</v>
      </c>
      <c r="R101">
        <f t="shared" ca="1" si="69"/>
        <v>10.227272727272705</v>
      </c>
      <c r="S101">
        <f t="shared" ca="1" si="69"/>
        <v>6.5524475524474681</v>
      </c>
      <c r="T101">
        <f t="shared" ca="1" si="69"/>
        <v>8.2272727272727124</v>
      </c>
    </row>
    <row r="102" spans="15:20" x14ac:dyDescent="0.2">
      <c r="O102">
        <v>9.0909090909090846</v>
      </c>
      <c r="P102">
        <f t="shared" ca="1" si="69"/>
        <v>4.2318181818181788</v>
      </c>
      <c r="Q102">
        <f t="shared" ca="1" si="69"/>
        <v>9.0909090909090846</v>
      </c>
      <c r="R102">
        <f t="shared" ca="1" si="69"/>
        <v>10.318181818181795</v>
      </c>
      <c r="S102">
        <f t="shared" ca="1" si="69"/>
        <v>6.9580419580418642</v>
      </c>
      <c r="T102">
        <f t="shared" ca="1" si="69"/>
        <v>8.3181818181818024</v>
      </c>
    </row>
    <row r="103" spans="15:20" x14ac:dyDescent="0.2">
      <c r="O103">
        <v>9.2121212121212057</v>
      </c>
      <c r="P103">
        <f t="shared" ca="1" si="69"/>
        <v>4.2409090909090876</v>
      </c>
      <c r="Q103">
        <f t="shared" ca="1" si="69"/>
        <v>9.2121212121212057</v>
      </c>
      <c r="R103">
        <f t="shared" ca="1" si="69"/>
        <v>10.409090909090883</v>
      </c>
      <c r="S103">
        <f t="shared" ca="1" si="69"/>
        <v>7.3636363636362603</v>
      </c>
      <c r="T103">
        <f t="shared" ca="1" si="69"/>
        <v>8.4090909090908923</v>
      </c>
    </row>
    <row r="104" spans="15:20" x14ac:dyDescent="0.2">
      <c r="O104">
        <v>9.3333333333333268</v>
      </c>
      <c r="P104">
        <f t="shared" ca="1" si="69"/>
        <v>4.2499999999999964</v>
      </c>
      <c r="Q104">
        <f t="shared" ca="1" si="69"/>
        <v>9.3333333333333268</v>
      </c>
      <c r="R104">
        <f t="shared" ca="1" si="69"/>
        <v>10.499999999999972</v>
      </c>
      <c r="S104">
        <f t="shared" ca="1" si="69"/>
        <v>7.7692307692306599</v>
      </c>
      <c r="T104">
        <f t="shared" ca="1" si="69"/>
        <v>8.4999999999999822</v>
      </c>
    </row>
    <row r="105" spans="15:20" x14ac:dyDescent="0.2">
      <c r="O105">
        <v>9.4545454545454479</v>
      </c>
      <c r="P105">
        <f t="shared" ca="1" si="69"/>
        <v>4.2590909090909053</v>
      </c>
      <c r="Q105">
        <f t="shared" ca="1" si="69"/>
        <v>9.4545454545454479</v>
      </c>
      <c r="R105">
        <f t="shared" ca="1" si="69"/>
        <v>10.590909090909062</v>
      </c>
      <c r="S105">
        <f t="shared" ca="1" si="69"/>
        <v>8.174825174825056</v>
      </c>
      <c r="T105">
        <f t="shared" ca="1" si="69"/>
        <v>8.5909090909090722</v>
      </c>
    </row>
    <row r="106" spans="15:20" x14ac:dyDescent="0.2">
      <c r="O106">
        <v>9.575757575757569</v>
      </c>
      <c r="P106">
        <f t="shared" ca="1" si="69"/>
        <v>4.2681818181818141</v>
      </c>
      <c r="Q106">
        <f t="shared" ca="1" si="69"/>
        <v>9.575757575757569</v>
      </c>
      <c r="R106">
        <f t="shared" ca="1" si="69"/>
        <v>10.68181818181815</v>
      </c>
      <c r="S106">
        <f t="shared" ca="1" si="69"/>
        <v>8.5804195804194521</v>
      </c>
      <c r="T106">
        <f t="shared" ca="1" si="69"/>
        <v>8.6818181818181639</v>
      </c>
    </row>
    <row r="107" spans="15:20" x14ac:dyDescent="0.2">
      <c r="O107">
        <v>9.6969696969696901</v>
      </c>
      <c r="P107">
        <f t="shared" ca="1" si="69"/>
        <v>4.2772727272727229</v>
      </c>
      <c r="Q107">
        <f t="shared" ca="1" si="69"/>
        <v>9.6969696969696901</v>
      </c>
      <c r="R107">
        <f t="shared" ca="1" si="69"/>
        <v>10.772727272727238</v>
      </c>
      <c r="S107">
        <f t="shared" ca="1" si="69"/>
        <v>8.9860139860138517</v>
      </c>
      <c r="T107">
        <f t="shared" ca="1" si="69"/>
        <v>8.7727272727272556</v>
      </c>
    </row>
    <row r="108" spans="15:20" x14ac:dyDescent="0.2">
      <c r="O108">
        <v>9.8181818181818112</v>
      </c>
      <c r="P108">
        <f t="shared" ca="1" si="69"/>
        <v>4.2863636363636317</v>
      </c>
      <c r="Q108">
        <f t="shared" ca="1" si="69"/>
        <v>9.8181818181818112</v>
      </c>
      <c r="R108">
        <f t="shared" ca="1" si="69"/>
        <v>10.863636363636328</v>
      </c>
      <c r="S108">
        <f t="shared" ca="1" si="69"/>
        <v>9.3916083916082442</v>
      </c>
      <c r="T108">
        <f t="shared" ca="1" si="69"/>
        <v>8.8636363636363455</v>
      </c>
    </row>
    <row r="109" spans="15:20" x14ac:dyDescent="0.2">
      <c r="O109">
        <v>9.9393939393939323</v>
      </c>
      <c r="P109">
        <f t="shared" ca="1" si="69"/>
        <v>4.2954545454545414</v>
      </c>
      <c r="Q109">
        <f t="shared" ca="1" si="69"/>
        <v>9.9393939393939323</v>
      </c>
      <c r="R109">
        <f t="shared" ca="1" si="69"/>
        <v>10.954545454545414</v>
      </c>
      <c r="S109">
        <f t="shared" ca="1" si="69"/>
        <v>9.7972027972026439</v>
      </c>
      <c r="T109">
        <f t="shared" ca="1" si="69"/>
        <v>8.9545454545454355</v>
      </c>
    </row>
    <row r="110" spans="15:20" x14ac:dyDescent="0.2">
      <c r="O110">
        <v>10.060606060606053</v>
      </c>
      <c r="P110" t="e">
        <f t="shared" ca="1" si="69"/>
        <v>#DIV/0!</v>
      </c>
      <c r="Q110" t="e">
        <f t="shared" ca="1" si="69"/>
        <v>#DIV/0!</v>
      </c>
      <c r="R110" t="e">
        <f t="shared" ca="1" si="69"/>
        <v>#DIV/0!</v>
      </c>
      <c r="S110" t="e">
        <f t="shared" ca="1" si="69"/>
        <v>#DIV/0!</v>
      </c>
      <c r="T110" t="e">
        <f t="shared" ca="1" si="69"/>
        <v>#DIV/0!</v>
      </c>
    </row>
    <row r="111" spans="15:20" x14ac:dyDescent="0.2">
      <c r="O111">
        <v>10.181818181818175</v>
      </c>
      <c r="P111" t="e">
        <f t="shared" ca="1" si="69"/>
        <v>#DIV/0!</v>
      </c>
      <c r="Q111" t="e">
        <f t="shared" ca="1" si="69"/>
        <v>#DIV/0!</v>
      </c>
      <c r="R111" t="e">
        <f t="shared" ca="1" si="69"/>
        <v>#DIV/0!</v>
      </c>
      <c r="S111" t="e">
        <f t="shared" ca="1" si="69"/>
        <v>#DIV/0!</v>
      </c>
      <c r="T111" t="e">
        <f t="shared" ca="1" si="69"/>
        <v>#DIV/0!</v>
      </c>
    </row>
    <row r="112" spans="15:20" x14ac:dyDescent="0.2">
      <c r="O112">
        <v>10.303030303030296</v>
      </c>
      <c r="P112" t="e">
        <f t="shared" ca="1" si="69"/>
        <v>#DIV/0!</v>
      </c>
      <c r="Q112" t="e">
        <f t="shared" ca="1" si="69"/>
        <v>#DIV/0!</v>
      </c>
      <c r="R112" t="e">
        <f t="shared" ca="1" si="69"/>
        <v>#DIV/0!</v>
      </c>
      <c r="S112" t="e">
        <f t="shared" ca="1" si="69"/>
        <v>#DIV/0!</v>
      </c>
      <c r="T112" t="e">
        <f t="shared" ca="1" si="69"/>
        <v>#DIV/0!</v>
      </c>
    </row>
    <row r="113" spans="15:20" x14ac:dyDescent="0.2">
      <c r="O113">
        <v>10.424242424242417</v>
      </c>
      <c r="P113" t="e">
        <f t="shared" ca="1" si="69"/>
        <v>#DIV/0!</v>
      </c>
      <c r="Q113" t="e">
        <f t="shared" ca="1" si="69"/>
        <v>#DIV/0!</v>
      </c>
      <c r="R113" t="e">
        <f t="shared" ca="1" si="69"/>
        <v>#DIV/0!</v>
      </c>
      <c r="S113" t="e">
        <f t="shared" ca="1" si="69"/>
        <v>#DIV/0!</v>
      </c>
      <c r="T113" t="e">
        <f t="shared" ca="1" si="69"/>
        <v>#DIV/0!</v>
      </c>
    </row>
    <row r="114" spans="15:20" x14ac:dyDescent="0.2">
      <c r="O114">
        <v>10.545454545454538</v>
      </c>
      <c r="P114" t="e">
        <f t="shared" ca="1" si="69"/>
        <v>#DIV/0!</v>
      </c>
      <c r="Q114" t="e">
        <f t="shared" ca="1" si="69"/>
        <v>#DIV/0!</v>
      </c>
      <c r="R114" t="e">
        <f t="shared" ca="1" si="69"/>
        <v>#DIV/0!</v>
      </c>
      <c r="S114" t="e">
        <f t="shared" ca="1" si="69"/>
        <v>#DIV/0!</v>
      </c>
      <c r="T114" t="e">
        <f t="shared" ca="1" si="69"/>
        <v>#DIV/0!</v>
      </c>
    </row>
    <row r="115" spans="15:20" x14ac:dyDescent="0.2">
      <c r="O115">
        <v>10.666666666666659</v>
      </c>
      <c r="P115" t="e">
        <f t="shared" ca="1" si="69"/>
        <v>#DIV/0!</v>
      </c>
      <c r="Q115" t="e">
        <f t="shared" ca="1" si="69"/>
        <v>#DIV/0!</v>
      </c>
      <c r="R115" t="e">
        <f t="shared" ca="1" si="69"/>
        <v>#DIV/0!</v>
      </c>
      <c r="S115" t="e">
        <f t="shared" ca="1" si="69"/>
        <v>#DIV/0!</v>
      </c>
      <c r="T115" t="e">
        <f t="shared" ca="1" si="69"/>
        <v>#DIV/0!</v>
      </c>
    </row>
    <row r="116" spans="15:20" x14ac:dyDescent="0.2">
      <c r="O116">
        <v>10.78787878787878</v>
      </c>
      <c r="P116" t="e">
        <f t="shared" ca="1" si="69"/>
        <v>#DIV/0!</v>
      </c>
      <c r="Q116" t="e">
        <f t="shared" ca="1" si="69"/>
        <v>#DIV/0!</v>
      </c>
      <c r="R116" t="e">
        <f t="shared" ca="1" si="69"/>
        <v>#DIV/0!</v>
      </c>
      <c r="S116" t="e">
        <f t="shared" ca="1" si="69"/>
        <v>#DIV/0!</v>
      </c>
      <c r="T116" t="e">
        <f t="shared" ca="1" si="69"/>
        <v>#DIV/0!</v>
      </c>
    </row>
    <row r="117" spans="15:20" x14ac:dyDescent="0.2">
      <c r="O117">
        <v>10.909090909090901</v>
      </c>
      <c r="P117" t="e">
        <f t="shared" ca="1" si="69"/>
        <v>#DIV/0!</v>
      </c>
      <c r="Q117" t="e">
        <f t="shared" ca="1" si="69"/>
        <v>#DIV/0!</v>
      </c>
      <c r="R117" t="e">
        <f t="shared" ca="1" si="69"/>
        <v>#DIV/0!</v>
      </c>
      <c r="S117" t="e">
        <f t="shared" ca="1" si="69"/>
        <v>#DIV/0!</v>
      </c>
      <c r="T117" t="e">
        <f t="shared" ca="1" si="69"/>
        <v>#DIV/0!</v>
      </c>
    </row>
    <row r="118" spans="15:20" x14ac:dyDescent="0.2">
      <c r="O118">
        <v>11.030303030303022</v>
      </c>
      <c r="P118" t="e">
        <f t="shared" ca="1" si="69"/>
        <v>#DIV/0!</v>
      </c>
      <c r="Q118" t="e">
        <f t="shared" ca="1" si="69"/>
        <v>#DIV/0!</v>
      </c>
      <c r="R118" t="e">
        <f t="shared" ca="1" si="69"/>
        <v>#DIV/0!</v>
      </c>
      <c r="S118" t="e">
        <f t="shared" ca="1" si="69"/>
        <v>#DIV/0!</v>
      </c>
      <c r="T118" t="e">
        <f t="shared" ca="1" si="69"/>
        <v>#DIV/0!</v>
      </c>
    </row>
    <row r="119" spans="15:20" x14ac:dyDescent="0.2">
      <c r="O119">
        <v>11.151515151515143</v>
      </c>
      <c r="P119" t="e">
        <f t="shared" ca="1" si="69"/>
        <v>#DIV/0!</v>
      </c>
      <c r="Q119" t="e">
        <f t="shared" ca="1" si="69"/>
        <v>#DIV/0!</v>
      </c>
      <c r="R119" t="e">
        <f t="shared" ca="1" si="69"/>
        <v>#DIV/0!</v>
      </c>
      <c r="S119" t="e">
        <f t="shared" ca="1" si="69"/>
        <v>#DIV/0!</v>
      </c>
      <c r="T119" t="e">
        <f t="shared" ca="1" si="69"/>
        <v>#DIV/0!</v>
      </c>
    </row>
    <row r="120" spans="15:20" x14ac:dyDescent="0.2">
      <c r="O120">
        <v>11.272727272727264</v>
      </c>
      <c r="P120" t="e">
        <f t="shared" ca="1" si="69"/>
        <v>#DIV/0!</v>
      </c>
      <c r="Q120" t="e">
        <f t="shared" ca="1" si="69"/>
        <v>#DIV/0!</v>
      </c>
      <c r="R120" t="e">
        <f t="shared" ca="1" si="69"/>
        <v>#DIV/0!</v>
      </c>
      <c r="S120" t="e">
        <f t="shared" ca="1" si="69"/>
        <v>#DIV/0!</v>
      </c>
      <c r="T120" t="e">
        <f t="shared" ca="1" si="69"/>
        <v>#DIV/0!</v>
      </c>
    </row>
    <row r="121" spans="15:20" x14ac:dyDescent="0.2">
      <c r="O121">
        <v>11.393939393939386</v>
      </c>
      <c r="P121" t="e">
        <f t="shared" ca="1" si="69"/>
        <v>#DIV/0!</v>
      </c>
      <c r="Q121" t="e">
        <f t="shared" ca="1" si="69"/>
        <v>#DIV/0!</v>
      </c>
      <c r="R121" t="e">
        <f t="shared" ca="1" si="69"/>
        <v>#DIV/0!</v>
      </c>
      <c r="S121" t="e">
        <f t="shared" ca="1" si="69"/>
        <v>#DIV/0!</v>
      </c>
      <c r="T121" t="e">
        <f t="shared" ca="1" si="69"/>
        <v>#DIV/0!</v>
      </c>
    </row>
    <row r="122" spans="15:20" x14ac:dyDescent="0.2">
      <c r="O122">
        <v>11.515151515151507</v>
      </c>
      <c r="P122" t="e">
        <f t="shared" ca="1" si="69"/>
        <v>#DIV/0!</v>
      </c>
      <c r="Q122" t="e">
        <f t="shared" ca="1" si="69"/>
        <v>#DIV/0!</v>
      </c>
      <c r="R122" t="e">
        <f t="shared" ca="1" si="69"/>
        <v>#DIV/0!</v>
      </c>
      <c r="S122" t="e">
        <f t="shared" ca="1" si="69"/>
        <v>#DIV/0!</v>
      </c>
      <c r="T122" t="e">
        <f t="shared" ca="1" si="69"/>
        <v>#DIV/0!</v>
      </c>
    </row>
    <row r="123" spans="15:20" x14ac:dyDescent="0.2">
      <c r="O123">
        <v>11.636363636363628</v>
      </c>
      <c r="P123" t="e">
        <f t="shared" ca="1" si="69"/>
        <v>#DIV/0!</v>
      </c>
      <c r="Q123" t="e">
        <f t="shared" ca="1" si="69"/>
        <v>#DIV/0!</v>
      </c>
      <c r="R123" t="e">
        <f t="shared" ca="1" si="69"/>
        <v>#DIV/0!</v>
      </c>
      <c r="S123" t="e">
        <f t="shared" ca="1" si="69"/>
        <v>#DIV/0!</v>
      </c>
      <c r="T123" t="e">
        <f t="shared" ca="1" si="69"/>
        <v>#DIV/0!</v>
      </c>
    </row>
    <row r="124" spans="15:20" x14ac:dyDescent="0.2">
      <c r="O124">
        <v>11.757575757575749</v>
      </c>
      <c r="P124" t="e">
        <f t="shared" ca="1" si="69"/>
        <v>#DIV/0!</v>
      </c>
      <c r="Q124" t="e">
        <f t="shared" ca="1" si="69"/>
        <v>#DIV/0!</v>
      </c>
      <c r="R124" t="e">
        <f t="shared" ca="1" si="69"/>
        <v>#DIV/0!</v>
      </c>
      <c r="S124" t="e">
        <f t="shared" ca="1" si="69"/>
        <v>#DIV/0!</v>
      </c>
      <c r="T124" t="e">
        <f t="shared" ca="1" si="69"/>
        <v>#DIV/0!</v>
      </c>
    </row>
    <row r="125" spans="15:20" x14ac:dyDescent="0.2">
      <c r="O125">
        <v>11.87878787878787</v>
      </c>
      <c r="P125" t="e">
        <f t="shared" ca="1" si="69"/>
        <v>#DIV/0!</v>
      </c>
      <c r="Q125" t="e">
        <f t="shared" ca="1" si="69"/>
        <v>#DIV/0!</v>
      </c>
      <c r="R125" t="e">
        <f t="shared" ca="1" si="69"/>
        <v>#DIV/0!</v>
      </c>
      <c r="S125" t="e">
        <f t="shared" ca="1" si="69"/>
        <v>#DIV/0!</v>
      </c>
      <c r="T125" t="e">
        <f t="shared" ca="1" si="69"/>
        <v>#DIV/0!</v>
      </c>
    </row>
    <row r="126" spans="15:20" x14ac:dyDescent="0.2">
      <c r="O126">
        <v>11.999999999999991</v>
      </c>
      <c r="P126" t="e">
        <f t="shared" ca="1" si="69"/>
        <v>#DIV/0!</v>
      </c>
      <c r="Q126" t="e">
        <f t="shared" ca="1" si="69"/>
        <v>#DIV/0!</v>
      </c>
      <c r="R126" t="e">
        <f t="shared" ca="1" si="69"/>
        <v>#DIV/0!</v>
      </c>
      <c r="S126" t="e">
        <f t="shared" ca="1" si="69"/>
        <v>#DIV/0!</v>
      </c>
      <c r="T126" t="e">
        <f t="shared" ca="1" si="69"/>
        <v>#DIV/0!</v>
      </c>
    </row>
  </sheetData>
  <phoneticPr fontId="9" type="noConversion"/>
  <pageMargins left="0.7" right="0.7" top="0.75" bottom="0.75" header="0.3" footer="0.3"/>
  <pageSetup orientation="portrait" horizontalDpi="4294967295" verticalDpi="4294967295" r:id="rId1"/>
  <drawing r:id="rId2"/>
  <tableParts count="1"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</vt:i4>
      </vt:variant>
    </vt:vector>
  </HeadingPairs>
  <TitlesOfParts>
    <vt:vector size="2" baseType="lpstr">
      <vt:lpstr>Sheet1</vt:lpstr>
      <vt:lpstr>_tbl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</dc:creator>
  <cp:lastModifiedBy>Mark Biegert</cp:lastModifiedBy>
  <dcterms:created xsi:type="dcterms:W3CDTF">2019-01-24T15:32:01Z</dcterms:created>
  <dcterms:modified xsi:type="dcterms:W3CDTF">2023-01-22T00:59:41Z</dcterms:modified>
</cp:coreProperties>
</file>