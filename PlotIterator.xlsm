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1_{7EBEAA1E-D355-47CF-9FA3-7783AE39BFA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Formats" sheetId="2" r:id="rId2"/>
    <sheet name="Lists" sheetId="3" r:id="rId3"/>
  </sheets>
  <definedNames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HD_Date">_xlfn.LET(_xlpm.dt, TODAY(),      _xlpm.y,  YEAR(_xlpm.dt),      _xlpm.m,  MONTH(_xlpm.dt),      _xlpm.d,  DAY(_xlpm.dt),      TEXT(DATE(_xlpm.y,_xlpm.m,_xlpm.d),"dd-mmm-yyyy")     )</definedName>
  </definedNames>
  <calcPr calcId="191029"/>
  <pivotCaches>
    <pivotCache cacheId="7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" l="1"/>
  <c r="I6" i="1"/>
  <c r="I7" i="1"/>
  <c r="I8" i="1"/>
  <c r="I9" i="1"/>
  <c r="I10" i="1"/>
  <c r="I11" i="1"/>
  <c r="I12" i="1"/>
  <c r="H5" i="1"/>
  <c r="H6" i="1"/>
  <c r="H7" i="1"/>
  <c r="H8" i="1"/>
  <c r="H9" i="1"/>
  <c r="H10" i="1"/>
  <c r="H11" i="1"/>
  <c r="H12" i="1"/>
  <c r="G5" i="1"/>
  <c r="G6" i="1"/>
  <c r="G7" i="1"/>
  <c r="G8" i="1"/>
  <c r="G9" i="1"/>
  <c r="G10" i="1"/>
  <c r="G11" i="1"/>
  <c r="G12" i="1"/>
  <c r="B3" i="3" a="1"/>
  <c r="B3" i="3" s="1"/>
  <c r="B3" i="2" a="1"/>
  <c r="B3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<sst xmlns="http://schemas.openxmlformats.org/spreadsheetml/2006/main" count="48" uniqueCount="28">
  <si>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</si>
  <si>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</si>
  <si>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</si>
  <si>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</si>
  <si>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</si>
  <si>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</si>
  <si>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</si>
  <si>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</si>
  <si>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</si>
  <si>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</si>
  <si>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</si>
  <si>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</si>
  <si>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</si>
  <si>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</si>
  <si>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</si>
  <si>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</si>
  <si>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</si>
  <si>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</si>
  <si>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</si>
  <si>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</si>
  <si>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</si>
  <si>
    <t>X</t>
  </si>
  <si>
    <t>Y1</t>
  </si>
  <si>
    <t>Y2</t>
  </si>
  <si>
    <t>Y3</t>
  </si>
  <si>
    <t>Y4</t>
  </si>
  <si>
    <t>Y5</t>
  </si>
  <si>
    <t>Y6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</si>
</sst>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">
    <xf numFmtId="0" fontId="0" fillId="0" borderId="0" xfId="0"/>
    <xf numFmtId="0" fontId="5" fillId="3" borderId="0" xfId="7"/>
    <xf numFmtId="0" fontId="6" fillId="4" borderId="0" xfId="8"/>
    <xf numFmtId="0" fontId="0" fillId="0" borderId="0" xfId="0" pivotButton="1"/>
    <xf numFmtId="0" fontId="3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0" borderId="0" xfId="0" applyNumberFormat="1"/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22"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21"/>
      <tableStyleElement type="headerRow" dxfId="20"/>
      <tableStyleElement type="totalRow" dxfId="19"/>
      <tableStyleElement type="firstColumnStripe" dxfId="18"/>
      <tableStyleElement type="firstHeaderCell" dxfId="17"/>
      <tableStyleElement type="firstSubtotalColumn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  <tableStyle name="Biegert Table Standard" pivot="0" count="7" xr9:uid="{95B43237-2845-4068-A415-A5A3E7804959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colors>
    <mruColors>
      <color rgb="FFCCFFCC"/>
      <color rgb="FFEBFFEB"/>
      <color rgb="FFFF9999"/>
      <color rgb="FF99CCFF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62489063867017E-2"/>
          <c:y val="0.16849555263925342"/>
          <c:w val="0.88095844269466317"/>
          <c:h val="0.6767147856517935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Report!$D$4</c:f>
              <c:strCache>
                <c:ptCount val="1"/>
                <c:pt idx="0">
                  <c:v>Y1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Report!$C$5:$C$12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Report!$D$5:$D$12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0C-4034-B733-346E501F3582}"/>
            </c:ext>
          </c:extLst>
        </c:ser>
        <c:ser>
          <c:idx val="1"/>
          <c:order val="1"/>
          <c:tx>
            <c:strRef>
              <c:f>Report!$E$4</c:f>
              <c:strCache>
                <c:ptCount val="1"/>
                <c:pt idx="0">
                  <c:v>Y2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Report!$C$5:$C$12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Report!$E$5:$E$12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0C-4034-B733-346E501F3582}"/>
            </c:ext>
          </c:extLst>
        </c:ser>
        <c:ser>
          <c:idx val="2"/>
          <c:order val="2"/>
          <c:tx>
            <c:strRef>
              <c:f>Report!$F$4</c:f>
              <c:strCache>
                <c:ptCount val="1"/>
                <c:pt idx="0">
                  <c:v>Y3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Report!$C$5:$C$12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Report!$F$5:$F$12</c:f>
              <c:numCache>
                <c:formatCode>General</c:formatCode>
                <c:ptCount val="8"/>
                <c:pt idx="0">
                  <c:v>1</c:v>
                </c:pt>
                <c:pt idx="1">
                  <c:v>1.4142135623730951</c:v>
                </c:pt>
                <c:pt idx="2">
                  <c:v>1.7320508075688772</c:v>
                </c:pt>
                <c:pt idx="3">
                  <c:v>2</c:v>
                </c:pt>
                <c:pt idx="4">
                  <c:v>2.2360679774997898</c:v>
                </c:pt>
                <c:pt idx="5">
                  <c:v>2.4494897427831779</c:v>
                </c:pt>
                <c:pt idx="6">
                  <c:v>2.6457513110645907</c:v>
                </c:pt>
                <c:pt idx="7">
                  <c:v>2.8284271247461903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0C-4034-B733-346E501F3582}"/>
            </c:ext>
          </c:extLst>
        </c:ser>
        <c:ser>
          <c:idx val="3"/>
          <c:order val="3"/>
          <c:tx>
            <c:strRef>
              <c:f>Report!$G$4</c:f>
              <c:strCache>
                <c:ptCount val="1"/>
                <c:pt idx="0">
                  <c:v>Y4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Report!$C$5:$C$12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Report!$G$5:$G$12</c:f>
              <c:numCache>
                <c:formatCode>General</c:formatCode>
                <c:ptCount val="8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0C-4034-B733-346E501F3582}"/>
            </c:ext>
          </c:extLst>
        </c:ser>
        <c:ser>
          <c:idx val="4"/>
          <c:order val="4"/>
          <c:tx>
            <c:strRef>
              <c:f>Report!$H$4</c:f>
              <c:strCache>
                <c:ptCount val="1"/>
                <c:pt idx="0">
                  <c:v>Y5</c:v>
                </c:pt>
              </c:strCache>
            </c:strRef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Report!$C$5:$C$12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Report!$H$5:$H$12</c:f>
              <c:numCache>
                <c:formatCode>General</c:formatCode>
                <c:ptCount val="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0C-4034-B733-346E501F3582}"/>
            </c:ext>
          </c:extLst>
        </c:ser>
        <c:ser>
          <c:idx val="5"/>
          <c:order val="5"/>
          <c:tx>
            <c:strRef>
              <c:f>Report!$I$4</c:f>
              <c:strCache>
                <c:ptCount val="1"/>
                <c:pt idx="0">
                  <c:v>Y6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Report!$C$5:$C$12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Report!$I$5:$I$12</c:f>
              <c:numCache>
                <c:formatCode>General</c:formatCode>
                <c:ptCount val="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0C-4034-B733-346E501F3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8479568"/>
        <c:axId val="1518488208"/>
      </c:scatterChart>
      <c:valAx>
        <c:axId val="151847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488208"/>
        <c:crosses val="autoZero"/>
        <c:crossBetween val="midCat"/>
      </c:valAx>
      <c:valAx>
        <c:axId val="151848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479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14</xdr:row>
      <xdr:rowOff>148590</xdr:rowOff>
    </xdr:from>
    <xdr:to>
      <xdr:col>10</xdr:col>
      <xdr:colOff>419100</xdr:colOff>
      <xdr:row>31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BEF00D-87AB-D473-3AE2-5F9448E2D7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449580</xdr:colOff>
          <xdr:row>8</xdr:row>
          <xdr:rowOff>22860</xdr:rowOff>
        </xdr:from>
        <xdr:to>
          <xdr:col>14</xdr:col>
          <xdr:colOff>327660</xdr:colOff>
          <xdr:row>10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onsolas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27</xdr:col>
      <xdr:colOff>511974</xdr:colOff>
      <xdr:row>38</xdr:row>
      <xdr:rowOff>117088</xdr:rowOff>
    </xdr:to>
    <xdr:pic>
      <xdr:nvPicPr>
        <xdr:cNvPr id="2" name="Picture 1" descr="A screenshot of a computer&#10;&#10;Description automatically generated">
          <a:extLst>
            <a:ext uri="{FF2B5EF4-FFF2-40B4-BE49-F238E27FC236}">
              <a16:creationId xmlns:a16="http://schemas.microsoft.com/office/drawing/2014/main" id="{94B3A76A-AD87-A2F0-F0E9-6A004CA46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  <xdr:twoCellAnchor>
    <xdr:from>
      <xdr:col>3</xdr:col>
      <xdr:colOff>819151</xdr:colOff>
      <xdr:row>1</xdr:row>
      <xdr:rowOff>95195</xdr:rowOff>
    </xdr:from>
    <xdr:to>
      <xdr:col>7</xdr:col>
      <xdr:colOff>321946</xdr:colOff>
      <xdr:row>4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152DCAB-1278-82E3-CFEB-6F87AEC44F74}"/>
            </a:ext>
          </a:extLst>
        </xdr:cNvPr>
        <xdr:cNvGrpSpPr/>
      </xdr:nvGrpSpPr>
      <xdr:grpSpPr>
        <a:xfrm>
          <a:off x="3166111" y="262835"/>
          <a:ext cx="2200275" cy="455350"/>
          <a:chOff x="3162301" y="274265"/>
          <a:chExt cx="2198370" cy="45981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5418FC71-57C1-F5D7-BE08-370D83484521}"/>
              </a:ext>
            </a:extLst>
          </xdr:cNvPr>
          <xdr:cNvSpPr txBox="1"/>
        </xdr:nvSpPr>
        <xdr:spPr>
          <a:xfrm>
            <a:off x="3162301" y="274265"/>
            <a:ext cx="809778" cy="4466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26264A4F-00E9-4727-AA3D-59D97AF5D346}"/>
              </a:ext>
            </a:extLst>
          </xdr:cNvPr>
          <xdr:cNvSpPr txBox="1"/>
        </xdr:nvSpPr>
        <xdr:spPr>
          <a:xfrm>
            <a:off x="3908004" y="274265"/>
            <a:ext cx="1452667" cy="459814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5616.812748032411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6979EEA-3DFA-4D25-9F88-D182792B61C8}" name="Table3" displayName="Table3" ref="C4:I12" totalsRowShown="0">
  <autoFilter ref="C4:I12" xr:uid="{A6979EEA-3DFA-4D25-9F88-D182792B61C8}"/>
  <tableColumns count="7">
    <tableColumn id="1" xr3:uid="{AE23B2B8-FFA5-408C-B566-3E18098E7685}" name="X"/>
    <tableColumn id="2" xr3:uid="{66DB9372-BCE6-4FF6-B57B-1C79130440AD}" name="Y1"/>
    <tableColumn id="3" xr3:uid="{0C67CFAA-E0C5-4B05-A969-26366A7B24CF}" name="Y2"/>
    <tableColumn id="4" xr3:uid="{9315012F-9C64-4627-BC04-A7497107FEE6}" name="Y3"/>
    <tableColumn id="5" xr3:uid="{5C58F161-C074-4807-9BA0-23D0CE178DDD}" name="Y4" dataDxfId="2">
      <calculatedColumnFormula>Table3[[#This Row],[X]]-3</calculatedColumnFormula>
    </tableColumn>
    <tableColumn id="6" xr3:uid="{2AA8B73C-7ED1-4BF1-8B4A-02060EDBB45F}" name="Y5" dataDxfId="1">
      <calculatedColumnFormula>10*Table3[[#This Row],[X]]</calculatedColumnFormula>
    </tableColumn>
    <tableColumn id="7" xr3:uid="{5554DE6F-28A5-4A35-994A-9B6116546C29}" name="Y6" dataDxfId="0">
      <calculatedColumnFormula>5*Table3[[#This Row],[X]]</calculatedColumnFormula>
    </tableColumn>
  </tableColumns>
  <tableStyleInfo name="Biegert Table Standard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C4:I12"/>
  <sheetViews>
    <sheetView tabSelected="1" topLeftCell="A4" workbookViewId="0">
      <selection activeCell="L8" sqref="L8"/>
    </sheetView>
  </sheetViews>
  <sheetFormatPr defaultRowHeight="13.2" x14ac:dyDescent="0.25"/>
  <sheetData>
    <row r="4" spans="3:9" x14ac:dyDescent="0.25">
      <c r="C4" t="s">
        <v>21</v>
      </c>
      <c r="D4" t="s">
        <v>22</v>
      </c>
      <c r="E4" t="s">
        <v>23</v>
      </c>
      <c r="F4" t="s">
        <v>24</v>
      </c>
      <c r="G4" t="s">
        <v>25</v>
      </c>
      <c r="H4" t="s">
        <v>26</v>
      </c>
      <c r="I4" t="s">
        <v>27</v>
      </c>
    </row>
    <row r="5" spans="3:9" x14ac:dyDescent="0.25">
      <c r="C5">
        <v>1</v>
      </c>
      <c r="D5">
        <v>1</v>
      </c>
      <c r="E5">
        <v>1</v>
      </c>
      <c r="F5">
        <v>1</v>
      </c>
      <c r="G5">
        <f>Table3[[#This Row],[X]]-3</f>
        <v>-2</v>
      </c>
      <c r="H5">
        <f>10*Table3[[#This Row],[X]]</f>
        <v>10</v>
      </c>
      <c r="I5">
        <f>5*Table3[[#This Row],[X]]</f>
        <v>5</v>
      </c>
    </row>
    <row r="6" spans="3:9" x14ac:dyDescent="0.25">
      <c r="C6">
        <v>2</v>
      </c>
      <c r="D6">
        <v>2</v>
      </c>
      <c r="E6">
        <v>4</v>
      </c>
      <c r="F6">
        <v>1.4142135623730951</v>
      </c>
      <c r="G6">
        <f>Table3[[#This Row],[X]]-3</f>
        <v>-1</v>
      </c>
      <c r="H6">
        <f>10*Table3[[#This Row],[X]]</f>
        <v>20</v>
      </c>
      <c r="I6">
        <f>5*Table3[[#This Row],[X]]</f>
        <v>10</v>
      </c>
    </row>
    <row r="7" spans="3:9" x14ac:dyDescent="0.25">
      <c r="C7">
        <v>3</v>
      </c>
      <c r="D7">
        <v>3</v>
      </c>
      <c r="E7">
        <v>9</v>
      </c>
      <c r="F7">
        <v>1.7320508075688772</v>
      </c>
      <c r="G7">
        <f>Table3[[#This Row],[X]]-3</f>
        <v>0</v>
      </c>
      <c r="H7">
        <f>10*Table3[[#This Row],[X]]</f>
        <v>30</v>
      </c>
      <c r="I7">
        <f>5*Table3[[#This Row],[X]]</f>
        <v>15</v>
      </c>
    </row>
    <row r="8" spans="3:9" x14ac:dyDescent="0.25">
      <c r="C8">
        <v>4</v>
      </c>
      <c r="D8">
        <v>4</v>
      </c>
      <c r="E8">
        <v>16</v>
      </c>
      <c r="F8">
        <v>2</v>
      </c>
      <c r="G8">
        <f>Table3[[#This Row],[X]]-3</f>
        <v>1</v>
      </c>
      <c r="H8">
        <f>10*Table3[[#This Row],[X]]</f>
        <v>40</v>
      </c>
      <c r="I8">
        <f>5*Table3[[#This Row],[X]]</f>
        <v>20</v>
      </c>
    </row>
    <row r="9" spans="3:9" x14ac:dyDescent="0.25">
      <c r="C9">
        <v>5</v>
      </c>
      <c r="D9">
        <v>5</v>
      </c>
      <c r="E9">
        <v>25</v>
      </c>
      <c r="F9">
        <v>2.2360679774997898</v>
      </c>
      <c r="G9">
        <f>Table3[[#This Row],[X]]-3</f>
        <v>2</v>
      </c>
      <c r="H9">
        <f>10*Table3[[#This Row],[X]]</f>
        <v>50</v>
      </c>
      <c r="I9">
        <f>5*Table3[[#This Row],[X]]</f>
        <v>25</v>
      </c>
    </row>
    <row r="10" spans="3:9" x14ac:dyDescent="0.25">
      <c r="C10">
        <v>6</v>
      </c>
      <c r="D10">
        <v>6</v>
      </c>
      <c r="E10">
        <v>36</v>
      </c>
      <c r="F10">
        <v>2.4494897427831779</v>
      </c>
      <c r="G10">
        <f>Table3[[#This Row],[X]]-3</f>
        <v>3</v>
      </c>
      <c r="H10">
        <f>10*Table3[[#This Row],[X]]</f>
        <v>60</v>
      </c>
      <c r="I10">
        <f>5*Table3[[#This Row],[X]]</f>
        <v>30</v>
      </c>
    </row>
    <row r="11" spans="3:9" x14ac:dyDescent="0.25">
      <c r="C11">
        <v>7</v>
      </c>
      <c r="D11">
        <v>7</v>
      </c>
      <c r="E11">
        <v>49</v>
      </c>
      <c r="F11">
        <v>2.6457513110645907</v>
      </c>
      <c r="G11">
        <f>Table3[[#This Row],[X]]-3</f>
        <v>4</v>
      </c>
      <c r="H11">
        <f>10*Table3[[#This Row],[X]]</f>
        <v>70</v>
      </c>
      <c r="I11">
        <f>5*Table3[[#This Row],[X]]</f>
        <v>35</v>
      </c>
    </row>
    <row r="12" spans="3:9" x14ac:dyDescent="0.25">
      <c r="C12">
        <v>8</v>
      </c>
      <c r="D12">
        <v>8</v>
      </c>
      <c r="E12">
        <v>64</v>
      </c>
      <c r="F12">
        <v>2.8284271247461903</v>
      </c>
      <c r="G12">
        <f>Table3[[#This Row],[X]]-3</f>
        <v>5</v>
      </c>
      <c r="H12">
        <f>10*Table3[[#This Row],[X]]</f>
        <v>80</v>
      </c>
      <c r="I12">
        <f>5*Table3[[#This Row],[X]]</f>
        <v>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rieschange">
                <anchor moveWithCells="1" sizeWithCells="1">
                  <from>
                    <xdr:col>12</xdr:col>
                    <xdr:colOff>449580</xdr:colOff>
                    <xdr:row>8</xdr:row>
                    <xdr:rowOff>22860</xdr:rowOff>
                  </from>
                  <to>
                    <xdr:col>14</xdr:col>
                    <xdr:colOff>327660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 codeName="Sheet2">
    <tabColor theme="0" tint="-0.249977111117893"/>
  </sheetPr>
  <dimension ref="A1:F37"/>
  <sheetViews>
    <sheetView workbookViewId="0">
      <selection activeCell="H10" sqref="H10"/>
    </sheetView>
  </sheetViews>
  <sheetFormatPr defaultRowHeight="13.2" x14ac:dyDescent="0.25"/>
  <cols>
    <col min="2" max="4" width="12.6640625" customWidth="1"/>
  </cols>
  <sheetData>
    <row r="1" spans="1:5" x14ac:dyDescent="0.25">
      <c r="A1" s="1" t="s">
        <v>0</v>
      </c>
      <c r="B1" s="2" t="s">
        <v>1</v>
      </c>
      <c r="C1" s="2"/>
    </row>
    <row r="2" spans="1:5" x14ac:dyDescent="0.25">
      <c r="A2" s="1" t="s">
        <v>2</v>
      </c>
      <c r="B2" s="2"/>
      <c r="C2" s="2"/>
    </row>
    <row r="3" spans="1:5" x14ac:dyDescent="0.25">
      <c r="A3" s="1" t="s">
        <v>3</v>
      </c>
      <c r="B3" s="2" t="str" cm="1">
        <f t="array" aca="1" ref="B3" ca="1">HD_Date</f>
        <v>20-Nov-2024</v>
      </c>
      <c r="C3" s="2"/>
    </row>
    <row r="5" spans="1:5" ht="14.4" x14ac:dyDescent="0.3">
      <c r="A5" s="4" t="s">
        <v>15</v>
      </c>
    </row>
    <row r="7" spans="1:5" x14ac:dyDescent="0.25">
      <c r="B7" t="s">
        <v>4</v>
      </c>
      <c r="C7" t="s">
        <v>5</v>
      </c>
      <c r="D7" t="s">
        <v>6</v>
      </c>
      <c r="E7" t="s">
        <v>7</v>
      </c>
    </row>
    <row r="8" spans="1:5" x14ac:dyDescent="0.25">
      <c r="B8" t="s">
        <v>8</v>
      </c>
      <c r="C8">
        <v>1</v>
      </c>
      <c r="D8" t="s">
        <v>11</v>
      </c>
      <c r="E8">
        <v>1</v>
      </c>
    </row>
    <row r="9" spans="1:5" x14ac:dyDescent="0.25">
      <c r="B9" t="s">
        <v>8</v>
      </c>
      <c r="C9">
        <v>2</v>
      </c>
      <c r="D9" t="s">
        <v>12</v>
      </c>
      <c r="E9">
        <v>2</v>
      </c>
    </row>
    <row r="10" spans="1:5" x14ac:dyDescent="0.25">
      <c r="B10" t="s">
        <v>9</v>
      </c>
      <c r="C10">
        <v>1</v>
      </c>
      <c r="D10" t="s">
        <v>11</v>
      </c>
      <c r="E10">
        <v>3</v>
      </c>
    </row>
    <row r="11" spans="1:5" x14ac:dyDescent="0.25">
      <c r="B11" t="s">
        <v>9</v>
      </c>
      <c r="C11">
        <v>2</v>
      </c>
      <c r="D11" t="s">
        <v>12</v>
      </c>
      <c r="E11">
        <v>4</v>
      </c>
    </row>
    <row r="12" spans="1:5" x14ac:dyDescent="0.25">
      <c r="B12" t="s">
        <v>10</v>
      </c>
      <c r="C12">
        <v>1</v>
      </c>
      <c r="D12" t="s">
        <v>11</v>
      </c>
      <c r="E12">
        <v>5</v>
      </c>
    </row>
    <row r="13" spans="1:5" x14ac:dyDescent="0.25">
      <c r="B13" t="s">
        <v>10</v>
      </c>
      <c r="C13">
        <v>2</v>
      </c>
      <c r="D13" t="s">
        <v>12</v>
      </c>
      <c r="E13">
        <v>6</v>
      </c>
    </row>
    <row r="17" spans="1:6" x14ac:dyDescent="0.25">
      <c r="B17" s="3" t="s">
        <v>14</v>
      </c>
      <c r="D17" s="3" t="s">
        <v>6</v>
      </c>
    </row>
    <row r="18" spans="1:6" x14ac:dyDescent="0.25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 x14ac:dyDescent="0.25">
      <c r="B19" t="s">
        <v>8</v>
      </c>
      <c r="D19" s="9"/>
      <c r="E19" s="9"/>
      <c r="F19" s="9"/>
    </row>
    <row r="20" spans="1:6" x14ac:dyDescent="0.25">
      <c r="C20">
        <v>1</v>
      </c>
      <c r="D20" s="9">
        <v>1</v>
      </c>
      <c r="E20" s="9"/>
      <c r="F20" s="9">
        <v>1</v>
      </c>
    </row>
    <row r="21" spans="1:6" x14ac:dyDescent="0.25">
      <c r="C21">
        <v>2</v>
      </c>
      <c r="D21" s="9"/>
      <c r="E21" s="9">
        <v>2</v>
      </c>
      <c r="F21" s="9">
        <v>2</v>
      </c>
    </row>
    <row r="22" spans="1:6" x14ac:dyDescent="0.25">
      <c r="B22" t="s">
        <v>9</v>
      </c>
      <c r="D22" s="9"/>
      <c r="E22" s="9"/>
      <c r="F22" s="9"/>
    </row>
    <row r="23" spans="1:6" x14ac:dyDescent="0.25">
      <c r="C23">
        <v>1</v>
      </c>
      <c r="D23" s="9">
        <v>3</v>
      </c>
      <c r="E23" s="9"/>
      <c r="F23" s="9">
        <v>3</v>
      </c>
    </row>
    <row r="24" spans="1:6" x14ac:dyDescent="0.25">
      <c r="C24">
        <v>2</v>
      </c>
      <c r="D24" s="9"/>
      <c r="E24" s="9">
        <v>4</v>
      </c>
      <c r="F24" s="9">
        <v>4</v>
      </c>
    </row>
    <row r="25" spans="1:6" x14ac:dyDescent="0.25">
      <c r="B25" t="s">
        <v>10</v>
      </c>
      <c r="D25" s="9"/>
      <c r="E25" s="9"/>
      <c r="F25" s="9"/>
    </row>
    <row r="26" spans="1:6" x14ac:dyDescent="0.25">
      <c r="C26">
        <v>1</v>
      </c>
      <c r="D26" s="9">
        <v>5</v>
      </c>
      <c r="E26" s="9"/>
      <c r="F26" s="9">
        <v>5</v>
      </c>
    </row>
    <row r="27" spans="1:6" x14ac:dyDescent="0.25">
      <c r="C27">
        <v>2</v>
      </c>
      <c r="D27" s="9"/>
      <c r="E27" s="9">
        <v>6</v>
      </c>
      <c r="F27" s="9">
        <v>6</v>
      </c>
    </row>
    <row r="28" spans="1:6" x14ac:dyDescent="0.25">
      <c r="B28" t="s">
        <v>13</v>
      </c>
      <c r="D28" s="9">
        <v>9</v>
      </c>
      <c r="E28" s="9">
        <v>12</v>
      </c>
      <c r="F28" s="9">
        <v>21</v>
      </c>
    </row>
    <row r="32" spans="1:6" ht="14.4" x14ac:dyDescent="0.3">
      <c r="A32" s="4" t="s">
        <v>16</v>
      </c>
    </row>
    <row r="34" spans="2:2" x14ac:dyDescent="0.25">
      <c r="B34" s="8" t="s">
        <v>17</v>
      </c>
    </row>
    <row r="35" spans="2:2" x14ac:dyDescent="0.25">
      <c r="B35" s="7" t="s">
        <v>18</v>
      </c>
    </row>
    <row r="36" spans="2:2" x14ac:dyDescent="0.25">
      <c r="B36" s="6" t="s">
        <v>19</v>
      </c>
    </row>
    <row r="37" spans="2:2" x14ac:dyDescent="0.25">
      <c r="B37" s="5" t="s">
        <v>20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 codeName="Sheet3">
    <tabColor theme="0" tint="-0.249977111117893"/>
  </sheetPr>
  <dimension ref="A1:C3"/>
  <sheetViews>
    <sheetView workbookViewId="0">
      <selection activeCell="J42" sqref="J42"/>
    </sheetView>
  </sheetViews>
  <sheetFormatPr defaultRowHeight="13.2" x14ac:dyDescent="0.25"/>
  <sheetData>
    <row r="1" spans="1:3" x14ac:dyDescent="0.25">
      <c r="A1" s="1" t="s">
        <v>0</v>
      </c>
      <c r="B1" s="2" t="s">
        <v>1</v>
      </c>
      <c r="C1" s="2"/>
    </row>
    <row r="2" spans="1:3" x14ac:dyDescent="0.25">
      <c r="A2" s="1" t="s">
        <v>2</v>
      </c>
      <c r="B2" s="2"/>
      <c r="C2" s="2"/>
    </row>
    <row r="3" spans="1:3" x14ac:dyDescent="0.25">
      <c r="A3" s="1" t="s">
        <v>3</v>
      </c>
      <c r="B3" s="2" t="str" cm="1">
        <f t="array" aca="1" ref="B3" ca="1">HD_Date</f>
        <v>20-Nov-2024</v>
      </c>
      <c r="C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Formats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2021-09-27T12:19:57Z</dcterms:created>
  <dcterms:modified xsi:type="dcterms:W3CDTF">2024-11-21T02:49:42Z</dcterms:modified>
</cp:coreProperties>
</file>