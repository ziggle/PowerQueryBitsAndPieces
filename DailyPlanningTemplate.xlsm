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30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4725BCF9-D90B-42C9-A091-C04A465DC40B}" xr6:coauthVersionLast="47" xr6:coauthVersionMax="47" xr10:uidLastSave="{00000000-0000-0000-0000-000000000000}"/>
  <bookViews>
    <workbookView xWindow="-108" yWindow="-108" windowWidth="23256" windowHeight="12456" activeTab="2" xr2:uid="{AD5FE48E-9CE6-4EDE-8F69-E8FD3B4EAF42}"/>
  </bookViews>
  <sheets>
    <sheet name="Report" sheetId="1" r:id="rId1"/>
    <sheet name="PointTraining" sheetId="4" r:id="rId2"/>
    <sheet name="LongTermTraining" sheetId="3" r:id="rId3"/>
    <sheet name="Sheet1" sheetId="5" r:id="rId4"/>
    <sheet name="Sheet2" sheetId="6" r:id="rId5"/>
  </sheets>
  <definedNames>
    <definedName name="_date">_xlfn.DROP(_xlfn._TRO_ALL(Report!$B:$B),12)</definedName>
    <definedName name="_xlnm._FilterDatabase" localSheetId="0" hidden="1">Report!$P$24:$P$60</definedName>
    <definedName name="_nHd">Report!$C$9:$L$9</definedName>
    <definedName name="_xleta.COUNTA" hidden="1" xlm="1">#NAME?</definedName>
    <definedName name="_xleta.S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y" hidden="1" xlm="1">#NAME?</definedName>
    <definedName name="Banded">_xlfn.DROP(_xlfn.TRIMRANGE(Report!$B:$L),1)</definedName>
    <definedName name="Banded2">_xlfn._TRO_ALL(Report!$P:$Y)</definedName>
    <definedName name="data">_xlfn.DROP(Banded,11,1)</definedName>
    <definedName name="Dynamic">_xlfn.VSTACK(Report!$P$9:$Y$9,Banded2)</definedName>
    <definedName name="fmt" localSheetId="0">_xlfn.DROP(_xlfn._TRO_ALL(Report!$C:$L),12)</definedName>
    <definedName name="HD_Date">_xlfn.LET(_xlpm.dt, TODAY(),      _xlpm.y,  YEAR(_xlpm.dt),      _xlpm.m,  MONTH(_xlpm.dt),      _xlpm.d,  DAY(_xlpm.dt),      TEXT(DATE(_xlpm.y,_xlpm.m,_xlpm.d),"dd-mmm-yyyy")     )</definedName>
    <definedName name="ix">_xlfn.DROP(_xlfn._TRO_ALL(Report!$M:$M),0)</definedName>
    <definedName name="_xlnm.Print_Area" localSheetId="2">_xlfn.DROP(_xlfn.TRIMRANGE(LongTermTraining!$D:$W),1)</definedName>
    <definedName name="_xlnm.Print_Area" localSheetId="0">_xlfn.DROP(_xlfn._TRO_ALL(Report!$B:$L),1)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3" i="6" l="1"/>
  <c r="M3" i="6" a="1"/>
  <c r="M3" i="6" s="1"/>
  <c r="P60" i="5"/>
  <c r="P58" i="5"/>
  <c r="O60" i="5"/>
  <c r="O58" i="5"/>
  <c r="N58" i="5"/>
  <c r="J59" i="5" a="1"/>
  <c r="J44" i="5" a="1"/>
  <c r="B3" i="5" a="1"/>
  <c r="B3" i="5" s="1"/>
  <c r="Q9" i="1" a="1"/>
  <c r="Q9" i="1" s="1"/>
  <c r="Y9" i="3" a="1"/>
  <c r="D9" i="3" a="1"/>
  <c r="N10" i="1" a="1"/>
  <c r="B10" i="1" a="1"/>
  <c r="J59" i="5" l="1"/>
  <c r="K59" i="5" a="1"/>
  <c r="J44" i="5"/>
  <c r="K44" i="5" a="1"/>
  <c r="D9" i="3"/>
  <c r="Y9" i="3"/>
  <c r="N10" i="1"/>
  <c r="M21" i="1" a="1"/>
  <c r="B10" i="1"/>
  <c r="K59" i="5" l="1"/>
  <c r="K44" i="5"/>
  <c r="M21" i="1"/>
  <c r="P10" i="1" s="1" a="1"/>
  <c r="P10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<sst xmlns="http://schemas.openxmlformats.org/spreadsheetml/2006/main" count="109" uniqueCount="79">
  <si>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</si>
  <si>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</si>
  <si>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</si>
  <si>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</si>
  <si>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</si>
  <si>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</si>
  <si>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</si>
  <si>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</si>
  <si>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</si>
  <si>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</si>
  <si>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</si>
  <si>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Excel Drill</t>
  </si>
  <si>
    <t>Figma</t>
  </si>
  <si>
    <t>Week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</si>
  <si>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</si>
  <si>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</si>
  <si>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</si>
  <si>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</si>
  <si>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</si>
  <si>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</si>
  <si>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</si>
  <si>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</si>
  <si>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</si>
  <si>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</si>
  <si>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</si>
  <si>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</si>
  <si>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</si>
  <si>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</si>
  <si>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</si>
  <si>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</si>
  <si>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</si>
  <si>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</si>
  <si>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</si>
  <si>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</si>
  <si>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</si>
  <si>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</si>
  <si>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</si>
  <si>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</si>
  <si>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</si>
  <si>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</si>
  <si>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</si>
  <si>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</si>
  <si>
    <t>Meds</t>
  </si>
  <si>
    <t>Dynamic Drill</t>
  </si>
  <si>
    <t>Dynamic Programming</t>
  </si>
  <si>
    <t>Fusion Training</t>
  </si>
  <si>
    <t>Logic</t>
  </si>
  <si>
    <t>Did 2 excel challenges</t>
  </si>
  <si>
    <t>DATE:</t>
  </si>
  <si>
    <t>SUBJECT:</t>
  </si>
  <si>
    <t>Mark Biegert</t>
  </si>
  <si>
    <t>FROM:</t>
  </si>
  <si>
    <t>B</t>
  </si>
  <si>
    <t>R</t>
  </si>
  <si>
    <t>BR</t>
  </si>
  <si>
    <t>BB</t>
  </si>
  <si>
    <t>This is the correct approach.</t>
  </si>
  <si>
    <t xml:space="preserve">Why is this not a binomial problem? </t>
  </si>
  <si>
    <t>The probabilites are not fixed because the each selection alters the population.</t>
  </si>
  <si>
    <t>Staff</t>
  </si>
  <si>
    <t>Activity</t>
  </si>
  <si>
    <t>Salary</t>
  </si>
  <si>
    <t>Department</t>
  </si>
  <si>
    <t>Age</t>
  </si>
  <si>
    <t>James</t>
  </si>
  <si>
    <t>Douglas</t>
  </si>
  <si>
    <t>Emily</t>
  </si>
  <si>
    <t>Dinah</t>
  </si>
  <si>
    <t>Brian</t>
  </si>
  <si>
    <t>Ellen</t>
  </si>
  <si>
    <t>PB</t>
  </si>
  <si>
    <t>TA</t>
  </si>
  <si>
    <t>CD</t>
  </si>
  <si>
    <t>CB</t>
  </si>
  <si>
    <t>HR</t>
  </si>
  <si>
    <t>FINANCE</t>
  </si>
  <si>
    <t>IT</t>
  </si>
  <si>
    <t>ADMIN</t>
  </si>
  <si>
    <t>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</si>
</sst>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;;;\ @"/>
  </numFmts>
  <fonts count="15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</borders>
  <cellStyleXfs count="15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6" fillId="7" borderId="0" applyNumberFormat="0" applyAlignment="0" applyProtection="0"/>
  </cellStyleXfs>
  <cellXfs count="28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 vertical="center"/>
    </xf>
    <xf numFmtId="164" fontId="14" fillId="5" borderId="7" xfId="0" applyNumberFormat="1" applyFont="1" applyFill="1" applyBorder="1" applyAlignment="1">
      <alignment horizontal="center" textRotation="90"/>
    </xf>
    <xf numFmtId="0" fontId="11" fillId="5" borderId="4" xfId="0" applyFont="1" applyFill="1" applyBorder="1" applyAlignment="1">
      <alignment horizontal="center" textRotation="90"/>
    </xf>
    <xf numFmtId="0" fontId="11" fillId="5" borderId="7" xfId="0" applyFont="1" applyFill="1" applyBorder="1" applyAlignment="1">
      <alignment horizontal="center" textRotation="90"/>
    </xf>
    <xf numFmtId="0" fontId="6" fillId="7" borderId="0" xfId="14"/>
    <xf numFmtId="0" fontId="5" fillId="3" borderId="0" xfId="7"/>
  </cellXfs>
  <cellStyles count="15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Intro_Value" xfId="14" xr:uid="{F4E96D43-FEE3-4728-967A-D9BD72D35029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37"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36"/>
      <tableStyleElement type="headerRow" dxfId="35"/>
      <tableStyleElement type="totalRow" dxfId="34"/>
      <tableStyleElement type="firstColumnStripe" dxfId="33"/>
      <tableStyleElement type="firstHeaderCell" dxfId="32"/>
      <tableStyleElement type="firstSubtotalColumn" dxfId="31"/>
      <tableStyleElement type="firstSubtotalRow" dxfId="30"/>
      <tableStyleElement type="secondSubtotalRow" dxfId="29"/>
      <tableStyleElement type="firstRowSubheading" dxfId="28"/>
      <tableStyleElement type="secondRowSubheading" dxfId="27"/>
      <tableStyleElement type="pageFieldLabels" dxfId="26"/>
      <tableStyleElement type="pageFieldValues" dxfId="25"/>
    </tableStyle>
    <tableStyle name="Biegert Table Standard" pivot="0" count="7" xr9:uid="{95B43237-2845-4068-A415-A5A3E7804959}">
      <tableStyleElement type="wholeTable" dxfId="24"/>
      <tableStyleElement type="headerRow" dxfId="23"/>
      <tableStyleElement type="totalRow" dxfId="22"/>
      <tableStyleElement type="firstColumn" dxfId="21"/>
      <tableStyleElement type="lastColumn" dxfId="20"/>
      <tableStyleElement type="firstRowStripe" dxfId="19"/>
      <tableStyleElement type="firstColumnStripe" dxfId="18"/>
    </tableStyle>
  </tableStyles>
  <colors>
    <mruColors>
      <color rgb="FFFBEEC9"/>
      <color rgb="FF99CCFF"/>
      <color rgb="FFCCFFCC"/>
      <color rgb="FFEBFFEB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microsoft.com/office/2022/11/relationships/FeaturePropertyBag" Target="featurePropertyBag/featurePropertyBag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198120</xdr:colOff>
      <xdr:row>2</xdr:row>
      <xdr:rowOff>76200</xdr:rowOff>
    </xdr:from>
    <xdr:to>
      <xdr:col>29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31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26</xdr:col>
      <xdr:colOff>598170</xdr:colOff>
      <xdr:row>260</xdr:row>
      <xdr:rowOff>48260</xdr:rowOff>
    </xdr:from>
    <xdr:to>
      <xdr:col>29</xdr:col>
      <xdr:colOff>217170</xdr:colOff>
      <xdr:row>262</xdr:row>
      <xdr:rowOff>157480</xdr:rowOff>
    </xdr:to>
    <xdr:sp macro="[0]!FormatNamedArea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ADA7E3D-54D7-0A42-3994-28D743C0EDC6}"/>
            </a:ext>
          </a:extLst>
        </xdr:cNvPr>
        <xdr:cNvSpPr/>
      </xdr:nvSpPr>
      <xdr:spPr>
        <a:xfrm>
          <a:off x="8764270" y="44104560"/>
          <a:ext cx="1447800" cy="43942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291</xdr:row>
          <xdr:rowOff>127000</xdr:rowOff>
        </xdr:from>
        <xdr:to>
          <xdr:col>26</xdr:col>
          <xdr:colOff>0</xdr:colOff>
          <xdr:row>345</xdr:row>
          <xdr:rowOff>0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E64FE5FD-0960-61CF-74BD-A9CB051F4763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P$9:$Z$56" spid="_x0000_s8898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572000" y="50045620"/>
              <a:ext cx="3596640" cy="892556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2540</xdr:colOff>
          <xdr:row>300</xdr:row>
          <xdr:rowOff>125730</xdr:rowOff>
        </xdr:from>
        <xdr:to>
          <xdr:col>26</xdr:col>
          <xdr:colOff>0</xdr:colOff>
          <xdr:row>354</xdr:row>
          <xdr:rowOff>0</xdr:rowOff>
        </xdr:to>
        <xdr:pic>
          <xdr:nvPicPr>
            <xdr:cNvPr id="3" name="Picture 2">
              <a:extLst>
                <a:ext uri="{FF2B5EF4-FFF2-40B4-BE49-F238E27FC236}">
                  <a16:creationId xmlns:a16="http://schemas.microsoft.com/office/drawing/2014/main" id="{EA38C59D-649D-192D-9A34-4263BC6B399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P$9:$Z$57" spid="_x0000_s8899"/>
                </a:ext>
              </a:extLst>
            </xdr:cNvPicPr>
          </xdr:nvPicPr>
          <xdr:blipFill>
            <a:blip xmlns:r="http://schemas.openxmlformats.org/officeDocument/2006/relationships" r:embed="rId2"/>
            <a:srcRect/>
            <a:stretch>
              <a:fillRect/>
            </a:stretch>
          </xdr:blipFill>
          <xdr:spPr bwMode="auto">
            <a:xfrm>
              <a:off x="4574540" y="51553110"/>
              <a:ext cx="3594100" cy="892683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7620</xdr:colOff>
      <xdr:row>12</xdr:row>
      <xdr:rowOff>0</xdr:rowOff>
    </xdr:from>
    <xdr:to>
      <xdr:col>18</xdr:col>
      <xdr:colOff>579120</xdr:colOff>
      <xdr:row>38</xdr:row>
      <xdr:rowOff>68580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0D4EA5B-22F9-E235-ADC0-2CA41723C55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46020" y="2011680"/>
          <a:ext cx="9105900" cy="44272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358140</xdr:colOff>
      <xdr:row>34</xdr:row>
      <xdr:rowOff>15240</xdr:rowOff>
    </xdr:from>
    <xdr:to>
      <xdr:col>11</xdr:col>
      <xdr:colOff>312420</xdr:colOff>
      <xdr:row>37</xdr:row>
      <xdr:rowOff>22860</xdr:rowOff>
    </xdr:to>
    <xdr:cxnSp macro="">
      <xdr:nvCxnSpPr>
        <xdr:cNvPr id="13" name="Straight Connector 12">
          <a:extLst>
            <a:ext uri="{FF2B5EF4-FFF2-40B4-BE49-F238E27FC236}">
              <a16:creationId xmlns:a16="http://schemas.microsoft.com/office/drawing/2014/main" id="{A52E89CB-4202-3F2C-19C2-F98F8E807BFB}"/>
            </a:ext>
          </a:extLst>
        </xdr:cNvPr>
        <xdr:cNvCxnSpPr/>
      </xdr:nvCxnSpPr>
      <xdr:spPr>
        <a:xfrm>
          <a:off x="6454140" y="5715000"/>
          <a:ext cx="563880" cy="51054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575310</xdr:colOff>
      <xdr:row>23</xdr:row>
      <xdr:rowOff>140970</xdr:rowOff>
    </xdr:from>
    <xdr:to>
      <xdr:col>11</xdr:col>
      <xdr:colOff>240030</xdr:colOff>
      <xdr:row>37</xdr:row>
      <xdr:rowOff>72390</xdr:rowOff>
    </xdr:to>
    <xdr:sp macro="" textlink="">
      <xdr:nvSpPr>
        <xdr:cNvPr id="17" name="Freeform: Shape 16">
          <a:extLst>
            <a:ext uri="{FF2B5EF4-FFF2-40B4-BE49-F238E27FC236}">
              <a16:creationId xmlns:a16="http://schemas.microsoft.com/office/drawing/2014/main" id="{5B92A665-EF03-C00F-9B04-16C05361EA0E}"/>
            </a:ext>
          </a:extLst>
        </xdr:cNvPr>
        <xdr:cNvSpPr/>
      </xdr:nvSpPr>
      <xdr:spPr>
        <a:xfrm rot="5400000">
          <a:off x="4450080" y="3779520"/>
          <a:ext cx="2278380" cy="2712720"/>
        </a:xfrm>
        <a:custGeom>
          <a:avLst/>
          <a:gdLst>
            <a:gd name="csX0" fmla="*/ 0 w 2278380"/>
            <a:gd name="csY0" fmla="*/ 2209800 h 2712720"/>
            <a:gd name="csX1" fmla="*/ 533400 w 2278380"/>
            <a:gd name="csY1" fmla="*/ 1684020 h 2712720"/>
            <a:gd name="csX2" fmla="*/ 15240 w 2278380"/>
            <a:gd name="csY2" fmla="*/ 1089660 h 2712720"/>
            <a:gd name="csX3" fmla="*/ 1188720 w 2278380"/>
            <a:gd name="csY3" fmla="*/ 0 h 2712720"/>
            <a:gd name="csX4" fmla="*/ 2278380 w 2278380"/>
            <a:gd name="csY4" fmla="*/ 1089660 h 2712720"/>
            <a:gd name="csX5" fmla="*/ 1714500 w 2278380"/>
            <a:gd name="csY5" fmla="*/ 1638300 h 2712720"/>
            <a:gd name="csX6" fmla="*/ 2209800 w 2278380"/>
            <a:gd name="csY6" fmla="*/ 2209800 h 2712720"/>
            <a:gd name="csX7" fmla="*/ 1676400 w 2278380"/>
            <a:gd name="csY7" fmla="*/ 2712720 h 2712720"/>
            <a:gd name="csX8" fmla="*/ 1127760 w 2278380"/>
            <a:gd name="csY8" fmla="*/ 2194560 h 2712720"/>
            <a:gd name="csX9" fmla="*/ 510540 w 2278380"/>
            <a:gd name="csY9" fmla="*/ 2705100 h 2712720"/>
            <a:gd name="csX10" fmla="*/ 0 w 2278380"/>
            <a:gd name="csY10" fmla="*/ 2209800 h 2712720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</a:cxnLst>
          <a:rect l="l" t="t" r="r" b="b"/>
          <a:pathLst>
            <a:path w="2278380" h="2712720">
              <a:moveTo>
                <a:pt x="0" y="2209800"/>
              </a:moveTo>
              <a:lnTo>
                <a:pt x="533400" y="1684020"/>
              </a:lnTo>
              <a:lnTo>
                <a:pt x="15240" y="1089660"/>
              </a:lnTo>
              <a:lnTo>
                <a:pt x="1188720" y="0"/>
              </a:lnTo>
              <a:lnTo>
                <a:pt x="2278380" y="1089660"/>
              </a:lnTo>
              <a:lnTo>
                <a:pt x="1714500" y="1638300"/>
              </a:lnTo>
              <a:lnTo>
                <a:pt x="2209800" y="2209800"/>
              </a:lnTo>
              <a:lnTo>
                <a:pt x="1676400" y="2712720"/>
              </a:lnTo>
              <a:lnTo>
                <a:pt x="1127760" y="2194560"/>
              </a:lnTo>
              <a:lnTo>
                <a:pt x="510540" y="2705100"/>
              </a:lnTo>
              <a:lnTo>
                <a:pt x="0" y="2209800"/>
              </a:lnTo>
              <a:close/>
            </a:path>
          </a:pathLst>
        </a:cu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15</xdr:row>
      <xdr:rowOff>0</xdr:rowOff>
    </xdr:from>
    <xdr:to>
      <xdr:col>12</xdr:col>
      <xdr:colOff>387724</xdr:colOff>
      <xdr:row>29</xdr:row>
      <xdr:rowOff>158465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F1EEDE46-1EBF-86BD-E50D-8077FC4754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0" y="2514600"/>
          <a:ext cx="7230484" cy="2505425"/>
        </a:xfrm>
        <a:prstGeom prst="rect">
          <a:avLst/>
        </a:prstGeom>
      </xdr:spPr>
    </xdr:pic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7E876F7-C9E3-450C-96AE-EEFFFF7C85E8}" name="Table1" displayName="Table1" ref="B2:F8" totalsRowShown="0">
  <autoFilter ref="B2:F8" xr:uid="{77E876F7-C9E3-450C-96AE-EEFFFF7C85E8}"/>
  <tableColumns count="5">
    <tableColumn id="1" xr3:uid="{2D00EDFF-7B34-41D5-A29F-A9F627A1D3FA}" name="Staff"/>
    <tableColumn id="2" xr3:uid="{EB97E785-6E92-4363-90EF-11BE0AAB6675}" name="Activity"/>
    <tableColumn id="3" xr3:uid="{23C63B36-0D32-4BC2-93F7-EB072FB41401}" name="Salary"/>
    <tableColumn id="4" xr3:uid="{DB70EEF4-9A31-40DC-9BCF-C8522D9B79B1}" name="Department"/>
    <tableColumn id="5" xr3:uid="{F1D69B0A-E4AD-44D5-84F6-F1D6B215B2CA}" name="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438" row="8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E360"/>
  <sheetViews>
    <sheetView workbookViewId="0">
      <pane ySplit="9" topLeftCell="A348" activePane="bottomLeft" state="frozen"/>
      <selection pane="bottomLeft" activeCell="P4" sqref="P4"/>
    </sheetView>
  </sheetViews>
  <sheetFormatPr defaultRowHeight="13.2" x14ac:dyDescent="0.25"/>
  <cols>
    <col min="3" max="4" width="3.33203125" customWidth="1"/>
    <col min="5" max="5" width="3.33203125" bestFit="1" customWidth="1"/>
    <col min="6" max="6" width="3.33203125" customWidth="1"/>
    <col min="7" max="9" width="3.33203125" bestFit="1" customWidth="1"/>
    <col min="10" max="14" width="3.33203125" customWidth="1"/>
    <col min="16" max="16" width="19.109375" customWidth="1"/>
    <col min="17" max="24" width="3.33203125" style="5" bestFit="1" customWidth="1"/>
    <col min="25" max="25" width="3.33203125" style="5" customWidth="1"/>
    <col min="26" max="26" width="3.33203125" customWidth="1"/>
  </cols>
  <sheetData>
    <row r="5" spans="1:28" ht="13.8" x14ac:dyDescent="0.3">
      <c r="P5" s="10"/>
    </row>
    <row r="7" spans="1:28" ht="4.8" customHeight="1" thickBot="1" x14ac:dyDescent="0.3"/>
    <row r="8" spans="1:28" ht="13.8" hidden="1" thickBot="1" x14ac:dyDescent="0.3"/>
    <row r="9" spans="1:28" ht="121.2" thickBot="1" x14ac:dyDescent="0.3">
      <c r="A9" t="s">
        <v>1</v>
      </c>
      <c r="B9" s="3" t="s">
        <v>0</v>
      </c>
      <c r="C9" s="2" t="s">
        <v>11</v>
      </c>
      <c r="D9" s="2" t="s">
        <v>42</v>
      </c>
      <c r="E9" s="2" t="s">
        <v>4</v>
      </c>
      <c r="F9" s="2" t="s">
        <v>8</v>
      </c>
      <c r="G9" s="2" t="s">
        <v>5</v>
      </c>
      <c r="H9" s="2" t="s">
        <v>6</v>
      </c>
      <c r="I9" s="2" t="s">
        <v>9</v>
      </c>
      <c r="J9" s="4" t="s">
        <v>10</v>
      </c>
      <c r="K9" s="4" t="s">
        <v>43</v>
      </c>
      <c r="L9" s="2" t="s">
        <v>7</v>
      </c>
      <c r="M9" s="1"/>
      <c r="N9" s="9" t="s">
        <v>24</v>
      </c>
      <c r="O9" s="15"/>
      <c r="Q9" s="24" t="str" cm="1">
        <f t="array" ref="Q9:Z9">_nHd</f>
        <v>Excel Drill</v>
      </c>
      <c r="R9" s="24" t="str">
        <v>Meds</v>
      </c>
      <c r="S9" s="24" t="str">
        <v>Weight Lift</v>
      </c>
      <c r="T9" s="24" t="str">
        <v>Walk</v>
      </c>
      <c r="U9" s="24" t="str">
        <v>German Grammar</v>
      </c>
      <c r="V9" s="24" t="str">
        <v>German Vocab</v>
      </c>
      <c r="W9" s="24" t="str">
        <v>German Story Audio</v>
      </c>
      <c r="X9" s="24" t="str">
        <v>German Story Reading</v>
      </c>
      <c r="Y9" s="25" t="str">
        <v>Dynamic Drill</v>
      </c>
      <c r="Z9" s="25" t="str">
        <v>CSS Drill</v>
      </c>
    </row>
    <row r="10" spans="1:28" ht="13.8" thickTop="1" x14ac:dyDescent="0.25">
      <c r="B10" s="11" t="str" cm="1">
        <f t="array" aca="1" ref="B10:B354" ca="1">TEXT(DATE(2025,1,_xlfn.SEQUENCE(1+_xlfn.DAYS(TODAY(),DATE(2025,1,1)))),"dd-mmm")</f>
        <v>01-Jan</v>
      </c>
      <c r="C10" s="12"/>
      <c r="D10" s="12"/>
      <c r="E10" s="12"/>
      <c r="F10" s="12"/>
      <c r="G10" s="12"/>
      <c r="H10" s="12"/>
      <c r="I10" s="12"/>
      <c r="J10" s="13"/>
      <c r="K10" s="13"/>
      <c r="L10" s="14"/>
      <c r="N10" cm="1">
        <f t="array" ref="N10:N354">_xlfn.BYROW(_xlfn.DROP(Banded,,1),_xleta.SUM)</f>
        <v>0</v>
      </c>
      <c r="P10" s="7" cm="1">
        <f t="array" aca="1" ref="P10:Z57" ca="1">_xlfn.PIVOTBY(ix,,data,_xleta.SUM,0,0)</f>
        <v>3</v>
      </c>
      <c r="Q10" s="5">
        <f ca="1"/>
        <v>7</v>
      </c>
      <c r="R10" s="5">
        <f ca="1"/>
        <v>0</v>
      </c>
      <c r="S10" s="5">
        <f ca="1"/>
        <v>4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7</v>
      </c>
      <c r="X10" s="5">
        <f ca="1"/>
        <v>7</v>
      </c>
      <c r="Y10" s="5">
        <f ca="1"/>
        <v>5</v>
      </c>
      <c r="Z10" s="5">
        <f ca="1"/>
        <v>6</v>
      </c>
    </row>
    <row r="11" spans="1:28" ht="13.2" customHeight="1" x14ac:dyDescent="0.25">
      <c r="B11" s="15" t="str">
        <f ca="1"/>
        <v>02-Jan</v>
      </c>
      <c r="C11" s="12"/>
      <c r="D11" s="12"/>
      <c r="E11" s="12"/>
      <c r="F11" s="12"/>
      <c r="G11" s="12"/>
      <c r="H11" s="12"/>
      <c r="I11" s="12"/>
      <c r="J11" s="13"/>
      <c r="K11" s="13"/>
      <c r="L11" s="12"/>
      <c r="N11">
        <v>0</v>
      </c>
      <c r="P11" s="7">
        <f ca="1"/>
        <v>4</v>
      </c>
      <c r="Q11" s="5">
        <f ca="1"/>
        <v>7</v>
      </c>
      <c r="R11" s="5">
        <f ca="1"/>
        <v>0</v>
      </c>
      <c r="S11" s="5">
        <f ca="1"/>
        <v>4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  <c r="Y11" s="5">
        <f ca="1"/>
        <v>7</v>
      </c>
      <c r="Z11" s="5">
        <f ca="1"/>
        <v>7</v>
      </c>
      <c r="AB11" t="s">
        <v>14</v>
      </c>
    </row>
    <row r="12" spans="1:28" x14ac:dyDescent="0.25">
      <c r="B12" s="15" t="str">
        <f ca="1"/>
        <v>03-Jan</v>
      </c>
      <c r="C12" s="12"/>
      <c r="D12" s="12"/>
      <c r="E12" s="12"/>
      <c r="F12" s="12"/>
      <c r="G12" s="12"/>
      <c r="H12" s="12"/>
      <c r="I12" s="12"/>
      <c r="J12" s="13"/>
      <c r="K12" s="13"/>
      <c r="L12" s="12"/>
      <c r="N12">
        <v>0</v>
      </c>
      <c r="P12" s="7">
        <f ca="1"/>
        <v>5</v>
      </c>
      <c r="Q12" s="5">
        <f ca="1"/>
        <v>7</v>
      </c>
      <c r="R12" s="5">
        <f ca="1"/>
        <v>0</v>
      </c>
      <c r="S12" s="5">
        <f ca="1"/>
        <v>4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  <c r="Y12" s="5">
        <f ca="1"/>
        <v>7</v>
      </c>
      <c r="Z12" s="5">
        <f ca="1"/>
        <v>7</v>
      </c>
      <c r="AB12" t="s">
        <v>15</v>
      </c>
    </row>
    <row r="13" spans="1:28" x14ac:dyDescent="0.25">
      <c r="B13" s="15" t="str">
        <f ca="1"/>
        <v>04-Jan</v>
      </c>
      <c r="C13" s="12"/>
      <c r="D13" s="12"/>
      <c r="E13" s="12"/>
      <c r="F13" s="12"/>
      <c r="G13" s="12"/>
      <c r="H13" s="12"/>
      <c r="I13" s="12"/>
      <c r="J13" s="13"/>
      <c r="K13" s="13"/>
      <c r="L13" s="12"/>
      <c r="N13">
        <v>0</v>
      </c>
      <c r="P13" s="7">
        <f ca="1"/>
        <v>6</v>
      </c>
      <c r="Q13" s="5">
        <f ca="1"/>
        <v>7</v>
      </c>
      <c r="R13" s="5">
        <f ca="1"/>
        <v>0</v>
      </c>
      <c r="S13" s="5">
        <f ca="1"/>
        <v>2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  <c r="Y13" s="5">
        <f ca="1"/>
        <v>7</v>
      </c>
      <c r="Z13" s="5">
        <f ca="1"/>
        <v>7</v>
      </c>
      <c r="AB13" t="s">
        <v>16</v>
      </c>
    </row>
    <row r="14" spans="1:28" x14ac:dyDescent="0.25">
      <c r="B14" s="15" t="str">
        <f ca="1"/>
        <v>05-Jan</v>
      </c>
      <c r="C14" s="12"/>
      <c r="D14" s="12"/>
      <c r="E14" s="12"/>
      <c r="F14" s="12"/>
      <c r="G14" s="12"/>
      <c r="H14" s="12"/>
      <c r="I14" s="12"/>
      <c r="J14" s="13"/>
      <c r="K14" s="13"/>
      <c r="L14" s="12"/>
      <c r="N14">
        <v>0</v>
      </c>
      <c r="P14" s="7">
        <f ca="1"/>
        <v>7</v>
      </c>
      <c r="Q14" s="5">
        <f ca="1"/>
        <v>7</v>
      </c>
      <c r="R14" s="5">
        <f ca="1"/>
        <v>0</v>
      </c>
      <c r="S14" s="5">
        <f ca="1"/>
        <v>4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  <c r="Y14" s="5">
        <f ca="1"/>
        <v>7</v>
      </c>
      <c r="Z14" s="5">
        <f ca="1"/>
        <v>7</v>
      </c>
    </row>
    <row r="15" spans="1:28" x14ac:dyDescent="0.25">
      <c r="B15" s="15" t="str">
        <f ca="1"/>
        <v>06-Jan</v>
      </c>
      <c r="C15" s="12"/>
      <c r="D15" s="12"/>
      <c r="E15" s="12"/>
      <c r="F15" s="12"/>
      <c r="G15" s="12"/>
      <c r="H15" s="12"/>
      <c r="I15" s="12"/>
      <c r="J15" s="13"/>
      <c r="K15" s="13"/>
      <c r="L15" s="12"/>
      <c r="N15">
        <v>0</v>
      </c>
      <c r="P15" s="7">
        <f ca="1"/>
        <v>8</v>
      </c>
      <c r="Q15" s="5">
        <f ca="1"/>
        <v>7</v>
      </c>
      <c r="R15" s="5">
        <f ca="1"/>
        <v>0</v>
      </c>
      <c r="S15" s="5">
        <f ca="1"/>
        <v>4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  <c r="Y15" s="5">
        <f ca="1"/>
        <v>7</v>
      </c>
      <c r="Z15" s="5">
        <f ca="1"/>
        <v>7</v>
      </c>
    </row>
    <row r="16" spans="1:28" x14ac:dyDescent="0.25">
      <c r="B16" s="15" t="str">
        <f ca="1"/>
        <v>07-Jan</v>
      </c>
      <c r="C16" s="12"/>
      <c r="D16" s="12"/>
      <c r="E16" s="12"/>
      <c r="F16" s="12"/>
      <c r="G16" s="12"/>
      <c r="H16" s="12"/>
      <c r="I16" s="12"/>
      <c r="J16" s="13"/>
      <c r="K16" s="13"/>
      <c r="L16" s="12"/>
      <c r="N16">
        <v>0</v>
      </c>
      <c r="P16" s="7">
        <f ca="1"/>
        <v>9</v>
      </c>
      <c r="Q16" s="5">
        <f ca="1"/>
        <v>7</v>
      </c>
      <c r="R16" s="5">
        <f ca="1"/>
        <v>0</v>
      </c>
      <c r="S16" s="5">
        <f ca="1"/>
        <v>4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  <c r="Y16" s="5">
        <f ca="1"/>
        <v>7</v>
      </c>
      <c r="Z16" s="5">
        <f ca="1"/>
        <v>7</v>
      </c>
    </row>
    <row r="17" spans="2:26" x14ac:dyDescent="0.25">
      <c r="B17" s="15" t="str">
        <f ca="1"/>
        <v>08-Jan</v>
      </c>
      <c r="C17" s="12"/>
      <c r="D17" s="12"/>
      <c r="E17" s="12"/>
      <c r="F17" s="12"/>
      <c r="G17" s="12"/>
      <c r="H17" s="12"/>
      <c r="J17" s="13"/>
      <c r="K17" s="13"/>
      <c r="L17" s="12"/>
      <c r="N17">
        <v>0</v>
      </c>
      <c r="P17" s="7">
        <f ca="1"/>
        <v>10</v>
      </c>
      <c r="Q17" s="5">
        <f ca="1"/>
        <v>7</v>
      </c>
      <c r="R17" s="5">
        <f ca="1"/>
        <v>0</v>
      </c>
      <c r="S17" s="5">
        <f ca="1"/>
        <v>4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  <c r="Y17" s="5">
        <f ca="1"/>
        <v>7</v>
      </c>
      <c r="Z17" s="5">
        <f ca="1"/>
        <v>7</v>
      </c>
    </row>
    <row r="18" spans="2:26" x14ac:dyDescent="0.25">
      <c r="B18" s="15" t="str">
        <f ca="1"/>
        <v>09-Jan</v>
      </c>
      <c r="C18" s="12"/>
      <c r="D18" s="12"/>
      <c r="E18" s="12"/>
      <c r="F18" s="12"/>
      <c r="G18" s="12"/>
      <c r="H18" s="12"/>
      <c r="I18" s="12"/>
      <c r="J18" s="13"/>
      <c r="K18" s="13"/>
      <c r="L18" s="12"/>
      <c r="N18">
        <v>0</v>
      </c>
      <c r="P18" s="7">
        <f ca="1"/>
        <v>11</v>
      </c>
      <c r="Q18" s="5">
        <f ca="1"/>
        <v>7</v>
      </c>
      <c r="R18" s="5">
        <f ca="1"/>
        <v>0</v>
      </c>
      <c r="S18" s="5">
        <f ca="1"/>
        <v>5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  <c r="Y18" s="5">
        <f ca="1"/>
        <v>7</v>
      </c>
      <c r="Z18" s="5">
        <f ca="1"/>
        <v>7</v>
      </c>
    </row>
    <row r="19" spans="2:26" x14ac:dyDescent="0.25">
      <c r="B19" s="15" t="str">
        <f ca="1"/>
        <v>10-Jan</v>
      </c>
      <c r="C19" s="12"/>
      <c r="D19" s="12"/>
      <c r="E19" s="12"/>
      <c r="F19" s="12"/>
      <c r="G19" s="12"/>
      <c r="H19" s="12"/>
      <c r="I19" s="12"/>
      <c r="J19" s="13"/>
      <c r="K19" s="13"/>
      <c r="L19" s="12"/>
      <c r="N19">
        <v>0</v>
      </c>
      <c r="P19" s="7">
        <f ca="1"/>
        <v>12</v>
      </c>
      <c r="Q19" s="5">
        <f ca="1"/>
        <v>7</v>
      </c>
      <c r="R19" s="5">
        <f ca="1"/>
        <v>0</v>
      </c>
      <c r="S19" s="5">
        <f ca="1"/>
        <v>4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  <c r="Y19" s="5">
        <f ca="1"/>
        <v>7</v>
      </c>
      <c r="Z19" s="5">
        <f ca="1"/>
        <v>7</v>
      </c>
    </row>
    <row r="20" spans="2:26" x14ac:dyDescent="0.25">
      <c r="B20" s="15" t="str">
        <f ca="1"/>
        <v>11-Jan</v>
      </c>
      <c r="C20" s="12"/>
      <c r="D20" s="12"/>
      <c r="E20" s="12"/>
      <c r="F20" s="12"/>
      <c r="G20" s="12"/>
      <c r="H20" s="12"/>
      <c r="I20" s="12"/>
      <c r="J20" s="13"/>
      <c r="K20" s="13"/>
      <c r="L20" s="12"/>
      <c r="N20">
        <v>0</v>
      </c>
      <c r="P20" s="7">
        <f ca="1"/>
        <v>13</v>
      </c>
      <c r="Q20" s="5">
        <f ca="1"/>
        <v>7</v>
      </c>
      <c r="R20" s="5">
        <f ca="1"/>
        <v>0</v>
      </c>
      <c r="S20" s="5">
        <f ca="1"/>
        <v>5</v>
      </c>
      <c r="T20" s="5">
        <f ca="1"/>
        <v>7</v>
      </c>
      <c r="U20" s="5">
        <f ca="1"/>
        <v>7</v>
      </c>
      <c r="V20" s="5">
        <f ca="1"/>
        <v>7</v>
      </c>
      <c r="W20" s="5">
        <f ca="1"/>
        <v>7</v>
      </c>
      <c r="X20" s="5">
        <f ca="1"/>
        <v>7</v>
      </c>
      <c r="Y20" s="5">
        <f ca="1"/>
        <v>7</v>
      </c>
      <c r="Z20" s="5">
        <f ca="1"/>
        <v>7</v>
      </c>
    </row>
    <row r="21" spans="2:26" x14ac:dyDescent="0.25">
      <c r="B21" s="15" t="str">
        <f ca="1"/>
        <v>12-Jan</v>
      </c>
      <c r="C21" s="12">
        <v>1</v>
      </c>
      <c r="D21" s="12">
        <v>0</v>
      </c>
      <c r="E21" s="12">
        <v>0</v>
      </c>
      <c r="F21" s="12">
        <v>1</v>
      </c>
      <c r="G21" s="12">
        <v>1</v>
      </c>
      <c r="H21" s="12">
        <v>1</v>
      </c>
      <c r="I21" s="12">
        <v>1</v>
      </c>
      <c r="J21" s="13">
        <v>1</v>
      </c>
      <c r="K21" s="13">
        <v>0</v>
      </c>
      <c r="L21" s="12">
        <v>0</v>
      </c>
      <c r="M21" cm="1">
        <f t="array" aca="1" ref="M21:M354" ca="1">WEEKNUM(_date+0)</f>
        <v>3</v>
      </c>
      <c r="N21">
        <v>6</v>
      </c>
      <c r="P21" s="7">
        <f ca="1"/>
        <v>14</v>
      </c>
      <c r="Q21" s="5">
        <f ca="1"/>
        <v>7</v>
      </c>
      <c r="R21" s="5">
        <f ca="1"/>
        <v>0</v>
      </c>
      <c r="S21" s="5">
        <f ca="1"/>
        <v>6</v>
      </c>
      <c r="T21" s="5">
        <f ca="1"/>
        <v>7</v>
      </c>
      <c r="U21" s="5">
        <f ca="1"/>
        <v>7</v>
      </c>
      <c r="V21" s="5">
        <f ca="1"/>
        <v>7</v>
      </c>
      <c r="W21" s="5">
        <f ca="1"/>
        <v>7</v>
      </c>
      <c r="X21" s="5">
        <f ca="1"/>
        <v>7</v>
      </c>
      <c r="Y21" s="5">
        <f ca="1"/>
        <v>7</v>
      </c>
      <c r="Z21" s="5">
        <f ca="1"/>
        <v>7</v>
      </c>
    </row>
    <row r="22" spans="2:26" x14ac:dyDescent="0.25">
      <c r="B22" s="15" t="str">
        <f ca="1"/>
        <v>13-Jan</v>
      </c>
      <c r="C22" s="12">
        <v>1</v>
      </c>
      <c r="D22" s="12">
        <v>0</v>
      </c>
      <c r="E22" s="12">
        <v>0</v>
      </c>
      <c r="F22" s="12">
        <v>1</v>
      </c>
      <c r="G22" s="12">
        <v>1</v>
      </c>
      <c r="H22" s="12">
        <v>1</v>
      </c>
      <c r="I22" s="12">
        <v>1</v>
      </c>
      <c r="J22" s="13">
        <v>1</v>
      </c>
      <c r="K22" s="13">
        <v>0</v>
      </c>
      <c r="L22" s="12">
        <v>1</v>
      </c>
      <c r="M22">
        <f ca="1"/>
        <v>3</v>
      </c>
      <c r="N22">
        <v>7</v>
      </c>
      <c r="P22" s="7">
        <f ca="1"/>
        <v>15</v>
      </c>
      <c r="Q22" s="5">
        <f ca="1"/>
        <v>7</v>
      </c>
      <c r="R22" s="5">
        <f ca="1"/>
        <v>0</v>
      </c>
      <c r="S22" s="5">
        <f ca="1"/>
        <v>5</v>
      </c>
      <c r="T22" s="5">
        <f ca="1"/>
        <v>7</v>
      </c>
      <c r="U22" s="5">
        <f ca="1"/>
        <v>7</v>
      </c>
      <c r="V22" s="5">
        <f ca="1"/>
        <v>7</v>
      </c>
      <c r="W22" s="5">
        <f ca="1"/>
        <v>7</v>
      </c>
      <c r="X22" s="5">
        <f ca="1"/>
        <v>7</v>
      </c>
      <c r="Y22" s="5">
        <f ca="1"/>
        <v>7</v>
      </c>
      <c r="Z22" s="5">
        <f ca="1"/>
        <v>7</v>
      </c>
    </row>
    <row r="23" spans="2:26" x14ac:dyDescent="0.25">
      <c r="B23" s="15" t="str">
        <f ca="1"/>
        <v>14-Jan</v>
      </c>
      <c r="C23" s="12">
        <v>1</v>
      </c>
      <c r="D23" s="12">
        <v>0</v>
      </c>
      <c r="E23" s="12">
        <v>1</v>
      </c>
      <c r="F23" s="12">
        <v>1</v>
      </c>
      <c r="G23" s="12">
        <v>1</v>
      </c>
      <c r="H23" s="12">
        <v>1</v>
      </c>
      <c r="I23" s="12">
        <v>1</v>
      </c>
      <c r="J23" s="13">
        <v>1</v>
      </c>
      <c r="K23" s="13">
        <v>1</v>
      </c>
      <c r="L23" s="12">
        <v>1</v>
      </c>
      <c r="M23">
        <f ca="1"/>
        <v>3</v>
      </c>
      <c r="N23">
        <v>9</v>
      </c>
      <c r="P23" s="7">
        <f ca="1"/>
        <v>16</v>
      </c>
      <c r="Q23" s="5">
        <f ca="1"/>
        <v>7</v>
      </c>
      <c r="R23" s="5">
        <f ca="1"/>
        <v>0</v>
      </c>
      <c r="S23" s="5">
        <f ca="1"/>
        <v>7</v>
      </c>
      <c r="T23" s="5">
        <f ca="1"/>
        <v>7</v>
      </c>
      <c r="U23" s="5">
        <f ca="1"/>
        <v>7</v>
      </c>
      <c r="V23" s="5">
        <f ca="1"/>
        <v>7</v>
      </c>
      <c r="W23" s="5">
        <f ca="1"/>
        <v>7</v>
      </c>
      <c r="X23" s="5">
        <f ca="1"/>
        <v>7</v>
      </c>
      <c r="Y23" s="5">
        <f ca="1"/>
        <v>7</v>
      </c>
      <c r="Z23" s="5">
        <f ca="1"/>
        <v>7</v>
      </c>
    </row>
    <row r="24" spans="2:26" x14ac:dyDescent="0.25">
      <c r="B24" s="15" t="str">
        <f ca="1"/>
        <v>15-Jan</v>
      </c>
      <c r="C24" s="12">
        <v>1</v>
      </c>
      <c r="D24" s="12">
        <v>0</v>
      </c>
      <c r="E24" s="12">
        <v>1</v>
      </c>
      <c r="F24" s="12">
        <v>1</v>
      </c>
      <c r="G24" s="12">
        <v>1</v>
      </c>
      <c r="H24" s="12">
        <v>1</v>
      </c>
      <c r="I24" s="12">
        <v>1</v>
      </c>
      <c r="J24" s="13">
        <v>1</v>
      </c>
      <c r="K24" s="13">
        <v>1</v>
      </c>
      <c r="L24" s="12">
        <v>1</v>
      </c>
      <c r="M24">
        <f ca="1"/>
        <v>3</v>
      </c>
      <c r="N24">
        <v>9</v>
      </c>
      <c r="P24" s="7">
        <f ca="1"/>
        <v>17</v>
      </c>
      <c r="Q24" s="5">
        <f ca="1"/>
        <v>7</v>
      </c>
      <c r="R24" s="5">
        <f ca="1"/>
        <v>0</v>
      </c>
      <c r="S24" s="5">
        <f ca="1"/>
        <v>4</v>
      </c>
      <c r="T24" s="5">
        <f ca="1"/>
        <v>7</v>
      </c>
      <c r="U24" s="5">
        <f ca="1"/>
        <v>7</v>
      </c>
      <c r="V24" s="5">
        <f ca="1"/>
        <v>7</v>
      </c>
      <c r="W24" s="5">
        <f ca="1"/>
        <v>7</v>
      </c>
      <c r="X24" s="5">
        <f ca="1"/>
        <v>7</v>
      </c>
      <c r="Y24" s="5">
        <f ca="1"/>
        <v>7</v>
      </c>
      <c r="Z24" s="5">
        <f ca="1"/>
        <v>7</v>
      </c>
    </row>
    <row r="25" spans="2:26" x14ac:dyDescent="0.25">
      <c r="B25" s="15" t="str">
        <f ca="1"/>
        <v>16-Jan</v>
      </c>
      <c r="C25" s="12">
        <v>1</v>
      </c>
      <c r="D25" s="12">
        <v>0</v>
      </c>
      <c r="E25" s="12">
        <v>0</v>
      </c>
      <c r="F25" s="12">
        <v>1</v>
      </c>
      <c r="G25" s="12">
        <v>1</v>
      </c>
      <c r="H25" s="12">
        <v>1</v>
      </c>
      <c r="I25" s="12">
        <v>1</v>
      </c>
      <c r="J25" s="13">
        <v>1</v>
      </c>
      <c r="K25" s="13">
        <v>1</v>
      </c>
      <c r="L25" s="12">
        <v>1</v>
      </c>
      <c r="M25">
        <f ca="1"/>
        <v>3</v>
      </c>
      <c r="N25">
        <v>8</v>
      </c>
      <c r="P25" s="7">
        <f ca="1"/>
        <v>18</v>
      </c>
      <c r="Q25" s="5">
        <f ca="1"/>
        <v>7</v>
      </c>
      <c r="R25" s="5">
        <f ca="1"/>
        <v>0</v>
      </c>
      <c r="S25" s="5">
        <f ca="1"/>
        <v>5</v>
      </c>
      <c r="T25" s="5">
        <f ca="1"/>
        <v>7</v>
      </c>
      <c r="U25" s="5">
        <f ca="1"/>
        <v>7</v>
      </c>
      <c r="V25" s="5">
        <f ca="1"/>
        <v>7</v>
      </c>
      <c r="W25" s="5">
        <f ca="1"/>
        <v>7</v>
      </c>
      <c r="X25" s="5">
        <f ca="1"/>
        <v>7</v>
      </c>
      <c r="Y25" s="5">
        <f ca="1"/>
        <v>7</v>
      </c>
      <c r="Z25" s="5">
        <f ca="1"/>
        <v>7</v>
      </c>
    </row>
    <row r="26" spans="2:26" x14ac:dyDescent="0.25">
      <c r="B26" s="15" t="str">
        <f ca="1"/>
        <v>17-Jan</v>
      </c>
      <c r="C26" s="12">
        <v>1</v>
      </c>
      <c r="D26" s="12">
        <v>0</v>
      </c>
      <c r="E26" s="12">
        <v>1</v>
      </c>
      <c r="F26" s="12">
        <v>1</v>
      </c>
      <c r="G26" s="12">
        <v>1</v>
      </c>
      <c r="H26" s="12">
        <v>1</v>
      </c>
      <c r="I26" s="12">
        <v>1</v>
      </c>
      <c r="J26" s="13">
        <v>1</v>
      </c>
      <c r="K26" s="13">
        <v>1</v>
      </c>
      <c r="L26" s="12">
        <v>1</v>
      </c>
      <c r="M26">
        <f ca="1"/>
        <v>3</v>
      </c>
      <c r="N26">
        <v>9</v>
      </c>
      <c r="P26" s="7">
        <f ca="1"/>
        <v>19</v>
      </c>
      <c r="Q26" s="5">
        <f ca="1"/>
        <v>7</v>
      </c>
      <c r="R26" s="5">
        <f ca="1"/>
        <v>0</v>
      </c>
      <c r="S26" s="5">
        <f ca="1"/>
        <v>3</v>
      </c>
      <c r="T26" s="5">
        <f ca="1"/>
        <v>6</v>
      </c>
      <c r="U26" s="5">
        <f ca="1"/>
        <v>7</v>
      </c>
      <c r="V26" s="5">
        <f ca="1"/>
        <v>7</v>
      </c>
      <c r="W26" s="5">
        <f ca="1"/>
        <v>7</v>
      </c>
      <c r="X26" s="5">
        <f ca="1"/>
        <v>7</v>
      </c>
      <c r="Y26" s="5">
        <f ca="1"/>
        <v>7</v>
      </c>
      <c r="Z26" s="5">
        <f ca="1"/>
        <v>7</v>
      </c>
    </row>
    <row r="27" spans="2:26" x14ac:dyDescent="0.25">
      <c r="B27" s="15" t="str">
        <f ca="1"/>
        <v>18-Jan</v>
      </c>
      <c r="C27" s="12">
        <v>1</v>
      </c>
      <c r="D27" s="12">
        <v>0</v>
      </c>
      <c r="E27" s="12">
        <v>1</v>
      </c>
      <c r="F27" s="12">
        <v>1</v>
      </c>
      <c r="G27" s="12">
        <v>1</v>
      </c>
      <c r="H27" s="12">
        <v>1</v>
      </c>
      <c r="I27" s="12">
        <v>1</v>
      </c>
      <c r="J27" s="13">
        <v>1</v>
      </c>
      <c r="K27" s="13">
        <v>1</v>
      </c>
      <c r="L27" s="12">
        <v>1</v>
      </c>
      <c r="M27">
        <f ca="1"/>
        <v>3</v>
      </c>
      <c r="N27">
        <v>9</v>
      </c>
      <c r="P27" s="7">
        <f ca="1"/>
        <v>20</v>
      </c>
      <c r="Q27" s="5">
        <f ca="1"/>
        <v>7</v>
      </c>
      <c r="R27" s="5">
        <f ca="1"/>
        <v>0</v>
      </c>
      <c r="S27" s="5">
        <f ca="1"/>
        <v>5</v>
      </c>
      <c r="T27" s="5">
        <f ca="1"/>
        <v>7</v>
      </c>
      <c r="U27" s="5">
        <f ca="1"/>
        <v>7</v>
      </c>
      <c r="V27" s="5">
        <f ca="1"/>
        <v>7</v>
      </c>
      <c r="W27" s="5">
        <f ca="1"/>
        <v>7</v>
      </c>
      <c r="X27" s="5">
        <f ca="1"/>
        <v>7</v>
      </c>
      <c r="Y27" s="5">
        <f ca="1"/>
        <v>7</v>
      </c>
      <c r="Z27" s="5">
        <f ca="1"/>
        <v>7</v>
      </c>
    </row>
    <row r="28" spans="2:26" x14ac:dyDescent="0.25">
      <c r="B28" s="15" t="str">
        <f ca="1"/>
        <v>19-Jan</v>
      </c>
      <c r="C28" s="12">
        <v>1</v>
      </c>
      <c r="D28" s="12">
        <v>0</v>
      </c>
      <c r="E28" s="12">
        <v>1</v>
      </c>
      <c r="F28" s="12">
        <v>1</v>
      </c>
      <c r="G28" s="12">
        <v>1</v>
      </c>
      <c r="H28" s="12">
        <v>1</v>
      </c>
      <c r="I28" s="12">
        <v>1</v>
      </c>
      <c r="J28" s="13">
        <v>1</v>
      </c>
      <c r="K28" s="13">
        <v>1</v>
      </c>
      <c r="L28" s="12">
        <v>1</v>
      </c>
      <c r="M28">
        <f ca="1"/>
        <v>4</v>
      </c>
      <c r="N28">
        <v>9</v>
      </c>
      <c r="P28" s="7">
        <f ca="1"/>
        <v>21</v>
      </c>
      <c r="Q28" s="5">
        <f ca="1"/>
        <v>7</v>
      </c>
      <c r="R28" s="5">
        <f ca="1"/>
        <v>0</v>
      </c>
      <c r="S28" s="5">
        <f ca="1"/>
        <v>4</v>
      </c>
      <c r="T28" s="5">
        <f ca="1"/>
        <v>7</v>
      </c>
      <c r="U28" s="5">
        <f ca="1"/>
        <v>7</v>
      </c>
      <c r="V28" s="5">
        <f ca="1"/>
        <v>7</v>
      </c>
      <c r="W28" s="5">
        <f ca="1"/>
        <v>7</v>
      </c>
      <c r="X28" s="5">
        <f ca="1"/>
        <v>7</v>
      </c>
      <c r="Y28" s="5">
        <f ca="1"/>
        <v>7</v>
      </c>
      <c r="Z28" s="5">
        <f ca="1"/>
        <v>7</v>
      </c>
    </row>
    <row r="29" spans="2:26" x14ac:dyDescent="0.25">
      <c r="B29" s="15" t="str">
        <f ca="1"/>
        <v>20-Jan</v>
      </c>
      <c r="C29" s="12">
        <v>1</v>
      </c>
      <c r="D29" s="12">
        <v>0</v>
      </c>
      <c r="E29" s="12">
        <v>0</v>
      </c>
      <c r="F29" s="12">
        <v>1</v>
      </c>
      <c r="G29" s="12">
        <v>1</v>
      </c>
      <c r="H29" s="12">
        <v>1</v>
      </c>
      <c r="I29" s="12">
        <v>1</v>
      </c>
      <c r="J29" s="13">
        <v>1</v>
      </c>
      <c r="K29" s="13">
        <v>1</v>
      </c>
      <c r="L29" s="12">
        <v>1</v>
      </c>
      <c r="M29">
        <f ca="1"/>
        <v>4</v>
      </c>
      <c r="N29">
        <v>8</v>
      </c>
      <c r="P29" s="7">
        <f ca="1"/>
        <v>22</v>
      </c>
      <c r="Q29" s="5">
        <f ca="1"/>
        <v>7</v>
      </c>
      <c r="R29" s="5">
        <f ca="1"/>
        <v>0</v>
      </c>
      <c r="S29" s="5">
        <f ca="1"/>
        <v>3</v>
      </c>
      <c r="T29" s="5">
        <f ca="1"/>
        <v>7</v>
      </c>
      <c r="U29" s="5">
        <f ca="1"/>
        <v>7</v>
      </c>
      <c r="V29" s="5">
        <f ca="1"/>
        <v>7</v>
      </c>
      <c r="W29" s="5">
        <f ca="1"/>
        <v>7</v>
      </c>
      <c r="X29" s="5">
        <f ca="1"/>
        <v>7</v>
      </c>
      <c r="Y29" s="5">
        <f ca="1"/>
        <v>7</v>
      </c>
      <c r="Z29" s="5">
        <f ca="1"/>
        <v>7</v>
      </c>
    </row>
    <row r="30" spans="2:26" x14ac:dyDescent="0.25">
      <c r="B30" s="15" t="str">
        <f ca="1"/>
        <v>21-Jan</v>
      </c>
      <c r="C30" s="12">
        <v>1</v>
      </c>
      <c r="D30" s="12">
        <v>0</v>
      </c>
      <c r="E30" s="12">
        <v>0</v>
      </c>
      <c r="F30" s="12">
        <v>1</v>
      </c>
      <c r="G30" s="12">
        <v>1</v>
      </c>
      <c r="H30" s="12">
        <v>1</v>
      </c>
      <c r="I30" s="12">
        <v>1</v>
      </c>
      <c r="J30" s="13">
        <v>1</v>
      </c>
      <c r="K30" s="13">
        <v>1</v>
      </c>
      <c r="L30" s="12">
        <v>1</v>
      </c>
      <c r="M30">
        <f ca="1"/>
        <v>4</v>
      </c>
      <c r="N30">
        <v>8</v>
      </c>
      <c r="P30" s="7">
        <f ca="1"/>
        <v>23</v>
      </c>
      <c r="Q30" s="5">
        <f ca="1"/>
        <v>7</v>
      </c>
      <c r="R30" s="5">
        <f ca="1"/>
        <v>0</v>
      </c>
      <c r="S30" s="5">
        <f ca="1"/>
        <v>5</v>
      </c>
      <c r="T30" s="5">
        <f ca="1"/>
        <v>7</v>
      </c>
      <c r="U30" s="5">
        <f ca="1"/>
        <v>7</v>
      </c>
      <c r="V30" s="5">
        <f ca="1"/>
        <v>7</v>
      </c>
      <c r="W30" s="5">
        <f ca="1"/>
        <v>7</v>
      </c>
      <c r="X30" s="5">
        <f ca="1"/>
        <v>7</v>
      </c>
      <c r="Y30" s="5">
        <f ca="1"/>
        <v>7</v>
      </c>
      <c r="Z30" s="5">
        <f ca="1"/>
        <v>7</v>
      </c>
    </row>
    <row r="31" spans="2:26" x14ac:dyDescent="0.25">
      <c r="B31" s="15" t="str">
        <f ca="1"/>
        <v>22-Jan</v>
      </c>
      <c r="C31" s="12">
        <v>1</v>
      </c>
      <c r="D31" s="12">
        <v>0</v>
      </c>
      <c r="E31" s="12">
        <v>0</v>
      </c>
      <c r="F31" s="12">
        <v>1</v>
      </c>
      <c r="G31" s="12">
        <v>1</v>
      </c>
      <c r="H31" s="12">
        <v>1</v>
      </c>
      <c r="I31" s="12">
        <v>1</v>
      </c>
      <c r="J31" s="13">
        <v>1</v>
      </c>
      <c r="K31" s="13">
        <v>1</v>
      </c>
      <c r="L31" s="12">
        <v>1</v>
      </c>
      <c r="M31">
        <f ca="1"/>
        <v>4</v>
      </c>
      <c r="N31">
        <v>8</v>
      </c>
      <c r="P31" s="7">
        <f ca="1"/>
        <v>24</v>
      </c>
      <c r="Q31" s="5">
        <f ca="1"/>
        <v>7</v>
      </c>
      <c r="R31" s="5">
        <f ca="1"/>
        <v>0</v>
      </c>
      <c r="S31" s="5">
        <f ca="1"/>
        <v>3</v>
      </c>
      <c r="T31" s="5">
        <f ca="1"/>
        <v>7</v>
      </c>
      <c r="U31" s="5">
        <f ca="1"/>
        <v>7</v>
      </c>
      <c r="V31" s="5">
        <f ca="1"/>
        <v>7</v>
      </c>
      <c r="W31" s="5">
        <f ca="1"/>
        <v>7</v>
      </c>
      <c r="X31" s="5">
        <f ca="1"/>
        <v>7</v>
      </c>
      <c r="Y31" s="5">
        <f ca="1"/>
        <v>7</v>
      </c>
      <c r="Z31" s="5">
        <f ca="1"/>
        <v>7</v>
      </c>
    </row>
    <row r="32" spans="2:26" x14ac:dyDescent="0.25">
      <c r="B32" s="15" t="str">
        <f ca="1"/>
        <v>23-Jan</v>
      </c>
      <c r="C32" s="12">
        <v>1</v>
      </c>
      <c r="D32" s="12">
        <v>0</v>
      </c>
      <c r="E32" s="12">
        <v>1</v>
      </c>
      <c r="F32" s="12">
        <v>1</v>
      </c>
      <c r="G32" s="12">
        <v>1</v>
      </c>
      <c r="H32" s="12">
        <v>1</v>
      </c>
      <c r="I32" s="12">
        <v>1</v>
      </c>
      <c r="J32" s="13">
        <v>1</v>
      </c>
      <c r="K32" s="13">
        <v>1</v>
      </c>
      <c r="L32" s="12">
        <v>1</v>
      </c>
      <c r="M32">
        <f ca="1"/>
        <v>4</v>
      </c>
      <c r="N32">
        <v>9</v>
      </c>
      <c r="P32" s="7">
        <f ca="1"/>
        <v>25</v>
      </c>
      <c r="Q32" s="5">
        <f ca="1"/>
        <v>7</v>
      </c>
      <c r="R32" s="5">
        <f ca="1"/>
        <v>0</v>
      </c>
      <c r="S32" s="5">
        <f ca="1"/>
        <v>4</v>
      </c>
      <c r="T32" s="5">
        <f ca="1"/>
        <v>7</v>
      </c>
      <c r="U32" s="5">
        <f ca="1"/>
        <v>7</v>
      </c>
      <c r="V32" s="5">
        <f ca="1"/>
        <v>7</v>
      </c>
      <c r="W32" s="5">
        <f ca="1"/>
        <v>7</v>
      </c>
      <c r="X32" s="5">
        <f ca="1"/>
        <v>7</v>
      </c>
      <c r="Y32" s="5">
        <f ca="1"/>
        <v>7</v>
      </c>
      <c r="Z32" s="5">
        <f ca="1"/>
        <v>7</v>
      </c>
    </row>
    <row r="33" spans="2:26" x14ac:dyDescent="0.25">
      <c r="B33" s="15" t="str">
        <f ca="1"/>
        <v>24-Jan</v>
      </c>
      <c r="C33" s="12">
        <v>1</v>
      </c>
      <c r="D33" s="12">
        <v>0</v>
      </c>
      <c r="E33" s="12">
        <v>1</v>
      </c>
      <c r="F33" s="12">
        <v>1</v>
      </c>
      <c r="G33" s="12">
        <v>1</v>
      </c>
      <c r="H33" s="12">
        <v>1</v>
      </c>
      <c r="I33" s="12">
        <v>1</v>
      </c>
      <c r="J33" s="13">
        <v>1</v>
      </c>
      <c r="K33" s="13">
        <v>1</v>
      </c>
      <c r="L33" s="12">
        <v>1</v>
      </c>
      <c r="M33">
        <f ca="1"/>
        <v>4</v>
      </c>
      <c r="N33">
        <v>9</v>
      </c>
      <c r="P33" s="7">
        <f ca="1"/>
        <v>26</v>
      </c>
      <c r="Q33" s="5">
        <f ca="1"/>
        <v>7</v>
      </c>
      <c r="R33" s="5">
        <f ca="1"/>
        <v>0</v>
      </c>
      <c r="S33" s="5">
        <f ca="1"/>
        <v>5</v>
      </c>
      <c r="T33" s="5">
        <f ca="1"/>
        <v>7</v>
      </c>
      <c r="U33" s="5">
        <f ca="1"/>
        <v>7</v>
      </c>
      <c r="V33" s="5">
        <f ca="1"/>
        <v>7</v>
      </c>
      <c r="W33" s="5">
        <f ca="1"/>
        <v>7</v>
      </c>
      <c r="X33" s="5">
        <f ca="1"/>
        <v>7</v>
      </c>
      <c r="Y33" s="5">
        <f ca="1"/>
        <v>7</v>
      </c>
      <c r="Z33" s="5">
        <f ca="1"/>
        <v>7</v>
      </c>
    </row>
    <row r="34" spans="2:26" x14ac:dyDescent="0.25">
      <c r="B34" s="15" t="str">
        <f ca="1"/>
        <v>25-Jan</v>
      </c>
      <c r="C34" s="12">
        <v>1</v>
      </c>
      <c r="D34" s="12">
        <v>0</v>
      </c>
      <c r="E34" s="12">
        <v>1</v>
      </c>
      <c r="F34" s="12">
        <v>1</v>
      </c>
      <c r="G34" s="12">
        <v>1</v>
      </c>
      <c r="H34" s="12">
        <v>1</v>
      </c>
      <c r="I34" s="12">
        <v>1</v>
      </c>
      <c r="J34" s="13">
        <v>1</v>
      </c>
      <c r="K34" s="13">
        <v>1</v>
      </c>
      <c r="L34" s="12">
        <v>1</v>
      </c>
      <c r="M34">
        <f ca="1"/>
        <v>4</v>
      </c>
      <c r="N34">
        <v>9</v>
      </c>
      <c r="P34" s="7">
        <f ca="1"/>
        <v>27</v>
      </c>
      <c r="Q34" s="5">
        <f ca="1"/>
        <v>7</v>
      </c>
      <c r="R34" s="5">
        <f ca="1"/>
        <v>0</v>
      </c>
      <c r="S34" s="5">
        <f ca="1"/>
        <v>4</v>
      </c>
      <c r="T34" s="5">
        <f ca="1"/>
        <v>7</v>
      </c>
      <c r="U34" s="5">
        <f ca="1"/>
        <v>7</v>
      </c>
      <c r="V34" s="5">
        <f ca="1"/>
        <v>7</v>
      </c>
      <c r="W34" s="5">
        <f ca="1"/>
        <v>7</v>
      </c>
      <c r="X34" s="5">
        <f ca="1"/>
        <v>7</v>
      </c>
      <c r="Y34" s="5">
        <f ca="1"/>
        <v>7</v>
      </c>
      <c r="Z34" s="5">
        <f ca="1"/>
        <v>7</v>
      </c>
    </row>
    <row r="35" spans="2:26" x14ac:dyDescent="0.25">
      <c r="B35" s="15" t="str">
        <f ca="1"/>
        <v>26-Jan</v>
      </c>
      <c r="C35" s="12">
        <v>1</v>
      </c>
      <c r="D35" s="12">
        <v>0</v>
      </c>
      <c r="E35" s="12">
        <v>1</v>
      </c>
      <c r="F35" s="12">
        <v>1</v>
      </c>
      <c r="G35" s="12">
        <v>1</v>
      </c>
      <c r="H35" s="12">
        <v>1</v>
      </c>
      <c r="I35" s="12">
        <v>1</v>
      </c>
      <c r="J35" s="13">
        <v>1</v>
      </c>
      <c r="K35" s="13">
        <v>1</v>
      </c>
      <c r="L35" s="12">
        <v>1</v>
      </c>
      <c r="M35">
        <f ca="1"/>
        <v>5</v>
      </c>
      <c r="N35">
        <v>9</v>
      </c>
      <c r="P35" s="7">
        <f ca="1"/>
        <v>28</v>
      </c>
      <c r="Q35" s="5">
        <f ca="1"/>
        <v>7</v>
      </c>
      <c r="R35" s="5">
        <f ca="1"/>
        <v>0</v>
      </c>
      <c r="S35" s="5">
        <f ca="1"/>
        <v>5</v>
      </c>
      <c r="T35" s="5">
        <f ca="1"/>
        <v>7</v>
      </c>
      <c r="U35" s="5">
        <f ca="1"/>
        <v>7</v>
      </c>
      <c r="V35" s="5">
        <f ca="1"/>
        <v>7</v>
      </c>
      <c r="W35" s="5">
        <f ca="1"/>
        <v>7</v>
      </c>
      <c r="X35" s="5">
        <f ca="1"/>
        <v>7</v>
      </c>
      <c r="Y35" s="5">
        <f ca="1"/>
        <v>7</v>
      </c>
      <c r="Z35" s="5">
        <f ca="1"/>
        <v>7</v>
      </c>
    </row>
    <row r="36" spans="2:26" x14ac:dyDescent="0.25">
      <c r="B36" s="15" t="str">
        <f ca="1"/>
        <v>27-Jan</v>
      </c>
      <c r="C36" s="12">
        <v>1</v>
      </c>
      <c r="D36" s="12">
        <v>0</v>
      </c>
      <c r="E36" s="12">
        <v>1</v>
      </c>
      <c r="F36" s="12">
        <v>1</v>
      </c>
      <c r="G36" s="12">
        <v>1</v>
      </c>
      <c r="H36" s="12">
        <v>1</v>
      </c>
      <c r="I36" s="12">
        <v>1</v>
      </c>
      <c r="J36" s="13">
        <v>1</v>
      </c>
      <c r="K36" s="13">
        <v>1</v>
      </c>
      <c r="L36" s="12">
        <v>1</v>
      </c>
      <c r="M36">
        <f ca="1"/>
        <v>5</v>
      </c>
      <c r="N36">
        <v>9</v>
      </c>
      <c r="P36" s="7">
        <f ca="1"/>
        <v>29</v>
      </c>
      <c r="Q36" s="5">
        <f ca="1"/>
        <v>7</v>
      </c>
      <c r="R36" s="5">
        <f ca="1"/>
        <v>0</v>
      </c>
      <c r="S36" s="5">
        <f ca="1"/>
        <v>4</v>
      </c>
      <c r="T36" s="5">
        <f ca="1"/>
        <v>7</v>
      </c>
      <c r="U36" s="5">
        <f ca="1"/>
        <v>7</v>
      </c>
      <c r="V36" s="5">
        <f ca="1"/>
        <v>7</v>
      </c>
      <c r="W36" s="5">
        <f ca="1"/>
        <v>7</v>
      </c>
      <c r="X36" s="5">
        <f ca="1"/>
        <v>7</v>
      </c>
      <c r="Y36" s="5">
        <f ca="1"/>
        <v>7</v>
      </c>
      <c r="Z36" s="5">
        <f ca="1"/>
        <v>7</v>
      </c>
    </row>
    <row r="37" spans="2:26" x14ac:dyDescent="0.25">
      <c r="B37" s="15" t="str">
        <f ca="1"/>
        <v>28-Jan</v>
      </c>
      <c r="C37" s="12">
        <v>1</v>
      </c>
      <c r="D37" s="12">
        <v>0</v>
      </c>
      <c r="E37" s="12">
        <v>0</v>
      </c>
      <c r="F37" s="12">
        <v>1</v>
      </c>
      <c r="G37" s="12">
        <v>1</v>
      </c>
      <c r="H37" s="12">
        <v>1</v>
      </c>
      <c r="I37" s="12">
        <v>1</v>
      </c>
      <c r="J37" s="13">
        <v>1</v>
      </c>
      <c r="K37" s="13">
        <v>1</v>
      </c>
      <c r="L37" s="12">
        <v>1</v>
      </c>
      <c r="M37">
        <f ca="1"/>
        <v>5</v>
      </c>
      <c r="N37">
        <v>8</v>
      </c>
      <c r="P37" s="7">
        <f ca="1"/>
        <v>30</v>
      </c>
      <c r="Q37" s="5">
        <f ca="1"/>
        <v>7</v>
      </c>
      <c r="R37" s="5">
        <f ca="1"/>
        <v>0</v>
      </c>
      <c r="S37" s="5">
        <f ca="1"/>
        <v>5</v>
      </c>
      <c r="T37" s="5">
        <f ca="1"/>
        <v>7</v>
      </c>
      <c r="U37" s="5">
        <f ca="1"/>
        <v>7</v>
      </c>
      <c r="V37" s="5">
        <f ca="1"/>
        <v>7</v>
      </c>
      <c r="W37" s="5">
        <f ca="1"/>
        <v>7</v>
      </c>
      <c r="X37" s="5">
        <f ca="1"/>
        <v>7</v>
      </c>
      <c r="Y37" s="5">
        <f ca="1"/>
        <v>7</v>
      </c>
      <c r="Z37" s="5">
        <f ca="1"/>
        <v>7</v>
      </c>
    </row>
    <row r="38" spans="2:26" x14ac:dyDescent="0.25">
      <c r="B38" s="15" t="str">
        <f ca="1"/>
        <v>29-Jan</v>
      </c>
      <c r="C38" s="12">
        <v>1</v>
      </c>
      <c r="D38" s="12">
        <v>0</v>
      </c>
      <c r="E38" s="12">
        <v>0</v>
      </c>
      <c r="F38" s="12">
        <v>1</v>
      </c>
      <c r="G38" s="12">
        <v>1</v>
      </c>
      <c r="H38" s="12">
        <v>1</v>
      </c>
      <c r="I38" s="12">
        <v>1</v>
      </c>
      <c r="J38" s="13">
        <v>1</v>
      </c>
      <c r="K38" s="13">
        <v>1</v>
      </c>
      <c r="L38" s="12">
        <v>1</v>
      </c>
      <c r="M38">
        <f ca="1"/>
        <v>5</v>
      </c>
      <c r="N38">
        <v>8</v>
      </c>
      <c r="P38" s="7">
        <f ca="1"/>
        <v>31</v>
      </c>
      <c r="Q38" s="5">
        <f ca="1"/>
        <v>7</v>
      </c>
      <c r="R38" s="5">
        <f ca="1"/>
        <v>0</v>
      </c>
      <c r="S38" s="5">
        <f ca="1"/>
        <v>4</v>
      </c>
      <c r="T38" s="5">
        <f ca="1"/>
        <v>7</v>
      </c>
      <c r="U38" s="5">
        <f ca="1"/>
        <v>7</v>
      </c>
      <c r="V38" s="5">
        <f ca="1"/>
        <v>7</v>
      </c>
      <c r="W38" s="5">
        <f ca="1"/>
        <v>7</v>
      </c>
      <c r="X38" s="5">
        <f ca="1"/>
        <v>7</v>
      </c>
      <c r="Y38" s="5">
        <f ca="1"/>
        <v>7</v>
      </c>
      <c r="Z38" s="5">
        <f ca="1"/>
        <v>7</v>
      </c>
    </row>
    <row r="39" spans="2:26" x14ac:dyDescent="0.25">
      <c r="B39" s="15" t="str">
        <f ca="1"/>
        <v>30-Jan</v>
      </c>
      <c r="C39" s="12">
        <v>1</v>
      </c>
      <c r="D39" s="12">
        <v>0</v>
      </c>
      <c r="E39" s="12">
        <v>0</v>
      </c>
      <c r="F39" s="12">
        <v>1</v>
      </c>
      <c r="G39" s="12">
        <v>1</v>
      </c>
      <c r="H39" s="12">
        <v>1</v>
      </c>
      <c r="I39" s="12">
        <v>1</v>
      </c>
      <c r="J39" s="13">
        <v>1</v>
      </c>
      <c r="K39" s="13">
        <v>1</v>
      </c>
      <c r="L39" s="12">
        <v>1</v>
      </c>
      <c r="M39">
        <f ca="1"/>
        <v>5</v>
      </c>
      <c r="N39">
        <v>8</v>
      </c>
      <c r="P39" s="7">
        <f ca="1"/>
        <v>32</v>
      </c>
      <c r="Q39" s="5">
        <f ca="1"/>
        <v>7</v>
      </c>
      <c r="R39" s="5">
        <f ca="1"/>
        <v>0</v>
      </c>
      <c r="S39" s="5">
        <f ca="1"/>
        <v>4</v>
      </c>
      <c r="T39" s="5">
        <f ca="1"/>
        <v>7</v>
      </c>
      <c r="U39" s="5">
        <f ca="1"/>
        <v>7</v>
      </c>
      <c r="V39" s="5">
        <f ca="1"/>
        <v>7</v>
      </c>
      <c r="W39" s="5">
        <f ca="1"/>
        <v>7</v>
      </c>
      <c r="X39" s="5">
        <f ca="1"/>
        <v>7</v>
      </c>
      <c r="Y39" s="5">
        <f ca="1"/>
        <v>7</v>
      </c>
      <c r="Z39" s="5">
        <f ca="1"/>
        <v>7</v>
      </c>
    </row>
    <row r="40" spans="2:26" x14ac:dyDescent="0.25">
      <c r="B40" s="15" t="str">
        <f ca="1"/>
        <v>31-Jan</v>
      </c>
      <c r="C40" s="12">
        <v>1</v>
      </c>
      <c r="D40" s="12">
        <v>0</v>
      </c>
      <c r="E40" s="12">
        <v>1</v>
      </c>
      <c r="F40" s="12">
        <v>1</v>
      </c>
      <c r="G40" s="12">
        <v>1</v>
      </c>
      <c r="H40" s="12">
        <v>1</v>
      </c>
      <c r="I40" s="12">
        <v>1</v>
      </c>
      <c r="J40" s="13">
        <v>1</v>
      </c>
      <c r="K40" s="13">
        <v>1</v>
      </c>
      <c r="L40" s="12">
        <v>1</v>
      </c>
      <c r="M40">
        <f ca="1"/>
        <v>5</v>
      </c>
      <c r="N40">
        <v>9</v>
      </c>
      <c r="P40" s="7">
        <f ca="1"/>
        <v>33</v>
      </c>
      <c r="Q40" s="5">
        <f ca="1"/>
        <v>7</v>
      </c>
      <c r="R40" s="5">
        <f ca="1"/>
        <v>0</v>
      </c>
      <c r="S40" s="5">
        <f ca="1"/>
        <v>5</v>
      </c>
      <c r="T40" s="5">
        <f ca="1"/>
        <v>7</v>
      </c>
      <c r="U40" s="5">
        <f ca="1"/>
        <v>4</v>
      </c>
      <c r="V40" s="5">
        <f ca="1"/>
        <v>4</v>
      </c>
      <c r="W40" s="5">
        <f ca="1"/>
        <v>7</v>
      </c>
      <c r="X40" s="5">
        <f ca="1"/>
        <v>7</v>
      </c>
      <c r="Y40" s="5">
        <f ca="1"/>
        <v>7</v>
      </c>
      <c r="Z40" s="5">
        <f ca="1"/>
        <v>7</v>
      </c>
    </row>
    <row r="41" spans="2:26" x14ac:dyDescent="0.25">
      <c r="B41" s="15" t="str">
        <f ca="1"/>
        <v>01-Feb</v>
      </c>
      <c r="C41" s="12">
        <v>1</v>
      </c>
      <c r="D41" s="12">
        <v>0</v>
      </c>
      <c r="E41" s="12">
        <v>1</v>
      </c>
      <c r="F41" s="12">
        <v>1</v>
      </c>
      <c r="G41" s="12">
        <v>1</v>
      </c>
      <c r="H41" s="12">
        <v>1</v>
      </c>
      <c r="I41" s="12">
        <v>1</v>
      </c>
      <c r="J41" s="13">
        <v>1</v>
      </c>
      <c r="K41" s="13">
        <v>1</v>
      </c>
      <c r="L41" s="12">
        <v>1</v>
      </c>
      <c r="M41">
        <f ca="1"/>
        <v>5</v>
      </c>
      <c r="N41">
        <v>9</v>
      </c>
      <c r="P41" s="7">
        <f ca="1"/>
        <v>34</v>
      </c>
      <c r="Q41" s="5">
        <f ca="1"/>
        <v>7</v>
      </c>
      <c r="R41" s="5">
        <f ca="1"/>
        <v>0</v>
      </c>
      <c r="S41" s="5">
        <f ca="1"/>
        <v>4</v>
      </c>
      <c r="T41" s="5">
        <f ca="1"/>
        <v>7</v>
      </c>
      <c r="U41" s="5">
        <f ca="1"/>
        <v>7</v>
      </c>
      <c r="V41" s="5">
        <f ca="1"/>
        <v>7</v>
      </c>
      <c r="W41" s="5">
        <f ca="1"/>
        <v>7</v>
      </c>
      <c r="X41" s="5">
        <f ca="1"/>
        <v>7</v>
      </c>
      <c r="Y41" s="5">
        <f ca="1"/>
        <v>7</v>
      </c>
      <c r="Z41" s="5">
        <f ca="1"/>
        <v>7</v>
      </c>
    </row>
    <row r="42" spans="2:26" x14ac:dyDescent="0.25">
      <c r="B42" s="15" t="str">
        <f ca="1"/>
        <v>02-Feb</v>
      </c>
      <c r="C42" s="12">
        <v>1</v>
      </c>
      <c r="D42" s="12">
        <v>0</v>
      </c>
      <c r="E42" s="12">
        <v>1</v>
      </c>
      <c r="F42" s="12">
        <v>1</v>
      </c>
      <c r="G42" s="12">
        <v>1</v>
      </c>
      <c r="H42" s="12">
        <v>1</v>
      </c>
      <c r="I42" s="12">
        <v>1</v>
      </c>
      <c r="J42" s="13">
        <v>1</v>
      </c>
      <c r="K42" s="13">
        <v>1</v>
      </c>
      <c r="L42" s="12">
        <v>1</v>
      </c>
      <c r="M42">
        <f ca="1"/>
        <v>6</v>
      </c>
      <c r="N42">
        <v>9</v>
      </c>
      <c r="P42" s="7">
        <f ca="1"/>
        <v>35</v>
      </c>
      <c r="Q42" s="5">
        <f ca="1"/>
        <v>7</v>
      </c>
      <c r="R42" s="5">
        <f ca="1"/>
        <v>0</v>
      </c>
      <c r="S42" s="5">
        <f ca="1"/>
        <v>3</v>
      </c>
      <c r="T42" s="5">
        <f ca="1"/>
        <v>7</v>
      </c>
      <c r="U42" s="5">
        <f ca="1"/>
        <v>7</v>
      </c>
      <c r="V42" s="5">
        <f ca="1"/>
        <v>7</v>
      </c>
      <c r="W42" s="5">
        <f ca="1"/>
        <v>7</v>
      </c>
      <c r="X42" s="5">
        <f ca="1"/>
        <v>7</v>
      </c>
      <c r="Y42" s="5">
        <f ca="1"/>
        <v>7</v>
      </c>
      <c r="Z42" s="5">
        <f ca="1"/>
        <v>7</v>
      </c>
    </row>
    <row r="43" spans="2:26" x14ac:dyDescent="0.25">
      <c r="B43" s="15" t="str">
        <f ca="1"/>
        <v>03-Feb</v>
      </c>
      <c r="C43" s="12">
        <v>1</v>
      </c>
      <c r="D43" s="22">
        <v>0</v>
      </c>
      <c r="E43" s="5">
        <v>0</v>
      </c>
      <c r="F43" s="12">
        <v>1</v>
      </c>
      <c r="G43" s="12">
        <v>1</v>
      </c>
      <c r="H43" s="12">
        <v>1</v>
      </c>
      <c r="I43" s="12">
        <v>1</v>
      </c>
      <c r="J43" s="13">
        <v>1</v>
      </c>
      <c r="K43" s="13">
        <v>1</v>
      </c>
      <c r="L43" s="12">
        <v>1</v>
      </c>
      <c r="M43">
        <f ca="1"/>
        <v>6</v>
      </c>
      <c r="N43">
        <v>8</v>
      </c>
      <c r="P43" s="7">
        <f ca="1"/>
        <v>36</v>
      </c>
      <c r="Q43" s="5">
        <f ca="1"/>
        <v>7</v>
      </c>
      <c r="R43" s="5">
        <f ca="1"/>
        <v>2</v>
      </c>
      <c r="S43" s="5">
        <f ca="1"/>
        <v>4</v>
      </c>
      <c r="T43" s="5">
        <f ca="1"/>
        <v>7</v>
      </c>
      <c r="U43" s="5">
        <f ca="1"/>
        <v>7</v>
      </c>
      <c r="V43" s="5">
        <f ca="1"/>
        <v>7</v>
      </c>
      <c r="W43" s="5">
        <f ca="1"/>
        <v>7</v>
      </c>
      <c r="X43" s="5">
        <f ca="1"/>
        <v>7</v>
      </c>
      <c r="Y43" s="5">
        <f ca="1"/>
        <v>7</v>
      </c>
      <c r="Z43" s="5">
        <f ca="1"/>
        <v>7</v>
      </c>
    </row>
    <row r="44" spans="2:26" x14ac:dyDescent="0.25">
      <c r="B44" s="15" t="str">
        <f ca="1"/>
        <v>04-Feb</v>
      </c>
      <c r="C44" s="12">
        <v>1</v>
      </c>
      <c r="D44" s="22">
        <v>0</v>
      </c>
      <c r="E44" s="5">
        <v>0</v>
      </c>
      <c r="F44" s="12">
        <v>1</v>
      </c>
      <c r="G44" s="12">
        <v>1</v>
      </c>
      <c r="H44" s="12">
        <v>1</v>
      </c>
      <c r="I44" s="12">
        <v>1</v>
      </c>
      <c r="J44" s="13">
        <v>1</v>
      </c>
      <c r="K44" s="13">
        <v>1</v>
      </c>
      <c r="L44" s="12">
        <v>1</v>
      </c>
      <c r="M44">
        <f ca="1"/>
        <v>6</v>
      </c>
      <c r="N44">
        <v>8</v>
      </c>
      <c r="P44" s="7">
        <f ca="1"/>
        <v>37</v>
      </c>
      <c r="Q44" s="5">
        <f ca="1"/>
        <v>7</v>
      </c>
      <c r="R44" s="5">
        <f ca="1"/>
        <v>7</v>
      </c>
      <c r="S44" s="5">
        <f ca="1"/>
        <v>5</v>
      </c>
      <c r="T44" s="5">
        <f ca="1"/>
        <v>7</v>
      </c>
      <c r="U44" s="5">
        <f ca="1"/>
        <v>7</v>
      </c>
      <c r="V44" s="5">
        <f ca="1"/>
        <v>7</v>
      </c>
      <c r="W44" s="5">
        <f ca="1"/>
        <v>7</v>
      </c>
      <c r="X44" s="5">
        <f ca="1"/>
        <v>7</v>
      </c>
      <c r="Y44" s="5">
        <f ca="1"/>
        <v>7</v>
      </c>
      <c r="Z44" s="5">
        <f ca="1"/>
        <v>7</v>
      </c>
    </row>
    <row r="45" spans="2:26" x14ac:dyDescent="0.25">
      <c r="B45" s="15" t="str">
        <f ca="1"/>
        <v>05-Feb</v>
      </c>
      <c r="C45" s="12">
        <v>1</v>
      </c>
      <c r="D45" s="22">
        <v>0</v>
      </c>
      <c r="E45" s="5">
        <v>0</v>
      </c>
      <c r="F45" s="12">
        <v>1</v>
      </c>
      <c r="G45" s="12">
        <v>1</v>
      </c>
      <c r="H45" s="12">
        <v>1</v>
      </c>
      <c r="I45" s="12">
        <v>1</v>
      </c>
      <c r="J45" s="13">
        <v>1</v>
      </c>
      <c r="K45" s="13">
        <v>1</v>
      </c>
      <c r="L45" s="12">
        <v>1</v>
      </c>
      <c r="M45">
        <f ca="1"/>
        <v>6</v>
      </c>
      <c r="N45">
        <v>8</v>
      </c>
      <c r="P45" s="7">
        <f ca="1"/>
        <v>38</v>
      </c>
      <c r="Q45" s="5">
        <f ca="1"/>
        <v>7</v>
      </c>
      <c r="R45" s="5">
        <f ca="1"/>
        <v>7</v>
      </c>
      <c r="S45" s="5">
        <f ca="1"/>
        <v>6</v>
      </c>
      <c r="T45" s="5">
        <f ca="1"/>
        <v>7</v>
      </c>
      <c r="U45" s="5">
        <f ca="1"/>
        <v>7</v>
      </c>
      <c r="V45" s="5">
        <f ca="1"/>
        <v>7</v>
      </c>
      <c r="W45" s="5">
        <f ca="1"/>
        <v>7</v>
      </c>
      <c r="X45" s="5">
        <f ca="1"/>
        <v>7</v>
      </c>
      <c r="Y45" s="5">
        <f ca="1"/>
        <v>7</v>
      </c>
      <c r="Z45" s="5">
        <f ca="1"/>
        <v>7</v>
      </c>
    </row>
    <row r="46" spans="2:26" x14ac:dyDescent="0.25">
      <c r="B46" s="15" t="str">
        <f ca="1"/>
        <v>06-Feb</v>
      </c>
      <c r="C46" s="12">
        <v>1</v>
      </c>
      <c r="D46" s="22">
        <v>0</v>
      </c>
      <c r="E46" s="5">
        <v>0</v>
      </c>
      <c r="F46" s="12">
        <v>1</v>
      </c>
      <c r="G46" s="12">
        <v>1</v>
      </c>
      <c r="H46" s="12">
        <v>1</v>
      </c>
      <c r="I46" s="12">
        <v>1</v>
      </c>
      <c r="J46" s="13">
        <v>1</v>
      </c>
      <c r="K46" s="13">
        <v>1</v>
      </c>
      <c r="L46" s="12">
        <v>1</v>
      </c>
      <c r="M46">
        <f ca="1"/>
        <v>6</v>
      </c>
      <c r="N46">
        <v>8</v>
      </c>
      <c r="P46" s="7">
        <f ca="1"/>
        <v>39</v>
      </c>
      <c r="Q46" s="5">
        <f ca="1"/>
        <v>7</v>
      </c>
      <c r="R46" s="5">
        <f ca="1"/>
        <v>7</v>
      </c>
      <c r="S46" s="5">
        <f ca="1"/>
        <v>5</v>
      </c>
      <c r="T46" s="5">
        <f ca="1"/>
        <v>7</v>
      </c>
      <c r="U46" s="5">
        <f ca="1"/>
        <v>7</v>
      </c>
      <c r="V46" s="5">
        <f ca="1"/>
        <v>7</v>
      </c>
      <c r="W46" s="5">
        <f ca="1"/>
        <v>7</v>
      </c>
      <c r="X46" s="5">
        <f ca="1"/>
        <v>7</v>
      </c>
      <c r="Y46" s="5">
        <f ca="1"/>
        <v>7</v>
      </c>
      <c r="Z46" s="5">
        <f ca="1"/>
        <v>7</v>
      </c>
    </row>
    <row r="47" spans="2:26" x14ac:dyDescent="0.25">
      <c r="B47" s="15" t="str">
        <f ca="1"/>
        <v>07-Feb</v>
      </c>
      <c r="C47" s="12">
        <v>1</v>
      </c>
      <c r="D47" s="22">
        <v>0</v>
      </c>
      <c r="E47" s="5">
        <v>0</v>
      </c>
      <c r="F47" s="12">
        <v>1</v>
      </c>
      <c r="G47" s="12">
        <v>1</v>
      </c>
      <c r="H47" s="12">
        <v>1</v>
      </c>
      <c r="I47" s="12">
        <v>1</v>
      </c>
      <c r="J47" s="13">
        <v>1</v>
      </c>
      <c r="K47" s="13">
        <v>1</v>
      </c>
      <c r="L47" s="12">
        <v>1</v>
      </c>
      <c r="M47">
        <f ca="1"/>
        <v>6</v>
      </c>
      <c r="N47">
        <v>8</v>
      </c>
      <c r="P47" s="7">
        <f ca="1"/>
        <v>40</v>
      </c>
      <c r="Q47" s="5">
        <f ca="1"/>
        <v>7</v>
      </c>
      <c r="R47" s="5">
        <f ca="1"/>
        <v>7</v>
      </c>
      <c r="S47" s="5">
        <f ca="1"/>
        <v>4</v>
      </c>
      <c r="T47" s="5">
        <f ca="1"/>
        <v>7</v>
      </c>
      <c r="U47" s="5">
        <f ca="1"/>
        <v>7</v>
      </c>
      <c r="V47" s="5">
        <f ca="1"/>
        <v>7</v>
      </c>
      <c r="W47" s="5">
        <f ca="1"/>
        <v>7</v>
      </c>
      <c r="X47" s="5">
        <f ca="1"/>
        <v>7</v>
      </c>
      <c r="Y47" s="5">
        <f ca="1"/>
        <v>7</v>
      </c>
      <c r="Z47" s="5">
        <f ca="1"/>
        <v>7</v>
      </c>
    </row>
    <row r="48" spans="2:26" x14ac:dyDescent="0.25">
      <c r="B48" s="15" t="str">
        <f ca="1"/>
        <v>08-Feb</v>
      </c>
      <c r="C48" s="12">
        <v>1</v>
      </c>
      <c r="D48" s="12">
        <v>0</v>
      </c>
      <c r="E48" s="12">
        <v>1</v>
      </c>
      <c r="F48" s="12">
        <v>1</v>
      </c>
      <c r="G48" s="12">
        <v>1</v>
      </c>
      <c r="H48" s="12">
        <v>1</v>
      </c>
      <c r="I48" s="12">
        <v>1</v>
      </c>
      <c r="J48" s="13">
        <v>1</v>
      </c>
      <c r="K48" s="13">
        <v>1</v>
      </c>
      <c r="L48" s="12">
        <v>1</v>
      </c>
      <c r="M48">
        <f ca="1"/>
        <v>6</v>
      </c>
      <c r="N48">
        <v>9</v>
      </c>
      <c r="P48" s="7">
        <f ca="1"/>
        <v>41</v>
      </c>
      <c r="Q48" s="5">
        <f ca="1"/>
        <v>7</v>
      </c>
      <c r="R48" s="5">
        <f ca="1"/>
        <v>7</v>
      </c>
      <c r="S48" s="5">
        <f ca="1"/>
        <v>3</v>
      </c>
      <c r="T48" s="5">
        <f ca="1"/>
        <v>7</v>
      </c>
      <c r="U48" s="5">
        <f ca="1"/>
        <v>7</v>
      </c>
      <c r="V48" s="5">
        <f ca="1"/>
        <v>7</v>
      </c>
      <c r="W48" s="5">
        <f ca="1"/>
        <v>7</v>
      </c>
      <c r="X48" s="5">
        <f ca="1"/>
        <v>7</v>
      </c>
      <c r="Y48" s="5">
        <f ca="1"/>
        <v>7</v>
      </c>
      <c r="Z48" s="5">
        <f ca="1"/>
        <v>7</v>
      </c>
    </row>
    <row r="49" spans="2:26" x14ac:dyDescent="0.25">
      <c r="B49" s="15" t="str">
        <f ca="1"/>
        <v>09-Feb</v>
      </c>
      <c r="C49" s="12">
        <v>1</v>
      </c>
      <c r="D49" s="12">
        <v>0</v>
      </c>
      <c r="E49" s="12">
        <v>0</v>
      </c>
      <c r="F49" s="12">
        <v>1</v>
      </c>
      <c r="G49" s="12">
        <v>1</v>
      </c>
      <c r="H49" s="12">
        <v>1</v>
      </c>
      <c r="I49" s="12">
        <v>1</v>
      </c>
      <c r="J49" s="13">
        <v>1</v>
      </c>
      <c r="K49" s="13">
        <v>1</v>
      </c>
      <c r="L49" s="12">
        <v>1</v>
      </c>
      <c r="M49">
        <f ca="1"/>
        <v>7</v>
      </c>
      <c r="N49">
        <v>8</v>
      </c>
      <c r="P49" s="7">
        <f ca="1"/>
        <v>42</v>
      </c>
      <c r="Q49" s="5">
        <f ca="1"/>
        <v>7</v>
      </c>
      <c r="R49" s="5">
        <f ca="1"/>
        <v>7</v>
      </c>
      <c r="S49" s="5">
        <f ca="1"/>
        <v>4</v>
      </c>
      <c r="T49" s="5">
        <f ca="1"/>
        <v>7</v>
      </c>
      <c r="U49" s="5">
        <f ca="1"/>
        <v>7</v>
      </c>
      <c r="V49" s="5">
        <f ca="1"/>
        <v>7</v>
      </c>
      <c r="W49" s="5">
        <f ca="1"/>
        <v>7</v>
      </c>
      <c r="X49" s="5">
        <f ca="1"/>
        <v>7</v>
      </c>
      <c r="Y49" s="5">
        <f ca="1"/>
        <v>7</v>
      </c>
      <c r="Z49" s="5">
        <f ca="1"/>
        <v>7</v>
      </c>
    </row>
    <row r="50" spans="2:26" x14ac:dyDescent="0.25">
      <c r="B50" s="15" t="str">
        <f ca="1"/>
        <v>10-Feb</v>
      </c>
      <c r="C50" s="12">
        <v>1</v>
      </c>
      <c r="D50" s="12">
        <v>0</v>
      </c>
      <c r="E50" s="12">
        <v>0</v>
      </c>
      <c r="F50" s="12">
        <v>1</v>
      </c>
      <c r="G50" s="12">
        <v>1</v>
      </c>
      <c r="H50" s="12">
        <v>1</v>
      </c>
      <c r="I50" s="12">
        <v>1</v>
      </c>
      <c r="J50" s="13">
        <v>1</v>
      </c>
      <c r="K50" s="13">
        <v>1</v>
      </c>
      <c r="L50" s="12">
        <v>1</v>
      </c>
      <c r="M50">
        <f ca="1"/>
        <v>7</v>
      </c>
      <c r="N50">
        <v>8</v>
      </c>
      <c r="P50" s="7">
        <f ca="1"/>
        <v>43</v>
      </c>
      <c r="Q50" s="5">
        <f ca="1"/>
        <v>7</v>
      </c>
      <c r="R50" s="5">
        <f ca="1"/>
        <v>7</v>
      </c>
      <c r="S50" s="5">
        <f ca="1"/>
        <v>4</v>
      </c>
      <c r="T50" s="5">
        <f ca="1"/>
        <v>7</v>
      </c>
      <c r="U50" s="5">
        <f ca="1"/>
        <v>7</v>
      </c>
      <c r="V50" s="5">
        <f ca="1"/>
        <v>7</v>
      </c>
      <c r="W50" s="5">
        <f ca="1"/>
        <v>7</v>
      </c>
      <c r="X50" s="5">
        <f ca="1"/>
        <v>7</v>
      </c>
      <c r="Y50" s="5">
        <f ca="1"/>
        <v>7</v>
      </c>
      <c r="Z50" s="5">
        <f ca="1"/>
        <v>7</v>
      </c>
    </row>
    <row r="51" spans="2:26" x14ac:dyDescent="0.25">
      <c r="B51" s="15" t="str">
        <f ca="1"/>
        <v>11-Feb</v>
      </c>
      <c r="C51" s="12">
        <v>1</v>
      </c>
      <c r="D51" s="12">
        <v>0</v>
      </c>
      <c r="E51" s="12">
        <v>1</v>
      </c>
      <c r="F51" s="12">
        <v>1</v>
      </c>
      <c r="G51" s="12">
        <v>1</v>
      </c>
      <c r="H51" s="12">
        <v>1</v>
      </c>
      <c r="I51" s="12">
        <v>1</v>
      </c>
      <c r="J51" s="13">
        <v>1</v>
      </c>
      <c r="K51" s="13">
        <v>1</v>
      </c>
      <c r="L51" s="12">
        <v>1</v>
      </c>
      <c r="M51">
        <f ca="1"/>
        <v>7</v>
      </c>
      <c r="N51">
        <v>9</v>
      </c>
      <c r="P51" s="7">
        <f ca="1"/>
        <v>44</v>
      </c>
      <c r="Q51" s="5">
        <f ca="1"/>
        <v>7</v>
      </c>
      <c r="R51" s="5">
        <f ca="1"/>
        <v>7</v>
      </c>
      <c r="S51" s="5">
        <f ca="1"/>
        <v>6</v>
      </c>
      <c r="T51" s="5">
        <f ca="1"/>
        <v>7</v>
      </c>
      <c r="U51" s="5">
        <f ca="1"/>
        <v>7</v>
      </c>
      <c r="V51" s="5">
        <f ca="1"/>
        <v>7</v>
      </c>
      <c r="W51" s="5">
        <f ca="1"/>
        <v>7</v>
      </c>
      <c r="X51" s="5">
        <f ca="1"/>
        <v>7</v>
      </c>
      <c r="Y51" s="5">
        <f ca="1"/>
        <v>7</v>
      </c>
      <c r="Z51" s="5">
        <f ca="1"/>
        <v>7</v>
      </c>
    </row>
    <row r="52" spans="2:26" x14ac:dyDescent="0.25">
      <c r="B52" s="15" t="str">
        <f ca="1"/>
        <v>12-Feb</v>
      </c>
      <c r="C52" s="12">
        <v>1</v>
      </c>
      <c r="D52" s="12">
        <v>0</v>
      </c>
      <c r="E52" s="12">
        <v>1</v>
      </c>
      <c r="F52" s="12">
        <v>1</v>
      </c>
      <c r="G52" s="12">
        <v>1</v>
      </c>
      <c r="H52" s="12">
        <v>1</v>
      </c>
      <c r="I52" s="12">
        <v>1</v>
      </c>
      <c r="J52" s="13">
        <v>1</v>
      </c>
      <c r="K52" s="13">
        <v>1</v>
      </c>
      <c r="L52" s="12">
        <v>1</v>
      </c>
      <c r="M52">
        <f ca="1"/>
        <v>7</v>
      </c>
      <c r="N52">
        <v>9</v>
      </c>
      <c r="P52" s="7">
        <f ca="1"/>
        <v>45</v>
      </c>
      <c r="Q52" s="5">
        <f ca="1"/>
        <v>7</v>
      </c>
      <c r="R52" s="5">
        <f ca="1"/>
        <v>7</v>
      </c>
      <c r="S52" s="5">
        <f ca="1"/>
        <v>4</v>
      </c>
      <c r="T52" s="5">
        <f ca="1"/>
        <v>7</v>
      </c>
      <c r="U52" s="5">
        <f ca="1"/>
        <v>7</v>
      </c>
      <c r="V52" s="5">
        <f ca="1"/>
        <v>7</v>
      </c>
      <c r="W52" s="5">
        <f ca="1"/>
        <v>7</v>
      </c>
      <c r="X52" s="5">
        <f ca="1"/>
        <v>7</v>
      </c>
      <c r="Y52" s="5">
        <f ca="1"/>
        <v>7</v>
      </c>
      <c r="Z52" s="5">
        <f ca="1"/>
        <v>7</v>
      </c>
    </row>
    <row r="53" spans="2:26" x14ac:dyDescent="0.25">
      <c r="B53" s="15" t="str">
        <f ca="1"/>
        <v>13-Feb</v>
      </c>
      <c r="C53" s="12">
        <v>1</v>
      </c>
      <c r="D53" s="12">
        <v>0</v>
      </c>
      <c r="E53" s="12">
        <v>0</v>
      </c>
      <c r="F53" s="12">
        <v>1</v>
      </c>
      <c r="G53" s="12">
        <v>1</v>
      </c>
      <c r="H53" s="12">
        <v>1</v>
      </c>
      <c r="I53" s="12">
        <v>1</v>
      </c>
      <c r="J53" s="13">
        <v>1</v>
      </c>
      <c r="K53" s="13">
        <v>1</v>
      </c>
      <c r="L53" s="12">
        <v>1</v>
      </c>
      <c r="M53">
        <f ca="1"/>
        <v>7</v>
      </c>
      <c r="N53">
        <v>8</v>
      </c>
      <c r="P53" s="7">
        <f ca="1"/>
        <v>46</v>
      </c>
      <c r="Q53" s="5">
        <f ca="1"/>
        <v>7</v>
      </c>
      <c r="R53" s="5">
        <f ca="1"/>
        <v>7</v>
      </c>
      <c r="S53" s="5">
        <f ca="1"/>
        <v>4</v>
      </c>
      <c r="T53" s="5">
        <f ca="1"/>
        <v>7</v>
      </c>
      <c r="U53" s="5">
        <f ca="1"/>
        <v>7</v>
      </c>
      <c r="V53" s="5">
        <f ca="1"/>
        <v>7</v>
      </c>
      <c r="W53" s="5">
        <f ca="1"/>
        <v>7</v>
      </c>
      <c r="X53" s="5">
        <f ca="1"/>
        <v>7</v>
      </c>
      <c r="Y53" s="5">
        <f ca="1"/>
        <v>7</v>
      </c>
      <c r="Z53" s="5">
        <f ca="1"/>
        <v>7</v>
      </c>
    </row>
    <row r="54" spans="2:26" x14ac:dyDescent="0.25">
      <c r="B54" s="15" t="str">
        <f ca="1"/>
        <v>14-Feb</v>
      </c>
      <c r="C54" s="12">
        <v>1</v>
      </c>
      <c r="D54" s="12">
        <v>0</v>
      </c>
      <c r="E54" s="12">
        <v>1</v>
      </c>
      <c r="F54" s="12">
        <v>1</v>
      </c>
      <c r="G54" s="12">
        <v>1</v>
      </c>
      <c r="H54" s="12">
        <v>1</v>
      </c>
      <c r="I54" s="12">
        <v>1</v>
      </c>
      <c r="J54" s="13">
        <v>1</v>
      </c>
      <c r="K54" s="13">
        <v>1</v>
      </c>
      <c r="L54" s="12">
        <v>1</v>
      </c>
      <c r="M54">
        <f ca="1"/>
        <v>7</v>
      </c>
      <c r="N54">
        <v>9</v>
      </c>
      <c r="P54" s="7">
        <f ca="1"/>
        <v>47</v>
      </c>
      <c r="Q54" s="5">
        <f ca="1"/>
        <v>7</v>
      </c>
      <c r="R54" s="5">
        <f ca="1"/>
        <v>7</v>
      </c>
      <c r="S54" s="5">
        <f ca="1"/>
        <v>2</v>
      </c>
      <c r="T54" s="5">
        <f ca="1"/>
        <v>6</v>
      </c>
      <c r="U54" s="5">
        <f ca="1"/>
        <v>7</v>
      </c>
      <c r="V54" s="5">
        <f ca="1"/>
        <v>7</v>
      </c>
      <c r="W54" s="5">
        <f ca="1"/>
        <v>7</v>
      </c>
      <c r="X54" s="5">
        <f ca="1"/>
        <v>7</v>
      </c>
      <c r="Y54" s="5">
        <f ca="1"/>
        <v>7</v>
      </c>
      <c r="Z54" s="5">
        <f ca="1"/>
        <v>7</v>
      </c>
    </row>
    <row r="55" spans="2:26" x14ac:dyDescent="0.25">
      <c r="B55" s="15" t="str">
        <f ca="1"/>
        <v>15-Feb</v>
      </c>
      <c r="C55" s="12">
        <v>1</v>
      </c>
      <c r="D55" s="12">
        <v>0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2">
        <v>1</v>
      </c>
      <c r="K55" s="13">
        <v>1</v>
      </c>
      <c r="L55" s="12">
        <v>1</v>
      </c>
      <c r="M55">
        <f ca="1"/>
        <v>7</v>
      </c>
      <c r="N55">
        <v>9</v>
      </c>
      <c r="P55" s="7">
        <f ca="1"/>
        <v>48</v>
      </c>
      <c r="Q55" s="5">
        <f ca="1"/>
        <v>7</v>
      </c>
      <c r="R55" s="5">
        <f ca="1"/>
        <v>7</v>
      </c>
      <c r="S55" s="5">
        <f ca="1"/>
        <v>4</v>
      </c>
      <c r="T55" s="5">
        <f ca="1"/>
        <v>4</v>
      </c>
      <c r="U55" s="5">
        <f ca="1"/>
        <v>7</v>
      </c>
      <c r="V55" s="5">
        <f ca="1"/>
        <v>7</v>
      </c>
      <c r="W55" s="5">
        <f ca="1"/>
        <v>7</v>
      </c>
      <c r="X55" s="5">
        <f ca="1"/>
        <v>7</v>
      </c>
      <c r="Y55" s="5">
        <f ca="1"/>
        <v>7</v>
      </c>
      <c r="Z55">
        <f ca="1"/>
        <v>7</v>
      </c>
    </row>
    <row r="56" spans="2:26" x14ac:dyDescent="0.25">
      <c r="B56" s="15" t="str">
        <f ca="1"/>
        <v>16-Feb</v>
      </c>
      <c r="C56" s="12">
        <v>1</v>
      </c>
      <c r="D56" s="12">
        <v>0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 s="12">
        <v>1</v>
      </c>
      <c r="M56">
        <f ca="1"/>
        <v>8</v>
      </c>
      <c r="N56">
        <v>9</v>
      </c>
      <c r="P56" s="7">
        <f ca="1"/>
        <v>49</v>
      </c>
      <c r="Q56" s="5">
        <f ca="1"/>
        <v>7</v>
      </c>
      <c r="R56" s="5">
        <f ca="1"/>
        <v>7</v>
      </c>
      <c r="S56" s="5">
        <f ca="1"/>
        <v>3</v>
      </c>
      <c r="T56" s="5">
        <f ca="1"/>
        <v>7</v>
      </c>
      <c r="U56" s="5">
        <f ca="1"/>
        <v>7</v>
      </c>
      <c r="V56" s="5">
        <f ca="1"/>
        <v>7</v>
      </c>
      <c r="W56" s="5">
        <f ca="1"/>
        <v>7</v>
      </c>
      <c r="X56" s="5">
        <f ca="1"/>
        <v>7</v>
      </c>
      <c r="Y56" s="5">
        <f ca="1"/>
        <v>7</v>
      </c>
      <c r="Z56">
        <f ca="1"/>
        <v>7</v>
      </c>
    </row>
    <row r="57" spans="2:26" x14ac:dyDescent="0.25">
      <c r="B57" s="15" t="str">
        <f ca="1"/>
        <v>17-Feb</v>
      </c>
      <c r="C57" s="12">
        <v>1</v>
      </c>
      <c r="D57" s="12">
        <v>0</v>
      </c>
      <c r="E57" s="12">
        <v>1</v>
      </c>
      <c r="F57" s="12">
        <v>1</v>
      </c>
      <c r="G57" s="12">
        <v>1</v>
      </c>
      <c r="H57" s="12">
        <v>1</v>
      </c>
      <c r="I57" s="12">
        <v>1</v>
      </c>
      <c r="J57" s="13">
        <v>1</v>
      </c>
      <c r="K57" s="13">
        <v>1</v>
      </c>
      <c r="L57" s="12">
        <v>1</v>
      </c>
      <c r="M57">
        <f ca="1"/>
        <v>8</v>
      </c>
      <c r="N57">
        <v>9</v>
      </c>
      <c r="P57" s="7">
        <f ca="1"/>
        <v>50</v>
      </c>
      <c r="Q57" s="5">
        <f ca="1"/>
        <v>5</v>
      </c>
      <c r="R57" s="5">
        <f ca="1"/>
        <v>5</v>
      </c>
      <c r="S57" s="5">
        <f ca="1"/>
        <v>3</v>
      </c>
      <c r="T57" s="5">
        <f ca="1"/>
        <v>5</v>
      </c>
      <c r="U57" s="5">
        <f ca="1"/>
        <v>5</v>
      </c>
      <c r="V57" s="5">
        <f ca="1"/>
        <v>5</v>
      </c>
      <c r="W57" s="5">
        <f ca="1"/>
        <v>5</v>
      </c>
      <c r="X57" s="5">
        <f ca="1"/>
        <v>5</v>
      </c>
      <c r="Y57" s="5">
        <f ca="1"/>
        <v>5</v>
      </c>
      <c r="Z57">
        <f ca="1"/>
        <v>5</v>
      </c>
    </row>
    <row r="58" spans="2:26" x14ac:dyDescent="0.25">
      <c r="B58" s="15" t="str">
        <f ca="1"/>
        <v>18-Feb</v>
      </c>
      <c r="C58" s="12">
        <v>1</v>
      </c>
      <c r="D58" s="12">
        <v>0</v>
      </c>
      <c r="E58" s="12">
        <v>0</v>
      </c>
      <c r="F58" s="12">
        <v>1</v>
      </c>
      <c r="G58" s="12">
        <v>1</v>
      </c>
      <c r="H58" s="12">
        <v>1</v>
      </c>
      <c r="I58" s="12">
        <v>1</v>
      </c>
      <c r="J58" s="13">
        <v>1</v>
      </c>
      <c r="K58" s="13">
        <v>1</v>
      </c>
      <c r="L58" s="12">
        <v>1</v>
      </c>
      <c r="M58">
        <f ca="1"/>
        <v>8</v>
      </c>
      <c r="N58">
        <v>8</v>
      </c>
    </row>
    <row r="59" spans="2:26" x14ac:dyDescent="0.25">
      <c r="B59" s="15" t="str">
        <f ca="1"/>
        <v>19-Feb</v>
      </c>
      <c r="C59" s="12">
        <v>1</v>
      </c>
      <c r="D59" s="12">
        <v>0</v>
      </c>
      <c r="E59" s="12">
        <v>0</v>
      </c>
      <c r="F59" s="12">
        <v>1</v>
      </c>
      <c r="G59" s="12">
        <v>1</v>
      </c>
      <c r="H59" s="12">
        <v>1</v>
      </c>
      <c r="I59" s="12">
        <v>1</v>
      </c>
      <c r="J59" s="13">
        <v>1</v>
      </c>
      <c r="K59" s="13">
        <v>1</v>
      </c>
      <c r="L59" s="12">
        <v>1</v>
      </c>
      <c r="M59">
        <f ca="1"/>
        <v>8</v>
      </c>
      <c r="N59">
        <v>8</v>
      </c>
    </row>
    <row r="60" spans="2:26" x14ac:dyDescent="0.25">
      <c r="B60" s="15" t="str">
        <f ca="1"/>
        <v>20-Feb</v>
      </c>
      <c r="C60" s="12">
        <v>1</v>
      </c>
      <c r="D60" s="12">
        <v>0</v>
      </c>
      <c r="E60" s="12">
        <v>0</v>
      </c>
      <c r="F60" s="12">
        <v>1</v>
      </c>
      <c r="G60" s="12">
        <v>1</v>
      </c>
      <c r="H60" s="12">
        <v>1</v>
      </c>
      <c r="I60" s="12">
        <v>1</v>
      </c>
      <c r="J60" s="13">
        <v>1</v>
      </c>
      <c r="K60" s="13">
        <v>1</v>
      </c>
      <c r="L60" s="12">
        <v>1</v>
      </c>
      <c r="M60">
        <f ca="1"/>
        <v>8</v>
      </c>
      <c r="N60">
        <v>8</v>
      </c>
    </row>
    <row r="61" spans="2:26" x14ac:dyDescent="0.25">
      <c r="B61" s="15" t="str">
        <f ca="1"/>
        <v>21-Feb</v>
      </c>
      <c r="C61" s="12">
        <v>1</v>
      </c>
      <c r="D61" s="12">
        <v>0</v>
      </c>
      <c r="E61" s="12">
        <v>1</v>
      </c>
      <c r="F61" s="12">
        <v>1</v>
      </c>
      <c r="G61" s="12">
        <v>1</v>
      </c>
      <c r="H61" s="12">
        <v>1</v>
      </c>
      <c r="I61" s="12">
        <v>1</v>
      </c>
      <c r="J61" s="13">
        <v>1</v>
      </c>
      <c r="K61" s="13">
        <v>1</v>
      </c>
      <c r="L61" s="12">
        <v>1</v>
      </c>
      <c r="M61">
        <f ca="1"/>
        <v>8</v>
      </c>
      <c r="N61">
        <v>9</v>
      </c>
    </row>
    <row r="62" spans="2:26" x14ac:dyDescent="0.25">
      <c r="B62" s="15" t="str">
        <f ca="1"/>
        <v>22-Feb</v>
      </c>
      <c r="C62" s="12">
        <v>1</v>
      </c>
      <c r="D62" s="12">
        <v>0</v>
      </c>
      <c r="E62" s="12">
        <v>1</v>
      </c>
      <c r="F62" s="12">
        <v>1</v>
      </c>
      <c r="G62" s="12">
        <v>1</v>
      </c>
      <c r="H62" s="12">
        <v>1</v>
      </c>
      <c r="I62" s="12">
        <v>1</v>
      </c>
      <c r="J62" s="13">
        <v>1</v>
      </c>
      <c r="K62" s="13">
        <v>1</v>
      </c>
      <c r="L62" s="12">
        <v>1</v>
      </c>
      <c r="M62">
        <f ca="1"/>
        <v>8</v>
      </c>
      <c r="N62">
        <v>9</v>
      </c>
    </row>
    <row r="63" spans="2:26" x14ac:dyDescent="0.25">
      <c r="B63" s="15" t="str">
        <f ca="1"/>
        <v>23-Feb</v>
      </c>
      <c r="C63" s="12">
        <v>1</v>
      </c>
      <c r="D63" s="12">
        <v>0</v>
      </c>
      <c r="E63" s="12">
        <v>1</v>
      </c>
      <c r="F63" s="12">
        <v>1</v>
      </c>
      <c r="G63" s="12">
        <v>1</v>
      </c>
      <c r="H63" s="12">
        <v>1</v>
      </c>
      <c r="I63" s="12">
        <v>1</v>
      </c>
      <c r="J63" s="13">
        <v>1</v>
      </c>
      <c r="K63" s="13">
        <v>1</v>
      </c>
      <c r="L63" s="12">
        <v>1</v>
      </c>
      <c r="M63">
        <f ca="1"/>
        <v>9</v>
      </c>
      <c r="N63">
        <v>9</v>
      </c>
    </row>
    <row r="64" spans="2:26" x14ac:dyDescent="0.25">
      <c r="B64" s="15" t="str">
        <f ca="1"/>
        <v>24-Feb</v>
      </c>
      <c r="C64" s="12">
        <v>1</v>
      </c>
      <c r="D64" s="12">
        <v>0</v>
      </c>
      <c r="E64" s="12">
        <v>0</v>
      </c>
      <c r="F64" s="12">
        <v>1</v>
      </c>
      <c r="G64" s="12">
        <v>1</v>
      </c>
      <c r="H64" s="12">
        <v>1</v>
      </c>
      <c r="I64" s="12">
        <v>1</v>
      </c>
      <c r="J64" s="13">
        <v>1</v>
      </c>
      <c r="K64" s="13">
        <v>1</v>
      </c>
      <c r="L64" s="12">
        <v>1</v>
      </c>
      <c r="M64">
        <f ca="1"/>
        <v>9</v>
      </c>
      <c r="N64">
        <v>8</v>
      </c>
    </row>
    <row r="65" spans="2:14" x14ac:dyDescent="0.25">
      <c r="B65" s="15" t="str">
        <f ca="1"/>
        <v>25-Feb</v>
      </c>
      <c r="C65" s="12">
        <v>1</v>
      </c>
      <c r="D65" s="12">
        <v>0</v>
      </c>
      <c r="E65" s="12">
        <v>0</v>
      </c>
      <c r="F65" s="12">
        <v>1</v>
      </c>
      <c r="G65" s="12">
        <v>1</v>
      </c>
      <c r="H65" s="12">
        <v>1</v>
      </c>
      <c r="I65" s="12">
        <v>1</v>
      </c>
      <c r="J65" s="13">
        <v>1</v>
      </c>
      <c r="K65" s="13">
        <v>1</v>
      </c>
      <c r="L65" s="12">
        <v>1</v>
      </c>
      <c r="M65">
        <f ca="1"/>
        <v>9</v>
      </c>
      <c r="N65">
        <v>8</v>
      </c>
    </row>
    <row r="66" spans="2:14" x14ac:dyDescent="0.25">
      <c r="B66" s="15" t="str">
        <f ca="1"/>
        <v>26-Feb</v>
      </c>
      <c r="C66" s="12">
        <v>1</v>
      </c>
      <c r="D66" s="12">
        <v>0</v>
      </c>
      <c r="E66" s="12">
        <v>0</v>
      </c>
      <c r="F66" s="12">
        <v>1</v>
      </c>
      <c r="G66" s="12">
        <v>1</v>
      </c>
      <c r="H66" s="12">
        <v>1</v>
      </c>
      <c r="I66" s="12">
        <v>1</v>
      </c>
      <c r="J66" s="13">
        <v>1</v>
      </c>
      <c r="K66" s="13">
        <v>1</v>
      </c>
      <c r="L66" s="12">
        <v>1</v>
      </c>
      <c r="M66">
        <f ca="1"/>
        <v>9</v>
      </c>
      <c r="N66">
        <v>8</v>
      </c>
    </row>
    <row r="67" spans="2:14" x14ac:dyDescent="0.25">
      <c r="B67" s="15" t="str">
        <f ca="1"/>
        <v>27-Feb</v>
      </c>
      <c r="C67" s="12">
        <v>1</v>
      </c>
      <c r="D67" s="12">
        <v>0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 s="12">
        <v>1</v>
      </c>
      <c r="M67">
        <f ca="1"/>
        <v>9</v>
      </c>
      <c r="N67">
        <v>9</v>
      </c>
    </row>
    <row r="68" spans="2:14" x14ac:dyDescent="0.25">
      <c r="B68" s="15" t="str">
        <f ca="1"/>
        <v>28-Feb</v>
      </c>
      <c r="C68" s="12">
        <v>1</v>
      </c>
      <c r="D68" s="12">
        <v>0</v>
      </c>
      <c r="E68" s="12">
        <v>1</v>
      </c>
      <c r="F68" s="12">
        <v>1</v>
      </c>
      <c r="G68" s="12">
        <v>1</v>
      </c>
      <c r="H68" s="12">
        <v>1</v>
      </c>
      <c r="I68" s="12">
        <v>1</v>
      </c>
      <c r="J68" s="13">
        <v>1</v>
      </c>
      <c r="K68" s="13">
        <v>1</v>
      </c>
      <c r="L68" s="12">
        <v>1</v>
      </c>
      <c r="M68">
        <f ca="1"/>
        <v>9</v>
      </c>
      <c r="N68">
        <v>9</v>
      </c>
    </row>
    <row r="69" spans="2:14" x14ac:dyDescent="0.25">
      <c r="B69" s="15" t="str">
        <f ca="1"/>
        <v>01-Mar</v>
      </c>
      <c r="C69" s="16">
        <v>1</v>
      </c>
      <c r="D69" s="16">
        <v>0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 s="16">
        <v>1</v>
      </c>
      <c r="M69">
        <f ca="1"/>
        <v>9</v>
      </c>
      <c r="N69">
        <v>9</v>
      </c>
    </row>
    <row r="70" spans="2:14" x14ac:dyDescent="0.25">
      <c r="B70" s="15" t="str">
        <f ca="1"/>
        <v>02-Mar</v>
      </c>
      <c r="C70" s="16">
        <v>1</v>
      </c>
      <c r="D70" s="16">
        <v>0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 s="16">
        <v>1</v>
      </c>
      <c r="M70">
        <f ca="1"/>
        <v>10</v>
      </c>
      <c r="N70">
        <v>9</v>
      </c>
    </row>
    <row r="71" spans="2:14" x14ac:dyDescent="0.25">
      <c r="B71" s="15" t="str">
        <f ca="1"/>
        <v>03-Mar</v>
      </c>
      <c r="C71" s="16">
        <v>1</v>
      </c>
      <c r="D71" s="16">
        <v>0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 s="16">
        <v>1</v>
      </c>
      <c r="M71">
        <f ca="1"/>
        <v>10</v>
      </c>
      <c r="N71">
        <v>9</v>
      </c>
    </row>
    <row r="72" spans="2:14" x14ac:dyDescent="0.25">
      <c r="B72" s="15" t="str">
        <f ca="1"/>
        <v>04-Mar</v>
      </c>
      <c r="C72" s="16">
        <v>1</v>
      </c>
      <c r="D72" s="16">
        <v>0</v>
      </c>
      <c r="E72" s="16">
        <v>0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 s="16">
        <v>1</v>
      </c>
      <c r="M72">
        <f ca="1"/>
        <v>10</v>
      </c>
      <c r="N72">
        <v>8</v>
      </c>
    </row>
    <row r="73" spans="2:14" x14ac:dyDescent="0.25">
      <c r="B73" s="15" t="str">
        <f ca="1"/>
        <v>05-Mar</v>
      </c>
      <c r="C73" s="16">
        <v>1</v>
      </c>
      <c r="D73" s="16">
        <v>0</v>
      </c>
      <c r="E73" s="16">
        <v>0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 s="16">
        <v>1</v>
      </c>
      <c r="M73">
        <f ca="1"/>
        <v>10</v>
      </c>
      <c r="N73">
        <v>8</v>
      </c>
    </row>
    <row r="74" spans="2:14" x14ac:dyDescent="0.25">
      <c r="B74" s="15" t="str">
        <f ca="1"/>
        <v>06-Mar</v>
      </c>
      <c r="C74" s="16">
        <v>1</v>
      </c>
      <c r="D74" s="16">
        <v>0</v>
      </c>
      <c r="E74" s="16">
        <v>0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 s="16">
        <v>1</v>
      </c>
      <c r="M74">
        <f ca="1"/>
        <v>10</v>
      </c>
      <c r="N74">
        <v>8</v>
      </c>
    </row>
    <row r="75" spans="2:14" x14ac:dyDescent="0.25">
      <c r="B75" s="15" t="str">
        <f ca="1"/>
        <v>07-Mar</v>
      </c>
      <c r="C75" s="16">
        <v>1</v>
      </c>
      <c r="D75" s="16">
        <v>0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 s="16">
        <v>1</v>
      </c>
      <c r="M75">
        <f ca="1"/>
        <v>10</v>
      </c>
      <c r="N75">
        <v>9</v>
      </c>
    </row>
    <row r="76" spans="2:14" x14ac:dyDescent="0.25">
      <c r="B76" s="15" t="str">
        <f ca="1"/>
        <v>08-Mar</v>
      </c>
      <c r="C76" s="16">
        <v>1</v>
      </c>
      <c r="D76" s="16">
        <v>0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 s="16">
        <v>1</v>
      </c>
      <c r="M76">
        <f ca="1"/>
        <v>10</v>
      </c>
      <c r="N76">
        <v>9</v>
      </c>
    </row>
    <row r="77" spans="2:14" x14ac:dyDescent="0.25">
      <c r="B77" s="15" t="str">
        <f ca="1"/>
        <v>09-Mar</v>
      </c>
      <c r="C77" s="16">
        <v>1</v>
      </c>
      <c r="D77" s="16">
        <v>0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 s="16">
        <v>1</v>
      </c>
      <c r="M77">
        <f ca="1"/>
        <v>11</v>
      </c>
      <c r="N77">
        <v>9</v>
      </c>
    </row>
    <row r="78" spans="2:14" x14ac:dyDescent="0.25">
      <c r="B78" s="15" t="str">
        <f ca="1"/>
        <v>10-Mar</v>
      </c>
      <c r="C78" s="16">
        <v>1</v>
      </c>
      <c r="D78" s="16">
        <v>0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 s="16">
        <v>1</v>
      </c>
      <c r="M78">
        <f ca="1"/>
        <v>11</v>
      </c>
      <c r="N78">
        <v>9</v>
      </c>
    </row>
    <row r="79" spans="2:14" x14ac:dyDescent="0.25">
      <c r="B79" s="15" t="str">
        <f ca="1"/>
        <v>11-Mar</v>
      </c>
      <c r="C79" s="16">
        <v>1</v>
      </c>
      <c r="D79" s="16">
        <v>0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 s="16">
        <v>1</v>
      </c>
      <c r="M79">
        <f ca="1"/>
        <v>11</v>
      </c>
      <c r="N79">
        <v>9</v>
      </c>
    </row>
    <row r="80" spans="2:14" x14ac:dyDescent="0.25">
      <c r="B80" s="15" t="str">
        <f ca="1"/>
        <v>12-Mar</v>
      </c>
      <c r="C80" s="16">
        <v>1</v>
      </c>
      <c r="D80" s="16">
        <v>0</v>
      </c>
      <c r="E80" s="16">
        <v>0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 s="16">
        <v>1</v>
      </c>
      <c r="M80">
        <f ca="1"/>
        <v>11</v>
      </c>
      <c r="N80">
        <v>8</v>
      </c>
    </row>
    <row r="81" spans="2:14" x14ac:dyDescent="0.25">
      <c r="B81" s="15" t="str">
        <f ca="1"/>
        <v>13-Mar</v>
      </c>
      <c r="C81" s="16">
        <v>1</v>
      </c>
      <c r="D81" s="16">
        <v>0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 s="16">
        <v>1</v>
      </c>
      <c r="M81">
        <f ca="1"/>
        <v>11</v>
      </c>
      <c r="N81">
        <v>9</v>
      </c>
    </row>
    <row r="82" spans="2:14" x14ac:dyDescent="0.25">
      <c r="B82" s="15" t="str">
        <f ca="1"/>
        <v>14-Mar</v>
      </c>
      <c r="C82" s="16">
        <v>1</v>
      </c>
      <c r="D82" s="16">
        <v>0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 s="16">
        <v>1</v>
      </c>
      <c r="M82">
        <f ca="1"/>
        <v>11</v>
      </c>
      <c r="N82">
        <v>9</v>
      </c>
    </row>
    <row r="83" spans="2:14" x14ac:dyDescent="0.25">
      <c r="B83" s="15" t="str">
        <f ca="1"/>
        <v>15-Mar</v>
      </c>
      <c r="C83" s="16">
        <v>1</v>
      </c>
      <c r="D83" s="16">
        <v>0</v>
      </c>
      <c r="E83" s="16">
        <v>0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 s="16">
        <v>1</v>
      </c>
      <c r="M83">
        <f ca="1"/>
        <v>11</v>
      </c>
      <c r="N83">
        <v>8</v>
      </c>
    </row>
    <row r="84" spans="2:14" x14ac:dyDescent="0.25">
      <c r="B84" s="15" t="str">
        <f ca="1"/>
        <v>16-Mar</v>
      </c>
      <c r="C84" s="16">
        <v>1</v>
      </c>
      <c r="D84" s="16">
        <v>0</v>
      </c>
      <c r="E84" s="16">
        <v>0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 s="16">
        <v>1</v>
      </c>
      <c r="M84">
        <f ca="1"/>
        <v>12</v>
      </c>
      <c r="N84">
        <v>8</v>
      </c>
    </row>
    <row r="85" spans="2:14" x14ac:dyDescent="0.25">
      <c r="B85" s="15" t="str">
        <f ca="1"/>
        <v>17-Mar</v>
      </c>
      <c r="C85" s="16">
        <v>1</v>
      </c>
      <c r="D85" s="16">
        <v>0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 s="16">
        <v>1</v>
      </c>
      <c r="M85">
        <f ca="1"/>
        <v>12</v>
      </c>
      <c r="N85">
        <v>9</v>
      </c>
    </row>
    <row r="86" spans="2:14" x14ac:dyDescent="0.25">
      <c r="B86" s="15" t="str">
        <f ca="1"/>
        <v>18-Mar</v>
      </c>
      <c r="C86" s="16">
        <v>1</v>
      </c>
      <c r="D86" s="16">
        <v>0</v>
      </c>
      <c r="E86" s="16">
        <v>0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 s="16">
        <v>1</v>
      </c>
      <c r="M86">
        <f ca="1"/>
        <v>12</v>
      </c>
      <c r="N86">
        <v>8</v>
      </c>
    </row>
    <row r="87" spans="2:14" x14ac:dyDescent="0.25">
      <c r="B87" s="15" t="str">
        <f ca="1"/>
        <v>19-Mar</v>
      </c>
      <c r="C87" s="16">
        <v>1</v>
      </c>
      <c r="D87" s="16">
        <v>0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 s="16">
        <v>1</v>
      </c>
      <c r="M87">
        <f ca="1"/>
        <v>12</v>
      </c>
      <c r="N87">
        <v>9</v>
      </c>
    </row>
    <row r="88" spans="2:14" x14ac:dyDescent="0.25">
      <c r="B88" s="15" t="str">
        <f ca="1"/>
        <v>20-Mar</v>
      </c>
      <c r="C88" s="16">
        <v>1</v>
      </c>
      <c r="D88" s="16">
        <v>0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 s="16">
        <v>1</v>
      </c>
      <c r="M88">
        <f ca="1"/>
        <v>12</v>
      </c>
      <c r="N88">
        <v>9</v>
      </c>
    </row>
    <row r="89" spans="2:14" x14ac:dyDescent="0.25">
      <c r="B89" s="15" t="str">
        <f ca="1"/>
        <v>21-Mar</v>
      </c>
      <c r="C89" s="16">
        <v>1</v>
      </c>
      <c r="D89" s="16">
        <v>0</v>
      </c>
      <c r="E89" s="16">
        <v>0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 s="16">
        <v>1</v>
      </c>
      <c r="M89">
        <f ca="1"/>
        <v>12</v>
      </c>
      <c r="N89">
        <v>8</v>
      </c>
    </row>
    <row r="90" spans="2:14" x14ac:dyDescent="0.25">
      <c r="B90" s="15" t="str">
        <f ca="1"/>
        <v>22-Mar</v>
      </c>
      <c r="C90" s="16">
        <v>1</v>
      </c>
      <c r="D90" s="16">
        <v>0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 s="16">
        <v>1</v>
      </c>
      <c r="M90">
        <f ca="1"/>
        <v>12</v>
      </c>
      <c r="N90">
        <v>9</v>
      </c>
    </row>
    <row r="91" spans="2:14" x14ac:dyDescent="0.25">
      <c r="B91" s="15" t="str">
        <f ca="1"/>
        <v>23-Mar</v>
      </c>
      <c r="C91" s="16">
        <v>1</v>
      </c>
      <c r="D91" s="16">
        <v>0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 s="16">
        <v>1</v>
      </c>
      <c r="M91">
        <f ca="1"/>
        <v>13</v>
      </c>
      <c r="N91">
        <v>9</v>
      </c>
    </row>
    <row r="92" spans="2:14" x14ac:dyDescent="0.25">
      <c r="B92" s="15" t="str">
        <f ca="1"/>
        <v>24-Mar</v>
      </c>
      <c r="C92" s="16">
        <v>1</v>
      </c>
      <c r="D92" s="16">
        <v>0</v>
      </c>
      <c r="E92" s="16">
        <v>0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 s="16">
        <v>1</v>
      </c>
      <c r="M92">
        <f ca="1"/>
        <v>13</v>
      </c>
      <c r="N92">
        <v>8</v>
      </c>
    </row>
    <row r="93" spans="2:14" x14ac:dyDescent="0.25">
      <c r="B93" s="15" t="str">
        <f ca="1"/>
        <v>25-Mar</v>
      </c>
      <c r="C93" s="16">
        <v>1</v>
      </c>
      <c r="D93" s="16">
        <v>0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 s="16">
        <v>1</v>
      </c>
      <c r="M93">
        <f ca="1"/>
        <v>13</v>
      </c>
      <c r="N93">
        <v>9</v>
      </c>
    </row>
    <row r="94" spans="2:14" x14ac:dyDescent="0.25">
      <c r="B94" s="15" t="str">
        <f ca="1"/>
        <v>26-Mar</v>
      </c>
      <c r="C94" s="16">
        <v>1</v>
      </c>
      <c r="D94" s="16">
        <v>0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 s="16">
        <v>1</v>
      </c>
      <c r="M94">
        <f ca="1"/>
        <v>13</v>
      </c>
      <c r="N94">
        <v>9</v>
      </c>
    </row>
    <row r="95" spans="2:14" x14ac:dyDescent="0.25">
      <c r="B95" s="15" t="str">
        <f ca="1"/>
        <v>27-Mar</v>
      </c>
      <c r="C95" s="16">
        <v>1</v>
      </c>
      <c r="D95" s="16">
        <v>0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 s="16">
        <v>1</v>
      </c>
      <c r="M95">
        <f ca="1"/>
        <v>13</v>
      </c>
      <c r="N95">
        <v>9</v>
      </c>
    </row>
    <row r="96" spans="2:14" x14ac:dyDescent="0.25">
      <c r="B96" s="15" t="str">
        <f ca="1"/>
        <v>28-Mar</v>
      </c>
      <c r="C96" s="16">
        <v>1</v>
      </c>
      <c r="D96" s="16">
        <v>0</v>
      </c>
      <c r="E96" s="16">
        <v>0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 s="16">
        <v>1</v>
      </c>
      <c r="M96">
        <f ca="1"/>
        <v>13</v>
      </c>
      <c r="N96">
        <v>8</v>
      </c>
    </row>
    <row r="97" spans="2:14" x14ac:dyDescent="0.25">
      <c r="B97" s="15" t="str">
        <f ca="1"/>
        <v>29-Mar</v>
      </c>
      <c r="C97" s="16">
        <v>1</v>
      </c>
      <c r="D97" s="16">
        <v>0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 s="16">
        <v>1</v>
      </c>
      <c r="M97">
        <f ca="1"/>
        <v>13</v>
      </c>
      <c r="N97">
        <v>9</v>
      </c>
    </row>
    <row r="98" spans="2:14" x14ac:dyDescent="0.25">
      <c r="B98" s="15" t="str">
        <f ca="1"/>
        <v>30-Mar</v>
      </c>
      <c r="C98" s="16">
        <v>1</v>
      </c>
      <c r="D98" s="16">
        <v>0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 s="16">
        <v>1</v>
      </c>
      <c r="M98">
        <f ca="1"/>
        <v>14</v>
      </c>
      <c r="N98">
        <v>9</v>
      </c>
    </row>
    <row r="99" spans="2:14" x14ac:dyDescent="0.25">
      <c r="B99" s="15" t="str">
        <f ca="1"/>
        <v>31-Mar</v>
      </c>
      <c r="C99" s="16">
        <v>1</v>
      </c>
      <c r="D99" s="16">
        <v>0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 s="16">
        <v>1</v>
      </c>
      <c r="M99">
        <f ca="1"/>
        <v>14</v>
      </c>
      <c r="N99">
        <v>9</v>
      </c>
    </row>
    <row r="100" spans="2:14" x14ac:dyDescent="0.25">
      <c r="B100" s="15" t="str">
        <f ca="1"/>
        <v>01-Apr</v>
      </c>
      <c r="C100" s="17">
        <v>1</v>
      </c>
      <c r="D100" s="17">
        <v>0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 s="16">
        <v>1</v>
      </c>
      <c r="M100">
        <f ca="1"/>
        <v>14</v>
      </c>
      <c r="N100">
        <v>9</v>
      </c>
    </row>
    <row r="101" spans="2:14" x14ac:dyDescent="0.25">
      <c r="B101" s="15" t="str">
        <f ca="1"/>
        <v>02-Apr</v>
      </c>
      <c r="C101" s="17">
        <v>1</v>
      </c>
      <c r="D101" s="17">
        <v>0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 s="17">
        <v>1</v>
      </c>
      <c r="M101">
        <f ca="1"/>
        <v>14</v>
      </c>
      <c r="N101">
        <v>9</v>
      </c>
    </row>
    <row r="102" spans="2:14" x14ac:dyDescent="0.25">
      <c r="B102" s="15" t="str">
        <f ca="1"/>
        <v>03-Apr</v>
      </c>
      <c r="C102" s="17">
        <v>1</v>
      </c>
      <c r="D102" s="17">
        <v>0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 s="17">
        <v>1</v>
      </c>
      <c r="M102">
        <f ca="1"/>
        <v>14</v>
      </c>
      <c r="N102">
        <v>9</v>
      </c>
    </row>
    <row r="103" spans="2:14" x14ac:dyDescent="0.25">
      <c r="B103" s="15" t="str">
        <f ca="1"/>
        <v>04-Apr</v>
      </c>
      <c r="C103" s="17">
        <v>1</v>
      </c>
      <c r="D103" s="17">
        <v>0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 s="17">
        <v>1</v>
      </c>
      <c r="M103">
        <f ca="1"/>
        <v>14</v>
      </c>
      <c r="N103">
        <v>9</v>
      </c>
    </row>
    <row r="104" spans="2:14" x14ac:dyDescent="0.25">
      <c r="B104" s="15" t="str">
        <f ca="1"/>
        <v>05-Apr</v>
      </c>
      <c r="C104" s="17">
        <v>1</v>
      </c>
      <c r="D104" s="17">
        <v>0</v>
      </c>
      <c r="E104" s="17">
        <v>0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 s="17">
        <v>1</v>
      </c>
      <c r="M104">
        <f ca="1"/>
        <v>14</v>
      </c>
      <c r="N104">
        <v>8</v>
      </c>
    </row>
    <row r="105" spans="2:14" x14ac:dyDescent="0.25">
      <c r="B105" s="15" t="str">
        <f ca="1"/>
        <v>06-Apr</v>
      </c>
      <c r="C105" s="17">
        <v>1</v>
      </c>
      <c r="D105" s="17">
        <v>0</v>
      </c>
      <c r="E105" s="17">
        <v>0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 s="17">
        <v>1</v>
      </c>
      <c r="M105">
        <f ca="1"/>
        <v>15</v>
      </c>
      <c r="N105">
        <v>8</v>
      </c>
    </row>
    <row r="106" spans="2:14" x14ac:dyDescent="0.25">
      <c r="B106" s="15" t="str">
        <f ca="1"/>
        <v>07-Apr</v>
      </c>
      <c r="C106" s="17">
        <v>1</v>
      </c>
      <c r="D106" s="17">
        <v>0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 s="17">
        <v>1</v>
      </c>
      <c r="M106">
        <f ca="1"/>
        <v>15</v>
      </c>
      <c r="N106">
        <v>9</v>
      </c>
    </row>
    <row r="107" spans="2:14" x14ac:dyDescent="0.25">
      <c r="B107" s="15" t="str">
        <f ca="1"/>
        <v>08-Apr</v>
      </c>
      <c r="C107" s="17">
        <v>1</v>
      </c>
      <c r="D107" s="17">
        <v>0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 s="17">
        <v>1</v>
      </c>
      <c r="M107">
        <f ca="1"/>
        <v>15</v>
      </c>
      <c r="N107">
        <v>9</v>
      </c>
    </row>
    <row r="108" spans="2:14" x14ac:dyDescent="0.25">
      <c r="B108" s="15" t="str">
        <f ca="1"/>
        <v>09-Apr</v>
      </c>
      <c r="C108" s="17">
        <v>1</v>
      </c>
      <c r="D108" s="17">
        <v>0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 s="17">
        <v>1</v>
      </c>
      <c r="M108">
        <f ca="1"/>
        <v>15</v>
      </c>
      <c r="N108">
        <v>9</v>
      </c>
    </row>
    <row r="109" spans="2:14" x14ac:dyDescent="0.25">
      <c r="B109" s="15" t="str">
        <f ca="1"/>
        <v>10-Apr</v>
      </c>
      <c r="C109" s="17">
        <v>1</v>
      </c>
      <c r="D109" s="17">
        <v>0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 s="17">
        <v>1</v>
      </c>
      <c r="M109">
        <f ca="1"/>
        <v>15</v>
      </c>
      <c r="N109">
        <v>9</v>
      </c>
    </row>
    <row r="110" spans="2:14" x14ac:dyDescent="0.25">
      <c r="B110" s="15" t="str">
        <f ca="1"/>
        <v>11-Apr</v>
      </c>
      <c r="C110" s="17">
        <v>1</v>
      </c>
      <c r="D110" s="17">
        <v>0</v>
      </c>
      <c r="E110" s="17">
        <v>0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 s="17">
        <v>1</v>
      </c>
      <c r="M110">
        <f ca="1"/>
        <v>15</v>
      </c>
      <c r="N110">
        <v>8</v>
      </c>
    </row>
    <row r="111" spans="2:14" x14ac:dyDescent="0.25">
      <c r="B111" s="15" t="str">
        <f ca="1"/>
        <v>12-Apr</v>
      </c>
      <c r="C111" s="17">
        <v>1</v>
      </c>
      <c r="D111" s="17">
        <v>0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 s="17">
        <v>1</v>
      </c>
      <c r="M111">
        <f ca="1"/>
        <v>15</v>
      </c>
      <c r="N111">
        <v>9</v>
      </c>
    </row>
    <row r="112" spans="2:14" x14ac:dyDescent="0.25">
      <c r="B112" s="15" t="str">
        <f ca="1"/>
        <v>13-Apr</v>
      </c>
      <c r="C112" s="17">
        <v>1</v>
      </c>
      <c r="D112" s="17">
        <v>0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 s="17">
        <v>1</v>
      </c>
      <c r="M112">
        <f ca="1"/>
        <v>16</v>
      </c>
      <c r="N112">
        <v>9</v>
      </c>
    </row>
    <row r="113" spans="2:27" x14ac:dyDescent="0.25">
      <c r="B113" s="15" t="str">
        <f ca="1"/>
        <v>14-Apr</v>
      </c>
      <c r="C113" s="17">
        <v>1</v>
      </c>
      <c r="D113" s="17">
        <v>0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 s="17">
        <v>1</v>
      </c>
      <c r="M113">
        <f ca="1"/>
        <v>16</v>
      </c>
      <c r="N113">
        <v>9</v>
      </c>
    </row>
    <row r="114" spans="2:27" x14ac:dyDescent="0.25">
      <c r="B114" s="15" t="str">
        <f ca="1"/>
        <v>15-Apr</v>
      </c>
      <c r="C114" s="17">
        <v>1</v>
      </c>
      <c r="D114" s="17">
        <v>0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 s="17">
        <v>1</v>
      </c>
      <c r="M114">
        <f ca="1"/>
        <v>16</v>
      </c>
      <c r="N114">
        <v>9</v>
      </c>
    </row>
    <row r="115" spans="2:27" x14ac:dyDescent="0.25">
      <c r="B115" s="15" t="str">
        <f ca="1"/>
        <v>16-Apr</v>
      </c>
      <c r="C115" s="17">
        <v>1</v>
      </c>
      <c r="D115" s="17">
        <v>0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 s="17">
        <v>1</v>
      </c>
      <c r="M115">
        <f ca="1"/>
        <v>16</v>
      </c>
      <c r="N115">
        <v>9</v>
      </c>
    </row>
    <row r="116" spans="2:27" x14ac:dyDescent="0.25">
      <c r="B116" s="15" t="str">
        <f ca="1"/>
        <v>17-Apr</v>
      </c>
      <c r="C116" s="17">
        <v>1</v>
      </c>
      <c r="D116" s="17">
        <v>0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 s="17">
        <v>1</v>
      </c>
      <c r="M116">
        <f ca="1"/>
        <v>16</v>
      </c>
      <c r="N116">
        <v>9</v>
      </c>
    </row>
    <row r="117" spans="2:27" x14ac:dyDescent="0.25">
      <c r="B117" s="15" t="str">
        <f ca="1"/>
        <v>18-Apr</v>
      </c>
      <c r="C117" s="17">
        <v>1</v>
      </c>
      <c r="D117" s="17">
        <v>0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 s="17">
        <v>1</v>
      </c>
      <c r="M117">
        <f ca="1"/>
        <v>16</v>
      </c>
      <c r="N117">
        <v>9</v>
      </c>
    </row>
    <row r="118" spans="2:27" x14ac:dyDescent="0.25">
      <c r="B118" s="15" t="str">
        <f ca="1"/>
        <v>19-Apr</v>
      </c>
      <c r="C118" s="17">
        <v>1</v>
      </c>
      <c r="D118" s="17">
        <v>0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 s="17">
        <v>1</v>
      </c>
      <c r="M118">
        <f ca="1"/>
        <v>16</v>
      </c>
      <c r="N118">
        <v>9</v>
      </c>
    </row>
    <row r="119" spans="2:27" x14ac:dyDescent="0.25">
      <c r="B119" s="15" t="str">
        <f ca="1"/>
        <v>20-Apr</v>
      </c>
      <c r="C119" s="17">
        <v>1</v>
      </c>
      <c r="D119" s="17">
        <v>0</v>
      </c>
      <c r="E119" s="17">
        <v>0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 s="17">
        <v>1</v>
      </c>
      <c r="M119">
        <f ca="1"/>
        <v>17</v>
      </c>
      <c r="N119">
        <v>8</v>
      </c>
    </row>
    <row r="120" spans="2:27" x14ac:dyDescent="0.25">
      <c r="B120" s="15" t="str">
        <f ca="1"/>
        <v>21-Apr</v>
      </c>
      <c r="C120" s="17">
        <v>1</v>
      </c>
      <c r="D120" s="17">
        <v>0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 s="17">
        <v>1</v>
      </c>
      <c r="M120">
        <f ca="1"/>
        <v>17</v>
      </c>
      <c r="N120">
        <v>9</v>
      </c>
    </row>
    <row r="121" spans="2:27" x14ac:dyDescent="0.25">
      <c r="B121" s="15" t="str">
        <f ca="1"/>
        <v>22-Apr</v>
      </c>
      <c r="C121" s="17">
        <v>1</v>
      </c>
      <c r="D121" s="17">
        <v>0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 s="17">
        <v>1</v>
      </c>
      <c r="M121">
        <f ca="1"/>
        <v>17</v>
      </c>
      <c r="N121">
        <v>9</v>
      </c>
    </row>
    <row r="122" spans="2:27" x14ac:dyDescent="0.25">
      <c r="B122" s="15" t="str">
        <f ca="1"/>
        <v>23-Apr</v>
      </c>
      <c r="C122" s="17">
        <v>1</v>
      </c>
      <c r="D122" s="17">
        <v>0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 s="17">
        <v>1</v>
      </c>
      <c r="M122">
        <f ca="1"/>
        <v>17</v>
      </c>
      <c r="N122">
        <v>9</v>
      </c>
    </row>
    <row r="123" spans="2:27" x14ac:dyDescent="0.25">
      <c r="B123" s="15" t="str">
        <f ca="1"/>
        <v>24-Apr</v>
      </c>
      <c r="C123" s="17">
        <v>1</v>
      </c>
      <c r="D123" s="17">
        <v>0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 s="17">
        <v>1</v>
      </c>
      <c r="M123">
        <f ca="1"/>
        <v>17</v>
      </c>
      <c r="N123">
        <v>9</v>
      </c>
    </row>
    <row r="124" spans="2:27" x14ac:dyDescent="0.25">
      <c r="B124" s="15" t="str">
        <f ca="1"/>
        <v>25-Apr</v>
      </c>
      <c r="C124" s="17">
        <v>1</v>
      </c>
      <c r="D124" s="17">
        <v>0</v>
      </c>
      <c r="E124" s="17">
        <v>0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 s="17">
        <v>1</v>
      </c>
      <c r="M124">
        <f ca="1"/>
        <v>17</v>
      </c>
      <c r="N124">
        <v>8</v>
      </c>
      <c r="AA124" t="s">
        <v>29</v>
      </c>
    </row>
    <row r="125" spans="2:27" x14ac:dyDescent="0.25">
      <c r="B125" s="15" t="str">
        <f ca="1"/>
        <v>26-Apr</v>
      </c>
      <c r="C125" s="17">
        <v>1</v>
      </c>
      <c r="D125" s="17">
        <v>0</v>
      </c>
      <c r="E125" s="17">
        <v>0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 s="17">
        <v>1</v>
      </c>
      <c r="M125">
        <f ca="1"/>
        <v>17</v>
      </c>
      <c r="N125">
        <v>8</v>
      </c>
    </row>
    <row r="126" spans="2:27" x14ac:dyDescent="0.25">
      <c r="B126" s="15" t="str">
        <f ca="1"/>
        <v>27-Apr</v>
      </c>
      <c r="C126" s="17">
        <v>1</v>
      </c>
      <c r="D126" s="17">
        <v>0</v>
      </c>
      <c r="E126" s="17">
        <v>0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 s="17">
        <v>1</v>
      </c>
      <c r="M126">
        <f ca="1"/>
        <v>18</v>
      </c>
      <c r="N126">
        <v>8</v>
      </c>
    </row>
    <row r="127" spans="2:27" x14ac:dyDescent="0.25">
      <c r="B127" s="15" t="str">
        <f ca="1"/>
        <v>28-Apr</v>
      </c>
      <c r="C127" s="17">
        <v>1</v>
      </c>
      <c r="D127" s="17">
        <v>0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 s="17">
        <v>1</v>
      </c>
      <c r="M127">
        <f ca="1"/>
        <v>18</v>
      </c>
      <c r="N127">
        <v>9</v>
      </c>
    </row>
    <row r="128" spans="2:27" x14ac:dyDescent="0.25">
      <c r="B128" s="15" t="str">
        <f ca="1"/>
        <v>29-Apr</v>
      </c>
      <c r="C128" s="17">
        <v>1</v>
      </c>
      <c r="D128" s="17">
        <v>0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 s="17">
        <v>1</v>
      </c>
      <c r="M128">
        <f ca="1"/>
        <v>18</v>
      </c>
      <c r="N128">
        <v>9</v>
      </c>
    </row>
    <row r="129" spans="1:14" x14ac:dyDescent="0.25">
      <c r="B129" s="15" t="str">
        <f ca="1"/>
        <v>30-Apr</v>
      </c>
      <c r="C129" s="17">
        <v>1</v>
      </c>
      <c r="D129" s="17">
        <v>0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 s="17">
        <v>1</v>
      </c>
      <c r="M129">
        <f ca="1"/>
        <v>18</v>
      </c>
      <c r="N129">
        <v>9</v>
      </c>
    </row>
    <row r="130" spans="1:14" x14ac:dyDescent="0.25">
      <c r="B130" s="15" t="str">
        <f ca="1"/>
        <v>01-May</v>
      </c>
      <c r="C130" s="17">
        <v>1</v>
      </c>
      <c r="D130" s="17">
        <v>0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 s="17">
        <v>1</v>
      </c>
      <c r="M130">
        <f ca="1"/>
        <v>18</v>
      </c>
      <c r="N130">
        <v>9</v>
      </c>
    </row>
    <row r="131" spans="1:14" x14ac:dyDescent="0.25">
      <c r="B131" s="15" t="str">
        <f ca="1"/>
        <v>02-May</v>
      </c>
      <c r="C131" s="17">
        <v>1</v>
      </c>
      <c r="D131" s="17">
        <v>0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 s="17">
        <v>1</v>
      </c>
      <c r="M131">
        <f ca="1"/>
        <v>18</v>
      </c>
      <c r="N131">
        <v>9</v>
      </c>
    </row>
    <row r="132" spans="1:14" x14ac:dyDescent="0.25">
      <c r="B132" s="15" t="str">
        <f ca="1"/>
        <v>03-May</v>
      </c>
      <c r="C132" s="17">
        <v>1</v>
      </c>
      <c r="D132" s="17">
        <v>0</v>
      </c>
      <c r="E132" s="17">
        <v>0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 s="17">
        <v>1</v>
      </c>
      <c r="M132">
        <f ca="1"/>
        <v>18</v>
      </c>
      <c r="N132">
        <v>8</v>
      </c>
    </row>
    <row r="133" spans="1:14" x14ac:dyDescent="0.25">
      <c r="A133" t="s">
        <v>31</v>
      </c>
      <c r="B133" s="15" t="str">
        <f ca="1"/>
        <v>04-May</v>
      </c>
      <c r="C133" s="17">
        <v>1</v>
      </c>
      <c r="D133" s="17">
        <v>0</v>
      </c>
      <c r="E133" s="17">
        <v>0</v>
      </c>
      <c r="F133" s="17">
        <v>0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 s="17">
        <v>1</v>
      </c>
      <c r="M133">
        <f ca="1"/>
        <v>19</v>
      </c>
      <c r="N133">
        <v>7</v>
      </c>
    </row>
    <row r="134" spans="1:14" x14ac:dyDescent="0.25">
      <c r="A134" t="s">
        <v>32</v>
      </c>
      <c r="B134" s="15" t="str">
        <f ca="1"/>
        <v>05-May</v>
      </c>
      <c r="C134" s="17">
        <v>1</v>
      </c>
      <c r="D134" s="17">
        <v>0</v>
      </c>
      <c r="E134" s="17">
        <v>0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 s="17">
        <v>1</v>
      </c>
      <c r="M134">
        <f ca="1"/>
        <v>19</v>
      </c>
      <c r="N134">
        <v>8</v>
      </c>
    </row>
    <row r="135" spans="1:14" x14ac:dyDescent="0.25">
      <c r="B135" s="15" t="str">
        <f ca="1"/>
        <v>06-May</v>
      </c>
      <c r="C135" s="17">
        <v>1</v>
      </c>
      <c r="D135" s="17">
        <v>0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 s="17">
        <v>1</v>
      </c>
      <c r="M135">
        <f ca="1"/>
        <v>19</v>
      </c>
      <c r="N135">
        <v>9</v>
      </c>
    </row>
    <row r="136" spans="1:14" x14ac:dyDescent="0.25">
      <c r="B136" s="15" t="str">
        <f ca="1"/>
        <v>07-May</v>
      </c>
      <c r="C136" s="17">
        <v>1</v>
      </c>
      <c r="D136" s="17">
        <v>0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 s="17">
        <v>1</v>
      </c>
      <c r="M136">
        <f ca="1"/>
        <v>19</v>
      </c>
      <c r="N136">
        <v>9</v>
      </c>
    </row>
    <row r="137" spans="1:14" x14ac:dyDescent="0.25">
      <c r="B137" s="15" t="str">
        <f ca="1"/>
        <v>08-May</v>
      </c>
      <c r="C137" s="17">
        <v>1</v>
      </c>
      <c r="D137" s="17">
        <v>0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 s="17">
        <v>1</v>
      </c>
      <c r="M137">
        <f ca="1"/>
        <v>19</v>
      </c>
      <c r="N137">
        <v>9</v>
      </c>
    </row>
    <row r="138" spans="1:14" x14ac:dyDescent="0.25">
      <c r="B138" s="15" t="str">
        <f ca="1"/>
        <v>09-May</v>
      </c>
      <c r="C138" s="17">
        <v>1</v>
      </c>
      <c r="D138" s="17">
        <v>0</v>
      </c>
      <c r="E138" s="17">
        <v>0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 s="17">
        <v>1</v>
      </c>
      <c r="M138">
        <f ca="1"/>
        <v>19</v>
      </c>
      <c r="N138">
        <v>8</v>
      </c>
    </row>
    <row r="139" spans="1:14" x14ac:dyDescent="0.25">
      <c r="B139" s="15" t="str">
        <f ca="1"/>
        <v>10-May</v>
      </c>
      <c r="C139" s="17">
        <v>1</v>
      </c>
      <c r="D139" s="17">
        <v>0</v>
      </c>
      <c r="E139" s="17">
        <v>0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 s="17">
        <v>1</v>
      </c>
      <c r="M139">
        <f ca="1"/>
        <v>19</v>
      </c>
      <c r="N139">
        <v>8</v>
      </c>
    </row>
    <row r="140" spans="1:14" x14ac:dyDescent="0.25">
      <c r="B140" s="15" t="str">
        <f ca="1"/>
        <v>11-May</v>
      </c>
      <c r="C140" s="17">
        <v>1</v>
      </c>
      <c r="D140" s="17">
        <v>0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 s="17">
        <v>1</v>
      </c>
      <c r="M140">
        <f ca="1"/>
        <v>20</v>
      </c>
      <c r="N140">
        <v>9</v>
      </c>
    </row>
    <row r="141" spans="1:14" x14ac:dyDescent="0.25">
      <c r="B141" s="15" t="str">
        <f ca="1"/>
        <v>12-May</v>
      </c>
      <c r="C141" s="17">
        <v>1</v>
      </c>
      <c r="D141" s="17">
        <v>0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 s="17">
        <v>1</v>
      </c>
      <c r="M141">
        <f ca="1"/>
        <v>20</v>
      </c>
      <c r="N141">
        <v>9</v>
      </c>
    </row>
    <row r="142" spans="1:14" x14ac:dyDescent="0.25">
      <c r="B142" s="15" t="str">
        <f ca="1"/>
        <v>13-May</v>
      </c>
      <c r="C142" s="17">
        <v>1</v>
      </c>
      <c r="D142" s="17">
        <v>0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 s="17">
        <v>1</v>
      </c>
      <c r="M142">
        <f ca="1"/>
        <v>20</v>
      </c>
      <c r="N142">
        <v>9</v>
      </c>
    </row>
    <row r="143" spans="1:14" x14ac:dyDescent="0.25">
      <c r="B143" s="15" t="str">
        <f ca="1"/>
        <v>14-May</v>
      </c>
      <c r="C143" s="17">
        <v>1</v>
      </c>
      <c r="D143" s="17">
        <v>0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 s="17">
        <v>1</v>
      </c>
      <c r="M143">
        <f ca="1"/>
        <v>20</v>
      </c>
      <c r="N143">
        <v>9</v>
      </c>
    </row>
    <row r="144" spans="1:14" x14ac:dyDescent="0.25">
      <c r="B144" s="15" t="str">
        <f ca="1"/>
        <v>15-May</v>
      </c>
      <c r="C144" s="17">
        <v>1</v>
      </c>
      <c r="D144" s="17">
        <v>0</v>
      </c>
      <c r="E144" s="17">
        <v>0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 s="17">
        <v>1</v>
      </c>
      <c r="M144">
        <f ca="1"/>
        <v>20</v>
      </c>
      <c r="N144">
        <v>8</v>
      </c>
    </row>
    <row r="145" spans="2:15" x14ac:dyDescent="0.25">
      <c r="B145" s="15" t="str">
        <f ca="1"/>
        <v>16-May</v>
      </c>
      <c r="C145" s="17">
        <v>1</v>
      </c>
      <c r="D145" s="17">
        <v>0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 s="17">
        <v>1</v>
      </c>
      <c r="M145">
        <f ca="1"/>
        <v>20</v>
      </c>
      <c r="N145">
        <v>9</v>
      </c>
    </row>
    <row r="146" spans="2:15" x14ac:dyDescent="0.25">
      <c r="B146" s="15" t="str">
        <f ca="1"/>
        <v>17-May</v>
      </c>
      <c r="C146" s="17">
        <v>1</v>
      </c>
      <c r="D146" s="17">
        <v>0</v>
      </c>
      <c r="E146" s="17">
        <v>0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 s="17">
        <v>1</v>
      </c>
      <c r="M146">
        <f ca="1"/>
        <v>20</v>
      </c>
      <c r="N146">
        <v>8</v>
      </c>
    </row>
    <row r="147" spans="2:15" x14ac:dyDescent="0.25">
      <c r="B147" s="15" t="str">
        <f ca="1"/>
        <v>18-May</v>
      </c>
      <c r="C147" s="17">
        <v>1</v>
      </c>
      <c r="D147" s="17">
        <v>0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 s="17">
        <v>1</v>
      </c>
      <c r="M147">
        <f ca="1"/>
        <v>21</v>
      </c>
      <c r="N147">
        <v>9</v>
      </c>
    </row>
    <row r="148" spans="2:15" x14ac:dyDescent="0.25">
      <c r="B148" s="15" t="str">
        <f ca="1"/>
        <v>19-May</v>
      </c>
      <c r="C148" s="17">
        <v>1</v>
      </c>
      <c r="D148" s="17">
        <v>0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 s="17">
        <v>1</v>
      </c>
      <c r="M148">
        <f ca="1"/>
        <v>21</v>
      </c>
      <c r="N148">
        <v>9</v>
      </c>
    </row>
    <row r="149" spans="2:15" x14ac:dyDescent="0.25">
      <c r="B149" s="15" t="str">
        <f ca="1"/>
        <v>20-May</v>
      </c>
      <c r="C149" s="17">
        <v>1</v>
      </c>
      <c r="D149" s="17">
        <v>0</v>
      </c>
      <c r="E149" s="17">
        <v>0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 s="17">
        <v>1</v>
      </c>
      <c r="M149">
        <f ca="1"/>
        <v>21</v>
      </c>
      <c r="N149">
        <v>8</v>
      </c>
    </row>
    <row r="150" spans="2:15" x14ac:dyDescent="0.25">
      <c r="B150" s="15" t="str">
        <f ca="1"/>
        <v>21-May</v>
      </c>
      <c r="C150" s="17">
        <v>1</v>
      </c>
      <c r="D150" s="17">
        <v>0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 s="17">
        <v>1</v>
      </c>
      <c r="M150">
        <f ca="1"/>
        <v>21</v>
      </c>
      <c r="N150">
        <v>9</v>
      </c>
    </row>
    <row r="151" spans="2:15" x14ac:dyDescent="0.25">
      <c r="B151" s="15" t="str">
        <f ca="1"/>
        <v>22-May</v>
      </c>
      <c r="C151" s="17">
        <v>1</v>
      </c>
      <c r="D151" s="17">
        <v>0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 s="17">
        <v>1</v>
      </c>
      <c r="M151">
        <f ca="1"/>
        <v>21</v>
      </c>
      <c r="N151">
        <v>9</v>
      </c>
      <c r="O151" t="s">
        <v>34</v>
      </c>
    </row>
    <row r="152" spans="2:15" x14ac:dyDescent="0.25">
      <c r="B152" s="15" t="str">
        <f ca="1"/>
        <v>23-May</v>
      </c>
      <c r="C152" s="17">
        <v>1</v>
      </c>
      <c r="D152" s="17">
        <v>0</v>
      </c>
      <c r="E152" s="17">
        <v>0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 s="17">
        <v>1</v>
      </c>
      <c r="M152">
        <f ca="1"/>
        <v>21</v>
      </c>
      <c r="N152">
        <v>8</v>
      </c>
    </row>
    <row r="153" spans="2:15" x14ac:dyDescent="0.25">
      <c r="B153" s="15" t="str">
        <f ca="1"/>
        <v>24-May</v>
      </c>
      <c r="C153" s="17">
        <v>1</v>
      </c>
      <c r="D153" s="17">
        <v>0</v>
      </c>
      <c r="E153" s="17">
        <v>0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 s="17">
        <v>1</v>
      </c>
      <c r="M153">
        <f ca="1"/>
        <v>21</v>
      </c>
      <c r="N153">
        <v>8</v>
      </c>
    </row>
    <row r="154" spans="2:15" x14ac:dyDescent="0.25">
      <c r="B154" s="15" t="str">
        <f ca="1"/>
        <v>25-May</v>
      </c>
      <c r="C154" s="17">
        <v>1</v>
      </c>
      <c r="D154" s="17">
        <v>0</v>
      </c>
      <c r="E154" s="17">
        <v>0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 s="17">
        <v>1</v>
      </c>
      <c r="M154">
        <f ca="1"/>
        <v>22</v>
      </c>
      <c r="N154">
        <v>8</v>
      </c>
    </row>
    <row r="155" spans="2:15" x14ac:dyDescent="0.25">
      <c r="B155" s="15" t="str">
        <f ca="1"/>
        <v>26-May</v>
      </c>
      <c r="C155" s="17">
        <v>1</v>
      </c>
      <c r="D155" s="17">
        <v>0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 s="17">
        <v>1</v>
      </c>
      <c r="M155">
        <f ca="1"/>
        <v>22</v>
      </c>
      <c r="N155">
        <v>9</v>
      </c>
    </row>
    <row r="156" spans="2:15" x14ac:dyDescent="0.25">
      <c r="B156" s="15" t="str">
        <f ca="1"/>
        <v>27-May</v>
      </c>
      <c r="C156" s="17">
        <v>1</v>
      </c>
      <c r="D156" s="17">
        <v>0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 s="17">
        <v>1</v>
      </c>
      <c r="M156">
        <f ca="1"/>
        <v>22</v>
      </c>
      <c r="N156">
        <v>9</v>
      </c>
    </row>
    <row r="157" spans="2:15" x14ac:dyDescent="0.25">
      <c r="B157" s="15" t="str">
        <f ca="1"/>
        <v>28-May</v>
      </c>
      <c r="C157" s="17">
        <v>1</v>
      </c>
      <c r="D157" s="17">
        <v>0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 s="17">
        <v>1</v>
      </c>
      <c r="M157">
        <f ca="1"/>
        <v>22</v>
      </c>
      <c r="N157">
        <v>9</v>
      </c>
    </row>
    <row r="158" spans="2:15" x14ac:dyDescent="0.25">
      <c r="B158" s="15" t="str">
        <f ca="1"/>
        <v>29-May</v>
      </c>
      <c r="C158" s="17">
        <v>1</v>
      </c>
      <c r="D158" s="17">
        <v>0</v>
      </c>
      <c r="E158" s="17">
        <v>0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 s="17">
        <v>1</v>
      </c>
      <c r="M158">
        <f ca="1"/>
        <v>22</v>
      </c>
      <c r="N158">
        <v>8</v>
      </c>
    </row>
    <row r="159" spans="2:15" x14ac:dyDescent="0.25">
      <c r="B159" s="15" t="str">
        <f ca="1"/>
        <v>30-May</v>
      </c>
      <c r="C159" s="17">
        <v>1</v>
      </c>
      <c r="D159" s="17">
        <v>0</v>
      </c>
      <c r="E159" s="17">
        <v>0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 s="17">
        <v>1</v>
      </c>
      <c r="M159">
        <f ca="1"/>
        <v>22</v>
      </c>
      <c r="N159">
        <v>8</v>
      </c>
    </row>
    <row r="160" spans="2:15" x14ac:dyDescent="0.25">
      <c r="B160" s="15" t="str">
        <f ca="1"/>
        <v>31-May</v>
      </c>
      <c r="C160" s="17">
        <v>1</v>
      </c>
      <c r="D160" s="17">
        <v>0</v>
      </c>
      <c r="E160" s="17">
        <v>0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 s="17">
        <v>1</v>
      </c>
      <c r="M160">
        <f ca="1"/>
        <v>22</v>
      </c>
      <c r="N160">
        <v>8</v>
      </c>
    </row>
    <row r="161" spans="2:14" x14ac:dyDescent="0.25">
      <c r="B161" s="15" t="str">
        <f ca="1"/>
        <v>01-Jun</v>
      </c>
      <c r="C161" s="17">
        <v>1</v>
      </c>
      <c r="D161" s="17">
        <v>0</v>
      </c>
      <c r="E161" s="17">
        <v>0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 s="17">
        <v>1</v>
      </c>
      <c r="M161">
        <f ca="1"/>
        <v>23</v>
      </c>
      <c r="N161">
        <v>8</v>
      </c>
    </row>
    <row r="162" spans="2:14" x14ac:dyDescent="0.25">
      <c r="B162" s="15" t="str">
        <f ca="1"/>
        <v>02-Jun</v>
      </c>
      <c r="C162" s="17">
        <v>1</v>
      </c>
      <c r="D162" s="17">
        <v>0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 s="17">
        <v>1</v>
      </c>
      <c r="M162">
        <f ca="1"/>
        <v>23</v>
      </c>
      <c r="N162">
        <v>9</v>
      </c>
    </row>
    <row r="163" spans="2:14" x14ac:dyDescent="0.25">
      <c r="B163" s="15" t="str">
        <f ca="1"/>
        <v>03-Jun</v>
      </c>
      <c r="C163" s="17">
        <v>1</v>
      </c>
      <c r="D163" s="17">
        <v>0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 s="17">
        <v>1</v>
      </c>
      <c r="M163">
        <f ca="1"/>
        <v>23</v>
      </c>
      <c r="N163">
        <v>9</v>
      </c>
    </row>
    <row r="164" spans="2:14" x14ac:dyDescent="0.25">
      <c r="B164" s="15" t="str">
        <f ca="1"/>
        <v>04-Jun</v>
      </c>
      <c r="C164" s="17">
        <v>1</v>
      </c>
      <c r="D164" s="17">
        <v>0</v>
      </c>
      <c r="E164" s="17">
        <v>0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 s="17">
        <v>1</v>
      </c>
      <c r="M164">
        <f ca="1"/>
        <v>23</v>
      </c>
      <c r="N164">
        <v>8</v>
      </c>
    </row>
    <row r="165" spans="2:14" x14ac:dyDescent="0.25">
      <c r="B165" s="15" t="str">
        <f ca="1"/>
        <v>05-Jun</v>
      </c>
      <c r="C165" s="17">
        <v>1</v>
      </c>
      <c r="D165" s="17">
        <v>0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 s="17">
        <v>1</v>
      </c>
      <c r="M165">
        <f ca="1"/>
        <v>23</v>
      </c>
      <c r="N165">
        <v>9</v>
      </c>
    </row>
    <row r="166" spans="2:14" x14ac:dyDescent="0.25">
      <c r="B166" s="15" t="str">
        <f ca="1"/>
        <v>06-Jun</v>
      </c>
      <c r="C166" s="17">
        <v>1</v>
      </c>
      <c r="D166" s="17">
        <v>0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 s="17">
        <v>1</v>
      </c>
      <c r="M166">
        <f ca="1"/>
        <v>23</v>
      </c>
      <c r="N166">
        <v>9</v>
      </c>
    </row>
    <row r="167" spans="2:14" x14ac:dyDescent="0.25">
      <c r="B167" s="15" t="str">
        <f ca="1"/>
        <v>07-Jun</v>
      </c>
      <c r="C167" s="17">
        <v>1</v>
      </c>
      <c r="D167" s="17">
        <v>0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 s="17">
        <v>1</v>
      </c>
      <c r="M167">
        <f ca="1"/>
        <v>23</v>
      </c>
      <c r="N167">
        <v>9</v>
      </c>
    </row>
    <row r="168" spans="2:14" x14ac:dyDescent="0.25">
      <c r="B168" s="15" t="str">
        <f ca="1"/>
        <v>08-Jun</v>
      </c>
      <c r="C168" s="17">
        <v>1</v>
      </c>
      <c r="D168" s="17">
        <v>0</v>
      </c>
      <c r="E168" s="17">
        <v>0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 s="17">
        <v>1</v>
      </c>
      <c r="M168">
        <f ca="1"/>
        <v>24</v>
      </c>
      <c r="N168">
        <v>8</v>
      </c>
    </row>
    <row r="169" spans="2:14" x14ac:dyDescent="0.25">
      <c r="B169" s="15" t="str">
        <f ca="1"/>
        <v>09-Jun</v>
      </c>
      <c r="C169" s="17">
        <v>1</v>
      </c>
      <c r="D169" s="17">
        <v>0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 s="17">
        <v>1</v>
      </c>
      <c r="M169">
        <f ca="1"/>
        <v>24</v>
      </c>
      <c r="N169">
        <v>9</v>
      </c>
    </row>
    <row r="170" spans="2:14" x14ac:dyDescent="0.25">
      <c r="B170" s="15" t="str">
        <f ca="1"/>
        <v>10-Jun</v>
      </c>
      <c r="C170" s="17">
        <v>1</v>
      </c>
      <c r="D170" s="17">
        <v>0</v>
      </c>
      <c r="E170" s="17">
        <v>0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 s="17">
        <v>1</v>
      </c>
      <c r="M170">
        <f ca="1"/>
        <v>24</v>
      </c>
      <c r="N170">
        <v>8</v>
      </c>
    </row>
    <row r="171" spans="2:14" x14ac:dyDescent="0.25">
      <c r="B171" s="15" t="str">
        <f ca="1"/>
        <v>11-Jun</v>
      </c>
      <c r="C171" s="17">
        <v>1</v>
      </c>
      <c r="D171" s="17">
        <v>0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 s="17">
        <v>1</v>
      </c>
      <c r="M171">
        <f ca="1"/>
        <v>24</v>
      </c>
      <c r="N171">
        <v>9</v>
      </c>
    </row>
    <row r="172" spans="2:14" x14ac:dyDescent="0.25">
      <c r="B172" s="15" t="str">
        <f ca="1"/>
        <v>12-Jun</v>
      </c>
      <c r="C172" s="17">
        <v>1</v>
      </c>
      <c r="D172" s="17">
        <v>0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 s="17">
        <v>1</v>
      </c>
      <c r="M172">
        <f ca="1"/>
        <v>24</v>
      </c>
      <c r="N172">
        <v>9</v>
      </c>
    </row>
    <row r="173" spans="2:14" x14ac:dyDescent="0.25">
      <c r="B173" s="15" t="str">
        <f ca="1"/>
        <v>13-Jun</v>
      </c>
      <c r="C173" s="17">
        <v>1</v>
      </c>
      <c r="D173" s="17">
        <v>0</v>
      </c>
      <c r="E173" s="17">
        <v>0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 s="17">
        <v>1</v>
      </c>
      <c r="M173">
        <f ca="1"/>
        <v>24</v>
      </c>
      <c r="N173">
        <v>8</v>
      </c>
    </row>
    <row r="174" spans="2:14" x14ac:dyDescent="0.25">
      <c r="B174" s="15" t="str">
        <f ca="1"/>
        <v>14-Jun</v>
      </c>
      <c r="C174" s="17">
        <v>1</v>
      </c>
      <c r="D174" s="17">
        <v>0</v>
      </c>
      <c r="E174" s="17">
        <v>0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 s="17">
        <v>1</v>
      </c>
      <c r="M174">
        <f ca="1"/>
        <v>24</v>
      </c>
      <c r="N174">
        <v>8</v>
      </c>
    </row>
    <row r="175" spans="2:14" x14ac:dyDescent="0.25">
      <c r="B175" s="15" t="str">
        <f ca="1"/>
        <v>15-Jun</v>
      </c>
      <c r="C175" s="17">
        <v>1</v>
      </c>
      <c r="D175" s="17">
        <v>0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 s="17">
        <v>1</v>
      </c>
      <c r="M175">
        <f ca="1"/>
        <v>25</v>
      </c>
      <c r="N175">
        <v>9</v>
      </c>
    </row>
    <row r="176" spans="2:14" x14ac:dyDescent="0.25">
      <c r="B176" s="15" t="str">
        <f ca="1"/>
        <v>16-Jun</v>
      </c>
      <c r="C176" s="17">
        <v>1</v>
      </c>
      <c r="D176" s="17">
        <v>0</v>
      </c>
      <c r="E176" s="17">
        <v>0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 s="17">
        <v>1</v>
      </c>
      <c r="M176">
        <f ca="1"/>
        <v>25</v>
      </c>
      <c r="N176">
        <v>8</v>
      </c>
    </row>
    <row r="177" spans="2:14" x14ac:dyDescent="0.25">
      <c r="B177" s="15" t="str">
        <f ca="1"/>
        <v>17-Jun</v>
      </c>
      <c r="C177" s="17">
        <v>1</v>
      </c>
      <c r="D177" s="17">
        <v>0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 s="17">
        <v>1</v>
      </c>
      <c r="M177">
        <f ca="1"/>
        <v>25</v>
      </c>
      <c r="N177">
        <v>9</v>
      </c>
    </row>
    <row r="178" spans="2:14" x14ac:dyDescent="0.25">
      <c r="B178" s="15" t="str">
        <f ca="1"/>
        <v>18-Jun</v>
      </c>
      <c r="C178" s="17">
        <v>1</v>
      </c>
      <c r="D178" s="17">
        <v>0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 s="17">
        <v>1</v>
      </c>
      <c r="M178">
        <f ca="1"/>
        <v>25</v>
      </c>
      <c r="N178">
        <v>9</v>
      </c>
    </row>
    <row r="179" spans="2:14" x14ac:dyDescent="0.25">
      <c r="B179" s="15" t="str">
        <f ca="1"/>
        <v>19-Jun</v>
      </c>
      <c r="C179" s="17">
        <v>1</v>
      </c>
      <c r="D179" s="17">
        <v>0</v>
      </c>
      <c r="E179" s="17">
        <v>0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 s="17">
        <v>1</v>
      </c>
      <c r="M179">
        <f ca="1"/>
        <v>25</v>
      </c>
      <c r="N179">
        <v>8</v>
      </c>
    </row>
    <row r="180" spans="2:14" x14ac:dyDescent="0.25">
      <c r="B180" s="15" t="str">
        <f ca="1"/>
        <v>20-Jun</v>
      </c>
      <c r="C180" s="17">
        <v>1</v>
      </c>
      <c r="D180" s="17">
        <v>0</v>
      </c>
      <c r="E180" s="17">
        <v>0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 s="17">
        <v>1</v>
      </c>
      <c r="M180">
        <f ca="1"/>
        <v>25</v>
      </c>
      <c r="N180">
        <v>8</v>
      </c>
    </row>
    <row r="181" spans="2:14" x14ac:dyDescent="0.25">
      <c r="B181" s="15" t="str">
        <f ca="1"/>
        <v>21-Jun</v>
      </c>
      <c r="C181" s="17">
        <v>1</v>
      </c>
      <c r="D181" s="17">
        <v>0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 s="17">
        <v>1</v>
      </c>
      <c r="M181">
        <f ca="1"/>
        <v>25</v>
      </c>
      <c r="N181">
        <v>9</v>
      </c>
    </row>
    <row r="182" spans="2:14" x14ac:dyDescent="0.25">
      <c r="B182" s="15" t="str">
        <f ca="1"/>
        <v>22-Jun</v>
      </c>
      <c r="C182" s="17">
        <v>1</v>
      </c>
      <c r="D182" s="17">
        <v>0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 s="17">
        <v>1</v>
      </c>
      <c r="M182">
        <f ca="1"/>
        <v>26</v>
      </c>
      <c r="N182">
        <v>9</v>
      </c>
    </row>
    <row r="183" spans="2:14" x14ac:dyDescent="0.25">
      <c r="B183" s="15" t="str">
        <f ca="1"/>
        <v>23-Jun</v>
      </c>
      <c r="C183" s="17">
        <v>1</v>
      </c>
      <c r="D183" s="17">
        <v>0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 s="17">
        <v>1</v>
      </c>
      <c r="M183">
        <f ca="1"/>
        <v>26</v>
      </c>
      <c r="N183">
        <v>9</v>
      </c>
    </row>
    <row r="184" spans="2:14" x14ac:dyDescent="0.25">
      <c r="B184" s="15" t="str">
        <f ca="1"/>
        <v>24-Jun</v>
      </c>
      <c r="C184" s="17">
        <v>1</v>
      </c>
      <c r="D184" s="17">
        <v>0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 s="17">
        <v>1</v>
      </c>
      <c r="M184">
        <f ca="1"/>
        <v>26</v>
      </c>
      <c r="N184">
        <v>9</v>
      </c>
    </row>
    <row r="185" spans="2:14" x14ac:dyDescent="0.25">
      <c r="B185" s="15" t="str">
        <f ca="1"/>
        <v>25-Jun</v>
      </c>
      <c r="C185" s="17">
        <v>1</v>
      </c>
      <c r="D185" s="17">
        <v>0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 s="17">
        <v>1</v>
      </c>
      <c r="M185">
        <f ca="1"/>
        <v>26</v>
      </c>
      <c r="N185">
        <v>9</v>
      </c>
    </row>
    <row r="186" spans="2:14" x14ac:dyDescent="0.25">
      <c r="B186" s="15" t="str">
        <f ca="1"/>
        <v>26-Jun</v>
      </c>
      <c r="C186" s="17">
        <v>1</v>
      </c>
      <c r="D186" s="17">
        <v>0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 s="17">
        <v>1</v>
      </c>
      <c r="M186">
        <f ca="1"/>
        <v>26</v>
      </c>
      <c r="N186">
        <v>9</v>
      </c>
    </row>
    <row r="187" spans="2:14" x14ac:dyDescent="0.25">
      <c r="B187" s="15" t="str">
        <f ca="1"/>
        <v>27-Jun</v>
      </c>
      <c r="C187" s="17">
        <v>1</v>
      </c>
      <c r="D187" s="17">
        <v>0</v>
      </c>
      <c r="E187" s="17">
        <v>0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 s="17">
        <v>1</v>
      </c>
      <c r="M187">
        <f ca="1"/>
        <v>26</v>
      </c>
      <c r="N187">
        <v>8</v>
      </c>
    </row>
    <row r="188" spans="2:14" x14ac:dyDescent="0.25">
      <c r="B188" s="15" t="str">
        <f ca="1"/>
        <v>28-Jun</v>
      </c>
      <c r="C188" s="17">
        <v>1</v>
      </c>
      <c r="D188" s="17">
        <v>0</v>
      </c>
      <c r="E188" s="17">
        <v>0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 s="17">
        <v>1</v>
      </c>
      <c r="M188">
        <f ca="1"/>
        <v>26</v>
      </c>
      <c r="N188">
        <v>8</v>
      </c>
    </row>
    <row r="189" spans="2:14" x14ac:dyDescent="0.25">
      <c r="B189" s="15" t="str">
        <f ca="1"/>
        <v>29-Jun</v>
      </c>
      <c r="C189" s="17">
        <v>1</v>
      </c>
      <c r="D189" s="17">
        <v>0</v>
      </c>
      <c r="E189" s="17">
        <v>0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 s="17">
        <v>1</v>
      </c>
      <c r="M189">
        <f ca="1"/>
        <v>27</v>
      </c>
      <c r="N189">
        <v>8</v>
      </c>
    </row>
    <row r="190" spans="2:14" x14ac:dyDescent="0.25">
      <c r="B190" s="15" t="str">
        <f ca="1"/>
        <v>30-Jun</v>
      </c>
      <c r="C190" s="17">
        <v>1</v>
      </c>
      <c r="D190" s="17">
        <v>0</v>
      </c>
      <c r="E190" s="17">
        <v>0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 s="17">
        <v>1</v>
      </c>
      <c r="M190">
        <f ca="1"/>
        <v>27</v>
      </c>
      <c r="N190">
        <v>8</v>
      </c>
    </row>
    <row r="191" spans="2:14" x14ac:dyDescent="0.25">
      <c r="B191" s="15" t="str">
        <f ca="1"/>
        <v>01-Jul</v>
      </c>
      <c r="C191" s="17">
        <v>1</v>
      </c>
      <c r="D191" s="17">
        <v>0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 s="17">
        <v>1</v>
      </c>
      <c r="M191">
        <f ca="1"/>
        <v>27</v>
      </c>
      <c r="N191">
        <v>9</v>
      </c>
    </row>
    <row r="192" spans="2:14" x14ac:dyDescent="0.25">
      <c r="B192" s="15" t="str">
        <f ca="1"/>
        <v>02-Jul</v>
      </c>
      <c r="C192" s="17">
        <v>1</v>
      </c>
      <c r="D192" s="17">
        <v>0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 s="17">
        <v>1</v>
      </c>
      <c r="M192">
        <f ca="1"/>
        <v>27</v>
      </c>
      <c r="N192">
        <v>9</v>
      </c>
    </row>
    <row r="193" spans="2:14" x14ac:dyDescent="0.25">
      <c r="B193" s="15" t="str">
        <f ca="1"/>
        <v>03-Jul</v>
      </c>
      <c r="C193" s="17">
        <v>1</v>
      </c>
      <c r="D193" s="17">
        <v>0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 s="17">
        <v>1</v>
      </c>
      <c r="M193">
        <f ca="1"/>
        <v>27</v>
      </c>
      <c r="N193">
        <v>9</v>
      </c>
    </row>
    <row r="194" spans="2:14" x14ac:dyDescent="0.25">
      <c r="B194" s="15" t="str">
        <f ca="1"/>
        <v>04-Jul</v>
      </c>
      <c r="C194" s="17">
        <v>1</v>
      </c>
      <c r="D194" s="17">
        <v>0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 s="17">
        <v>1</v>
      </c>
      <c r="M194">
        <f ca="1"/>
        <v>27</v>
      </c>
      <c r="N194">
        <v>9</v>
      </c>
    </row>
    <row r="195" spans="2:14" x14ac:dyDescent="0.25">
      <c r="B195" s="15" t="str">
        <f ca="1"/>
        <v>05-Jul</v>
      </c>
      <c r="C195" s="17">
        <v>1</v>
      </c>
      <c r="D195" s="17">
        <v>0</v>
      </c>
      <c r="E195" s="17">
        <v>0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 s="17">
        <v>1</v>
      </c>
      <c r="M195">
        <f ca="1"/>
        <v>27</v>
      </c>
      <c r="N195">
        <v>8</v>
      </c>
    </row>
    <row r="196" spans="2:14" x14ac:dyDescent="0.25">
      <c r="B196" s="15" t="str">
        <f ca="1"/>
        <v>06-Jul</v>
      </c>
      <c r="C196" s="17">
        <v>1</v>
      </c>
      <c r="D196" s="17">
        <v>0</v>
      </c>
      <c r="E196" s="17">
        <v>0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 s="17">
        <v>1</v>
      </c>
      <c r="M196">
        <f ca="1"/>
        <v>28</v>
      </c>
      <c r="N196">
        <v>8</v>
      </c>
    </row>
    <row r="197" spans="2:14" x14ac:dyDescent="0.25">
      <c r="B197" s="15" t="str">
        <f ca="1"/>
        <v>07-Jul</v>
      </c>
      <c r="C197" s="17">
        <v>1</v>
      </c>
      <c r="D197" s="17">
        <v>0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 s="17">
        <v>1</v>
      </c>
      <c r="M197">
        <f ca="1"/>
        <v>28</v>
      </c>
      <c r="N197">
        <v>9</v>
      </c>
    </row>
    <row r="198" spans="2:14" x14ac:dyDescent="0.25">
      <c r="B198" s="15" t="str">
        <f ca="1"/>
        <v>08-Jul</v>
      </c>
      <c r="C198" s="17">
        <v>1</v>
      </c>
      <c r="D198" s="17">
        <v>0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 s="17">
        <v>1</v>
      </c>
      <c r="M198">
        <f ca="1"/>
        <v>28</v>
      </c>
      <c r="N198">
        <v>9</v>
      </c>
    </row>
    <row r="199" spans="2:14" x14ac:dyDescent="0.25">
      <c r="B199" s="15" t="str">
        <f ca="1"/>
        <v>09-Jul</v>
      </c>
      <c r="C199" s="17">
        <v>1</v>
      </c>
      <c r="D199" s="17">
        <v>0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 s="17">
        <v>1</v>
      </c>
      <c r="M199">
        <f ca="1"/>
        <v>28</v>
      </c>
      <c r="N199">
        <v>9</v>
      </c>
    </row>
    <row r="200" spans="2:14" x14ac:dyDescent="0.25">
      <c r="B200" s="15" t="str">
        <f ca="1"/>
        <v>10-Jul</v>
      </c>
      <c r="C200" s="17">
        <v>1</v>
      </c>
      <c r="D200" s="17">
        <v>0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 s="17">
        <v>1</v>
      </c>
      <c r="M200">
        <f ca="1"/>
        <v>28</v>
      </c>
      <c r="N200">
        <v>9</v>
      </c>
    </row>
    <row r="201" spans="2:14" x14ac:dyDescent="0.25">
      <c r="B201" s="15" t="str">
        <f ca="1"/>
        <v>11-Jul</v>
      </c>
      <c r="C201" s="17">
        <v>1</v>
      </c>
      <c r="D201" s="17">
        <v>0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 s="17">
        <v>1</v>
      </c>
      <c r="M201">
        <f ca="1"/>
        <v>28</v>
      </c>
      <c r="N201">
        <v>9</v>
      </c>
    </row>
    <row r="202" spans="2:14" x14ac:dyDescent="0.25">
      <c r="B202" s="15" t="str">
        <f ca="1"/>
        <v>12-Jul</v>
      </c>
      <c r="C202" s="17">
        <v>1</v>
      </c>
      <c r="D202" s="17">
        <v>0</v>
      </c>
      <c r="E202" s="17">
        <v>0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 s="17">
        <v>1</v>
      </c>
      <c r="M202">
        <f ca="1"/>
        <v>28</v>
      </c>
      <c r="N202">
        <v>8</v>
      </c>
    </row>
    <row r="203" spans="2:14" x14ac:dyDescent="0.25">
      <c r="B203" s="15" t="str">
        <f ca="1"/>
        <v>13-Jul</v>
      </c>
      <c r="C203" s="17">
        <v>1</v>
      </c>
      <c r="D203" s="17">
        <v>0</v>
      </c>
      <c r="E203" s="17">
        <v>0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 s="17">
        <v>1</v>
      </c>
      <c r="M203">
        <f ca="1"/>
        <v>29</v>
      </c>
      <c r="N203">
        <v>8</v>
      </c>
    </row>
    <row r="204" spans="2:14" x14ac:dyDescent="0.25">
      <c r="B204" s="15" t="str">
        <f ca="1"/>
        <v>14-Jul</v>
      </c>
      <c r="C204" s="17">
        <v>1</v>
      </c>
      <c r="D204" s="17">
        <v>0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 s="17">
        <v>1</v>
      </c>
      <c r="M204">
        <f ca="1"/>
        <v>29</v>
      </c>
      <c r="N204">
        <v>9</v>
      </c>
    </row>
    <row r="205" spans="2:14" x14ac:dyDescent="0.25">
      <c r="B205" s="15" t="str">
        <f ca="1"/>
        <v>15-Jul</v>
      </c>
      <c r="C205" s="17">
        <v>1</v>
      </c>
      <c r="D205" s="17">
        <v>0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 s="17">
        <v>1</v>
      </c>
      <c r="M205">
        <f ca="1"/>
        <v>29</v>
      </c>
      <c r="N205">
        <v>9</v>
      </c>
    </row>
    <row r="206" spans="2:14" x14ac:dyDescent="0.25">
      <c r="B206" s="15" t="str">
        <f ca="1"/>
        <v>16-Jul</v>
      </c>
      <c r="C206" s="17">
        <v>1</v>
      </c>
      <c r="D206" s="17">
        <v>0</v>
      </c>
      <c r="E206" s="17">
        <v>0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 s="17">
        <v>1</v>
      </c>
      <c r="M206">
        <f ca="1"/>
        <v>29</v>
      </c>
      <c r="N206">
        <v>8</v>
      </c>
    </row>
    <row r="207" spans="2:14" x14ac:dyDescent="0.25">
      <c r="B207" s="15" t="str">
        <f ca="1"/>
        <v>17-Jul</v>
      </c>
      <c r="C207" s="17">
        <v>1</v>
      </c>
      <c r="D207" s="17">
        <v>0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 s="17">
        <v>1</v>
      </c>
      <c r="M207">
        <f ca="1"/>
        <v>29</v>
      </c>
      <c r="N207">
        <v>9</v>
      </c>
    </row>
    <row r="208" spans="2:14" x14ac:dyDescent="0.25">
      <c r="B208" s="15" t="str">
        <f ca="1"/>
        <v>18-Jul</v>
      </c>
      <c r="C208" s="17">
        <v>1</v>
      </c>
      <c r="D208" s="17">
        <v>0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 s="17">
        <v>1</v>
      </c>
      <c r="M208">
        <f ca="1"/>
        <v>29</v>
      </c>
      <c r="N208">
        <v>9</v>
      </c>
    </row>
    <row r="209" spans="2:25" x14ac:dyDescent="0.25">
      <c r="B209" s="15" t="str">
        <f ca="1"/>
        <v>19-Jul</v>
      </c>
      <c r="C209" s="17">
        <v>1</v>
      </c>
      <c r="D209" s="17">
        <v>0</v>
      </c>
      <c r="E209" s="17">
        <v>0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 s="17">
        <v>1</v>
      </c>
      <c r="M209">
        <f ca="1"/>
        <v>29</v>
      </c>
      <c r="N209">
        <v>8</v>
      </c>
    </row>
    <row r="210" spans="2:25" x14ac:dyDescent="0.25">
      <c r="B210" s="15" t="str">
        <f ca="1"/>
        <v>20-Jul</v>
      </c>
      <c r="C210" s="17">
        <v>1</v>
      </c>
      <c r="D210" s="17">
        <v>0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 s="17">
        <v>1</v>
      </c>
      <c r="M210">
        <f ca="1"/>
        <v>30</v>
      </c>
      <c r="N210">
        <v>9</v>
      </c>
    </row>
    <row r="211" spans="2:25" x14ac:dyDescent="0.25">
      <c r="B211" s="15" t="str">
        <f ca="1"/>
        <v>21-Jul</v>
      </c>
      <c r="C211" s="17">
        <v>1</v>
      </c>
      <c r="D211" s="17">
        <v>0</v>
      </c>
      <c r="E211" s="17">
        <v>0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 s="17">
        <v>1</v>
      </c>
      <c r="M211">
        <f ca="1"/>
        <v>30</v>
      </c>
      <c r="N211">
        <v>8</v>
      </c>
    </row>
    <row r="212" spans="2:25" x14ac:dyDescent="0.25">
      <c r="B212" s="15" t="str">
        <f ca="1"/>
        <v>22-Jul</v>
      </c>
      <c r="C212" s="17">
        <v>1</v>
      </c>
      <c r="D212" s="17">
        <v>0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 s="17">
        <v>1</v>
      </c>
      <c r="M212">
        <f ca="1"/>
        <v>30</v>
      </c>
      <c r="N212">
        <v>9</v>
      </c>
    </row>
    <row r="213" spans="2:25" x14ac:dyDescent="0.25">
      <c r="B213" s="15" t="str">
        <f ca="1"/>
        <v>23-Jul</v>
      </c>
      <c r="C213" s="17">
        <v>1</v>
      </c>
      <c r="D213" s="17">
        <v>0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 s="17">
        <v>1</v>
      </c>
      <c r="M213">
        <f ca="1"/>
        <v>30</v>
      </c>
      <c r="N213">
        <v>9</v>
      </c>
    </row>
    <row r="214" spans="2:25" x14ac:dyDescent="0.25">
      <c r="B214" s="15" t="str">
        <f ca="1"/>
        <v>24-Jul</v>
      </c>
      <c r="C214" s="17">
        <v>1</v>
      </c>
      <c r="D214" s="17">
        <v>0</v>
      </c>
      <c r="E214" s="17">
        <v>0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 s="17">
        <v>1</v>
      </c>
      <c r="M214">
        <f ca="1"/>
        <v>30</v>
      </c>
      <c r="N214">
        <v>8</v>
      </c>
    </row>
    <row r="215" spans="2:25" x14ac:dyDescent="0.25">
      <c r="B215" s="15" t="str">
        <f ca="1"/>
        <v>25-Jul</v>
      </c>
      <c r="C215" s="17">
        <v>1</v>
      </c>
      <c r="D215" s="17">
        <v>0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 s="17">
        <v>1</v>
      </c>
      <c r="M215">
        <f ca="1"/>
        <v>30</v>
      </c>
      <c r="N215">
        <v>9</v>
      </c>
    </row>
    <row r="216" spans="2:25" x14ac:dyDescent="0.25">
      <c r="B216" s="15" t="str">
        <f ca="1"/>
        <v>26-Jul</v>
      </c>
      <c r="C216" s="17">
        <v>1</v>
      </c>
      <c r="D216" s="17">
        <v>0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 s="17">
        <v>1</v>
      </c>
      <c r="M216">
        <f ca="1"/>
        <v>30</v>
      </c>
      <c r="N216">
        <v>9</v>
      </c>
    </row>
    <row r="217" spans="2:25" x14ac:dyDescent="0.25">
      <c r="B217" s="15" t="str">
        <f ca="1"/>
        <v>27-Jul</v>
      </c>
      <c r="C217" s="17">
        <v>1</v>
      </c>
      <c r="D217" s="17">
        <v>0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 s="17">
        <v>1</v>
      </c>
      <c r="M217">
        <f ca="1"/>
        <v>31</v>
      </c>
      <c r="N217">
        <v>9</v>
      </c>
    </row>
    <row r="218" spans="2:25" x14ac:dyDescent="0.25">
      <c r="B218" s="15" t="str">
        <f ca="1"/>
        <v>28-Jul</v>
      </c>
      <c r="C218" s="17">
        <v>1</v>
      </c>
      <c r="D218" s="17">
        <v>0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 s="17">
        <v>1</v>
      </c>
      <c r="M218">
        <f ca="1"/>
        <v>31</v>
      </c>
      <c r="N218">
        <v>9</v>
      </c>
      <c r="Q218"/>
      <c r="R218"/>
      <c r="S218"/>
      <c r="T218"/>
      <c r="U218"/>
      <c r="V218"/>
      <c r="W218"/>
      <c r="X218"/>
      <c r="Y218"/>
    </row>
    <row r="219" spans="2:25" x14ac:dyDescent="0.25">
      <c r="B219" s="15" t="str">
        <f ca="1"/>
        <v>29-Jul</v>
      </c>
      <c r="C219" s="17">
        <v>1</v>
      </c>
      <c r="D219" s="17">
        <v>0</v>
      </c>
      <c r="E219" s="17">
        <v>0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 s="17">
        <v>1</v>
      </c>
      <c r="M219">
        <f ca="1"/>
        <v>31</v>
      </c>
      <c r="N219">
        <v>8</v>
      </c>
    </row>
    <row r="220" spans="2:25" x14ac:dyDescent="0.25">
      <c r="B220" s="15" t="str">
        <f ca="1"/>
        <v>30-Jul</v>
      </c>
      <c r="C220" s="17">
        <v>1</v>
      </c>
      <c r="D220" s="17">
        <v>0</v>
      </c>
      <c r="E220" s="17">
        <v>0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 s="17">
        <v>1</v>
      </c>
      <c r="M220">
        <f ca="1"/>
        <v>31</v>
      </c>
      <c r="N220">
        <v>8</v>
      </c>
    </row>
    <row r="221" spans="2:25" x14ac:dyDescent="0.25">
      <c r="B221" s="15" t="str">
        <f ca="1"/>
        <v>31-Jul</v>
      </c>
      <c r="C221" s="17">
        <v>1</v>
      </c>
      <c r="D221" s="17">
        <v>0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 s="17">
        <v>1</v>
      </c>
      <c r="M221">
        <f ca="1"/>
        <v>31</v>
      </c>
      <c r="N221">
        <v>9</v>
      </c>
    </row>
    <row r="222" spans="2:25" x14ac:dyDescent="0.25">
      <c r="B222" s="15" t="str">
        <f ca="1"/>
        <v>01-Aug</v>
      </c>
      <c r="C222" s="17">
        <v>1</v>
      </c>
      <c r="D222" s="17">
        <v>0</v>
      </c>
      <c r="E222" s="17">
        <v>0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 s="17">
        <v>1</v>
      </c>
      <c r="M222">
        <f ca="1"/>
        <v>31</v>
      </c>
      <c r="N222">
        <v>8</v>
      </c>
    </row>
    <row r="223" spans="2:25" x14ac:dyDescent="0.25">
      <c r="B223" s="15" t="str">
        <f ca="1"/>
        <v>02-Aug</v>
      </c>
      <c r="C223" s="17">
        <v>1</v>
      </c>
      <c r="D223" s="17">
        <v>0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 s="17">
        <v>1</v>
      </c>
      <c r="M223">
        <f ca="1"/>
        <v>31</v>
      </c>
      <c r="N223">
        <v>9</v>
      </c>
    </row>
    <row r="224" spans="2:25" x14ac:dyDescent="0.25">
      <c r="B224" s="15" t="str">
        <f ca="1"/>
        <v>03-Aug</v>
      </c>
      <c r="C224" s="17">
        <v>1</v>
      </c>
      <c r="D224" s="17">
        <v>0</v>
      </c>
      <c r="E224" s="17">
        <v>0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 s="17">
        <v>1</v>
      </c>
      <c r="M224">
        <f ca="1"/>
        <v>32</v>
      </c>
      <c r="N224">
        <v>8</v>
      </c>
    </row>
    <row r="225" spans="2:14" x14ac:dyDescent="0.25">
      <c r="B225" s="15" t="str">
        <f ca="1"/>
        <v>04-Aug</v>
      </c>
      <c r="C225" s="17">
        <v>1</v>
      </c>
      <c r="D225" s="17">
        <v>0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 s="17">
        <v>1</v>
      </c>
      <c r="M225">
        <f ca="1"/>
        <v>32</v>
      </c>
      <c r="N225">
        <v>9</v>
      </c>
    </row>
    <row r="226" spans="2:14" x14ac:dyDescent="0.25">
      <c r="B226" s="15" t="str">
        <f ca="1"/>
        <v>05-Aug</v>
      </c>
      <c r="C226" s="17">
        <v>1</v>
      </c>
      <c r="D226" s="17">
        <v>0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 s="17">
        <v>1</v>
      </c>
      <c r="M226">
        <f ca="1"/>
        <v>32</v>
      </c>
      <c r="N226">
        <v>9</v>
      </c>
    </row>
    <row r="227" spans="2:14" x14ac:dyDescent="0.25">
      <c r="B227" s="15" t="str">
        <f ca="1"/>
        <v>06-Aug</v>
      </c>
      <c r="C227" s="17">
        <v>1</v>
      </c>
      <c r="D227" s="17">
        <v>0</v>
      </c>
      <c r="E227" s="17">
        <v>0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 s="17">
        <v>1</v>
      </c>
      <c r="M227">
        <f ca="1"/>
        <v>32</v>
      </c>
      <c r="N227">
        <v>8</v>
      </c>
    </row>
    <row r="228" spans="2:14" x14ac:dyDescent="0.25">
      <c r="B228" s="15" t="str">
        <f ca="1"/>
        <v>07-Aug</v>
      </c>
      <c r="C228" s="17">
        <v>1</v>
      </c>
      <c r="D228" s="17">
        <v>0</v>
      </c>
      <c r="E228" s="17">
        <v>0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 s="17">
        <v>1</v>
      </c>
      <c r="M228">
        <f ca="1"/>
        <v>32</v>
      </c>
      <c r="N228">
        <v>8</v>
      </c>
    </row>
    <row r="229" spans="2:14" x14ac:dyDescent="0.25">
      <c r="B229" s="15" t="str">
        <f ca="1"/>
        <v>08-Aug</v>
      </c>
      <c r="C229" s="17">
        <v>1</v>
      </c>
      <c r="D229" s="17">
        <v>0</v>
      </c>
      <c r="E229" s="17">
        <v>1</v>
      </c>
      <c r="F229" s="20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 s="17">
        <v>1</v>
      </c>
      <c r="M229">
        <f ca="1"/>
        <v>32</v>
      </c>
      <c r="N229">
        <v>9</v>
      </c>
    </row>
    <row r="230" spans="2:14" x14ac:dyDescent="0.25">
      <c r="B230" s="15" t="str">
        <f ca="1"/>
        <v>09-Aug</v>
      </c>
      <c r="C230" s="17">
        <v>1</v>
      </c>
      <c r="D230" s="17">
        <v>0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 s="17">
        <v>1</v>
      </c>
      <c r="M230">
        <f ca="1"/>
        <v>32</v>
      </c>
      <c r="N230">
        <v>9</v>
      </c>
    </row>
    <row r="231" spans="2:14" x14ac:dyDescent="0.25">
      <c r="B231" s="15" t="str">
        <f ca="1"/>
        <v>10-Aug</v>
      </c>
      <c r="C231" s="21">
        <v>1</v>
      </c>
      <c r="D231" s="17">
        <v>0</v>
      </c>
      <c r="E231" s="16">
        <v>1</v>
      </c>
      <c r="F231" s="17">
        <v>1</v>
      </c>
      <c r="G231" s="16">
        <v>0</v>
      </c>
      <c r="H231" s="16">
        <v>0</v>
      </c>
      <c r="I231" s="16">
        <v>1</v>
      </c>
      <c r="J231" s="16">
        <v>1</v>
      </c>
      <c r="K231" s="16">
        <v>1</v>
      </c>
      <c r="L231" s="16">
        <v>1</v>
      </c>
      <c r="M231">
        <f ca="1"/>
        <v>33</v>
      </c>
      <c r="N231">
        <v>7</v>
      </c>
    </row>
    <row r="232" spans="2:14" x14ac:dyDescent="0.25">
      <c r="B232" s="15" t="str">
        <f ca="1"/>
        <v>11-Aug</v>
      </c>
      <c r="C232" s="21">
        <v>1</v>
      </c>
      <c r="D232" s="17">
        <v>0</v>
      </c>
      <c r="E232" s="16">
        <v>1</v>
      </c>
      <c r="F232" s="17">
        <v>1</v>
      </c>
      <c r="G232" s="16">
        <v>0</v>
      </c>
      <c r="H232" s="16">
        <v>0</v>
      </c>
      <c r="I232" s="16">
        <v>1</v>
      </c>
      <c r="J232" s="16">
        <v>1</v>
      </c>
      <c r="K232" s="16">
        <v>1</v>
      </c>
      <c r="L232" s="16">
        <v>1</v>
      </c>
      <c r="M232">
        <f ca="1"/>
        <v>33</v>
      </c>
      <c r="N232">
        <v>7</v>
      </c>
    </row>
    <row r="233" spans="2:14" x14ac:dyDescent="0.25">
      <c r="B233" s="15" t="str">
        <f ca="1"/>
        <v>12-Aug</v>
      </c>
      <c r="C233" s="21">
        <v>1</v>
      </c>
      <c r="D233" s="17">
        <v>0</v>
      </c>
      <c r="E233" s="16">
        <v>0</v>
      </c>
      <c r="F233" s="17">
        <v>1</v>
      </c>
      <c r="G233" s="16">
        <v>0</v>
      </c>
      <c r="H233" s="16">
        <v>0</v>
      </c>
      <c r="I233" s="16">
        <v>1</v>
      </c>
      <c r="J233" s="16">
        <v>1</v>
      </c>
      <c r="K233" s="16">
        <v>1</v>
      </c>
      <c r="L233" s="16">
        <v>1</v>
      </c>
      <c r="M233">
        <f ca="1"/>
        <v>33</v>
      </c>
      <c r="N233">
        <v>6</v>
      </c>
    </row>
    <row r="234" spans="2:14" x14ac:dyDescent="0.25">
      <c r="B234" s="15" t="str">
        <f ca="1"/>
        <v>13-Aug</v>
      </c>
      <c r="C234" s="21">
        <v>1</v>
      </c>
      <c r="D234" s="17">
        <v>0</v>
      </c>
      <c r="E234" s="16">
        <v>0</v>
      </c>
      <c r="F234" s="17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 s="16">
        <v>1</v>
      </c>
      <c r="M234">
        <f ca="1"/>
        <v>33</v>
      </c>
      <c r="N234">
        <v>8</v>
      </c>
    </row>
    <row r="235" spans="2:14" x14ac:dyDescent="0.25">
      <c r="B235" s="15" t="str">
        <f ca="1"/>
        <v>14-Aug</v>
      </c>
      <c r="C235" s="21">
        <v>1</v>
      </c>
      <c r="D235" s="17">
        <v>0</v>
      </c>
      <c r="E235" s="16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 s="17">
        <v>1</v>
      </c>
      <c r="M235">
        <f ca="1"/>
        <v>33</v>
      </c>
      <c r="N235">
        <v>9</v>
      </c>
    </row>
    <row r="236" spans="2:14" x14ac:dyDescent="0.25">
      <c r="B236" s="15" t="str">
        <f ca="1"/>
        <v>15-Aug</v>
      </c>
      <c r="C236" s="21">
        <v>1</v>
      </c>
      <c r="D236" s="17">
        <v>0</v>
      </c>
      <c r="E236" s="16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 s="17">
        <v>1</v>
      </c>
      <c r="M236">
        <f ca="1"/>
        <v>33</v>
      </c>
      <c r="N236">
        <v>9</v>
      </c>
    </row>
    <row r="237" spans="2:14" x14ac:dyDescent="0.25">
      <c r="B237" s="15" t="str">
        <f ca="1"/>
        <v>16-Aug</v>
      </c>
      <c r="C237" s="21">
        <v>1</v>
      </c>
      <c r="D237" s="17">
        <v>0</v>
      </c>
      <c r="E237" s="16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 s="17">
        <v>1</v>
      </c>
      <c r="M237">
        <f ca="1"/>
        <v>33</v>
      </c>
      <c r="N237">
        <v>9</v>
      </c>
    </row>
    <row r="238" spans="2:14" x14ac:dyDescent="0.25">
      <c r="B238" s="15" t="str">
        <f ca="1"/>
        <v>17-Aug</v>
      </c>
      <c r="C238" s="21">
        <v>1</v>
      </c>
      <c r="D238" s="17">
        <v>0</v>
      </c>
      <c r="E238" s="16">
        <v>0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 s="16">
        <v>1</v>
      </c>
      <c r="M238">
        <f ca="1"/>
        <v>34</v>
      </c>
      <c r="N238">
        <v>8</v>
      </c>
    </row>
    <row r="239" spans="2:14" x14ac:dyDescent="0.25">
      <c r="B239" s="15" t="str">
        <f ca="1"/>
        <v>18-Aug</v>
      </c>
      <c r="C239" s="21">
        <v>1</v>
      </c>
      <c r="D239" s="17">
        <v>0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 s="16">
        <v>1</v>
      </c>
      <c r="M239">
        <f ca="1"/>
        <v>34</v>
      </c>
      <c r="N239">
        <v>9</v>
      </c>
    </row>
    <row r="240" spans="2:14" x14ac:dyDescent="0.25">
      <c r="B240" s="15" t="str">
        <f ca="1"/>
        <v>19-Aug</v>
      </c>
      <c r="C240" s="21">
        <v>1</v>
      </c>
      <c r="D240" s="17">
        <v>0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 s="16">
        <v>1</v>
      </c>
      <c r="M240">
        <f ca="1"/>
        <v>34</v>
      </c>
      <c r="N240">
        <v>9</v>
      </c>
    </row>
    <row r="241" spans="2:14" x14ac:dyDescent="0.25">
      <c r="B241" s="15" t="str">
        <f ca="1"/>
        <v>20-Aug</v>
      </c>
      <c r="C241" s="21">
        <v>1</v>
      </c>
      <c r="D241" s="17">
        <v>0</v>
      </c>
      <c r="E241" s="16">
        <v>0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 s="16">
        <v>1</v>
      </c>
      <c r="M241">
        <f ca="1"/>
        <v>34</v>
      </c>
      <c r="N241">
        <v>8</v>
      </c>
    </row>
    <row r="242" spans="2:14" x14ac:dyDescent="0.25">
      <c r="B242" s="15" t="str">
        <f ca="1"/>
        <v>21-Aug</v>
      </c>
      <c r="C242" s="21">
        <v>1</v>
      </c>
      <c r="D242" s="17">
        <v>0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 s="16">
        <v>1</v>
      </c>
      <c r="M242">
        <f ca="1"/>
        <v>34</v>
      </c>
      <c r="N242">
        <v>9</v>
      </c>
    </row>
    <row r="243" spans="2:14" x14ac:dyDescent="0.25">
      <c r="B243" s="15" t="str">
        <f ca="1"/>
        <v>22-Aug</v>
      </c>
      <c r="C243" s="21">
        <v>1</v>
      </c>
      <c r="D243" s="17">
        <v>0</v>
      </c>
      <c r="E243" s="16">
        <v>0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 s="16">
        <v>1</v>
      </c>
      <c r="M243">
        <f ca="1"/>
        <v>34</v>
      </c>
      <c r="N243">
        <v>8</v>
      </c>
    </row>
    <row r="244" spans="2:14" x14ac:dyDescent="0.25">
      <c r="B244" s="15" t="str">
        <f ca="1"/>
        <v>23-Aug</v>
      </c>
      <c r="C244" s="21">
        <v>1</v>
      </c>
      <c r="D244" s="17">
        <v>0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 s="16">
        <v>1</v>
      </c>
      <c r="M244">
        <f ca="1"/>
        <v>34</v>
      </c>
      <c r="N244">
        <v>9</v>
      </c>
    </row>
    <row r="245" spans="2:14" x14ac:dyDescent="0.25">
      <c r="B245" s="15" t="str">
        <f ca="1"/>
        <v>24-Aug</v>
      </c>
      <c r="C245" s="21">
        <v>1</v>
      </c>
      <c r="D245" s="17">
        <v>0</v>
      </c>
      <c r="E245" s="16">
        <v>0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 s="16">
        <v>1</v>
      </c>
      <c r="M245">
        <f ca="1"/>
        <v>35</v>
      </c>
      <c r="N245">
        <v>8</v>
      </c>
    </row>
    <row r="246" spans="2:14" x14ac:dyDescent="0.25">
      <c r="B246" s="15" t="str">
        <f ca="1"/>
        <v>25-Aug</v>
      </c>
      <c r="C246" s="21">
        <v>1</v>
      </c>
      <c r="D246" s="17">
        <v>0</v>
      </c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 s="16">
        <v>1</v>
      </c>
      <c r="M246">
        <f ca="1"/>
        <v>35</v>
      </c>
      <c r="N246">
        <v>9</v>
      </c>
    </row>
    <row r="247" spans="2:14" x14ac:dyDescent="0.25">
      <c r="B247" s="15" t="str">
        <f ca="1"/>
        <v>26-Aug</v>
      </c>
      <c r="C247" s="21">
        <v>1</v>
      </c>
      <c r="D247" s="17">
        <v>0</v>
      </c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 s="16">
        <v>1</v>
      </c>
      <c r="M247">
        <f ca="1"/>
        <v>35</v>
      </c>
      <c r="N247">
        <v>9</v>
      </c>
    </row>
    <row r="248" spans="2:14" x14ac:dyDescent="0.25">
      <c r="B248" s="15" t="str">
        <f ca="1"/>
        <v>27-Aug</v>
      </c>
      <c r="C248" s="21">
        <v>1</v>
      </c>
      <c r="D248" s="17">
        <v>0</v>
      </c>
      <c r="E248" s="16">
        <v>0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 s="16">
        <v>1</v>
      </c>
      <c r="M248">
        <f ca="1"/>
        <v>35</v>
      </c>
      <c r="N248">
        <v>8</v>
      </c>
    </row>
    <row r="249" spans="2:14" x14ac:dyDescent="0.25">
      <c r="B249" s="15" t="str">
        <f ca="1"/>
        <v>28-Aug</v>
      </c>
      <c r="C249" s="21">
        <v>1</v>
      </c>
      <c r="D249" s="17">
        <v>0</v>
      </c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 s="16">
        <v>1</v>
      </c>
      <c r="M249">
        <f ca="1"/>
        <v>35</v>
      </c>
      <c r="N249">
        <v>9</v>
      </c>
    </row>
    <row r="250" spans="2:14" x14ac:dyDescent="0.25">
      <c r="B250" s="15" t="str">
        <f ca="1"/>
        <v>29-Aug</v>
      </c>
      <c r="C250" s="21">
        <v>1</v>
      </c>
      <c r="D250" s="17">
        <v>0</v>
      </c>
      <c r="E250" s="16">
        <v>0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 s="16">
        <v>1</v>
      </c>
      <c r="M250">
        <f ca="1"/>
        <v>35</v>
      </c>
      <c r="N250">
        <v>8</v>
      </c>
    </row>
    <row r="251" spans="2:14" x14ac:dyDescent="0.25">
      <c r="B251" s="15" t="str">
        <f ca="1"/>
        <v>30-Aug</v>
      </c>
      <c r="C251" s="21">
        <v>1</v>
      </c>
      <c r="D251" s="17">
        <v>0</v>
      </c>
      <c r="E251" s="16">
        <v>0</v>
      </c>
      <c r="F251" s="16">
        <v>1</v>
      </c>
      <c r="G251" s="16">
        <v>1</v>
      </c>
      <c r="H251" s="16">
        <v>1</v>
      </c>
      <c r="I251" s="16">
        <v>1</v>
      </c>
      <c r="J251" s="16">
        <v>1</v>
      </c>
      <c r="K251" s="16">
        <v>1</v>
      </c>
      <c r="L251" s="16">
        <v>1</v>
      </c>
      <c r="M251">
        <f ca="1"/>
        <v>35</v>
      </c>
      <c r="N251">
        <v>8</v>
      </c>
    </row>
    <row r="252" spans="2:14" x14ac:dyDescent="0.25">
      <c r="B252" s="15" t="str">
        <f ca="1"/>
        <v>31-Aug</v>
      </c>
      <c r="C252" s="21">
        <v>1</v>
      </c>
      <c r="D252" s="17">
        <v>0</v>
      </c>
      <c r="E252" s="16">
        <v>0</v>
      </c>
      <c r="F252" s="16">
        <v>1</v>
      </c>
      <c r="G252" s="16">
        <v>1</v>
      </c>
      <c r="H252" s="16">
        <v>1</v>
      </c>
      <c r="I252" s="16">
        <v>1</v>
      </c>
      <c r="J252" s="16">
        <v>1</v>
      </c>
      <c r="K252" s="16">
        <v>1</v>
      </c>
      <c r="L252" s="16">
        <v>1</v>
      </c>
      <c r="M252">
        <f ca="1"/>
        <v>36</v>
      </c>
      <c r="N252">
        <v>8</v>
      </c>
    </row>
    <row r="253" spans="2:14" x14ac:dyDescent="0.25">
      <c r="B253" s="15" t="str">
        <f ca="1"/>
        <v>01-Sep</v>
      </c>
      <c r="C253" s="21">
        <v>1</v>
      </c>
      <c r="D253" s="17">
        <v>0</v>
      </c>
      <c r="E253" s="16">
        <v>0</v>
      </c>
      <c r="F253" s="16">
        <v>1</v>
      </c>
      <c r="G253" s="16">
        <v>1</v>
      </c>
      <c r="H253" s="16">
        <v>1</v>
      </c>
      <c r="I253" s="16">
        <v>1</v>
      </c>
      <c r="J253" s="16">
        <v>1</v>
      </c>
      <c r="K253" s="16">
        <v>1</v>
      </c>
      <c r="L253" s="16">
        <v>1</v>
      </c>
      <c r="M253">
        <f ca="1"/>
        <v>36</v>
      </c>
      <c r="N253">
        <v>8</v>
      </c>
    </row>
    <row r="254" spans="2:14" x14ac:dyDescent="0.25">
      <c r="B254" s="15" t="str">
        <f ca="1"/>
        <v>02-Sep</v>
      </c>
      <c r="C254" s="21">
        <v>1</v>
      </c>
      <c r="D254" s="17">
        <v>0</v>
      </c>
      <c r="E254" s="16">
        <v>1</v>
      </c>
      <c r="F254" s="16">
        <v>1</v>
      </c>
      <c r="G254" s="16">
        <v>1</v>
      </c>
      <c r="H254" s="16">
        <v>1</v>
      </c>
      <c r="I254" s="16">
        <v>1</v>
      </c>
      <c r="J254" s="16">
        <v>1</v>
      </c>
      <c r="K254" s="16">
        <v>1</v>
      </c>
      <c r="L254" s="16">
        <v>1</v>
      </c>
      <c r="M254">
        <f ca="1"/>
        <v>36</v>
      </c>
      <c r="N254">
        <v>9</v>
      </c>
    </row>
    <row r="255" spans="2:14" x14ac:dyDescent="0.25">
      <c r="B255" s="15" t="str">
        <f ca="1"/>
        <v>03-Sep</v>
      </c>
      <c r="C255" s="21">
        <v>1</v>
      </c>
      <c r="D255" s="17">
        <v>0</v>
      </c>
      <c r="E255" s="16">
        <v>1</v>
      </c>
      <c r="F255" s="16">
        <v>1</v>
      </c>
      <c r="G255" s="16">
        <v>1</v>
      </c>
      <c r="H255" s="16">
        <v>1</v>
      </c>
      <c r="I255" s="16">
        <v>1</v>
      </c>
      <c r="J255" s="16">
        <v>1</v>
      </c>
      <c r="K255" s="16">
        <v>1</v>
      </c>
      <c r="L255" s="16">
        <v>1</v>
      </c>
      <c r="M255">
        <f ca="1"/>
        <v>36</v>
      </c>
      <c r="N255">
        <v>9</v>
      </c>
    </row>
    <row r="256" spans="2:14" x14ac:dyDescent="0.25">
      <c r="B256" s="15" t="str">
        <f ca="1"/>
        <v>04-Sep</v>
      </c>
      <c r="C256" s="21">
        <v>1</v>
      </c>
      <c r="D256" s="17">
        <v>0</v>
      </c>
      <c r="E256" s="16">
        <v>1</v>
      </c>
      <c r="F256" s="16">
        <v>1</v>
      </c>
      <c r="G256" s="16">
        <v>1</v>
      </c>
      <c r="H256" s="16">
        <v>1</v>
      </c>
      <c r="I256" s="16">
        <v>1</v>
      </c>
      <c r="J256" s="16">
        <v>1</v>
      </c>
      <c r="K256" s="16">
        <v>1</v>
      </c>
      <c r="L256" s="16">
        <v>1</v>
      </c>
      <c r="M256">
        <f ca="1"/>
        <v>36</v>
      </c>
      <c r="N256">
        <v>9</v>
      </c>
    </row>
    <row r="257" spans="2:16" ht="13.8" thickBot="1" x14ac:dyDescent="0.3">
      <c r="B257" s="15" t="str">
        <f ca="1"/>
        <v>05-Sep</v>
      </c>
      <c r="C257" s="21">
        <v>1</v>
      </c>
      <c r="D257" s="17">
        <v>1</v>
      </c>
      <c r="E257" s="16">
        <v>0</v>
      </c>
      <c r="F257" s="16">
        <v>1</v>
      </c>
      <c r="G257" s="16">
        <v>1</v>
      </c>
      <c r="H257" s="16">
        <v>1</v>
      </c>
      <c r="I257" s="16">
        <v>1</v>
      </c>
      <c r="J257" s="16">
        <v>1</v>
      </c>
      <c r="K257" s="16">
        <v>1</v>
      </c>
      <c r="L257" s="16">
        <v>1</v>
      </c>
      <c r="M257">
        <f ca="1"/>
        <v>36</v>
      </c>
      <c r="N257">
        <v>9</v>
      </c>
    </row>
    <row r="258" spans="2:16" ht="13.8" thickBot="1" x14ac:dyDescent="0.3">
      <c r="B258" s="15" t="str">
        <f ca="1"/>
        <v>06-Sep</v>
      </c>
      <c r="C258" s="21">
        <v>1</v>
      </c>
      <c r="D258" s="17">
        <v>1</v>
      </c>
      <c r="E258" s="16">
        <v>1</v>
      </c>
      <c r="F258" s="16">
        <v>1</v>
      </c>
      <c r="G258" s="16">
        <v>1</v>
      </c>
      <c r="H258" s="16">
        <v>1</v>
      </c>
      <c r="I258" s="16">
        <v>1</v>
      </c>
      <c r="J258" s="16">
        <v>1</v>
      </c>
      <c r="K258" s="16">
        <v>1</v>
      </c>
      <c r="L258" s="16">
        <v>1</v>
      </c>
      <c r="M258">
        <f ca="1"/>
        <v>36</v>
      </c>
      <c r="N258">
        <v>10</v>
      </c>
      <c r="P258" s="3" t="s">
        <v>13</v>
      </c>
    </row>
    <row r="259" spans="2:16" ht="13.8" thickTop="1" x14ac:dyDescent="0.25">
      <c r="B259" s="15" t="str">
        <f ca="1"/>
        <v>07-Sep</v>
      </c>
      <c r="C259" s="21">
        <v>1</v>
      </c>
      <c r="D259" s="17">
        <v>1</v>
      </c>
      <c r="E259" s="16">
        <v>0</v>
      </c>
      <c r="F259" s="16">
        <v>1</v>
      </c>
      <c r="G259" s="16">
        <v>1</v>
      </c>
      <c r="H259" s="16">
        <v>1</v>
      </c>
      <c r="I259" s="16">
        <v>1</v>
      </c>
      <c r="J259" s="16">
        <v>1</v>
      </c>
      <c r="K259" s="16">
        <v>1</v>
      </c>
      <c r="L259" s="16">
        <v>1</v>
      </c>
      <c r="M259">
        <f ca="1"/>
        <v>37</v>
      </c>
      <c r="N259">
        <v>9</v>
      </c>
    </row>
    <row r="260" spans="2:16" x14ac:dyDescent="0.25">
      <c r="B260" s="15" t="str">
        <f ca="1"/>
        <v>08-Sep</v>
      </c>
      <c r="C260" s="21">
        <v>1</v>
      </c>
      <c r="D260" s="17">
        <v>1</v>
      </c>
      <c r="E260" s="16">
        <v>1</v>
      </c>
      <c r="F260" s="16">
        <v>1</v>
      </c>
      <c r="G260" s="16">
        <v>1</v>
      </c>
      <c r="H260" s="16">
        <v>1</v>
      </c>
      <c r="I260" s="16">
        <v>1</v>
      </c>
      <c r="J260" s="16">
        <v>1</v>
      </c>
      <c r="K260" s="16">
        <v>1</v>
      </c>
      <c r="L260" s="16">
        <v>1</v>
      </c>
      <c r="M260">
        <f ca="1"/>
        <v>37</v>
      </c>
      <c r="N260">
        <v>10</v>
      </c>
    </row>
    <row r="261" spans="2:16" x14ac:dyDescent="0.25">
      <c r="B261" s="15" t="str">
        <f ca="1"/>
        <v>09-Sep</v>
      </c>
      <c r="C261" s="21">
        <v>1</v>
      </c>
      <c r="D261" s="17">
        <v>1</v>
      </c>
      <c r="E261" s="16">
        <v>1</v>
      </c>
      <c r="F261" s="16">
        <v>1</v>
      </c>
      <c r="G261" s="16">
        <v>1</v>
      </c>
      <c r="H261" s="16">
        <v>1</v>
      </c>
      <c r="I261" s="16">
        <v>1</v>
      </c>
      <c r="J261" s="16">
        <v>1</v>
      </c>
      <c r="K261" s="16">
        <v>1</v>
      </c>
      <c r="L261" s="16">
        <v>1</v>
      </c>
      <c r="M261">
        <f ca="1"/>
        <v>37</v>
      </c>
      <c r="N261">
        <v>10</v>
      </c>
    </row>
    <row r="262" spans="2:16" x14ac:dyDescent="0.25">
      <c r="B262" s="15" t="str">
        <f ca="1"/>
        <v>10-Sep</v>
      </c>
      <c r="C262" s="21">
        <v>1</v>
      </c>
      <c r="D262" s="17">
        <v>1</v>
      </c>
      <c r="E262" s="16">
        <v>1</v>
      </c>
      <c r="F262" s="16">
        <v>1</v>
      </c>
      <c r="G262" s="16">
        <v>1</v>
      </c>
      <c r="H262" s="16">
        <v>1</v>
      </c>
      <c r="I262" s="16">
        <v>1</v>
      </c>
      <c r="J262" s="16">
        <v>1</v>
      </c>
      <c r="K262" s="16">
        <v>1</v>
      </c>
      <c r="L262" s="16">
        <v>1</v>
      </c>
      <c r="M262">
        <f ca="1"/>
        <v>37</v>
      </c>
      <c r="N262">
        <v>10</v>
      </c>
    </row>
    <row r="263" spans="2:16" x14ac:dyDescent="0.25">
      <c r="B263" s="15" t="str">
        <f ca="1"/>
        <v>11-Sep</v>
      </c>
      <c r="C263" s="21">
        <v>1</v>
      </c>
      <c r="D263" s="17">
        <v>1</v>
      </c>
      <c r="E263" s="16">
        <v>1</v>
      </c>
      <c r="F263" s="16">
        <v>1</v>
      </c>
      <c r="G263" s="16">
        <v>1</v>
      </c>
      <c r="H263" s="16">
        <v>1</v>
      </c>
      <c r="I263" s="16">
        <v>1</v>
      </c>
      <c r="J263" s="16">
        <v>1</v>
      </c>
      <c r="K263" s="16">
        <v>1</v>
      </c>
      <c r="L263" s="16">
        <v>1</v>
      </c>
      <c r="M263">
        <f ca="1"/>
        <v>37</v>
      </c>
      <c r="N263">
        <v>10</v>
      </c>
    </row>
    <row r="264" spans="2:16" x14ac:dyDescent="0.25">
      <c r="B264" s="15" t="str">
        <f ca="1"/>
        <v>12-Sep</v>
      </c>
      <c r="C264" s="21">
        <v>1</v>
      </c>
      <c r="D264" s="17">
        <v>1</v>
      </c>
      <c r="E264" s="16">
        <v>1</v>
      </c>
      <c r="F264" s="16">
        <v>1</v>
      </c>
      <c r="G264" s="16">
        <v>1</v>
      </c>
      <c r="H264" s="16">
        <v>1</v>
      </c>
      <c r="I264" s="16">
        <v>1</v>
      </c>
      <c r="J264" s="16">
        <v>1</v>
      </c>
      <c r="K264" s="16">
        <v>1</v>
      </c>
      <c r="L264" s="16">
        <v>1</v>
      </c>
      <c r="M264">
        <f ca="1"/>
        <v>37</v>
      </c>
      <c r="N264">
        <v>10</v>
      </c>
    </row>
    <row r="265" spans="2:16" x14ac:dyDescent="0.25">
      <c r="B265" s="15" t="str">
        <f ca="1"/>
        <v>13-Sep</v>
      </c>
      <c r="C265" s="21">
        <v>1</v>
      </c>
      <c r="D265" s="17">
        <v>1</v>
      </c>
      <c r="E265" s="16">
        <v>0</v>
      </c>
      <c r="F265" s="16">
        <v>1</v>
      </c>
      <c r="G265" s="16">
        <v>1</v>
      </c>
      <c r="H265" s="16">
        <v>1</v>
      </c>
      <c r="I265" s="16">
        <v>1</v>
      </c>
      <c r="J265" s="16">
        <v>1</v>
      </c>
      <c r="K265" s="16">
        <v>1</v>
      </c>
      <c r="L265" s="16">
        <v>1</v>
      </c>
      <c r="M265">
        <f ca="1"/>
        <v>37</v>
      </c>
      <c r="N265">
        <v>9</v>
      </c>
    </row>
    <row r="266" spans="2:16" x14ac:dyDescent="0.25">
      <c r="B266" s="15" t="str">
        <f ca="1"/>
        <v>14-Sep</v>
      </c>
      <c r="C266" s="21">
        <v>1</v>
      </c>
      <c r="D266" s="17">
        <v>1</v>
      </c>
      <c r="E266" s="16">
        <v>1</v>
      </c>
      <c r="F266" s="16">
        <v>1</v>
      </c>
      <c r="G266" s="16">
        <v>1</v>
      </c>
      <c r="H266" s="16">
        <v>1</v>
      </c>
      <c r="I266" s="16">
        <v>1</v>
      </c>
      <c r="J266" s="16">
        <v>1</v>
      </c>
      <c r="K266" s="16">
        <v>1</v>
      </c>
      <c r="L266" s="16">
        <v>1</v>
      </c>
      <c r="M266">
        <f ca="1"/>
        <v>38</v>
      </c>
      <c r="N266">
        <v>10</v>
      </c>
    </row>
    <row r="267" spans="2:16" x14ac:dyDescent="0.25">
      <c r="B267" s="15" t="str">
        <f ca="1"/>
        <v>15-Sep</v>
      </c>
      <c r="C267" s="21">
        <v>1</v>
      </c>
      <c r="D267" s="17">
        <v>1</v>
      </c>
      <c r="E267" s="16">
        <v>1</v>
      </c>
      <c r="F267" s="16">
        <v>1</v>
      </c>
      <c r="G267" s="16">
        <v>1</v>
      </c>
      <c r="H267" s="16">
        <v>1</v>
      </c>
      <c r="I267" s="16">
        <v>1</v>
      </c>
      <c r="J267" s="16">
        <v>1</v>
      </c>
      <c r="K267" s="16">
        <v>1</v>
      </c>
      <c r="L267" s="16">
        <v>1</v>
      </c>
      <c r="M267">
        <f ca="1"/>
        <v>38</v>
      </c>
      <c r="N267">
        <v>10</v>
      </c>
    </row>
    <row r="268" spans="2:16" x14ac:dyDescent="0.25">
      <c r="B268" s="15" t="str">
        <f ca="1"/>
        <v>16-Sep</v>
      </c>
      <c r="C268" s="21">
        <v>1</v>
      </c>
      <c r="D268" s="17">
        <v>1</v>
      </c>
      <c r="E268" s="16">
        <v>1</v>
      </c>
      <c r="F268" s="16">
        <v>1</v>
      </c>
      <c r="G268" s="16">
        <v>1</v>
      </c>
      <c r="H268" s="16">
        <v>1</v>
      </c>
      <c r="I268" s="16">
        <v>1</v>
      </c>
      <c r="J268" s="16">
        <v>1</v>
      </c>
      <c r="K268" s="16">
        <v>1</v>
      </c>
      <c r="L268" s="16">
        <v>1</v>
      </c>
      <c r="M268">
        <f ca="1"/>
        <v>38</v>
      </c>
      <c r="N268">
        <v>10</v>
      </c>
    </row>
    <row r="269" spans="2:16" x14ac:dyDescent="0.25">
      <c r="B269" s="15" t="str">
        <f ca="1"/>
        <v>17-Sep</v>
      </c>
      <c r="C269" s="21">
        <v>1</v>
      </c>
      <c r="D269" s="17">
        <v>1</v>
      </c>
      <c r="E269" s="16">
        <v>1</v>
      </c>
      <c r="F269" s="16">
        <v>1</v>
      </c>
      <c r="G269" s="16">
        <v>1</v>
      </c>
      <c r="H269" s="16">
        <v>1</v>
      </c>
      <c r="I269" s="16">
        <v>1</v>
      </c>
      <c r="J269" s="16">
        <v>1</v>
      </c>
      <c r="K269" s="16">
        <v>1</v>
      </c>
      <c r="L269" s="16">
        <v>1</v>
      </c>
      <c r="M269">
        <f ca="1"/>
        <v>38</v>
      </c>
      <c r="N269">
        <v>10</v>
      </c>
    </row>
    <row r="270" spans="2:16" x14ac:dyDescent="0.25">
      <c r="B270" s="15" t="str">
        <f ca="1"/>
        <v>18-Sep</v>
      </c>
      <c r="C270" s="21">
        <v>1</v>
      </c>
      <c r="D270" s="17">
        <v>1</v>
      </c>
      <c r="E270" s="16">
        <v>1</v>
      </c>
      <c r="F270" s="16">
        <v>1</v>
      </c>
      <c r="G270" s="16">
        <v>1</v>
      </c>
      <c r="H270" s="16">
        <v>1</v>
      </c>
      <c r="I270" s="16">
        <v>1</v>
      </c>
      <c r="J270" s="16">
        <v>1</v>
      </c>
      <c r="K270" s="16">
        <v>1</v>
      </c>
      <c r="L270" s="16">
        <v>1</v>
      </c>
      <c r="M270">
        <f ca="1"/>
        <v>38</v>
      </c>
      <c r="N270">
        <v>10</v>
      </c>
    </row>
    <row r="271" spans="2:16" x14ac:dyDescent="0.25">
      <c r="B271" s="15" t="str">
        <f ca="1"/>
        <v>19-Sep</v>
      </c>
      <c r="C271" s="21">
        <v>1</v>
      </c>
      <c r="D271" s="17">
        <v>1</v>
      </c>
      <c r="E271" s="16">
        <v>0</v>
      </c>
      <c r="F271" s="16">
        <v>1</v>
      </c>
      <c r="G271" s="16">
        <v>1</v>
      </c>
      <c r="H271" s="16">
        <v>1</v>
      </c>
      <c r="I271" s="16">
        <v>1</v>
      </c>
      <c r="J271" s="16">
        <v>1</v>
      </c>
      <c r="K271" s="16">
        <v>1</v>
      </c>
      <c r="L271" s="16">
        <v>1</v>
      </c>
      <c r="M271">
        <f ca="1"/>
        <v>38</v>
      </c>
      <c r="N271">
        <v>9</v>
      </c>
    </row>
    <row r="272" spans="2:16" x14ac:dyDescent="0.25">
      <c r="B272" s="15" t="str">
        <f ca="1"/>
        <v>20-Sep</v>
      </c>
      <c r="C272" s="21">
        <v>1</v>
      </c>
      <c r="D272" s="17">
        <v>1</v>
      </c>
      <c r="E272" s="16">
        <v>1</v>
      </c>
      <c r="F272" s="16">
        <v>1</v>
      </c>
      <c r="G272" s="16">
        <v>1</v>
      </c>
      <c r="H272" s="16">
        <v>1</v>
      </c>
      <c r="I272" s="16">
        <v>1</v>
      </c>
      <c r="J272" s="16">
        <v>1</v>
      </c>
      <c r="K272" s="16">
        <v>1</v>
      </c>
      <c r="L272" s="16">
        <v>1</v>
      </c>
      <c r="M272">
        <f ca="1"/>
        <v>38</v>
      </c>
      <c r="N272">
        <v>10</v>
      </c>
    </row>
    <row r="273" spans="2:14" x14ac:dyDescent="0.25">
      <c r="B273" s="15" t="str">
        <f ca="1"/>
        <v>21-Sep</v>
      </c>
      <c r="C273" s="21">
        <v>1</v>
      </c>
      <c r="D273" s="17">
        <v>1</v>
      </c>
      <c r="E273" s="16">
        <v>1</v>
      </c>
      <c r="F273" s="16">
        <v>1</v>
      </c>
      <c r="G273" s="16">
        <v>1</v>
      </c>
      <c r="H273" s="16">
        <v>1</v>
      </c>
      <c r="I273" s="16">
        <v>1</v>
      </c>
      <c r="J273" s="16">
        <v>1</v>
      </c>
      <c r="K273" s="16">
        <v>1</v>
      </c>
      <c r="L273" s="16">
        <v>1</v>
      </c>
      <c r="M273">
        <f ca="1"/>
        <v>39</v>
      </c>
      <c r="N273">
        <v>10</v>
      </c>
    </row>
    <row r="274" spans="2:14" x14ac:dyDescent="0.25">
      <c r="B274" s="15" t="str">
        <f ca="1"/>
        <v>22-Sep</v>
      </c>
      <c r="C274" s="21">
        <v>1</v>
      </c>
      <c r="D274" s="17">
        <v>1</v>
      </c>
      <c r="E274" s="16">
        <v>1</v>
      </c>
      <c r="F274" s="16">
        <v>1</v>
      </c>
      <c r="G274" s="16">
        <v>1</v>
      </c>
      <c r="H274" s="16">
        <v>1</v>
      </c>
      <c r="I274" s="16">
        <v>1</v>
      </c>
      <c r="J274" s="16">
        <v>1</v>
      </c>
      <c r="K274" s="16">
        <v>1</v>
      </c>
      <c r="L274" s="16">
        <v>1</v>
      </c>
      <c r="M274">
        <f ca="1"/>
        <v>39</v>
      </c>
      <c r="N274">
        <v>10</v>
      </c>
    </row>
    <row r="275" spans="2:14" x14ac:dyDescent="0.25">
      <c r="B275" s="15" t="str">
        <f ca="1"/>
        <v>23-Sep</v>
      </c>
      <c r="C275" s="21">
        <v>1</v>
      </c>
      <c r="D275" s="17">
        <v>1</v>
      </c>
      <c r="E275" s="16">
        <v>0</v>
      </c>
      <c r="F275" s="16">
        <v>1</v>
      </c>
      <c r="G275" s="16">
        <v>1</v>
      </c>
      <c r="H275" s="16">
        <v>1</v>
      </c>
      <c r="I275" s="16">
        <v>1</v>
      </c>
      <c r="J275" s="16">
        <v>1</v>
      </c>
      <c r="K275" s="16">
        <v>1</v>
      </c>
      <c r="L275" s="16">
        <v>1</v>
      </c>
      <c r="M275">
        <f ca="1"/>
        <v>39</v>
      </c>
      <c r="N275">
        <v>9</v>
      </c>
    </row>
    <row r="276" spans="2:14" x14ac:dyDescent="0.25">
      <c r="B276" s="15" t="str">
        <f ca="1"/>
        <v>24-Sep</v>
      </c>
      <c r="C276" s="21">
        <v>1</v>
      </c>
      <c r="D276" s="17">
        <v>1</v>
      </c>
      <c r="E276" s="16">
        <v>1</v>
      </c>
      <c r="F276" s="16">
        <v>1</v>
      </c>
      <c r="G276" s="16">
        <v>1</v>
      </c>
      <c r="H276" s="16">
        <v>1</v>
      </c>
      <c r="I276" s="16">
        <v>1</v>
      </c>
      <c r="J276" s="16">
        <v>1</v>
      </c>
      <c r="K276" s="16">
        <v>1</v>
      </c>
      <c r="L276" s="16">
        <v>1</v>
      </c>
      <c r="M276">
        <f ca="1"/>
        <v>39</v>
      </c>
      <c r="N276">
        <v>10</v>
      </c>
    </row>
    <row r="277" spans="2:14" x14ac:dyDescent="0.25">
      <c r="B277" s="15" t="str">
        <f ca="1"/>
        <v>25-Sep</v>
      </c>
      <c r="C277" s="21">
        <v>1</v>
      </c>
      <c r="D277" s="17">
        <v>1</v>
      </c>
      <c r="E277" s="16">
        <v>1</v>
      </c>
      <c r="F277" s="16">
        <v>1</v>
      </c>
      <c r="G277" s="16">
        <v>1</v>
      </c>
      <c r="H277" s="16">
        <v>1</v>
      </c>
      <c r="I277" s="16">
        <v>1</v>
      </c>
      <c r="J277" s="16">
        <v>1</v>
      </c>
      <c r="K277" s="16">
        <v>1</v>
      </c>
      <c r="L277" s="16">
        <v>1</v>
      </c>
      <c r="M277">
        <f ca="1"/>
        <v>39</v>
      </c>
      <c r="N277">
        <v>10</v>
      </c>
    </row>
    <row r="278" spans="2:14" x14ac:dyDescent="0.25">
      <c r="B278" s="15" t="str">
        <f ca="1"/>
        <v>26-Sep</v>
      </c>
      <c r="C278" s="21">
        <v>1</v>
      </c>
      <c r="D278" s="17">
        <v>1</v>
      </c>
      <c r="E278" s="16">
        <v>1</v>
      </c>
      <c r="F278" s="16">
        <v>1</v>
      </c>
      <c r="G278" s="16">
        <v>1</v>
      </c>
      <c r="H278" s="16">
        <v>1</v>
      </c>
      <c r="I278" s="16">
        <v>1</v>
      </c>
      <c r="J278" s="16">
        <v>1</v>
      </c>
      <c r="K278" s="16">
        <v>1</v>
      </c>
      <c r="L278" s="16">
        <v>1</v>
      </c>
      <c r="M278">
        <f ca="1"/>
        <v>39</v>
      </c>
      <c r="N278">
        <v>10</v>
      </c>
    </row>
    <row r="279" spans="2:14" x14ac:dyDescent="0.25">
      <c r="B279" s="15" t="str">
        <f ca="1"/>
        <v>27-Sep</v>
      </c>
      <c r="C279" s="21">
        <v>1</v>
      </c>
      <c r="D279" s="17">
        <v>1</v>
      </c>
      <c r="E279" s="16">
        <v>0</v>
      </c>
      <c r="F279" s="16">
        <v>1</v>
      </c>
      <c r="G279" s="16">
        <v>1</v>
      </c>
      <c r="H279" s="16">
        <v>1</v>
      </c>
      <c r="I279" s="16">
        <v>1</v>
      </c>
      <c r="J279" s="16">
        <v>1</v>
      </c>
      <c r="K279" s="16">
        <v>1</v>
      </c>
      <c r="L279" s="16">
        <v>1</v>
      </c>
      <c r="M279">
        <f ca="1"/>
        <v>39</v>
      </c>
      <c r="N279">
        <v>9</v>
      </c>
    </row>
    <row r="280" spans="2:14" x14ac:dyDescent="0.25">
      <c r="B280" s="15" t="str">
        <f ca="1"/>
        <v>28-Sep</v>
      </c>
      <c r="C280" s="21">
        <v>1</v>
      </c>
      <c r="D280" s="17">
        <v>1</v>
      </c>
      <c r="E280" s="16">
        <v>0</v>
      </c>
      <c r="F280" s="16">
        <v>1</v>
      </c>
      <c r="G280" s="16">
        <v>1</v>
      </c>
      <c r="H280" s="16">
        <v>1</v>
      </c>
      <c r="I280" s="16">
        <v>1</v>
      </c>
      <c r="J280" s="16">
        <v>1</v>
      </c>
      <c r="K280" s="16">
        <v>1</v>
      </c>
      <c r="L280" s="16">
        <v>1</v>
      </c>
      <c r="M280">
        <f ca="1"/>
        <v>40</v>
      </c>
      <c r="N280">
        <v>9</v>
      </c>
    </row>
    <row r="281" spans="2:14" x14ac:dyDescent="0.25">
      <c r="B281" s="15" t="str">
        <f ca="1"/>
        <v>29-Sep</v>
      </c>
      <c r="C281" s="21">
        <v>1</v>
      </c>
      <c r="D281" s="17">
        <v>1</v>
      </c>
      <c r="E281" s="16">
        <v>1</v>
      </c>
      <c r="F281" s="16">
        <v>1</v>
      </c>
      <c r="G281" s="16">
        <v>1</v>
      </c>
      <c r="H281" s="16">
        <v>1</v>
      </c>
      <c r="I281" s="16">
        <v>1</v>
      </c>
      <c r="J281" s="16">
        <v>1</v>
      </c>
      <c r="K281" s="16">
        <v>1</v>
      </c>
      <c r="L281" s="16">
        <v>1</v>
      </c>
      <c r="M281">
        <f ca="1"/>
        <v>40</v>
      </c>
      <c r="N281">
        <v>10</v>
      </c>
    </row>
    <row r="282" spans="2:14" x14ac:dyDescent="0.25">
      <c r="B282" s="15" t="str">
        <f ca="1"/>
        <v>30-Sep</v>
      </c>
      <c r="C282" s="21">
        <v>1</v>
      </c>
      <c r="D282" s="17">
        <v>1</v>
      </c>
      <c r="E282" s="16">
        <v>1</v>
      </c>
      <c r="F282" s="16">
        <v>1</v>
      </c>
      <c r="G282" s="16">
        <v>1</v>
      </c>
      <c r="H282" s="16">
        <v>1</v>
      </c>
      <c r="I282" s="16">
        <v>1</v>
      </c>
      <c r="J282" s="16">
        <v>1</v>
      </c>
      <c r="K282" s="16">
        <v>1</v>
      </c>
      <c r="L282" s="16">
        <v>1</v>
      </c>
      <c r="M282">
        <f ca="1"/>
        <v>40</v>
      </c>
      <c r="N282">
        <v>10</v>
      </c>
    </row>
    <row r="283" spans="2:14" x14ac:dyDescent="0.25">
      <c r="B283" s="15" t="str">
        <f ca="1"/>
        <v>01-Oct</v>
      </c>
      <c r="C283" s="21">
        <v>1</v>
      </c>
      <c r="D283" s="17">
        <v>1</v>
      </c>
      <c r="E283" s="16">
        <v>1</v>
      </c>
      <c r="F283" s="16">
        <v>1</v>
      </c>
      <c r="G283" s="16">
        <v>1</v>
      </c>
      <c r="H283" s="16">
        <v>1</v>
      </c>
      <c r="I283" s="16">
        <v>1</v>
      </c>
      <c r="J283" s="16">
        <v>1</v>
      </c>
      <c r="K283" s="16">
        <v>1</v>
      </c>
      <c r="L283" s="16">
        <v>1</v>
      </c>
      <c r="M283">
        <f ca="1"/>
        <v>40</v>
      </c>
      <c r="N283">
        <v>10</v>
      </c>
    </row>
    <row r="284" spans="2:14" x14ac:dyDescent="0.25">
      <c r="B284" s="15" t="str">
        <f ca="1"/>
        <v>02-Oct</v>
      </c>
      <c r="C284" s="21">
        <v>1</v>
      </c>
      <c r="D284" s="17">
        <v>1</v>
      </c>
      <c r="E284" s="16">
        <v>0</v>
      </c>
      <c r="F284" s="16">
        <v>1</v>
      </c>
      <c r="G284" s="16">
        <v>1</v>
      </c>
      <c r="H284" s="16">
        <v>1</v>
      </c>
      <c r="I284" s="16">
        <v>1</v>
      </c>
      <c r="J284" s="16">
        <v>1</v>
      </c>
      <c r="K284" s="16">
        <v>1</v>
      </c>
      <c r="L284" s="16">
        <v>1</v>
      </c>
      <c r="M284">
        <f ca="1"/>
        <v>40</v>
      </c>
      <c r="N284">
        <v>9</v>
      </c>
    </row>
    <row r="285" spans="2:14" x14ac:dyDescent="0.25">
      <c r="B285" s="15" t="str">
        <f ca="1"/>
        <v>03-Oct</v>
      </c>
      <c r="C285" s="21">
        <v>1</v>
      </c>
      <c r="D285" s="17">
        <v>1</v>
      </c>
      <c r="E285" s="16">
        <v>0</v>
      </c>
      <c r="F285" s="16">
        <v>1</v>
      </c>
      <c r="G285" s="16">
        <v>1</v>
      </c>
      <c r="H285" s="16">
        <v>1</v>
      </c>
      <c r="I285" s="16">
        <v>1</v>
      </c>
      <c r="J285" s="16">
        <v>1</v>
      </c>
      <c r="K285" s="16">
        <v>1</v>
      </c>
      <c r="L285" s="16">
        <v>1</v>
      </c>
      <c r="M285">
        <f ca="1"/>
        <v>40</v>
      </c>
      <c r="N285">
        <v>9</v>
      </c>
    </row>
    <row r="286" spans="2:14" x14ac:dyDescent="0.25">
      <c r="B286" s="15" t="str">
        <f ca="1"/>
        <v>04-Oct</v>
      </c>
      <c r="C286" s="21">
        <v>1</v>
      </c>
      <c r="D286" s="17">
        <v>1</v>
      </c>
      <c r="E286" s="16">
        <v>1</v>
      </c>
      <c r="F286" s="16">
        <v>1</v>
      </c>
      <c r="G286" s="16">
        <v>1</v>
      </c>
      <c r="H286" s="16">
        <v>1</v>
      </c>
      <c r="I286" s="16">
        <v>1</v>
      </c>
      <c r="J286" s="16">
        <v>1</v>
      </c>
      <c r="K286" s="16">
        <v>1</v>
      </c>
      <c r="L286" s="16">
        <v>1</v>
      </c>
      <c r="M286">
        <f ca="1"/>
        <v>40</v>
      </c>
      <c r="N286">
        <v>10</v>
      </c>
    </row>
    <row r="287" spans="2:14" x14ac:dyDescent="0.25">
      <c r="B287" s="15" t="str">
        <f ca="1"/>
        <v>05-Oct</v>
      </c>
      <c r="C287" s="21">
        <v>1</v>
      </c>
      <c r="D287" s="17">
        <v>1</v>
      </c>
      <c r="E287" s="16">
        <v>0</v>
      </c>
      <c r="F287" s="16">
        <v>1</v>
      </c>
      <c r="G287" s="16">
        <v>1</v>
      </c>
      <c r="H287" s="16">
        <v>1</v>
      </c>
      <c r="I287" s="16">
        <v>1</v>
      </c>
      <c r="J287" s="16">
        <v>1</v>
      </c>
      <c r="K287" s="16">
        <v>1</v>
      </c>
      <c r="L287" s="16">
        <v>1</v>
      </c>
      <c r="M287">
        <f ca="1"/>
        <v>41</v>
      </c>
      <c r="N287">
        <v>9</v>
      </c>
    </row>
    <row r="288" spans="2:14" x14ac:dyDescent="0.25">
      <c r="B288" s="15" t="str">
        <f ca="1"/>
        <v>06-Oct</v>
      </c>
      <c r="C288" s="21">
        <v>1</v>
      </c>
      <c r="D288" s="17">
        <v>1</v>
      </c>
      <c r="E288" s="16">
        <v>1</v>
      </c>
      <c r="F288" s="16">
        <v>1</v>
      </c>
      <c r="G288" s="16">
        <v>1</v>
      </c>
      <c r="H288" s="16">
        <v>1</v>
      </c>
      <c r="I288" s="16">
        <v>1</v>
      </c>
      <c r="J288" s="16">
        <v>1</v>
      </c>
      <c r="K288" s="16">
        <v>1</v>
      </c>
      <c r="L288" s="16">
        <v>1</v>
      </c>
      <c r="M288">
        <f ca="1"/>
        <v>41</v>
      </c>
      <c r="N288">
        <v>10</v>
      </c>
    </row>
    <row r="289" spans="2:14" x14ac:dyDescent="0.25">
      <c r="B289" s="15" t="str">
        <f ca="1"/>
        <v>07-Oct</v>
      </c>
      <c r="C289" s="21">
        <v>1</v>
      </c>
      <c r="D289" s="17">
        <v>1</v>
      </c>
      <c r="E289" s="16">
        <v>0</v>
      </c>
      <c r="F289" s="16">
        <v>1</v>
      </c>
      <c r="G289" s="16">
        <v>1</v>
      </c>
      <c r="H289" s="16">
        <v>1</v>
      </c>
      <c r="I289" s="16">
        <v>1</v>
      </c>
      <c r="J289" s="16">
        <v>1</v>
      </c>
      <c r="K289" s="16">
        <v>1</v>
      </c>
      <c r="L289" s="16">
        <v>1</v>
      </c>
      <c r="M289">
        <f ca="1"/>
        <v>41</v>
      </c>
      <c r="N289">
        <v>9</v>
      </c>
    </row>
    <row r="290" spans="2:14" x14ac:dyDescent="0.25">
      <c r="B290" s="15" t="str">
        <f ca="1"/>
        <v>08-Oct</v>
      </c>
      <c r="C290" s="21">
        <v>1</v>
      </c>
      <c r="D290" s="17">
        <v>1</v>
      </c>
      <c r="E290" s="16">
        <v>1</v>
      </c>
      <c r="F290" s="16">
        <v>1</v>
      </c>
      <c r="G290" s="16">
        <v>1</v>
      </c>
      <c r="H290" s="16">
        <v>1</v>
      </c>
      <c r="I290" s="16">
        <v>1</v>
      </c>
      <c r="J290" s="16">
        <v>1</v>
      </c>
      <c r="K290" s="16">
        <v>1</v>
      </c>
      <c r="L290" s="16">
        <v>1</v>
      </c>
      <c r="M290">
        <f ca="1"/>
        <v>41</v>
      </c>
      <c r="N290">
        <v>10</v>
      </c>
    </row>
    <row r="291" spans="2:14" x14ac:dyDescent="0.25">
      <c r="B291" s="15" t="str">
        <f ca="1"/>
        <v>09-Oct</v>
      </c>
      <c r="C291" s="21">
        <v>1</v>
      </c>
      <c r="D291" s="17">
        <v>1</v>
      </c>
      <c r="E291" s="16">
        <v>1</v>
      </c>
      <c r="F291" s="16">
        <v>1</v>
      </c>
      <c r="G291" s="16">
        <v>1</v>
      </c>
      <c r="H291" s="16">
        <v>1</v>
      </c>
      <c r="I291" s="16">
        <v>1</v>
      </c>
      <c r="J291" s="16">
        <v>1</v>
      </c>
      <c r="K291" s="16">
        <v>1</v>
      </c>
      <c r="L291" s="16">
        <v>1</v>
      </c>
      <c r="M291">
        <f ca="1"/>
        <v>41</v>
      </c>
      <c r="N291">
        <v>10</v>
      </c>
    </row>
    <row r="292" spans="2:14" x14ac:dyDescent="0.25">
      <c r="B292" s="15" t="str">
        <f ca="1"/>
        <v>10-Oct</v>
      </c>
      <c r="C292" s="21">
        <v>1</v>
      </c>
      <c r="D292" s="17">
        <v>1</v>
      </c>
      <c r="E292" s="16">
        <v>0</v>
      </c>
      <c r="F292" s="16">
        <v>1</v>
      </c>
      <c r="G292" s="16">
        <v>1</v>
      </c>
      <c r="H292" s="16">
        <v>1</v>
      </c>
      <c r="I292" s="16">
        <v>1</v>
      </c>
      <c r="J292" s="16">
        <v>1</v>
      </c>
      <c r="K292" s="16">
        <v>1</v>
      </c>
      <c r="L292" s="16">
        <v>1</v>
      </c>
      <c r="M292">
        <f ca="1"/>
        <v>41</v>
      </c>
      <c r="N292">
        <v>9</v>
      </c>
    </row>
    <row r="293" spans="2:14" x14ac:dyDescent="0.25">
      <c r="B293" s="15" t="str">
        <f ca="1"/>
        <v>11-Oct</v>
      </c>
      <c r="C293" s="21">
        <v>1</v>
      </c>
      <c r="D293" s="17">
        <v>1</v>
      </c>
      <c r="E293" s="16">
        <v>0</v>
      </c>
      <c r="F293" s="16">
        <v>1</v>
      </c>
      <c r="G293" s="16">
        <v>1</v>
      </c>
      <c r="H293" s="16">
        <v>1</v>
      </c>
      <c r="I293" s="16">
        <v>1</v>
      </c>
      <c r="J293" s="16">
        <v>1</v>
      </c>
      <c r="K293" s="16">
        <v>1</v>
      </c>
      <c r="L293" s="16">
        <v>1</v>
      </c>
      <c r="M293">
        <f ca="1"/>
        <v>41</v>
      </c>
      <c r="N293">
        <v>9</v>
      </c>
    </row>
    <row r="294" spans="2:14" x14ac:dyDescent="0.25">
      <c r="B294" s="15" t="str">
        <f ca="1"/>
        <v>12-Oct</v>
      </c>
      <c r="C294" s="21">
        <v>1</v>
      </c>
      <c r="D294" s="17">
        <v>1</v>
      </c>
      <c r="E294" s="16">
        <v>0</v>
      </c>
      <c r="F294" s="16">
        <v>1</v>
      </c>
      <c r="G294" s="16">
        <v>1</v>
      </c>
      <c r="H294" s="16">
        <v>1</v>
      </c>
      <c r="I294" s="16">
        <v>1</v>
      </c>
      <c r="J294" s="16">
        <v>1</v>
      </c>
      <c r="K294" s="16">
        <v>1</v>
      </c>
      <c r="L294" s="16">
        <v>1</v>
      </c>
      <c r="M294">
        <f ca="1"/>
        <v>42</v>
      </c>
      <c r="N294">
        <v>9</v>
      </c>
    </row>
    <row r="295" spans="2:14" x14ac:dyDescent="0.25">
      <c r="B295" s="15" t="str">
        <f ca="1"/>
        <v>13-Oct</v>
      </c>
      <c r="C295" s="21">
        <v>1</v>
      </c>
      <c r="D295" s="17">
        <v>1</v>
      </c>
      <c r="E295" s="16">
        <v>1</v>
      </c>
      <c r="F295" s="16">
        <v>1</v>
      </c>
      <c r="G295" s="16">
        <v>1</v>
      </c>
      <c r="H295" s="16">
        <v>1</v>
      </c>
      <c r="I295" s="16">
        <v>1</v>
      </c>
      <c r="J295" s="16">
        <v>1</v>
      </c>
      <c r="K295" s="16">
        <v>1</v>
      </c>
      <c r="L295" s="16">
        <v>1</v>
      </c>
      <c r="M295">
        <f ca="1"/>
        <v>42</v>
      </c>
      <c r="N295">
        <v>10</v>
      </c>
    </row>
    <row r="296" spans="2:14" x14ac:dyDescent="0.25">
      <c r="B296" s="15" t="str">
        <f ca="1"/>
        <v>14-Oct</v>
      </c>
      <c r="C296" s="21">
        <v>1</v>
      </c>
      <c r="D296" s="17">
        <v>1</v>
      </c>
      <c r="E296" s="16">
        <v>1</v>
      </c>
      <c r="F296" s="16">
        <v>1</v>
      </c>
      <c r="G296" s="16">
        <v>1</v>
      </c>
      <c r="H296" s="16">
        <v>1</v>
      </c>
      <c r="I296" s="16">
        <v>1</v>
      </c>
      <c r="J296" s="16">
        <v>1</v>
      </c>
      <c r="K296" s="16">
        <v>1</v>
      </c>
      <c r="L296" s="16">
        <v>1</v>
      </c>
      <c r="M296">
        <f ca="1"/>
        <v>42</v>
      </c>
      <c r="N296">
        <v>10</v>
      </c>
    </row>
    <row r="297" spans="2:14" x14ac:dyDescent="0.25">
      <c r="B297" s="15" t="str">
        <f ca="1"/>
        <v>15-Oct</v>
      </c>
      <c r="C297" s="21">
        <v>1</v>
      </c>
      <c r="D297" s="17">
        <v>1</v>
      </c>
      <c r="E297" s="16">
        <v>0</v>
      </c>
      <c r="F297" s="16">
        <v>1</v>
      </c>
      <c r="G297" s="16">
        <v>1</v>
      </c>
      <c r="H297" s="16">
        <v>1</v>
      </c>
      <c r="I297" s="16">
        <v>1</v>
      </c>
      <c r="J297" s="16">
        <v>1</v>
      </c>
      <c r="K297" s="16">
        <v>1</v>
      </c>
      <c r="L297" s="16">
        <v>1</v>
      </c>
      <c r="M297">
        <f ca="1"/>
        <v>42</v>
      </c>
      <c r="N297">
        <v>9</v>
      </c>
    </row>
    <row r="298" spans="2:14" x14ac:dyDescent="0.25">
      <c r="B298" s="15" t="str">
        <f ca="1"/>
        <v>16-Oct</v>
      </c>
      <c r="C298" s="21">
        <v>1</v>
      </c>
      <c r="D298" s="17">
        <v>1</v>
      </c>
      <c r="E298" s="16">
        <v>1</v>
      </c>
      <c r="F298" s="16">
        <v>1</v>
      </c>
      <c r="G298" s="16">
        <v>1</v>
      </c>
      <c r="H298" s="16">
        <v>1</v>
      </c>
      <c r="I298" s="16">
        <v>1</v>
      </c>
      <c r="J298" s="16">
        <v>1</v>
      </c>
      <c r="K298" s="16">
        <v>1</v>
      </c>
      <c r="L298" s="16">
        <v>1</v>
      </c>
      <c r="M298">
        <f ca="1"/>
        <v>42</v>
      </c>
      <c r="N298">
        <v>10</v>
      </c>
    </row>
    <row r="299" spans="2:14" x14ac:dyDescent="0.25">
      <c r="B299" s="15" t="str">
        <f ca="1"/>
        <v>17-Oct</v>
      </c>
      <c r="C299" s="21">
        <v>1</v>
      </c>
      <c r="D299" s="17">
        <v>1</v>
      </c>
      <c r="E299" s="16">
        <v>0</v>
      </c>
      <c r="F299" s="16">
        <v>1</v>
      </c>
      <c r="G299" s="16">
        <v>1</v>
      </c>
      <c r="H299" s="16">
        <v>1</v>
      </c>
      <c r="I299" s="16">
        <v>1</v>
      </c>
      <c r="J299" s="16">
        <v>1</v>
      </c>
      <c r="K299" s="16">
        <v>1</v>
      </c>
      <c r="L299" s="16">
        <v>1</v>
      </c>
      <c r="M299">
        <f ca="1"/>
        <v>42</v>
      </c>
      <c r="N299">
        <v>9</v>
      </c>
    </row>
    <row r="300" spans="2:14" x14ac:dyDescent="0.25">
      <c r="B300" s="15" t="str">
        <f ca="1"/>
        <v>18-Oct</v>
      </c>
      <c r="C300" s="21">
        <v>1</v>
      </c>
      <c r="D300" s="17">
        <v>1</v>
      </c>
      <c r="E300" s="16">
        <v>1</v>
      </c>
      <c r="F300" s="16">
        <v>1</v>
      </c>
      <c r="G300" s="16">
        <v>1</v>
      </c>
      <c r="H300" s="16">
        <v>1</v>
      </c>
      <c r="I300" s="16">
        <v>1</v>
      </c>
      <c r="J300" s="16">
        <v>1</v>
      </c>
      <c r="K300" s="16">
        <v>1</v>
      </c>
      <c r="L300" s="16">
        <v>1</v>
      </c>
      <c r="M300">
        <f ca="1"/>
        <v>42</v>
      </c>
      <c r="N300">
        <v>10</v>
      </c>
    </row>
    <row r="301" spans="2:14" x14ac:dyDescent="0.25">
      <c r="B301" s="15" t="str">
        <f ca="1"/>
        <v>19-Oct</v>
      </c>
      <c r="C301" s="21">
        <v>1</v>
      </c>
      <c r="D301" s="17">
        <v>1</v>
      </c>
      <c r="E301" s="16">
        <v>1</v>
      </c>
      <c r="F301" s="16">
        <v>1</v>
      </c>
      <c r="G301" s="16">
        <v>1</v>
      </c>
      <c r="H301" s="16">
        <v>1</v>
      </c>
      <c r="I301" s="16">
        <v>1</v>
      </c>
      <c r="J301" s="16">
        <v>1</v>
      </c>
      <c r="K301" s="16">
        <v>1</v>
      </c>
      <c r="L301" s="16">
        <v>1</v>
      </c>
      <c r="M301">
        <f ca="1"/>
        <v>43</v>
      </c>
      <c r="N301">
        <v>10</v>
      </c>
    </row>
    <row r="302" spans="2:14" x14ac:dyDescent="0.25">
      <c r="B302" s="15" t="str">
        <f ca="1"/>
        <v>20-Oct</v>
      </c>
      <c r="C302" s="21">
        <v>1</v>
      </c>
      <c r="D302" s="17">
        <v>1</v>
      </c>
      <c r="E302" s="16">
        <v>1</v>
      </c>
      <c r="F302" s="16">
        <v>1</v>
      </c>
      <c r="G302" s="16">
        <v>1</v>
      </c>
      <c r="H302" s="16">
        <v>1</v>
      </c>
      <c r="I302" s="16">
        <v>1</v>
      </c>
      <c r="J302" s="16">
        <v>1</v>
      </c>
      <c r="K302" s="16">
        <v>1</v>
      </c>
      <c r="L302" s="16">
        <v>1</v>
      </c>
      <c r="M302">
        <f ca="1"/>
        <v>43</v>
      </c>
      <c r="N302">
        <v>10</v>
      </c>
    </row>
    <row r="303" spans="2:14" x14ac:dyDescent="0.25">
      <c r="B303" s="15" t="str">
        <f ca="1"/>
        <v>21-Oct</v>
      </c>
      <c r="C303" s="21">
        <v>1</v>
      </c>
      <c r="D303" s="17">
        <v>1</v>
      </c>
      <c r="E303" s="16">
        <v>0</v>
      </c>
      <c r="F303" s="16">
        <v>1</v>
      </c>
      <c r="G303" s="16">
        <v>1</v>
      </c>
      <c r="H303" s="16">
        <v>1</v>
      </c>
      <c r="I303" s="16">
        <v>1</v>
      </c>
      <c r="J303" s="16">
        <v>1</v>
      </c>
      <c r="K303" s="16">
        <v>1</v>
      </c>
      <c r="L303" s="16">
        <v>1</v>
      </c>
      <c r="M303">
        <f ca="1"/>
        <v>43</v>
      </c>
      <c r="N303">
        <v>9</v>
      </c>
    </row>
    <row r="304" spans="2:14" x14ac:dyDescent="0.25">
      <c r="B304" s="15" t="str">
        <f ca="1"/>
        <v>22-Oct</v>
      </c>
      <c r="C304" s="21">
        <v>1</v>
      </c>
      <c r="D304" s="17">
        <v>1</v>
      </c>
      <c r="E304" s="16">
        <v>1</v>
      </c>
      <c r="F304" s="16">
        <v>1</v>
      </c>
      <c r="G304" s="16">
        <v>1</v>
      </c>
      <c r="H304" s="16">
        <v>1</v>
      </c>
      <c r="I304" s="16">
        <v>1</v>
      </c>
      <c r="J304" s="16">
        <v>1</v>
      </c>
      <c r="K304" s="16">
        <v>1</v>
      </c>
      <c r="L304" s="16">
        <v>1</v>
      </c>
      <c r="M304">
        <f ca="1"/>
        <v>43</v>
      </c>
      <c r="N304">
        <v>10</v>
      </c>
    </row>
    <row r="305" spans="2:14" x14ac:dyDescent="0.25">
      <c r="B305" s="15" t="str">
        <f ca="1"/>
        <v>23-Oct</v>
      </c>
      <c r="C305" s="21">
        <v>1</v>
      </c>
      <c r="D305" s="17">
        <v>1</v>
      </c>
      <c r="E305" s="16">
        <v>0</v>
      </c>
      <c r="F305" s="16">
        <v>1</v>
      </c>
      <c r="G305" s="16">
        <v>1</v>
      </c>
      <c r="H305" s="16">
        <v>1</v>
      </c>
      <c r="I305" s="16">
        <v>1</v>
      </c>
      <c r="J305" s="16">
        <v>1</v>
      </c>
      <c r="K305" s="16">
        <v>1</v>
      </c>
      <c r="L305" s="16">
        <v>1</v>
      </c>
      <c r="M305">
        <f ca="1"/>
        <v>43</v>
      </c>
      <c r="N305">
        <v>9</v>
      </c>
    </row>
    <row r="306" spans="2:14" x14ac:dyDescent="0.25">
      <c r="B306" s="15" t="str">
        <f ca="1"/>
        <v>24-Oct</v>
      </c>
      <c r="C306" s="21">
        <v>1</v>
      </c>
      <c r="D306" s="17">
        <v>1</v>
      </c>
      <c r="E306" s="16">
        <v>0</v>
      </c>
      <c r="F306" s="16">
        <v>1</v>
      </c>
      <c r="G306" s="16">
        <v>1</v>
      </c>
      <c r="H306" s="16">
        <v>1</v>
      </c>
      <c r="I306" s="16">
        <v>1</v>
      </c>
      <c r="J306" s="16">
        <v>1</v>
      </c>
      <c r="K306" s="16">
        <v>1</v>
      </c>
      <c r="L306" s="16">
        <v>1</v>
      </c>
      <c r="M306">
        <f ca="1"/>
        <v>43</v>
      </c>
      <c r="N306">
        <v>9</v>
      </c>
    </row>
    <row r="307" spans="2:14" x14ac:dyDescent="0.25">
      <c r="B307" s="15" t="str">
        <f ca="1"/>
        <v>25-Oct</v>
      </c>
      <c r="C307" s="21">
        <v>1</v>
      </c>
      <c r="D307" s="17">
        <v>1</v>
      </c>
      <c r="E307" s="16">
        <v>1</v>
      </c>
      <c r="F307" s="16">
        <v>1</v>
      </c>
      <c r="G307" s="16">
        <v>1</v>
      </c>
      <c r="H307" s="16">
        <v>1</v>
      </c>
      <c r="I307" s="16">
        <v>1</v>
      </c>
      <c r="J307" s="16">
        <v>1</v>
      </c>
      <c r="K307" s="16">
        <v>1</v>
      </c>
      <c r="L307" s="16">
        <v>1</v>
      </c>
      <c r="M307">
        <f ca="1"/>
        <v>43</v>
      </c>
      <c r="N307">
        <v>10</v>
      </c>
    </row>
    <row r="308" spans="2:14" x14ac:dyDescent="0.25">
      <c r="B308" s="15" t="str">
        <f ca="1"/>
        <v>26-Oct</v>
      </c>
      <c r="C308" s="21">
        <v>1</v>
      </c>
      <c r="D308" s="17">
        <v>1</v>
      </c>
      <c r="E308" s="16">
        <v>0</v>
      </c>
      <c r="F308" s="16">
        <v>1</v>
      </c>
      <c r="G308" s="16">
        <v>1</v>
      </c>
      <c r="H308" s="16">
        <v>1</v>
      </c>
      <c r="I308" s="16">
        <v>1</v>
      </c>
      <c r="J308" s="16">
        <v>1</v>
      </c>
      <c r="K308" s="16">
        <v>1</v>
      </c>
      <c r="L308" s="16">
        <v>1</v>
      </c>
      <c r="M308">
        <f ca="1"/>
        <v>44</v>
      </c>
      <c r="N308">
        <v>9</v>
      </c>
    </row>
    <row r="309" spans="2:14" x14ac:dyDescent="0.25">
      <c r="B309" s="15" t="str">
        <f ca="1"/>
        <v>27-Oct</v>
      </c>
      <c r="C309" s="21">
        <v>1</v>
      </c>
      <c r="D309" s="17">
        <v>1</v>
      </c>
      <c r="E309" s="16">
        <v>1</v>
      </c>
      <c r="F309" s="16">
        <v>1</v>
      </c>
      <c r="G309" s="16">
        <v>1</v>
      </c>
      <c r="H309" s="16">
        <v>1</v>
      </c>
      <c r="I309" s="16">
        <v>1</v>
      </c>
      <c r="J309" s="16">
        <v>1</v>
      </c>
      <c r="K309" s="16">
        <v>1</v>
      </c>
      <c r="L309" s="16">
        <v>1</v>
      </c>
      <c r="M309">
        <f ca="1"/>
        <v>44</v>
      </c>
      <c r="N309">
        <v>10</v>
      </c>
    </row>
    <row r="310" spans="2:14" x14ac:dyDescent="0.25">
      <c r="B310" s="15" t="str">
        <f ca="1"/>
        <v>28-Oct</v>
      </c>
      <c r="C310" s="21">
        <v>1</v>
      </c>
      <c r="D310" s="17">
        <v>1</v>
      </c>
      <c r="E310" s="16">
        <v>1</v>
      </c>
      <c r="F310" s="16">
        <v>1</v>
      </c>
      <c r="G310" s="16">
        <v>1</v>
      </c>
      <c r="H310" s="16">
        <v>1</v>
      </c>
      <c r="I310" s="16">
        <v>1</v>
      </c>
      <c r="J310" s="16">
        <v>1</v>
      </c>
      <c r="K310" s="16">
        <v>1</v>
      </c>
      <c r="L310" s="16">
        <v>1</v>
      </c>
      <c r="M310">
        <f ca="1"/>
        <v>44</v>
      </c>
      <c r="N310">
        <v>10</v>
      </c>
    </row>
    <row r="311" spans="2:14" x14ac:dyDescent="0.25">
      <c r="B311" s="15" t="str">
        <f ca="1"/>
        <v>29-Oct</v>
      </c>
      <c r="C311" s="21">
        <v>1</v>
      </c>
      <c r="D311" s="17">
        <v>1</v>
      </c>
      <c r="E311" s="16">
        <v>1</v>
      </c>
      <c r="F311" s="16">
        <v>1</v>
      </c>
      <c r="G311" s="16">
        <v>1</v>
      </c>
      <c r="H311" s="16">
        <v>1</v>
      </c>
      <c r="I311" s="16">
        <v>1</v>
      </c>
      <c r="J311" s="16">
        <v>1</v>
      </c>
      <c r="K311" s="16">
        <v>1</v>
      </c>
      <c r="L311" s="16">
        <v>1</v>
      </c>
      <c r="M311">
        <f ca="1"/>
        <v>44</v>
      </c>
      <c r="N311">
        <v>10</v>
      </c>
    </row>
    <row r="312" spans="2:14" x14ac:dyDescent="0.25">
      <c r="B312" s="15" t="str">
        <f ca="1"/>
        <v>30-Oct</v>
      </c>
      <c r="C312" s="21">
        <v>1</v>
      </c>
      <c r="D312" s="17">
        <v>1</v>
      </c>
      <c r="E312" s="16">
        <v>1</v>
      </c>
      <c r="F312" s="16">
        <v>1</v>
      </c>
      <c r="G312" s="16">
        <v>1</v>
      </c>
      <c r="H312" s="16">
        <v>1</v>
      </c>
      <c r="I312" s="16">
        <v>1</v>
      </c>
      <c r="J312" s="16">
        <v>1</v>
      </c>
      <c r="K312" s="16">
        <v>1</v>
      </c>
      <c r="L312" s="16">
        <v>1</v>
      </c>
      <c r="M312">
        <f ca="1"/>
        <v>44</v>
      </c>
      <c r="N312">
        <v>10</v>
      </c>
    </row>
    <row r="313" spans="2:14" x14ac:dyDescent="0.25">
      <c r="B313" s="15" t="str">
        <f ca="1"/>
        <v>31-Oct</v>
      </c>
      <c r="C313" s="21">
        <v>1</v>
      </c>
      <c r="D313" s="17">
        <v>1</v>
      </c>
      <c r="E313" s="16">
        <v>1</v>
      </c>
      <c r="F313" s="16">
        <v>1</v>
      </c>
      <c r="G313" s="16">
        <v>1</v>
      </c>
      <c r="H313" s="16">
        <v>1</v>
      </c>
      <c r="I313" s="16">
        <v>1</v>
      </c>
      <c r="J313" s="16">
        <v>1</v>
      </c>
      <c r="K313" s="16">
        <v>1</v>
      </c>
      <c r="L313" s="16">
        <v>1</v>
      </c>
      <c r="M313">
        <f ca="1"/>
        <v>44</v>
      </c>
      <c r="N313">
        <v>10</v>
      </c>
    </row>
    <row r="314" spans="2:14" x14ac:dyDescent="0.25">
      <c r="B314" s="15" t="str">
        <f ca="1"/>
        <v>01-Nov</v>
      </c>
      <c r="C314" s="21">
        <v>1</v>
      </c>
      <c r="D314" s="17">
        <v>1</v>
      </c>
      <c r="E314" s="16">
        <v>1</v>
      </c>
      <c r="F314" s="16">
        <v>1</v>
      </c>
      <c r="G314" s="16">
        <v>1</v>
      </c>
      <c r="H314" s="16">
        <v>1</v>
      </c>
      <c r="I314" s="16">
        <v>1</v>
      </c>
      <c r="J314" s="16">
        <v>1</v>
      </c>
      <c r="K314" s="16">
        <v>1</v>
      </c>
      <c r="L314" s="16">
        <v>1</v>
      </c>
      <c r="M314">
        <f ca="1"/>
        <v>44</v>
      </c>
      <c r="N314">
        <v>10</v>
      </c>
    </row>
    <row r="315" spans="2:14" x14ac:dyDescent="0.25">
      <c r="B315" s="15" t="str">
        <f ca="1"/>
        <v>02-Nov</v>
      </c>
      <c r="C315" s="21">
        <v>1</v>
      </c>
      <c r="D315" s="17">
        <v>1</v>
      </c>
      <c r="E315" s="16">
        <v>1</v>
      </c>
      <c r="F315" s="16">
        <v>1</v>
      </c>
      <c r="G315" s="16">
        <v>1</v>
      </c>
      <c r="H315" s="16">
        <v>1</v>
      </c>
      <c r="I315" s="16">
        <v>1</v>
      </c>
      <c r="J315" s="16">
        <v>1</v>
      </c>
      <c r="K315" s="16">
        <v>1</v>
      </c>
      <c r="L315" s="16">
        <v>1</v>
      </c>
      <c r="M315">
        <f ca="1"/>
        <v>45</v>
      </c>
      <c r="N315">
        <v>10</v>
      </c>
    </row>
    <row r="316" spans="2:14" x14ac:dyDescent="0.25">
      <c r="B316" s="15" t="str">
        <f ca="1"/>
        <v>03-Nov</v>
      </c>
      <c r="C316" s="21">
        <v>1</v>
      </c>
      <c r="D316" s="17">
        <v>1</v>
      </c>
      <c r="E316" s="16">
        <v>1</v>
      </c>
      <c r="F316" s="16">
        <v>1</v>
      </c>
      <c r="G316" s="16">
        <v>1</v>
      </c>
      <c r="H316" s="16">
        <v>1</v>
      </c>
      <c r="I316" s="16">
        <v>1</v>
      </c>
      <c r="J316" s="16">
        <v>1</v>
      </c>
      <c r="K316" s="16">
        <v>1</v>
      </c>
      <c r="L316" s="16">
        <v>1</v>
      </c>
      <c r="M316">
        <f ca="1"/>
        <v>45</v>
      </c>
      <c r="N316">
        <v>10</v>
      </c>
    </row>
    <row r="317" spans="2:14" x14ac:dyDescent="0.25">
      <c r="B317" s="15" t="str">
        <f ca="1"/>
        <v>04-Nov</v>
      </c>
      <c r="C317" s="21">
        <v>1</v>
      </c>
      <c r="D317" s="17">
        <v>1</v>
      </c>
      <c r="E317" s="16">
        <v>0</v>
      </c>
      <c r="F317" s="16">
        <v>1</v>
      </c>
      <c r="G317" s="16">
        <v>1</v>
      </c>
      <c r="H317" s="16">
        <v>1</v>
      </c>
      <c r="I317" s="16">
        <v>1</v>
      </c>
      <c r="J317" s="16">
        <v>1</v>
      </c>
      <c r="K317" s="16">
        <v>1</v>
      </c>
      <c r="L317" s="16">
        <v>1</v>
      </c>
      <c r="M317">
        <f ca="1"/>
        <v>45</v>
      </c>
      <c r="N317">
        <v>9</v>
      </c>
    </row>
    <row r="318" spans="2:14" x14ac:dyDescent="0.25">
      <c r="B318" s="15" t="str">
        <f ca="1"/>
        <v>05-Nov</v>
      </c>
      <c r="C318" s="21">
        <v>1</v>
      </c>
      <c r="D318" s="17">
        <v>1</v>
      </c>
      <c r="E318" s="16">
        <v>1</v>
      </c>
      <c r="F318" s="16">
        <v>1</v>
      </c>
      <c r="G318" s="16">
        <v>1</v>
      </c>
      <c r="H318" s="16">
        <v>1</v>
      </c>
      <c r="I318" s="16">
        <v>1</v>
      </c>
      <c r="J318" s="16">
        <v>1</v>
      </c>
      <c r="K318" s="16">
        <v>1</v>
      </c>
      <c r="L318" s="16">
        <v>1</v>
      </c>
      <c r="M318">
        <f ca="1"/>
        <v>45</v>
      </c>
      <c r="N318">
        <v>10</v>
      </c>
    </row>
    <row r="319" spans="2:14" x14ac:dyDescent="0.25">
      <c r="B319" s="15" t="str">
        <f ca="1"/>
        <v>06-Nov</v>
      </c>
      <c r="C319" s="21">
        <v>1</v>
      </c>
      <c r="D319" s="17">
        <v>1</v>
      </c>
      <c r="E319" s="16">
        <v>1</v>
      </c>
      <c r="F319" s="16">
        <v>1</v>
      </c>
      <c r="G319" s="16">
        <v>1</v>
      </c>
      <c r="H319" s="16">
        <v>1</v>
      </c>
      <c r="I319" s="16">
        <v>1</v>
      </c>
      <c r="J319" s="16">
        <v>1</v>
      </c>
      <c r="K319" s="16">
        <v>1</v>
      </c>
      <c r="L319" s="16">
        <v>1</v>
      </c>
      <c r="M319">
        <f ca="1"/>
        <v>45</v>
      </c>
      <c r="N319">
        <v>10</v>
      </c>
    </row>
    <row r="320" spans="2:14" x14ac:dyDescent="0.25">
      <c r="B320" s="15" t="str">
        <f ca="1"/>
        <v>07-Nov</v>
      </c>
      <c r="C320" s="21">
        <v>1</v>
      </c>
      <c r="D320" s="17">
        <v>1</v>
      </c>
      <c r="E320" s="16">
        <v>0</v>
      </c>
      <c r="F320" s="16">
        <v>1</v>
      </c>
      <c r="G320" s="16">
        <v>1</v>
      </c>
      <c r="H320" s="16">
        <v>1</v>
      </c>
      <c r="I320" s="16">
        <v>1</v>
      </c>
      <c r="J320" s="16">
        <v>1</v>
      </c>
      <c r="K320" s="16">
        <v>1</v>
      </c>
      <c r="L320" s="16">
        <v>1</v>
      </c>
      <c r="M320">
        <f ca="1"/>
        <v>45</v>
      </c>
      <c r="N320">
        <v>9</v>
      </c>
    </row>
    <row r="321" spans="2:14" x14ac:dyDescent="0.25">
      <c r="B321" s="15" t="str">
        <f ca="1"/>
        <v>08-Nov</v>
      </c>
      <c r="C321" s="21">
        <v>1</v>
      </c>
      <c r="D321" s="17">
        <v>1</v>
      </c>
      <c r="E321" s="16">
        <v>0</v>
      </c>
      <c r="F321" s="16">
        <v>1</v>
      </c>
      <c r="G321" s="16">
        <v>1</v>
      </c>
      <c r="H321" s="16">
        <v>1</v>
      </c>
      <c r="I321" s="16">
        <v>1</v>
      </c>
      <c r="J321" s="16">
        <v>1</v>
      </c>
      <c r="K321" s="16">
        <v>1</v>
      </c>
      <c r="L321" s="16">
        <v>1</v>
      </c>
      <c r="M321">
        <f ca="1"/>
        <v>45</v>
      </c>
      <c r="N321">
        <v>9</v>
      </c>
    </row>
    <row r="322" spans="2:14" x14ac:dyDescent="0.25">
      <c r="B322" s="15" t="str">
        <f ca="1"/>
        <v>09-Nov</v>
      </c>
      <c r="C322" s="21">
        <v>1</v>
      </c>
      <c r="D322" s="17">
        <v>1</v>
      </c>
      <c r="E322" s="16">
        <v>1</v>
      </c>
      <c r="F322" s="16">
        <v>1</v>
      </c>
      <c r="G322" s="16">
        <v>1</v>
      </c>
      <c r="H322" s="16">
        <v>1</v>
      </c>
      <c r="I322" s="16">
        <v>1</v>
      </c>
      <c r="J322" s="16">
        <v>1</v>
      </c>
      <c r="K322" s="16">
        <v>1</v>
      </c>
      <c r="L322" s="16">
        <v>1</v>
      </c>
      <c r="M322">
        <f ca="1"/>
        <v>46</v>
      </c>
      <c r="N322">
        <v>10</v>
      </c>
    </row>
    <row r="323" spans="2:14" x14ac:dyDescent="0.25">
      <c r="B323" s="15" t="str">
        <f ca="1"/>
        <v>10-Nov</v>
      </c>
      <c r="C323" s="21">
        <v>1</v>
      </c>
      <c r="D323" s="17">
        <v>1</v>
      </c>
      <c r="E323" s="16">
        <v>0</v>
      </c>
      <c r="F323" s="16">
        <v>1</v>
      </c>
      <c r="G323" s="16">
        <v>1</v>
      </c>
      <c r="H323" s="16">
        <v>1</v>
      </c>
      <c r="I323" s="16">
        <v>1</v>
      </c>
      <c r="J323" s="16">
        <v>1</v>
      </c>
      <c r="K323" s="16">
        <v>1</v>
      </c>
      <c r="L323" s="16">
        <v>1</v>
      </c>
      <c r="M323">
        <f ca="1"/>
        <v>46</v>
      </c>
      <c r="N323">
        <v>9</v>
      </c>
    </row>
    <row r="324" spans="2:14" x14ac:dyDescent="0.25">
      <c r="B324" s="15" t="str">
        <f ca="1"/>
        <v>11-Nov</v>
      </c>
      <c r="C324" s="21">
        <v>1</v>
      </c>
      <c r="D324" s="17">
        <v>1</v>
      </c>
      <c r="E324" s="16">
        <v>1</v>
      </c>
      <c r="F324" s="16">
        <v>1</v>
      </c>
      <c r="G324" s="16">
        <v>1</v>
      </c>
      <c r="H324" s="16">
        <v>1</v>
      </c>
      <c r="I324" s="16">
        <v>1</v>
      </c>
      <c r="J324" s="16">
        <v>1</v>
      </c>
      <c r="K324" s="16">
        <v>1</v>
      </c>
      <c r="L324" s="16">
        <v>1</v>
      </c>
      <c r="M324">
        <f ca="1"/>
        <v>46</v>
      </c>
      <c r="N324">
        <v>10</v>
      </c>
    </row>
    <row r="325" spans="2:14" x14ac:dyDescent="0.25">
      <c r="B325" s="15" t="str">
        <f ca="1"/>
        <v>12-Nov</v>
      </c>
      <c r="C325" s="21">
        <v>1</v>
      </c>
      <c r="D325" s="17">
        <v>1</v>
      </c>
      <c r="E325" s="16">
        <v>0</v>
      </c>
      <c r="F325" s="16">
        <v>1</v>
      </c>
      <c r="G325" s="16">
        <v>1</v>
      </c>
      <c r="H325" s="16">
        <v>1</v>
      </c>
      <c r="I325" s="16">
        <v>1</v>
      </c>
      <c r="J325" s="16">
        <v>1</v>
      </c>
      <c r="K325" s="16">
        <v>1</v>
      </c>
      <c r="L325" s="16">
        <v>1</v>
      </c>
      <c r="M325">
        <f ca="1"/>
        <v>46</v>
      </c>
      <c r="N325">
        <v>9</v>
      </c>
    </row>
    <row r="326" spans="2:14" x14ac:dyDescent="0.25">
      <c r="B326" s="15" t="str">
        <f ca="1"/>
        <v>13-Nov</v>
      </c>
      <c r="C326" s="21">
        <v>1</v>
      </c>
      <c r="D326" s="17">
        <v>1</v>
      </c>
      <c r="E326" s="16">
        <v>1</v>
      </c>
      <c r="F326" s="16">
        <v>1</v>
      </c>
      <c r="G326" s="16">
        <v>1</v>
      </c>
      <c r="H326" s="16">
        <v>1</v>
      </c>
      <c r="I326" s="16">
        <v>1</v>
      </c>
      <c r="J326" s="16">
        <v>1</v>
      </c>
      <c r="K326" s="16">
        <v>1</v>
      </c>
      <c r="L326" s="16">
        <v>1</v>
      </c>
      <c r="M326">
        <f ca="1"/>
        <v>46</v>
      </c>
      <c r="N326">
        <v>10</v>
      </c>
    </row>
    <row r="327" spans="2:14" x14ac:dyDescent="0.25">
      <c r="B327" s="15" t="str">
        <f ca="1"/>
        <v>14-Nov</v>
      </c>
      <c r="C327" s="21">
        <v>1</v>
      </c>
      <c r="D327" s="17">
        <v>1</v>
      </c>
      <c r="E327" s="16">
        <v>0</v>
      </c>
      <c r="F327" s="16">
        <v>1</v>
      </c>
      <c r="G327" s="16">
        <v>1</v>
      </c>
      <c r="H327" s="16">
        <v>1</v>
      </c>
      <c r="I327" s="16">
        <v>1</v>
      </c>
      <c r="J327" s="16">
        <v>1</v>
      </c>
      <c r="K327" s="16">
        <v>1</v>
      </c>
      <c r="L327" s="16">
        <v>1</v>
      </c>
      <c r="M327">
        <f ca="1"/>
        <v>46</v>
      </c>
      <c r="N327">
        <v>9</v>
      </c>
    </row>
    <row r="328" spans="2:14" x14ac:dyDescent="0.25">
      <c r="B328" s="15" t="str">
        <f ca="1"/>
        <v>15-Nov</v>
      </c>
      <c r="C328" s="21">
        <v>1</v>
      </c>
      <c r="D328" s="17">
        <v>1</v>
      </c>
      <c r="E328" s="16">
        <v>1</v>
      </c>
      <c r="F328" s="16">
        <v>1</v>
      </c>
      <c r="G328" s="16">
        <v>1</v>
      </c>
      <c r="H328" s="16">
        <v>1</v>
      </c>
      <c r="I328" s="16">
        <v>1</v>
      </c>
      <c r="J328" s="16">
        <v>1</v>
      </c>
      <c r="K328" s="16">
        <v>1</v>
      </c>
      <c r="L328" s="16">
        <v>1</v>
      </c>
      <c r="M328">
        <f ca="1"/>
        <v>46</v>
      </c>
      <c r="N328">
        <v>10</v>
      </c>
    </row>
    <row r="329" spans="2:14" x14ac:dyDescent="0.25">
      <c r="B329" s="15" t="str">
        <f ca="1"/>
        <v>16-Nov</v>
      </c>
      <c r="C329" s="21">
        <v>1</v>
      </c>
      <c r="D329" s="17">
        <v>1</v>
      </c>
      <c r="E329" s="16">
        <v>0</v>
      </c>
      <c r="F329" s="16">
        <v>1</v>
      </c>
      <c r="G329" s="16">
        <v>1</v>
      </c>
      <c r="H329" s="16">
        <v>1</v>
      </c>
      <c r="I329" s="16">
        <v>1</v>
      </c>
      <c r="J329" s="16">
        <v>1</v>
      </c>
      <c r="K329" s="16">
        <v>1</v>
      </c>
      <c r="L329" s="16">
        <v>1</v>
      </c>
      <c r="M329">
        <f ca="1"/>
        <v>47</v>
      </c>
      <c r="N329">
        <v>9</v>
      </c>
    </row>
    <row r="330" spans="2:14" x14ac:dyDescent="0.25">
      <c r="B330" s="15" t="str">
        <f ca="1"/>
        <v>17-Nov</v>
      </c>
      <c r="C330" s="21">
        <v>1</v>
      </c>
      <c r="D330" s="17">
        <v>1</v>
      </c>
      <c r="E330" s="16">
        <v>0</v>
      </c>
      <c r="F330" s="16">
        <v>1</v>
      </c>
      <c r="G330" s="16">
        <v>1</v>
      </c>
      <c r="H330" s="16">
        <v>1</v>
      </c>
      <c r="I330" s="16">
        <v>1</v>
      </c>
      <c r="J330" s="16">
        <v>1</v>
      </c>
      <c r="K330" s="16">
        <v>1</v>
      </c>
      <c r="L330" s="16">
        <v>1</v>
      </c>
      <c r="M330">
        <f ca="1"/>
        <v>47</v>
      </c>
      <c r="N330">
        <v>9</v>
      </c>
    </row>
    <row r="331" spans="2:14" x14ac:dyDescent="0.25">
      <c r="B331" s="15" t="str">
        <f ca="1"/>
        <v>18-Nov</v>
      </c>
      <c r="C331" s="21">
        <v>1</v>
      </c>
      <c r="D331" s="17">
        <v>1</v>
      </c>
      <c r="E331" s="16">
        <v>1</v>
      </c>
      <c r="F331" s="16">
        <v>1</v>
      </c>
      <c r="G331" s="16">
        <v>1</v>
      </c>
      <c r="H331" s="16">
        <v>1</v>
      </c>
      <c r="I331" s="16">
        <v>1</v>
      </c>
      <c r="J331" s="16">
        <v>1</v>
      </c>
      <c r="K331" s="16">
        <v>1</v>
      </c>
      <c r="L331" s="16">
        <v>1</v>
      </c>
      <c r="M331">
        <f ca="1"/>
        <v>47</v>
      </c>
      <c r="N331">
        <v>10</v>
      </c>
    </row>
    <row r="332" spans="2:14" x14ac:dyDescent="0.25">
      <c r="B332" s="15" t="str">
        <f ca="1"/>
        <v>19-Nov</v>
      </c>
      <c r="C332" s="21">
        <v>1</v>
      </c>
      <c r="D332" s="17">
        <v>1</v>
      </c>
      <c r="E332" s="16">
        <v>0</v>
      </c>
      <c r="F332" s="16">
        <v>1</v>
      </c>
      <c r="G332" s="16">
        <v>1</v>
      </c>
      <c r="H332" s="16">
        <v>1</v>
      </c>
      <c r="I332" s="16">
        <v>1</v>
      </c>
      <c r="J332" s="16">
        <v>1</v>
      </c>
      <c r="K332" s="16">
        <v>1</v>
      </c>
      <c r="L332" s="16">
        <v>1</v>
      </c>
      <c r="M332">
        <f ca="1"/>
        <v>47</v>
      </c>
      <c r="N332">
        <v>9</v>
      </c>
    </row>
    <row r="333" spans="2:14" x14ac:dyDescent="0.25">
      <c r="B333" s="15" t="str">
        <f ca="1"/>
        <v>20-Nov</v>
      </c>
      <c r="C333" s="21">
        <v>1</v>
      </c>
      <c r="D333" s="17">
        <v>1</v>
      </c>
      <c r="E333" s="16">
        <v>0</v>
      </c>
      <c r="F333" s="16">
        <v>0</v>
      </c>
      <c r="G333" s="16">
        <v>1</v>
      </c>
      <c r="H333" s="16">
        <v>1</v>
      </c>
      <c r="I333" s="16">
        <v>1</v>
      </c>
      <c r="J333" s="16">
        <v>1</v>
      </c>
      <c r="K333" s="16">
        <v>1</v>
      </c>
      <c r="L333" s="16">
        <v>1</v>
      </c>
      <c r="M333">
        <f ca="1"/>
        <v>47</v>
      </c>
      <c r="N333">
        <v>8</v>
      </c>
    </row>
    <row r="334" spans="2:14" x14ac:dyDescent="0.25">
      <c r="B334" s="15" t="str">
        <f ca="1"/>
        <v>21-Nov</v>
      </c>
      <c r="C334" s="21">
        <v>1</v>
      </c>
      <c r="D334" s="17">
        <v>1</v>
      </c>
      <c r="E334" s="16">
        <v>0</v>
      </c>
      <c r="F334" s="16">
        <v>1</v>
      </c>
      <c r="G334" s="16">
        <v>1</v>
      </c>
      <c r="H334" s="16">
        <v>1</v>
      </c>
      <c r="I334" s="16">
        <v>1</v>
      </c>
      <c r="J334" s="16">
        <v>1</v>
      </c>
      <c r="K334" s="16">
        <v>1</v>
      </c>
      <c r="L334" s="16">
        <v>1</v>
      </c>
      <c r="M334">
        <f ca="1"/>
        <v>47</v>
      </c>
      <c r="N334">
        <v>9</v>
      </c>
    </row>
    <row r="335" spans="2:14" x14ac:dyDescent="0.25">
      <c r="B335" s="15" t="str">
        <f ca="1"/>
        <v>22-Nov</v>
      </c>
      <c r="C335" s="21">
        <v>1</v>
      </c>
      <c r="D335" s="17">
        <v>1</v>
      </c>
      <c r="E335" s="16">
        <v>1</v>
      </c>
      <c r="F335" s="16">
        <v>1</v>
      </c>
      <c r="G335" s="16">
        <v>1</v>
      </c>
      <c r="H335" s="16">
        <v>1</v>
      </c>
      <c r="I335" s="16">
        <v>1</v>
      </c>
      <c r="J335" s="16">
        <v>1</v>
      </c>
      <c r="K335" s="16">
        <v>1</v>
      </c>
      <c r="L335" s="16">
        <v>1</v>
      </c>
      <c r="M335">
        <f ca="1"/>
        <v>47</v>
      </c>
      <c r="N335">
        <v>10</v>
      </c>
    </row>
    <row r="336" spans="2:14" x14ac:dyDescent="0.25">
      <c r="B336" s="15" t="str">
        <f ca="1"/>
        <v>23-Nov</v>
      </c>
      <c r="C336" s="21">
        <v>1</v>
      </c>
      <c r="D336" s="17">
        <v>1</v>
      </c>
      <c r="E336" s="16">
        <v>1</v>
      </c>
      <c r="F336" s="16">
        <v>1</v>
      </c>
      <c r="G336" s="16">
        <v>1</v>
      </c>
      <c r="H336" s="16">
        <v>1</v>
      </c>
      <c r="I336" s="16">
        <v>1</v>
      </c>
      <c r="J336" s="16">
        <v>1</v>
      </c>
      <c r="K336" s="16">
        <v>1</v>
      </c>
      <c r="L336" s="16">
        <v>1</v>
      </c>
      <c r="M336">
        <f ca="1"/>
        <v>48</v>
      </c>
      <c r="N336">
        <v>10</v>
      </c>
    </row>
    <row r="337" spans="2:31" x14ac:dyDescent="0.25">
      <c r="B337" s="15" t="str">
        <f ca="1"/>
        <v>24-Nov</v>
      </c>
      <c r="C337" s="21">
        <v>1</v>
      </c>
      <c r="D337" s="17">
        <v>1</v>
      </c>
      <c r="E337" s="16">
        <v>1</v>
      </c>
      <c r="F337" s="16">
        <v>1</v>
      </c>
      <c r="G337" s="16">
        <v>1</v>
      </c>
      <c r="H337" s="16">
        <v>1</v>
      </c>
      <c r="I337" s="16">
        <v>1</v>
      </c>
      <c r="J337" s="16">
        <v>1</v>
      </c>
      <c r="K337" s="16">
        <v>1</v>
      </c>
      <c r="L337" s="16">
        <v>1</v>
      </c>
      <c r="M337">
        <f ca="1"/>
        <v>48</v>
      </c>
      <c r="N337">
        <v>10</v>
      </c>
    </row>
    <row r="338" spans="2:31" x14ac:dyDescent="0.25">
      <c r="B338" s="15" t="str">
        <f ca="1"/>
        <v>25-Nov</v>
      </c>
      <c r="C338" s="21">
        <v>1</v>
      </c>
      <c r="D338" s="17">
        <v>1</v>
      </c>
      <c r="E338" s="16">
        <v>1</v>
      </c>
      <c r="F338" s="16">
        <v>0</v>
      </c>
      <c r="G338" s="16">
        <v>1</v>
      </c>
      <c r="H338" s="16">
        <v>1</v>
      </c>
      <c r="I338" s="16">
        <v>1</v>
      </c>
      <c r="J338" s="16">
        <v>1</v>
      </c>
      <c r="K338" s="16">
        <v>1</v>
      </c>
      <c r="L338" s="16">
        <v>1</v>
      </c>
      <c r="M338">
        <f ca="1"/>
        <v>48</v>
      </c>
      <c r="N338">
        <v>9</v>
      </c>
    </row>
    <row r="339" spans="2:31" x14ac:dyDescent="0.25">
      <c r="B339" s="15" t="str">
        <f ca="1"/>
        <v>26-Nov</v>
      </c>
      <c r="C339" s="21">
        <v>1</v>
      </c>
      <c r="D339" s="17">
        <v>1</v>
      </c>
      <c r="E339" s="16">
        <v>0</v>
      </c>
      <c r="F339" s="16">
        <v>1</v>
      </c>
      <c r="G339" s="16">
        <v>1</v>
      </c>
      <c r="H339" s="16">
        <v>1</v>
      </c>
      <c r="I339" s="16">
        <v>1</v>
      </c>
      <c r="J339" s="16">
        <v>1</v>
      </c>
      <c r="K339" s="16">
        <v>1</v>
      </c>
      <c r="L339" s="16">
        <v>1</v>
      </c>
      <c r="M339">
        <f ca="1"/>
        <v>48</v>
      </c>
      <c r="N339">
        <v>9</v>
      </c>
    </row>
    <row r="340" spans="2:31" x14ac:dyDescent="0.25">
      <c r="B340" s="15" t="str">
        <f ca="1"/>
        <v>27-Nov</v>
      </c>
      <c r="C340" s="21">
        <v>1</v>
      </c>
      <c r="D340" s="17">
        <v>1</v>
      </c>
      <c r="E340" s="16">
        <v>0</v>
      </c>
      <c r="F340" s="16">
        <v>0</v>
      </c>
      <c r="G340" s="16">
        <v>1</v>
      </c>
      <c r="H340" s="16">
        <v>1</v>
      </c>
      <c r="I340" s="16">
        <v>1</v>
      </c>
      <c r="J340" s="16">
        <v>1</v>
      </c>
      <c r="K340" s="16">
        <v>1</v>
      </c>
      <c r="L340" s="16">
        <v>1</v>
      </c>
      <c r="M340">
        <f ca="1"/>
        <v>48</v>
      </c>
      <c r="N340">
        <v>8</v>
      </c>
    </row>
    <row r="341" spans="2:31" x14ac:dyDescent="0.25">
      <c r="B341" s="15" t="str">
        <f ca="1"/>
        <v>28-Nov</v>
      </c>
      <c r="C341" s="21">
        <v>1</v>
      </c>
      <c r="D341" s="17">
        <v>1</v>
      </c>
      <c r="E341" s="16">
        <v>0</v>
      </c>
      <c r="F341" s="16">
        <v>1</v>
      </c>
      <c r="G341" s="16">
        <v>1</v>
      </c>
      <c r="H341" s="16">
        <v>1</v>
      </c>
      <c r="I341" s="16">
        <v>1</v>
      </c>
      <c r="J341" s="16">
        <v>1</v>
      </c>
      <c r="K341" s="16">
        <v>1</v>
      </c>
      <c r="L341" s="16">
        <v>1</v>
      </c>
      <c r="M341">
        <f ca="1"/>
        <v>48</v>
      </c>
      <c r="N341">
        <v>9</v>
      </c>
    </row>
    <row r="342" spans="2:31" x14ac:dyDescent="0.25">
      <c r="B342" s="15" t="str">
        <f ca="1"/>
        <v>29-Nov</v>
      </c>
      <c r="C342" s="21">
        <v>1</v>
      </c>
      <c r="D342" s="17">
        <v>1</v>
      </c>
      <c r="E342" s="16">
        <v>1</v>
      </c>
      <c r="F342" s="16">
        <v>0</v>
      </c>
      <c r="G342" s="16">
        <v>1</v>
      </c>
      <c r="H342" s="16">
        <v>1</v>
      </c>
      <c r="I342" s="16">
        <v>1</v>
      </c>
      <c r="J342" s="16">
        <v>1</v>
      </c>
      <c r="K342" s="16">
        <v>1</v>
      </c>
      <c r="L342" s="16">
        <v>1</v>
      </c>
      <c r="M342">
        <f ca="1"/>
        <v>48</v>
      </c>
      <c r="N342">
        <v>9</v>
      </c>
    </row>
    <row r="343" spans="2:31" x14ac:dyDescent="0.25">
      <c r="B343" s="15" t="str">
        <f ca="1"/>
        <v>30-Nov</v>
      </c>
      <c r="C343" s="21">
        <v>1</v>
      </c>
      <c r="D343" s="17">
        <v>1</v>
      </c>
      <c r="E343" s="16">
        <v>1</v>
      </c>
      <c r="F343" s="16">
        <v>1</v>
      </c>
      <c r="G343" s="16">
        <v>1</v>
      </c>
      <c r="H343" s="16">
        <v>1</v>
      </c>
      <c r="I343" s="16">
        <v>1</v>
      </c>
      <c r="J343" s="16">
        <v>1</v>
      </c>
      <c r="K343" s="16">
        <v>1</v>
      </c>
      <c r="L343" s="16">
        <v>1</v>
      </c>
      <c r="M343">
        <f ca="1"/>
        <v>49</v>
      </c>
      <c r="N343">
        <v>10</v>
      </c>
    </row>
    <row r="344" spans="2:31" x14ac:dyDescent="0.25">
      <c r="B344" s="15" t="str">
        <f ca="1"/>
        <v>01-Dec</v>
      </c>
      <c r="C344" s="21">
        <v>1</v>
      </c>
      <c r="D344" s="17">
        <v>1</v>
      </c>
      <c r="E344" s="16">
        <v>1</v>
      </c>
      <c r="F344" s="16">
        <v>1</v>
      </c>
      <c r="G344" s="16">
        <v>1</v>
      </c>
      <c r="H344" s="16">
        <v>1</v>
      </c>
      <c r="I344" s="16">
        <v>1</v>
      </c>
      <c r="J344" s="16">
        <v>1</v>
      </c>
      <c r="K344" s="16">
        <v>1</v>
      </c>
      <c r="L344" s="16">
        <v>1</v>
      </c>
      <c r="M344">
        <f ca="1"/>
        <v>49</v>
      </c>
      <c r="N344">
        <v>10</v>
      </c>
    </row>
    <row r="345" spans="2:31" x14ac:dyDescent="0.25">
      <c r="B345" s="15" t="str">
        <f ca="1"/>
        <v>02-Dec</v>
      </c>
      <c r="C345" s="21">
        <v>1</v>
      </c>
      <c r="D345" s="17">
        <v>1</v>
      </c>
      <c r="E345" s="16">
        <v>0</v>
      </c>
      <c r="F345" s="16">
        <v>1</v>
      </c>
      <c r="G345" s="16">
        <v>1</v>
      </c>
      <c r="H345" s="16">
        <v>1</v>
      </c>
      <c r="I345" s="16">
        <v>1</v>
      </c>
      <c r="J345" s="16">
        <v>1</v>
      </c>
      <c r="K345" s="16">
        <v>1</v>
      </c>
      <c r="L345" s="16">
        <v>1</v>
      </c>
      <c r="M345">
        <f ca="1"/>
        <v>49</v>
      </c>
      <c r="N345">
        <v>9</v>
      </c>
    </row>
    <row r="346" spans="2:31" x14ac:dyDescent="0.25">
      <c r="B346" s="15" t="str">
        <f ca="1"/>
        <v>03-Dec</v>
      </c>
      <c r="C346" s="21">
        <v>1</v>
      </c>
      <c r="D346" s="17">
        <v>1</v>
      </c>
      <c r="E346" s="16">
        <v>0</v>
      </c>
      <c r="F346" s="16">
        <v>1</v>
      </c>
      <c r="G346" s="16">
        <v>1</v>
      </c>
      <c r="H346" s="16">
        <v>1</v>
      </c>
      <c r="I346" s="16">
        <v>1</v>
      </c>
      <c r="J346" s="16">
        <v>1</v>
      </c>
      <c r="K346" s="16">
        <v>1</v>
      </c>
      <c r="L346" s="16">
        <v>1</v>
      </c>
      <c r="M346">
        <f ca="1"/>
        <v>49</v>
      </c>
      <c r="N346">
        <v>9</v>
      </c>
    </row>
    <row r="347" spans="2:31" x14ac:dyDescent="0.25">
      <c r="B347" s="15" t="str">
        <f ca="1"/>
        <v>04-Dec</v>
      </c>
      <c r="C347" s="21">
        <v>1</v>
      </c>
      <c r="D347" s="17">
        <v>1</v>
      </c>
      <c r="E347" s="16">
        <v>0</v>
      </c>
      <c r="F347" s="16">
        <v>1</v>
      </c>
      <c r="G347" s="16">
        <v>1</v>
      </c>
      <c r="H347" s="16">
        <v>1</v>
      </c>
      <c r="I347" s="16">
        <v>1</v>
      </c>
      <c r="J347" s="16">
        <v>1</v>
      </c>
      <c r="K347" s="16">
        <v>1</v>
      </c>
      <c r="L347" s="16">
        <v>1</v>
      </c>
      <c r="M347">
        <f ca="1"/>
        <v>49</v>
      </c>
      <c r="N347">
        <v>9</v>
      </c>
    </row>
    <row r="348" spans="2:31" x14ac:dyDescent="0.25">
      <c r="B348" s="15" t="str">
        <f ca="1"/>
        <v>05-Dec</v>
      </c>
      <c r="C348" s="21">
        <v>1</v>
      </c>
      <c r="D348" s="17">
        <v>1</v>
      </c>
      <c r="E348" s="16">
        <v>1</v>
      </c>
      <c r="F348" s="16">
        <v>1</v>
      </c>
      <c r="G348" s="16">
        <v>1</v>
      </c>
      <c r="H348" s="16">
        <v>1</v>
      </c>
      <c r="I348" s="16">
        <v>1</v>
      </c>
      <c r="J348" s="16">
        <v>1</v>
      </c>
      <c r="K348" s="16">
        <v>1</v>
      </c>
      <c r="L348" s="16">
        <v>1</v>
      </c>
      <c r="M348">
        <f ca="1"/>
        <v>49</v>
      </c>
      <c r="N348">
        <v>10</v>
      </c>
    </row>
    <row r="349" spans="2:31" x14ac:dyDescent="0.25">
      <c r="B349" s="15" t="str">
        <f ca="1"/>
        <v>06-Dec</v>
      </c>
      <c r="C349" s="21">
        <v>1</v>
      </c>
      <c r="D349" s="17">
        <v>1</v>
      </c>
      <c r="E349" s="16">
        <v>0</v>
      </c>
      <c r="F349" s="16">
        <v>1</v>
      </c>
      <c r="G349" s="16">
        <v>1</v>
      </c>
      <c r="H349" s="16">
        <v>1</v>
      </c>
      <c r="I349" s="16">
        <v>1</v>
      </c>
      <c r="J349" s="16">
        <v>1</v>
      </c>
      <c r="K349" s="16">
        <v>1</v>
      </c>
      <c r="L349" s="16">
        <v>1</v>
      </c>
      <c r="M349">
        <f ca="1"/>
        <v>49</v>
      </c>
      <c r="N349">
        <v>9</v>
      </c>
    </row>
    <row r="350" spans="2:31" x14ac:dyDescent="0.25">
      <c r="B350" s="15" t="str">
        <f ca="1"/>
        <v>07-Dec</v>
      </c>
      <c r="C350" s="21">
        <v>1</v>
      </c>
      <c r="D350" s="17">
        <v>1</v>
      </c>
      <c r="E350" s="16">
        <v>1</v>
      </c>
      <c r="F350" s="16">
        <v>1</v>
      </c>
      <c r="G350" s="16">
        <v>1</v>
      </c>
      <c r="H350" s="16">
        <v>1</v>
      </c>
      <c r="I350" s="16">
        <v>1</v>
      </c>
      <c r="J350" s="16">
        <v>1</v>
      </c>
      <c r="K350" s="16">
        <v>1</v>
      </c>
      <c r="L350" s="16">
        <v>1</v>
      </c>
      <c r="M350">
        <f ca="1"/>
        <v>50</v>
      </c>
      <c r="N350">
        <v>10</v>
      </c>
    </row>
    <row r="351" spans="2:31" x14ac:dyDescent="0.25">
      <c r="B351" s="15" t="str">
        <f ca="1"/>
        <v>08-Dec</v>
      </c>
      <c r="C351" s="21">
        <v>1</v>
      </c>
      <c r="D351" s="17">
        <v>1</v>
      </c>
      <c r="E351" s="16">
        <v>0</v>
      </c>
      <c r="F351" s="16">
        <v>1</v>
      </c>
      <c r="G351" s="16">
        <v>1</v>
      </c>
      <c r="H351" s="16">
        <v>1</v>
      </c>
      <c r="I351" s="16">
        <v>1</v>
      </c>
      <c r="J351" s="16">
        <v>1</v>
      </c>
      <c r="K351" s="16">
        <v>1</v>
      </c>
      <c r="L351" s="16">
        <v>1</v>
      </c>
      <c r="M351">
        <f ca="1"/>
        <v>50</v>
      </c>
      <c r="N351">
        <v>9</v>
      </c>
      <c r="AE351" t="s">
        <v>78</v>
      </c>
    </row>
    <row r="352" spans="2:31" x14ac:dyDescent="0.25">
      <c r="B352" s="15" t="str">
        <f ca="1"/>
        <v>09-Dec</v>
      </c>
      <c r="C352" s="21">
        <v>1</v>
      </c>
      <c r="D352" s="17">
        <v>1</v>
      </c>
      <c r="E352" s="16">
        <v>1</v>
      </c>
      <c r="F352" s="16">
        <v>1</v>
      </c>
      <c r="G352" s="16">
        <v>1</v>
      </c>
      <c r="H352" s="16">
        <v>1</v>
      </c>
      <c r="I352" s="16">
        <v>1</v>
      </c>
      <c r="J352" s="16">
        <v>1</v>
      </c>
      <c r="K352" s="16">
        <v>1</v>
      </c>
      <c r="L352" s="16">
        <v>1</v>
      </c>
      <c r="M352">
        <f ca="1"/>
        <v>50</v>
      </c>
      <c r="N352">
        <v>10</v>
      </c>
    </row>
    <row r="353" spans="2:16" x14ac:dyDescent="0.25">
      <c r="B353" s="15" t="str">
        <f ca="1"/>
        <v>10-Dec</v>
      </c>
      <c r="C353" s="21">
        <v>1</v>
      </c>
      <c r="D353" s="17">
        <v>1</v>
      </c>
      <c r="E353" s="16">
        <v>0</v>
      </c>
      <c r="F353" s="16">
        <v>1</v>
      </c>
      <c r="G353" s="16">
        <v>1</v>
      </c>
      <c r="H353" s="16">
        <v>1</v>
      </c>
      <c r="I353" s="16">
        <v>1</v>
      </c>
      <c r="J353" s="16">
        <v>1</v>
      </c>
      <c r="K353" s="16">
        <v>1</v>
      </c>
      <c r="L353" s="16">
        <v>1</v>
      </c>
      <c r="M353">
        <f ca="1"/>
        <v>50</v>
      </c>
      <c r="N353">
        <v>9</v>
      </c>
    </row>
    <row r="354" spans="2:16" x14ac:dyDescent="0.25">
      <c r="B354" s="15" t="str">
        <f ca="1"/>
        <v>11-Dec</v>
      </c>
      <c r="C354" s="21">
        <v>1</v>
      </c>
      <c r="D354" s="17">
        <v>1</v>
      </c>
      <c r="E354" s="16">
        <v>1</v>
      </c>
      <c r="F354" s="16">
        <v>1</v>
      </c>
      <c r="G354" s="16">
        <v>1</v>
      </c>
      <c r="H354" s="16">
        <v>1</v>
      </c>
      <c r="I354" s="16">
        <v>1</v>
      </c>
      <c r="J354" s="16">
        <v>1</v>
      </c>
      <c r="K354" s="16">
        <v>1</v>
      </c>
      <c r="L354" s="16">
        <v>1</v>
      </c>
      <c r="M354">
        <f ca="1"/>
        <v>50</v>
      </c>
      <c r="N354">
        <v>10</v>
      </c>
    </row>
    <row r="357" spans="2:16" x14ac:dyDescent="0.25">
      <c r="P357" t="s">
        <v>35</v>
      </c>
    </row>
    <row r="358" spans="2:16" x14ac:dyDescent="0.25">
      <c r="P358" t="s">
        <v>36</v>
      </c>
    </row>
    <row r="359" spans="2:16" x14ac:dyDescent="0.25">
      <c r="P359" t="s">
        <v>40</v>
      </c>
    </row>
    <row r="360" spans="2:16" x14ac:dyDescent="0.25">
      <c r="P360" t="s">
        <v>47</v>
      </c>
    </row>
  </sheetData>
  <sortState xmlns:xlrd2="http://schemas.microsoft.com/office/spreadsheetml/2017/richdata2" ref="R24:R60">
    <sortCondition ref="R24:R60"/>
  </sortState>
  <conditionalFormatting sqref="O9">
    <cfRule type="expression" dxfId="17" priority="25" stopIfTrue="1">
      <formula>MOD(ROW(O9)-ROW($B$9),2)</formula>
    </cfRule>
  </conditionalFormatting>
  <conditionalFormatting sqref="P10:Z57">
    <cfRule type="expression" dxfId="16" priority="64">
      <formula>MOD(ROW(P10)-ROW($P$258),2)</formula>
    </cfRule>
  </conditionalFormatting>
  <conditionalFormatting sqref="P45">
    <cfRule type="expression" dxfId="15" priority="20">
      <formula>MOD(ROW(P45)-ROW($P$258),2)</formula>
    </cfRule>
  </conditionalFormatting>
  <conditionalFormatting sqref="P46:P52">
    <cfRule type="expression" dxfId="14" priority="19">
      <formula>MOD(ROW(P46)-ROW($P$258),2)</formula>
    </cfRule>
  </conditionalFormatting>
  <conditionalFormatting sqref="Q46:Z46">
    <cfRule type="expression" dxfId="13" priority="18">
      <formula>MOD(ROW(Q46)-ROW($P$258),2)</formula>
    </cfRule>
  </conditionalFormatting>
  <conditionalFormatting sqref="P48:Z48">
    <cfRule type="expression" dxfId="12" priority="17">
      <formula>MOD(ROW(P48)-ROW($P$258),2)</formula>
    </cfRule>
  </conditionalFormatting>
  <conditionalFormatting sqref="Q48:Z48">
    <cfRule type="expression" dxfId="11" priority="16">
      <formula>MOD(ROW(Q48)-ROW($P$258),2)</formula>
    </cfRule>
  </conditionalFormatting>
  <conditionalFormatting sqref="P49:Z49">
    <cfRule type="expression" dxfId="10" priority="14">
      <formula>MOD(ROW(P49)-ROW($P$258),2)</formula>
    </cfRule>
  </conditionalFormatting>
  <conditionalFormatting sqref="P50:Z50">
    <cfRule type="expression" dxfId="9" priority="13">
      <formula>MOD(ROW(P50)-ROW($P$258),2)</formula>
    </cfRule>
  </conditionalFormatting>
  <conditionalFormatting sqref="Q50:Z50">
    <cfRule type="expression" dxfId="8" priority="12">
      <formula>MOD(ROW(Q50)-ROW($P$258),2)</formula>
    </cfRule>
  </conditionalFormatting>
  <conditionalFormatting sqref="P51:Z51">
    <cfRule type="expression" dxfId="7" priority="10">
      <formula>MOD(ROW(P51)-ROW($P$258),2)</formula>
    </cfRule>
  </conditionalFormatting>
  <conditionalFormatting sqref="P52:Z52">
    <cfRule type="expression" dxfId="6" priority="9">
      <formula>MOD(ROW(P52)-ROW($P$258),2)</formula>
    </cfRule>
  </conditionalFormatting>
  <conditionalFormatting sqref="P52:Z52">
    <cfRule type="expression" dxfId="5" priority="8">
      <formula>MOD(ROW(P52)-ROW($P$258),2)</formula>
    </cfRule>
  </conditionalFormatting>
  <conditionalFormatting sqref="Q52:Z52">
    <cfRule type="expression" dxfId="4" priority="7">
      <formula>MOD(ROW(Q52)-ROW($P$258),2)</formula>
    </cfRule>
  </conditionalFormatting>
  <conditionalFormatting sqref="Q54:Z54">
    <cfRule type="expression" dxfId="3" priority="2">
      <formula>MOD(ROW(Q54)-ROW($P$258),2)</formula>
    </cfRule>
  </conditionalFormatting>
  <conditionalFormatting sqref="Q53:Z53">
    <cfRule type="expression" dxfId="2" priority="1">
      <formula>MOD(ROW(Q53)-ROW($P$258),2)</formula>
    </cfRule>
  </conditionalFormatting>
  <conditionalFormatting sqref="B10:L354">
    <cfRule type="expression" dxfId="1" priority="65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H13" sqref="H13"/>
    </sheetView>
  </sheetViews>
  <sheetFormatPr defaultRowHeight="13.2" x14ac:dyDescent="0.25"/>
  <cols>
    <col min="4" max="4" width="11.6640625" customWidth="1"/>
  </cols>
  <sheetData>
    <row r="5" spans="1:2" x14ac:dyDescent="0.25">
      <c r="A5" s="8" t="b">
        <v>0</v>
      </c>
      <c r="B5" t="s">
        <v>25</v>
      </c>
    </row>
    <row r="6" spans="1:2" x14ac:dyDescent="0.25">
      <c r="A6" s="8" t="b">
        <v>0</v>
      </c>
      <c r="B6" t="s">
        <v>26</v>
      </c>
    </row>
    <row r="7" spans="1:2" x14ac:dyDescent="0.25">
      <c r="A7" s="8" t="b">
        <v>0</v>
      </c>
      <c r="B7" t="s">
        <v>27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/>
  <dimension ref="D7:AA353"/>
  <sheetViews>
    <sheetView tabSelected="1" topLeftCell="D4" workbookViewId="0">
      <pane ySplit="5" topLeftCell="A345" activePane="bottomLeft" state="frozen"/>
      <selection activeCell="A4" sqref="A4"/>
      <selection pane="bottomLeft" activeCell="V354" sqref="V354"/>
    </sheetView>
  </sheetViews>
  <sheetFormatPr defaultRowHeight="13.2" x14ac:dyDescent="0.25"/>
  <cols>
    <col min="5" max="23" width="3.33203125" style="5" customWidth="1"/>
    <col min="24" max="26" width="3.33203125" customWidth="1"/>
  </cols>
  <sheetData>
    <row r="7" spans="4:25" ht="13.8" thickBot="1" x14ac:dyDescent="0.3"/>
    <row r="8" spans="4:25" ht="132" thickBot="1" x14ac:dyDescent="0.3">
      <c r="D8" s="3" t="s">
        <v>0</v>
      </c>
      <c r="E8" s="18" t="s">
        <v>2</v>
      </c>
      <c r="F8" s="6" t="s">
        <v>21</v>
      </c>
      <c r="G8" s="18" t="s">
        <v>3</v>
      </c>
      <c r="H8" s="2" t="s">
        <v>22</v>
      </c>
      <c r="I8" s="18" t="s">
        <v>12</v>
      </c>
      <c r="J8" s="18" t="s">
        <v>20</v>
      </c>
      <c r="K8" s="2" t="s">
        <v>17</v>
      </c>
      <c r="L8" s="18" t="s">
        <v>18</v>
      </c>
      <c r="M8" s="2" t="s">
        <v>23</v>
      </c>
      <c r="N8" s="19" t="s">
        <v>33</v>
      </c>
      <c r="O8" s="19" t="s">
        <v>41</v>
      </c>
      <c r="P8" s="19" t="s">
        <v>39</v>
      </c>
      <c r="Q8" s="2" t="s">
        <v>28</v>
      </c>
      <c r="R8" s="18" t="s">
        <v>30</v>
      </c>
      <c r="S8" s="19" t="s">
        <v>38</v>
      </c>
      <c r="T8" s="23" t="s">
        <v>44</v>
      </c>
      <c r="U8" s="23" t="s">
        <v>45</v>
      </c>
      <c r="V8" s="23" t="s">
        <v>46</v>
      </c>
      <c r="W8" s="18" t="s">
        <v>19</v>
      </c>
    </row>
    <row r="9" spans="4:25" ht="13.8" thickTop="1" x14ac:dyDescent="0.25">
      <c r="D9" t="str" cm="1">
        <f t="array" aca="1" ref="D9:D353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Y9" cm="1">
        <f t="array" ref="Y9:Y353">_xlfn.BYROW(_xlfn.DROP(_xlnm.Print_Area,,1),_xleta.SUM)</f>
        <v>0</v>
      </c>
    </row>
    <row r="10" spans="4:25" x14ac:dyDescent="0.25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Y10">
        <v>0</v>
      </c>
    </row>
    <row r="11" spans="4:25" x14ac:dyDescent="0.25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Y11">
        <v>0</v>
      </c>
    </row>
    <row r="12" spans="4:25" x14ac:dyDescent="0.25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Y12">
        <v>0</v>
      </c>
    </row>
    <row r="13" spans="4:25" x14ac:dyDescent="0.25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Y13">
        <v>0</v>
      </c>
    </row>
    <row r="14" spans="4:25" x14ac:dyDescent="0.25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Y14">
        <v>0</v>
      </c>
    </row>
    <row r="15" spans="4:25" x14ac:dyDescent="0.25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Y15">
        <v>0</v>
      </c>
    </row>
    <row r="16" spans="4:25" x14ac:dyDescent="0.25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Y16">
        <v>0</v>
      </c>
    </row>
    <row r="17" spans="4:25" x14ac:dyDescent="0.25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W17" s="5">
        <v>0</v>
      </c>
      <c r="Y17">
        <v>0</v>
      </c>
    </row>
    <row r="18" spans="4:25" x14ac:dyDescent="0.25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Y18">
        <v>0</v>
      </c>
    </row>
    <row r="19" spans="4:25" x14ac:dyDescent="0.25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Y19">
        <v>0</v>
      </c>
    </row>
    <row r="20" spans="4:25" x14ac:dyDescent="0.25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W20" s="5">
        <v>0</v>
      </c>
      <c r="Y20">
        <v>2</v>
      </c>
    </row>
    <row r="21" spans="4:25" x14ac:dyDescent="0.25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W21" s="5">
        <v>0</v>
      </c>
      <c r="Y21">
        <v>2</v>
      </c>
    </row>
    <row r="22" spans="4:25" x14ac:dyDescent="0.25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Y22">
        <v>2</v>
      </c>
    </row>
    <row r="23" spans="4:25" x14ac:dyDescent="0.25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W23" s="5">
        <v>0</v>
      </c>
      <c r="Y23">
        <v>2</v>
      </c>
    </row>
    <row r="24" spans="4:25" x14ac:dyDescent="0.25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W24" s="5">
        <v>0</v>
      </c>
      <c r="Y24">
        <v>2</v>
      </c>
    </row>
    <row r="25" spans="4:25" x14ac:dyDescent="0.25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W25" s="5">
        <v>0</v>
      </c>
      <c r="Y25">
        <v>2</v>
      </c>
    </row>
    <row r="26" spans="4:25" x14ac:dyDescent="0.25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Y26">
        <v>2</v>
      </c>
    </row>
    <row r="27" spans="4:25" x14ac:dyDescent="0.25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Y27">
        <v>2</v>
      </c>
    </row>
    <row r="28" spans="4:25" x14ac:dyDescent="0.25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Y28">
        <v>2</v>
      </c>
    </row>
    <row r="29" spans="4:25" x14ac:dyDescent="0.25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Y29">
        <v>2</v>
      </c>
    </row>
    <row r="30" spans="4:25" x14ac:dyDescent="0.25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Y30">
        <v>2</v>
      </c>
    </row>
    <row r="31" spans="4:25" x14ac:dyDescent="0.25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Y31">
        <v>2</v>
      </c>
    </row>
    <row r="32" spans="4:25" x14ac:dyDescent="0.25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W32" s="5">
        <v>0</v>
      </c>
      <c r="Y32">
        <v>2</v>
      </c>
    </row>
    <row r="33" spans="4:25" x14ac:dyDescent="0.25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Y33">
        <v>2</v>
      </c>
    </row>
    <row r="34" spans="4:25" x14ac:dyDescent="0.25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W34" s="5">
        <v>0</v>
      </c>
      <c r="Y34">
        <v>2</v>
      </c>
    </row>
    <row r="35" spans="4:25" x14ac:dyDescent="0.25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W35" s="5">
        <v>0</v>
      </c>
      <c r="Y35">
        <v>2</v>
      </c>
    </row>
    <row r="36" spans="4:25" x14ac:dyDescent="0.25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W36" s="5">
        <v>0</v>
      </c>
      <c r="Y36">
        <v>2</v>
      </c>
    </row>
    <row r="37" spans="4:25" x14ac:dyDescent="0.25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W37" s="5">
        <v>0</v>
      </c>
      <c r="Y37">
        <v>2</v>
      </c>
    </row>
    <row r="38" spans="4:25" x14ac:dyDescent="0.25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W38" s="5">
        <v>0</v>
      </c>
      <c r="Y38">
        <v>2</v>
      </c>
    </row>
    <row r="39" spans="4:25" x14ac:dyDescent="0.25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W39" s="5">
        <v>0</v>
      </c>
      <c r="Y39">
        <v>1</v>
      </c>
    </row>
    <row r="40" spans="4:25" x14ac:dyDescent="0.25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W40" s="5">
        <v>0</v>
      </c>
      <c r="Y40">
        <v>1</v>
      </c>
    </row>
    <row r="41" spans="4:25" x14ac:dyDescent="0.25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W41" s="5">
        <v>0</v>
      </c>
      <c r="Y41">
        <v>1</v>
      </c>
    </row>
    <row r="42" spans="4:25" x14ac:dyDescent="0.25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W42" s="5">
        <v>0</v>
      </c>
      <c r="Y42">
        <v>1</v>
      </c>
    </row>
    <row r="43" spans="4:25" x14ac:dyDescent="0.25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W43" s="5">
        <v>0</v>
      </c>
      <c r="Y43">
        <v>1</v>
      </c>
    </row>
    <row r="44" spans="4:25" x14ac:dyDescent="0.25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W44" s="5">
        <v>0</v>
      </c>
      <c r="Y44">
        <v>1</v>
      </c>
    </row>
    <row r="45" spans="4:25" x14ac:dyDescent="0.25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W45" s="5">
        <v>0</v>
      </c>
      <c r="Y45">
        <v>0</v>
      </c>
    </row>
    <row r="46" spans="4:25" x14ac:dyDescent="0.25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W46" s="5">
        <v>0</v>
      </c>
      <c r="Y46">
        <v>0</v>
      </c>
    </row>
    <row r="47" spans="4:25" x14ac:dyDescent="0.25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W47" s="5">
        <v>0</v>
      </c>
      <c r="Y47">
        <v>0</v>
      </c>
    </row>
    <row r="48" spans="4:25" x14ac:dyDescent="0.25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W48" s="5">
        <v>0</v>
      </c>
      <c r="Y48">
        <v>0</v>
      </c>
    </row>
    <row r="49" spans="4:25" x14ac:dyDescent="0.25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W49" s="5">
        <v>0</v>
      </c>
      <c r="Y49">
        <v>0</v>
      </c>
    </row>
    <row r="50" spans="4:25" x14ac:dyDescent="0.25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W50" s="5">
        <v>0</v>
      </c>
      <c r="Y50">
        <v>0</v>
      </c>
    </row>
    <row r="51" spans="4:25" x14ac:dyDescent="0.25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W51" s="5">
        <v>0</v>
      </c>
      <c r="Y51">
        <v>1</v>
      </c>
    </row>
    <row r="52" spans="4:25" x14ac:dyDescent="0.25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W52" s="5">
        <v>0</v>
      </c>
      <c r="Y52">
        <v>1</v>
      </c>
    </row>
    <row r="53" spans="4:25" x14ac:dyDescent="0.25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W53" s="5">
        <v>0</v>
      </c>
      <c r="Y53">
        <v>1</v>
      </c>
    </row>
    <row r="54" spans="4:25" x14ac:dyDescent="0.25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W54" s="5">
        <v>0</v>
      </c>
      <c r="Y54">
        <v>1</v>
      </c>
    </row>
    <row r="55" spans="4:25" x14ac:dyDescent="0.25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W55" s="5">
        <v>0</v>
      </c>
      <c r="Y55">
        <v>1</v>
      </c>
    </row>
    <row r="56" spans="4:25" x14ac:dyDescent="0.25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W56" s="5">
        <v>0</v>
      </c>
      <c r="Y56">
        <v>2</v>
      </c>
    </row>
    <row r="57" spans="4:25" x14ac:dyDescent="0.25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W57" s="5">
        <v>0</v>
      </c>
      <c r="Y57">
        <v>2</v>
      </c>
    </row>
    <row r="58" spans="4:25" x14ac:dyDescent="0.25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W58" s="5">
        <v>0</v>
      </c>
      <c r="Y58">
        <v>2</v>
      </c>
    </row>
    <row r="59" spans="4:25" x14ac:dyDescent="0.25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W59" s="5">
        <v>0</v>
      </c>
      <c r="Y59">
        <v>2</v>
      </c>
    </row>
    <row r="60" spans="4:25" x14ac:dyDescent="0.25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W60" s="5">
        <v>0</v>
      </c>
      <c r="Y60">
        <v>2</v>
      </c>
    </row>
    <row r="61" spans="4:25" x14ac:dyDescent="0.25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W61" s="5">
        <v>0</v>
      </c>
      <c r="Y61">
        <v>2</v>
      </c>
    </row>
    <row r="62" spans="4:25" x14ac:dyDescent="0.25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W62" s="5">
        <v>0</v>
      </c>
      <c r="Y62">
        <v>2</v>
      </c>
    </row>
    <row r="63" spans="4:25" x14ac:dyDescent="0.25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W63" s="5">
        <v>0</v>
      </c>
      <c r="Y63">
        <v>2</v>
      </c>
    </row>
    <row r="64" spans="4:25" x14ac:dyDescent="0.25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W64" s="5">
        <v>0</v>
      </c>
      <c r="Y64">
        <v>2</v>
      </c>
    </row>
    <row r="65" spans="4:25" x14ac:dyDescent="0.25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0</v>
      </c>
      <c r="W65" s="5">
        <v>0</v>
      </c>
      <c r="Y65">
        <v>2</v>
      </c>
    </row>
    <row r="66" spans="4:25" x14ac:dyDescent="0.25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W66" s="5">
        <v>0</v>
      </c>
      <c r="Y66">
        <v>2</v>
      </c>
    </row>
    <row r="67" spans="4:25" x14ac:dyDescent="0.25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0</v>
      </c>
      <c r="W67" s="5">
        <v>0</v>
      </c>
      <c r="Y67">
        <v>2</v>
      </c>
    </row>
    <row r="68" spans="4:25" x14ac:dyDescent="0.25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0</v>
      </c>
      <c r="W68" s="5">
        <v>0</v>
      </c>
      <c r="Y68">
        <v>2</v>
      </c>
    </row>
    <row r="69" spans="4:25" x14ac:dyDescent="0.25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0</v>
      </c>
      <c r="W69" s="5">
        <v>0</v>
      </c>
      <c r="Y69">
        <v>2</v>
      </c>
    </row>
    <row r="70" spans="4:25" x14ac:dyDescent="0.25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0</v>
      </c>
      <c r="W70" s="5">
        <v>0</v>
      </c>
      <c r="Y70">
        <v>2</v>
      </c>
    </row>
    <row r="71" spans="4:25" x14ac:dyDescent="0.25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0</v>
      </c>
      <c r="W71" s="5">
        <v>0</v>
      </c>
      <c r="Y71">
        <v>2</v>
      </c>
    </row>
    <row r="72" spans="4:25" x14ac:dyDescent="0.25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0</v>
      </c>
      <c r="W72" s="5">
        <v>0</v>
      </c>
      <c r="Y72">
        <v>2</v>
      </c>
    </row>
    <row r="73" spans="4:25" x14ac:dyDescent="0.25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0</v>
      </c>
      <c r="W73" s="5">
        <v>0</v>
      </c>
      <c r="Y73">
        <v>2</v>
      </c>
    </row>
    <row r="74" spans="4:25" x14ac:dyDescent="0.25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W74" s="5">
        <v>0</v>
      </c>
      <c r="Y74">
        <v>2</v>
      </c>
    </row>
    <row r="75" spans="4:25" x14ac:dyDescent="0.25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U75" s="5">
        <v>0</v>
      </c>
      <c r="V75" s="5">
        <v>0</v>
      </c>
      <c r="W75" s="5">
        <v>0</v>
      </c>
      <c r="Y75">
        <v>3</v>
      </c>
    </row>
    <row r="76" spans="4:25" x14ac:dyDescent="0.25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U76" s="5">
        <v>0</v>
      </c>
      <c r="V76" s="5">
        <v>0</v>
      </c>
      <c r="W76" s="5">
        <v>0</v>
      </c>
      <c r="Y76">
        <v>3</v>
      </c>
    </row>
    <row r="77" spans="4:25" x14ac:dyDescent="0.25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0</v>
      </c>
      <c r="U77" s="5">
        <v>0</v>
      </c>
      <c r="V77" s="5">
        <v>0</v>
      </c>
      <c r="W77" s="5">
        <v>1</v>
      </c>
      <c r="Y77">
        <v>4</v>
      </c>
    </row>
    <row r="78" spans="4:25" x14ac:dyDescent="0.25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0</v>
      </c>
      <c r="U78" s="5">
        <v>0</v>
      </c>
      <c r="V78" s="5">
        <v>0</v>
      </c>
      <c r="W78" s="5">
        <v>1</v>
      </c>
      <c r="Y78">
        <v>4</v>
      </c>
    </row>
    <row r="79" spans="4:25" x14ac:dyDescent="0.25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0</v>
      </c>
      <c r="W79" s="5">
        <v>1</v>
      </c>
      <c r="Y79">
        <v>3</v>
      </c>
    </row>
    <row r="80" spans="4:25" x14ac:dyDescent="0.25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0</v>
      </c>
      <c r="U80" s="5">
        <v>0</v>
      </c>
      <c r="V80" s="5">
        <v>0</v>
      </c>
      <c r="W80" s="5">
        <v>1</v>
      </c>
      <c r="Y80">
        <v>4</v>
      </c>
    </row>
    <row r="81" spans="4:25" x14ac:dyDescent="0.25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0</v>
      </c>
      <c r="W81" s="5">
        <v>1</v>
      </c>
      <c r="Y81">
        <v>3</v>
      </c>
    </row>
    <row r="82" spans="4:25" x14ac:dyDescent="0.25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0</v>
      </c>
      <c r="U82" s="5">
        <v>0</v>
      </c>
      <c r="V82" s="5">
        <v>0</v>
      </c>
      <c r="W82" s="5">
        <v>1</v>
      </c>
      <c r="Y82">
        <v>4</v>
      </c>
    </row>
    <row r="83" spans="4:25" x14ac:dyDescent="0.25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0</v>
      </c>
      <c r="U83" s="5">
        <v>0</v>
      </c>
      <c r="V83" s="5">
        <v>0</v>
      </c>
      <c r="W83" s="5">
        <v>1</v>
      </c>
      <c r="Y83">
        <v>4</v>
      </c>
    </row>
    <row r="84" spans="4:25" x14ac:dyDescent="0.25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0</v>
      </c>
      <c r="U84" s="5">
        <v>0</v>
      </c>
      <c r="V84" s="5">
        <v>0</v>
      </c>
      <c r="W84" s="5">
        <v>1</v>
      </c>
      <c r="Y84">
        <v>4</v>
      </c>
    </row>
    <row r="85" spans="4:25" x14ac:dyDescent="0.25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0</v>
      </c>
      <c r="W85" s="5">
        <v>1</v>
      </c>
      <c r="Y85">
        <v>3</v>
      </c>
    </row>
    <row r="86" spans="4:25" x14ac:dyDescent="0.25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0</v>
      </c>
      <c r="W86" s="5">
        <v>1</v>
      </c>
      <c r="Y86">
        <v>3</v>
      </c>
    </row>
    <row r="87" spans="4:25" x14ac:dyDescent="0.25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0</v>
      </c>
      <c r="W87" s="5">
        <v>1</v>
      </c>
      <c r="Y87">
        <v>3</v>
      </c>
    </row>
    <row r="88" spans="4:25" x14ac:dyDescent="0.25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0</v>
      </c>
      <c r="W88" s="5">
        <v>1</v>
      </c>
      <c r="Y88">
        <v>3</v>
      </c>
    </row>
    <row r="89" spans="4:25" x14ac:dyDescent="0.25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0</v>
      </c>
      <c r="W89" s="5">
        <v>1</v>
      </c>
      <c r="Y89">
        <v>3</v>
      </c>
    </row>
    <row r="90" spans="4:25" x14ac:dyDescent="0.25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0</v>
      </c>
      <c r="W90" s="5">
        <v>1</v>
      </c>
      <c r="Y90">
        <v>3</v>
      </c>
    </row>
    <row r="91" spans="4:25" x14ac:dyDescent="0.25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0</v>
      </c>
      <c r="W91" s="5">
        <v>0</v>
      </c>
      <c r="Y91">
        <v>0</v>
      </c>
    </row>
    <row r="92" spans="4:25" x14ac:dyDescent="0.25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0</v>
      </c>
      <c r="W92" s="5">
        <v>0</v>
      </c>
      <c r="Y92">
        <v>2</v>
      </c>
    </row>
    <row r="93" spans="4:25" x14ac:dyDescent="0.25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0</v>
      </c>
      <c r="W93" s="5">
        <v>0</v>
      </c>
      <c r="Y93">
        <v>2</v>
      </c>
    </row>
    <row r="94" spans="4:25" x14ac:dyDescent="0.25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0</v>
      </c>
      <c r="W94" s="5">
        <v>0</v>
      </c>
      <c r="Y94">
        <v>2</v>
      </c>
    </row>
    <row r="95" spans="4:25" x14ac:dyDescent="0.25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0</v>
      </c>
      <c r="W95" s="5">
        <v>0</v>
      </c>
      <c r="Y95">
        <v>2</v>
      </c>
    </row>
    <row r="96" spans="4:25" x14ac:dyDescent="0.25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U96" s="5">
        <v>0</v>
      </c>
      <c r="V96" s="5">
        <v>0</v>
      </c>
      <c r="W96" s="5">
        <v>0</v>
      </c>
      <c r="Y96">
        <v>3</v>
      </c>
    </row>
    <row r="97" spans="4:25" x14ac:dyDescent="0.25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U97" s="5">
        <v>0</v>
      </c>
      <c r="V97" s="5">
        <v>0</v>
      </c>
      <c r="W97" s="5">
        <v>0</v>
      </c>
      <c r="Y97">
        <v>3</v>
      </c>
    </row>
    <row r="98" spans="4:25" x14ac:dyDescent="0.25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U98" s="5">
        <v>0</v>
      </c>
      <c r="V98" s="5">
        <v>0</v>
      </c>
      <c r="W98" s="5">
        <v>0</v>
      </c>
      <c r="Y98">
        <v>3</v>
      </c>
    </row>
    <row r="99" spans="4:25" x14ac:dyDescent="0.25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U99" s="5">
        <v>0</v>
      </c>
      <c r="V99" s="5">
        <v>0</v>
      </c>
      <c r="W99" s="5">
        <v>0</v>
      </c>
      <c r="Y99">
        <v>3</v>
      </c>
    </row>
    <row r="100" spans="4:25" x14ac:dyDescent="0.25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0</v>
      </c>
      <c r="W100" s="5">
        <v>0</v>
      </c>
      <c r="Y100">
        <v>2</v>
      </c>
    </row>
    <row r="101" spans="4:25" x14ac:dyDescent="0.25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0</v>
      </c>
      <c r="W101" s="5">
        <v>0</v>
      </c>
      <c r="Y101">
        <v>2</v>
      </c>
    </row>
    <row r="102" spans="4:25" x14ac:dyDescent="0.25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0</v>
      </c>
      <c r="W102" s="5">
        <v>0</v>
      </c>
      <c r="Y102">
        <v>2</v>
      </c>
    </row>
    <row r="103" spans="4:25" x14ac:dyDescent="0.25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W103" s="5">
        <v>0</v>
      </c>
      <c r="Y103">
        <v>2</v>
      </c>
    </row>
    <row r="104" spans="4:25" x14ac:dyDescent="0.25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0</v>
      </c>
      <c r="W104" s="5">
        <v>0</v>
      </c>
      <c r="Y104">
        <v>2</v>
      </c>
    </row>
    <row r="105" spans="4:25" x14ac:dyDescent="0.25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0</v>
      </c>
      <c r="W105" s="5">
        <v>0</v>
      </c>
      <c r="Y105">
        <v>2</v>
      </c>
    </row>
    <row r="106" spans="4:25" x14ac:dyDescent="0.25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0</v>
      </c>
      <c r="W106" s="5">
        <v>0</v>
      </c>
      <c r="Y106">
        <v>2</v>
      </c>
    </row>
    <row r="107" spans="4:25" x14ac:dyDescent="0.25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0</v>
      </c>
      <c r="W107" s="5">
        <v>0</v>
      </c>
      <c r="Y107">
        <v>2</v>
      </c>
    </row>
    <row r="108" spans="4:25" x14ac:dyDescent="0.25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0</v>
      </c>
      <c r="W108" s="5">
        <v>0</v>
      </c>
      <c r="Y108">
        <v>2</v>
      </c>
    </row>
    <row r="109" spans="4:25" x14ac:dyDescent="0.25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0</v>
      </c>
      <c r="W109" s="5">
        <v>0</v>
      </c>
      <c r="Y109">
        <v>2</v>
      </c>
    </row>
    <row r="110" spans="4:25" x14ac:dyDescent="0.25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0</v>
      </c>
      <c r="W110" s="5">
        <v>0</v>
      </c>
      <c r="Y110">
        <v>2</v>
      </c>
    </row>
    <row r="111" spans="4:25" x14ac:dyDescent="0.25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0</v>
      </c>
      <c r="W111" s="5">
        <v>0</v>
      </c>
      <c r="Y111">
        <v>2</v>
      </c>
    </row>
    <row r="112" spans="4:25" x14ac:dyDescent="0.25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0</v>
      </c>
      <c r="W112" s="5">
        <v>0</v>
      </c>
      <c r="Y112">
        <v>2</v>
      </c>
    </row>
    <row r="113" spans="4:25" x14ac:dyDescent="0.25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0</v>
      </c>
      <c r="W113" s="5">
        <v>0</v>
      </c>
      <c r="Y113">
        <v>2</v>
      </c>
    </row>
    <row r="114" spans="4:25" x14ac:dyDescent="0.25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U114" s="5">
        <v>0</v>
      </c>
      <c r="V114" s="5">
        <v>0</v>
      </c>
      <c r="W114" s="5">
        <v>0</v>
      </c>
      <c r="Y114">
        <v>2</v>
      </c>
    </row>
    <row r="115" spans="4:25" x14ac:dyDescent="0.25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U115" s="5">
        <v>0</v>
      </c>
      <c r="V115" s="5">
        <v>0</v>
      </c>
      <c r="W115" s="5">
        <v>0</v>
      </c>
      <c r="Y115">
        <v>2</v>
      </c>
    </row>
    <row r="116" spans="4:25" x14ac:dyDescent="0.25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U116" s="5">
        <v>0</v>
      </c>
      <c r="V116" s="5">
        <v>0</v>
      </c>
      <c r="W116" s="5">
        <v>0</v>
      </c>
      <c r="Y116">
        <v>2</v>
      </c>
    </row>
    <row r="117" spans="4:25" x14ac:dyDescent="0.25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U117" s="5">
        <v>0</v>
      </c>
      <c r="V117" s="5">
        <v>0</v>
      </c>
      <c r="W117" s="5">
        <v>0</v>
      </c>
      <c r="Y117">
        <v>2</v>
      </c>
    </row>
    <row r="118" spans="4:25" x14ac:dyDescent="0.25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U118" s="5">
        <v>0</v>
      </c>
      <c r="V118" s="5">
        <v>0</v>
      </c>
      <c r="W118" s="5">
        <v>0</v>
      </c>
      <c r="Y118">
        <v>2</v>
      </c>
    </row>
    <row r="119" spans="4:25" x14ac:dyDescent="0.25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U119" s="5">
        <v>0</v>
      </c>
      <c r="V119" s="5">
        <v>0</v>
      </c>
      <c r="W119" s="5">
        <v>0</v>
      </c>
      <c r="Y119">
        <v>2</v>
      </c>
    </row>
    <row r="120" spans="4:25" x14ac:dyDescent="0.25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U120" s="5">
        <v>0</v>
      </c>
      <c r="V120" s="5">
        <v>0</v>
      </c>
      <c r="W120" s="5">
        <v>0</v>
      </c>
      <c r="Y120">
        <v>2</v>
      </c>
    </row>
    <row r="121" spans="4:25" x14ac:dyDescent="0.25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U121" s="5">
        <v>0</v>
      </c>
      <c r="V121" s="5">
        <v>0</v>
      </c>
      <c r="W121" s="5">
        <v>0</v>
      </c>
      <c r="Y121">
        <v>2</v>
      </c>
    </row>
    <row r="122" spans="4:25" x14ac:dyDescent="0.25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U122" s="5">
        <v>0</v>
      </c>
      <c r="V122" s="5">
        <v>0</v>
      </c>
      <c r="W122" s="5">
        <v>0</v>
      </c>
      <c r="Y122">
        <v>2</v>
      </c>
    </row>
    <row r="123" spans="4:25" x14ac:dyDescent="0.25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U123" s="5">
        <v>0</v>
      </c>
      <c r="V123" s="5">
        <v>0</v>
      </c>
      <c r="W123" s="5">
        <v>0</v>
      </c>
      <c r="Y123">
        <v>2</v>
      </c>
    </row>
    <row r="124" spans="4:25" x14ac:dyDescent="0.25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U124" s="5">
        <v>0</v>
      </c>
      <c r="V124" s="5">
        <v>0</v>
      </c>
      <c r="W124" s="5">
        <v>0</v>
      </c>
      <c r="Y124">
        <v>2</v>
      </c>
    </row>
    <row r="125" spans="4:25" x14ac:dyDescent="0.25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U125" s="5">
        <v>0</v>
      </c>
      <c r="V125" s="5">
        <v>0</v>
      </c>
      <c r="W125" s="5">
        <v>0</v>
      </c>
      <c r="Y125">
        <v>2</v>
      </c>
    </row>
    <row r="126" spans="4:25" x14ac:dyDescent="0.25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U126" s="5">
        <v>0</v>
      </c>
      <c r="V126" s="5">
        <v>0</v>
      </c>
      <c r="W126" s="5">
        <v>0</v>
      </c>
      <c r="Y126">
        <v>2</v>
      </c>
    </row>
    <row r="127" spans="4:25" x14ac:dyDescent="0.25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U127" s="5">
        <v>0</v>
      </c>
      <c r="V127" s="5">
        <v>0</v>
      </c>
      <c r="W127" s="5">
        <v>0</v>
      </c>
      <c r="Y127">
        <v>2</v>
      </c>
    </row>
    <row r="128" spans="4:25" x14ac:dyDescent="0.25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U128" s="5">
        <v>0</v>
      </c>
      <c r="V128" s="5">
        <v>0</v>
      </c>
      <c r="W128" s="5">
        <v>0</v>
      </c>
      <c r="Y128">
        <v>2</v>
      </c>
    </row>
    <row r="129" spans="4:25" x14ac:dyDescent="0.25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U129" s="5">
        <v>0</v>
      </c>
      <c r="V129" s="5">
        <v>0</v>
      </c>
      <c r="W129" s="5">
        <v>0</v>
      </c>
      <c r="Y129">
        <v>2</v>
      </c>
    </row>
    <row r="130" spans="4:25" x14ac:dyDescent="0.25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U130" s="5">
        <v>0</v>
      </c>
      <c r="V130" s="5">
        <v>0</v>
      </c>
      <c r="W130" s="5">
        <v>0</v>
      </c>
      <c r="Y130">
        <v>2</v>
      </c>
    </row>
    <row r="131" spans="4:25" x14ac:dyDescent="0.25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U131" s="5">
        <v>0</v>
      </c>
      <c r="V131" s="5">
        <v>0</v>
      </c>
      <c r="W131" s="5">
        <v>0</v>
      </c>
      <c r="Y131">
        <v>2</v>
      </c>
    </row>
    <row r="132" spans="4:25" x14ac:dyDescent="0.25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U132" s="5">
        <v>0</v>
      </c>
      <c r="V132" s="5">
        <v>0</v>
      </c>
      <c r="W132" s="5">
        <v>0</v>
      </c>
      <c r="Y132">
        <v>2</v>
      </c>
    </row>
    <row r="133" spans="4:25" x14ac:dyDescent="0.25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U133" s="5">
        <v>0</v>
      </c>
      <c r="V133" s="5">
        <v>0</v>
      </c>
      <c r="W133" s="5">
        <v>0</v>
      </c>
      <c r="Y133">
        <v>2</v>
      </c>
    </row>
    <row r="134" spans="4:25" x14ac:dyDescent="0.25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U134" s="5">
        <v>0</v>
      </c>
      <c r="V134" s="5">
        <v>0</v>
      </c>
      <c r="W134" s="5">
        <v>0</v>
      </c>
      <c r="Y134">
        <v>3</v>
      </c>
    </row>
    <row r="135" spans="4:25" x14ac:dyDescent="0.25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U135" s="5">
        <v>0</v>
      </c>
      <c r="V135" s="5">
        <v>0</v>
      </c>
      <c r="W135" s="5">
        <v>0</v>
      </c>
      <c r="Y135">
        <v>3</v>
      </c>
    </row>
    <row r="136" spans="4:25" x14ac:dyDescent="0.25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U136" s="5">
        <v>0</v>
      </c>
      <c r="V136" s="5">
        <v>0</v>
      </c>
      <c r="W136" s="5">
        <v>0</v>
      </c>
      <c r="Y136">
        <v>3</v>
      </c>
    </row>
    <row r="137" spans="4:25" x14ac:dyDescent="0.25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U137" s="5">
        <v>0</v>
      </c>
      <c r="V137" s="5">
        <v>0</v>
      </c>
      <c r="W137" s="5">
        <v>0</v>
      </c>
      <c r="Y137">
        <v>2</v>
      </c>
    </row>
    <row r="138" spans="4:25" x14ac:dyDescent="0.25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U138" s="5">
        <v>0</v>
      </c>
      <c r="V138" s="5">
        <v>0</v>
      </c>
      <c r="W138" s="5">
        <v>0</v>
      </c>
      <c r="Y138">
        <v>3</v>
      </c>
    </row>
    <row r="139" spans="4:25" x14ac:dyDescent="0.25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U139" s="5">
        <v>0</v>
      </c>
      <c r="V139" s="5">
        <v>0</v>
      </c>
      <c r="W139" s="5">
        <v>0</v>
      </c>
      <c r="Y139">
        <v>3</v>
      </c>
    </row>
    <row r="140" spans="4:25" x14ac:dyDescent="0.25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U140" s="5">
        <v>0</v>
      </c>
      <c r="V140" s="5">
        <v>0</v>
      </c>
      <c r="W140" s="5">
        <v>0</v>
      </c>
      <c r="Y140">
        <v>3</v>
      </c>
    </row>
    <row r="141" spans="4:25" x14ac:dyDescent="0.25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U141" s="5">
        <v>0</v>
      </c>
      <c r="V141" s="5">
        <v>0</v>
      </c>
      <c r="W141" s="5">
        <v>0</v>
      </c>
      <c r="Y141">
        <v>3</v>
      </c>
    </row>
    <row r="142" spans="4:25" x14ac:dyDescent="0.25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U142" s="5">
        <v>0</v>
      </c>
      <c r="V142" s="5">
        <v>0</v>
      </c>
      <c r="W142" s="5">
        <v>0</v>
      </c>
      <c r="Y142">
        <v>3</v>
      </c>
    </row>
    <row r="143" spans="4:25" x14ac:dyDescent="0.25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U143" s="5">
        <v>0</v>
      </c>
      <c r="V143" s="5">
        <v>0</v>
      </c>
      <c r="W143" s="5">
        <v>0</v>
      </c>
      <c r="Y143">
        <v>3</v>
      </c>
    </row>
    <row r="144" spans="4:25" x14ac:dyDescent="0.25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U144" s="5">
        <v>0</v>
      </c>
      <c r="V144" s="5">
        <v>0</v>
      </c>
      <c r="W144" s="5">
        <v>0</v>
      </c>
      <c r="Y144">
        <v>3</v>
      </c>
    </row>
    <row r="145" spans="4:25" x14ac:dyDescent="0.25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U145" s="5">
        <v>0</v>
      </c>
      <c r="V145" s="5">
        <v>0</v>
      </c>
      <c r="W145" s="5">
        <v>0</v>
      </c>
      <c r="Y145">
        <v>3</v>
      </c>
    </row>
    <row r="146" spans="4:25" x14ac:dyDescent="0.25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U146" s="5">
        <v>0</v>
      </c>
      <c r="V146" s="5">
        <v>0</v>
      </c>
      <c r="W146" s="5">
        <v>0</v>
      </c>
      <c r="Y146">
        <v>3</v>
      </c>
    </row>
    <row r="147" spans="4:25" x14ac:dyDescent="0.25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U147" s="5">
        <v>0</v>
      </c>
      <c r="V147" s="5">
        <v>0</v>
      </c>
      <c r="W147" s="5">
        <v>0</v>
      </c>
      <c r="Y147">
        <v>3</v>
      </c>
    </row>
    <row r="148" spans="4:25" x14ac:dyDescent="0.25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U148" s="5">
        <v>0</v>
      </c>
      <c r="V148" s="5">
        <v>0</v>
      </c>
      <c r="W148" s="5">
        <v>0</v>
      </c>
      <c r="Y148">
        <v>3</v>
      </c>
    </row>
    <row r="149" spans="4:25" x14ac:dyDescent="0.25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U149" s="5">
        <v>0</v>
      </c>
      <c r="V149" s="5">
        <v>0</v>
      </c>
      <c r="W149" s="5">
        <v>0</v>
      </c>
      <c r="Y149">
        <v>3</v>
      </c>
    </row>
    <row r="150" spans="4:25" x14ac:dyDescent="0.25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U150" s="5">
        <v>0</v>
      </c>
      <c r="V150" s="5">
        <v>0</v>
      </c>
      <c r="W150" s="5">
        <v>0</v>
      </c>
      <c r="Y150">
        <v>3</v>
      </c>
    </row>
    <row r="151" spans="4:25" x14ac:dyDescent="0.25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U151" s="5">
        <v>0</v>
      </c>
      <c r="V151" s="5">
        <v>0</v>
      </c>
      <c r="W151" s="5">
        <v>0</v>
      </c>
      <c r="Y151">
        <v>3</v>
      </c>
    </row>
    <row r="152" spans="4:25" x14ac:dyDescent="0.25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U152" s="5">
        <v>0</v>
      </c>
      <c r="V152" s="5">
        <v>0</v>
      </c>
      <c r="W152" s="5">
        <v>0</v>
      </c>
      <c r="Y152">
        <v>3</v>
      </c>
    </row>
    <row r="153" spans="4:25" x14ac:dyDescent="0.25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U153" s="5">
        <v>0</v>
      </c>
      <c r="V153" s="5">
        <v>0</v>
      </c>
      <c r="W153" s="5">
        <v>0</v>
      </c>
      <c r="Y153">
        <v>3</v>
      </c>
    </row>
    <row r="154" spans="4:25" x14ac:dyDescent="0.25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U154" s="5">
        <v>0</v>
      </c>
      <c r="V154" s="5">
        <v>0</v>
      </c>
      <c r="W154" s="5">
        <v>0</v>
      </c>
      <c r="Y154">
        <v>3</v>
      </c>
    </row>
    <row r="155" spans="4:25" x14ac:dyDescent="0.25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U155" s="5">
        <v>0</v>
      </c>
      <c r="V155" s="5">
        <v>0</v>
      </c>
      <c r="W155" s="5">
        <v>0</v>
      </c>
      <c r="Y155">
        <v>2</v>
      </c>
    </row>
    <row r="156" spans="4:25" x14ac:dyDescent="0.25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U156" s="5">
        <v>0</v>
      </c>
      <c r="V156" s="5">
        <v>0</v>
      </c>
      <c r="W156" s="5">
        <v>0</v>
      </c>
      <c r="Y156">
        <v>2</v>
      </c>
    </row>
    <row r="157" spans="4:25" x14ac:dyDescent="0.25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U157" s="5">
        <v>0</v>
      </c>
      <c r="V157" s="5">
        <v>0</v>
      </c>
      <c r="W157" s="5">
        <v>0</v>
      </c>
      <c r="Y157">
        <v>2</v>
      </c>
    </row>
    <row r="158" spans="4:25" x14ac:dyDescent="0.25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U158" s="5">
        <v>0</v>
      </c>
      <c r="V158" s="5">
        <v>0</v>
      </c>
      <c r="W158" s="5">
        <v>0</v>
      </c>
      <c r="Y158">
        <v>2</v>
      </c>
    </row>
    <row r="159" spans="4:25" x14ac:dyDescent="0.25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U159" s="5">
        <v>0</v>
      </c>
      <c r="V159" s="5">
        <v>0</v>
      </c>
      <c r="W159" s="5">
        <v>0</v>
      </c>
      <c r="Y159">
        <v>2</v>
      </c>
    </row>
    <row r="160" spans="4:25" x14ac:dyDescent="0.25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U160" s="5">
        <v>0</v>
      </c>
      <c r="V160" s="5">
        <v>0</v>
      </c>
      <c r="W160" s="5">
        <v>0</v>
      </c>
      <c r="Y160">
        <v>1</v>
      </c>
    </row>
    <row r="161" spans="4:27" x14ac:dyDescent="0.25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U161" s="5">
        <v>0</v>
      </c>
      <c r="V161" s="5">
        <v>0</v>
      </c>
      <c r="W161" s="5">
        <v>0</v>
      </c>
      <c r="Y161">
        <v>1</v>
      </c>
    </row>
    <row r="162" spans="4:27" x14ac:dyDescent="0.25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U162" s="5">
        <v>0</v>
      </c>
      <c r="V162" s="5">
        <v>0</v>
      </c>
      <c r="W162" s="5">
        <v>0</v>
      </c>
      <c r="Y162">
        <v>1</v>
      </c>
    </row>
    <row r="163" spans="4:27" x14ac:dyDescent="0.25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U163" s="5">
        <v>0</v>
      </c>
      <c r="V163" s="5">
        <v>0</v>
      </c>
      <c r="W163" s="5">
        <v>0</v>
      </c>
      <c r="Y163">
        <v>1</v>
      </c>
    </row>
    <row r="164" spans="4:27" x14ac:dyDescent="0.25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U164" s="5">
        <v>0</v>
      </c>
      <c r="V164" s="5">
        <v>0</v>
      </c>
      <c r="W164" s="5">
        <v>0</v>
      </c>
      <c r="Y164">
        <v>1</v>
      </c>
    </row>
    <row r="165" spans="4:27" x14ac:dyDescent="0.25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U165" s="5">
        <v>0</v>
      </c>
      <c r="V165" s="5">
        <v>0</v>
      </c>
      <c r="W165" s="5">
        <v>0</v>
      </c>
      <c r="Y165">
        <v>1</v>
      </c>
    </row>
    <row r="166" spans="4:27" x14ac:dyDescent="0.25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U166" s="5">
        <v>0</v>
      </c>
      <c r="V166" s="5">
        <v>0</v>
      </c>
      <c r="W166" s="5">
        <v>0</v>
      </c>
      <c r="Y166">
        <v>1</v>
      </c>
    </row>
    <row r="167" spans="4:27" x14ac:dyDescent="0.25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U167" s="5">
        <v>0</v>
      </c>
      <c r="V167" s="5">
        <v>0</v>
      </c>
      <c r="W167" s="5">
        <v>0</v>
      </c>
      <c r="Y167">
        <v>1</v>
      </c>
    </row>
    <row r="168" spans="4:27" x14ac:dyDescent="0.25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5">
        <v>0</v>
      </c>
      <c r="V168" s="5">
        <v>0</v>
      </c>
      <c r="W168" s="5">
        <v>0</v>
      </c>
      <c r="Y168">
        <v>1</v>
      </c>
    </row>
    <row r="169" spans="4:27" x14ac:dyDescent="0.25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5">
        <v>0</v>
      </c>
      <c r="V169" s="5">
        <v>0</v>
      </c>
      <c r="W169" s="5">
        <v>0</v>
      </c>
      <c r="Y169">
        <v>1</v>
      </c>
    </row>
    <row r="170" spans="4:27" x14ac:dyDescent="0.25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5">
        <v>0</v>
      </c>
      <c r="V170" s="5">
        <v>0</v>
      </c>
      <c r="W170" s="5">
        <v>0</v>
      </c>
      <c r="Y170">
        <v>1</v>
      </c>
    </row>
    <row r="171" spans="4:27" x14ac:dyDescent="0.25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5">
        <v>0</v>
      </c>
      <c r="V171" s="5">
        <v>0</v>
      </c>
      <c r="W171" s="5">
        <v>0</v>
      </c>
      <c r="Y171">
        <v>1</v>
      </c>
    </row>
    <row r="172" spans="4:27" x14ac:dyDescent="0.25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5">
        <v>0</v>
      </c>
      <c r="V172" s="5">
        <v>0</v>
      </c>
      <c r="W172" s="5">
        <v>0</v>
      </c>
      <c r="Y172">
        <v>1</v>
      </c>
    </row>
    <row r="173" spans="4:27" x14ac:dyDescent="0.25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U173" s="5">
        <v>0</v>
      </c>
      <c r="V173" s="5">
        <v>0</v>
      </c>
      <c r="W173" s="5">
        <v>0</v>
      </c>
      <c r="Y173">
        <v>1</v>
      </c>
    </row>
    <row r="174" spans="4:27" x14ac:dyDescent="0.25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U174" s="5">
        <v>0</v>
      </c>
      <c r="V174" s="5">
        <v>0</v>
      </c>
      <c r="W174" s="5">
        <v>0</v>
      </c>
      <c r="Y174">
        <v>1</v>
      </c>
    </row>
    <row r="175" spans="4:27" x14ac:dyDescent="0.25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U175" s="5">
        <v>0</v>
      </c>
      <c r="V175" s="5">
        <v>0</v>
      </c>
      <c r="W175" s="5">
        <v>0</v>
      </c>
      <c r="Y175">
        <v>1</v>
      </c>
      <c r="AA175" t="s">
        <v>37</v>
      </c>
    </row>
    <row r="176" spans="4:27" x14ac:dyDescent="0.25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U176" s="5">
        <v>0</v>
      </c>
      <c r="V176" s="5">
        <v>0</v>
      </c>
      <c r="W176" s="5">
        <v>0</v>
      </c>
      <c r="Y176">
        <v>1</v>
      </c>
    </row>
    <row r="177" spans="4:25" x14ac:dyDescent="0.25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U177" s="5">
        <v>0</v>
      </c>
      <c r="V177" s="5">
        <v>0</v>
      </c>
      <c r="W177" s="5">
        <v>0</v>
      </c>
      <c r="Y177">
        <v>2</v>
      </c>
    </row>
    <row r="178" spans="4:25" x14ac:dyDescent="0.25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U178" s="5">
        <v>0</v>
      </c>
      <c r="V178" s="5">
        <v>0</v>
      </c>
      <c r="W178" s="5">
        <v>0</v>
      </c>
      <c r="Y178">
        <v>2</v>
      </c>
    </row>
    <row r="179" spans="4:25" x14ac:dyDescent="0.25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U179" s="5">
        <v>0</v>
      </c>
      <c r="V179" s="5">
        <v>0</v>
      </c>
      <c r="W179" s="5">
        <v>0</v>
      </c>
      <c r="Y179">
        <v>2</v>
      </c>
    </row>
    <row r="180" spans="4:25" x14ac:dyDescent="0.25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U180" s="5">
        <v>0</v>
      </c>
      <c r="V180" s="5">
        <v>0</v>
      </c>
      <c r="W180" s="5">
        <v>0</v>
      </c>
      <c r="Y180">
        <v>2</v>
      </c>
    </row>
    <row r="181" spans="4:25" x14ac:dyDescent="0.25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U181" s="5">
        <v>0</v>
      </c>
      <c r="V181" s="5">
        <v>0</v>
      </c>
      <c r="W181" s="5">
        <v>0</v>
      </c>
      <c r="Y181">
        <v>2</v>
      </c>
    </row>
    <row r="182" spans="4:25" x14ac:dyDescent="0.25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U182" s="5">
        <v>0</v>
      </c>
      <c r="V182" s="5">
        <v>0</v>
      </c>
      <c r="W182" s="5">
        <v>0</v>
      </c>
      <c r="Y182">
        <v>2</v>
      </c>
    </row>
    <row r="183" spans="4:25" x14ac:dyDescent="0.25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U183" s="5">
        <v>0</v>
      </c>
      <c r="V183" s="5">
        <v>0</v>
      </c>
      <c r="W183" s="5">
        <v>0</v>
      </c>
      <c r="Y183">
        <v>3</v>
      </c>
    </row>
    <row r="184" spans="4:25" x14ac:dyDescent="0.25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U184" s="5">
        <v>0</v>
      </c>
      <c r="V184" s="5">
        <v>0</v>
      </c>
      <c r="W184" s="5">
        <v>0</v>
      </c>
      <c r="Y184">
        <v>1</v>
      </c>
    </row>
    <row r="185" spans="4:25" x14ac:dyDescent="0.25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U185" s="5">
        <v>0</v>
      </c>
      <c r="V185" s="5">
        <v>0</v>
      </c>
      <c r="W185" s="5">
        <v>0</v>
      </c>
      <c r="Y185">
        <v>3</v>
      </c>
    </row>
    <row r="186" spans="4:25" x14ac:dyDescent="0.25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5">
        <v>0</v>
      </c>
      <c r="V186" s="5">
        <v>0</v>
      </c>
      <c r="W186" s="5">
        <v>0</v>
      </c>
      <c r="Y186">
        <v>1</v>
      </c>
    </row>
    <row r="187" spans="4:25" x14ac:dyDescent="0.25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U187" s="5">
        <v>0</v>
      </c>
      <c r="V187" s="5">
        <v>0</v>
      </c>
      <c r="W187" s="5">
        <v>0</v>
      </c>
      <c r="Y187">
        <v>3</v>
      </c>
    </row>
    <row r="188" spans="4:25" x14ac:dyDescent="0.25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U188" s="5">
        <v>0</v>
      </c>
      <c r="V188" s="5">
        <v>0</v>
      </c>
      <c r="W188" s="5">
        <v>0</v>
      </c>
      <c r="Y188">
        <v>1</v>
      </c>
    </row>
    <row r="189" spans="4:25" x14ac:dyDescent="0.25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U189" s="5">
        <v>0</v>
      </c>
      <c r="V189" s="5">
        <v>0</v>
      </c>
      <c r="W189" s="5">
        <v>0</v>
      </c>
      <c r="Y189">
        <v>3</v>
      </c>
    </row>
    <row r="190" spans="4:25" x14ac:dyDescent="0.25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U190" s="5">
        <v>0</v>
      </c>
      <c r="V190" s="5">
        <v>0</v>
      </c>
      <c r="W190" s="5">
        <v>0</v>
      </c>
      <c r="Y190">
        <v>3</v>
      </c>
    </row>
    <row r="191" spans="4:25" x14ac:dyDescent="0.25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U191" s="5">
        <v>0</v>
      </c>
      <c r="V191" s="5">
        <v>0</v>
      </c>
      <c r="W191" s="5">
        <v>0</v>
      </c>
      <c r="Y191">
        <v>2</v>
      </c>
    </row>
    <row r="192" spans="4:25" x14ac:dyDescent="0.25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U192" s="5">
        <v>0</v>
      </c>
      <c r="V192" s="5">
        <v>0</v>
      </c>
      <c r="W192" s="5">
        <v>0</v>
      </c>
      <c r="Y192">
        <v>3</v>
      </c>
    </row>
    <row r="193" spans="4:25" x14ac:dyDescent="0.25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U193" s="5">
        <v>0</v>
      </c>
      <c r="V193" s="5">
        <v>0</v>
      </c>
      <c r="W193" s="5">
        <v>0</v>
      </c>
      <c r="Y193">
        <v>3</v>
      </c>
    </row>
    <row r="194" spans="4:25" x14ac:dyDescent="0.25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U194" s="5">
        <v>0</v>
      </c>
      <c r="V194" s="5">
        <v>0</v>
      </c>
      <c r="W194" s="5">
        <v>0</v>
      </c>
      <c r="Y194">
        <v>3</v>
      </c>
    </row>
    <row r="195" spans="4:25" x14ac:dyDescent="0.25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U195" s="5">
        <v>0</v>
      </c>
      <c r="V195" s="5">
        <v>0</v>
      </c>
      <c r="W195" s="5">
        <v>0</v>
      </c>
      <c r="Y195">
        <v>3</v>
      </c>
    </row>
    <row r="196" spans="4:25" x14ac:dyDescent="0.25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U196" s="5">
        <v>0</v>
      </c>
      <c r="V196" s="5">
        <v>0</v>
      </c>
      <c r="W196" s="5">
        <v>0</v>
      </c>
      <c r="Y196">
        <v>3</v>
      </c>
    </row>
    <row r="197" spans="4:25" x14ac:dyDescent="0.25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U197" s="5">
        <v>0</v>
      </c>
      <c r="V197" s="5">
        <v>0</v>
      </c>
      <c r="W197" s="5">
        <v>0</v>
      </c>
      <c r="Y197">
        <v>3</v>
      </c>
    </row>
    <row r="198" spans="4:25" x14ac:dyDescent="0.25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U198" s="5">
        <v>0</v>
      </c>
      <c r="V198" s="5">
        <v>0</v>
      </c>
      <c r="W198" s="5">
        <v>0</v>
      </c>
      <c r="Y198">
        <v>3</v>
      </c>
    </row>
    <row r="199" spans="4:25" x14ac:dyDescent="0.25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U199" s="5">
        <v>0</v>
      </c>
      <c r="V199" s="5">
        <v>0</v>
      </c>
      <c r="W199" s="5">
        <v>0</v>
      </c>
      <c r="Y199">
        <v>3</v>
      </c>
    </row>
    <row r="200" spans="4:25" x14ac:dyDescent="0.25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U200" s="5">
        <v>0</v>
      </c>
      <c r="V200" s="5">
        <v>0</v>
      </c>
      <c r="W200" s="5">
        <v>0</v>
      </c>
      <c r="Y200">
        <v>3</v>
      </c>
    </row>
    <row r="201" spans="4:25" x14ac:dyDescent="0.25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U201" s="5">
        <v>0</v>
      </c>
      <c r="V201" s="5">
        <v>0</v>
      </c>
      <c r="W201" s="5">
        <v>0</v>
      </c>
      <c r="Y201">
        <v>3</v>
      </c>
    </row>
    <row r="202" spans="4:25" x14ac:dyDescent="0.25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U202" s="5">
        <v>0</v>
      </c>
      <c r="V202" s="5">
        <v>0</v>
      </c>
      <c r="W202" s="5">
        <v>0</v>
      </c>
      <c r="Y202">
        <v>3</v>
      </c>
    </row>
    <row r="203" spans="4:25" x14ac:dyDescent="0.25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U203" s="5">
        <v>0</v>
      </c>
      <c r="V203" s="5">
        <v>0</v>
      </c>
      <c r="W203" s="5">
        <v>0</v>
      </c>
      <c r="Y203">
        <v>3</v>
      </c>
    </row>
    <row r="204" spans="4:25" x14ac:dyDescent="0.25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U204" s="5">
        <v>0</v>
      </c>
      <c r="V204" s="5">
        <v>0</v>
      </c>
      <c r="W204" s="5">
        <v>0</v>
      </c>
      <c r="Y204">
        <v>3</v>
      </c>
    </row>
    <row r="205" spans="4:25" x14ac:dyDescent="0.25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U205" s="5">
        <v>0</v>
      </c>
      <c r="V205" s="5">
        <v>0</v>
      </c>
      <c r="W205" s="5">
        <v>0</v>
      </c>
      <c r="Y205">
        <v>3</v>
      </c>
    </row>
    <row r="206" spans="4:25" x14ac:dyDescent="0.25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U206" s="5">
        <v>0</v>
      </c>
      <c r="V206" s="5">
        <v>0</v>
      </c>
      <c r="W206" s="5">
        <v>0</v>
      </c>
      <c r="Y206">
        <v>3</v>
      </c>
    </row>
    <row r="207" spans="4:25" x14ac:dyDescent="0.25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U207" s="5">
        <v>0</v>
      </c>
      <c r="V207" s="5">
        <v>0</v>
      </c>
      <c r="W207" s="5">
        <v>0</v>
      </c>
      <c r="Y207">
        <v>3</v>
      </c>
    </row>
    <row r="208" spans="4:25" x14ac:dyDescent="0.25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U208" s="5">
        <v>0</v>
      </c>
      <c r="V208" s="5">
        <v>0</v>
      </c>
      <c r="W208" s="5">
        <v>0</v>
      </c>
      <c r="Y208">
        <v>3</v>
      </c>
    </row>
    <row r="209" spans="4:25" x14ac:dyDescent="0.25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U209" s="5">
        <v>0</v>
      </c>
      <c r="V209" s="5">
        <v>0</v>
      </c>
      <c r="W209" s="5">
        <v>0</v>
      </c>
      <c r="Y209">
        <v>3</v>
      </c>
    </row>
    <row r="210" spans="4:25" x14ac:dyDescent="0.25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U210" s="5">
        <v>0</v>
      </c>
      <c r="V210" s="5">
        <v>0</v>
      </c>
      <c r="W210" s="5">
        <v>0</v>
      </c>
      <c r="Y210">
        <v>3</v>
      </c>
    </row>
    <row r="211" spans="4:25" x14ac:dyDescent="0.25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U211" s="5">
        <v>0</v>
      </c>
      <c r="V211" s="5">
        <v>0</v>
      </c>
      <c r="W211" s="5">
        <v>0</v>
      </c>
      <c r="Y211">
        <v>2</v>
      </c>
    </row>
    <row r="212" spans="4:25" x14ac:dyDescent="0.25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U212" s="5">
        <v>0</v>
      </c>
      <c r="V212" s="5">
        <v>0</v>
      </c>
      <c r="W212" s="5">
        <v>0</v>
      </c>
      <c r="Y212">
        <v>2</v>
      </c>
    </row>
    <row r="213" spans="4:25" x14ac:dyDescent="0.25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U213" s="5">
        <v>0</v>
      </c>
      <c r="V213" s="5">
        <v>0</v>
      </c>
      <c r="W213" s="5">
        <v>0</v>
      </c>
      <c r="Y213">
        <v>2</v>
      </c>
    </row>
    <row r="214" spans="4:25" x14ac:dyDescent="0.25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U214" s="5">
        <v>0</v>
      </c>
      <c r="V214" s="5">
        <v>0</v>
      </c>
      <c r="W214" s="5">
        <v>0</v>
      </c>
      <c r="Y214">
        <v>2</v>
      </c>
    </row>
    <row r="215" spans="4:25" x14ac:dyDescent="0.25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U215" s="5">
        <v>0</v>
      </c>
      <c r="V215" s="5">
        <v>0</v>
      </c>
      <c r="W215" s="5">
        <v>0</v>
      </c>
      <c r="Y215">
        <v>2</v>
      </c>
    </row>
    <row r="216" spans="4:25" x14ac:dyDescent="0.25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U216" s="5">
        <v>0</v>
      </c>
      <c r="V216" s="5">
        <v>0</v>
      </c>
      <c r="W216" s="5">
        <v>0</v>
      </c>
      <c r="Y216">
        <v>2</v>
      </c>
    </row>
    <row r="217" spans="4:25" x14ac:dyDescent="0.25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U217" s="5">
        <v>0</v>
      </c>
      <c r="V217" s="5">
        <v>0</v>
      </c>
      <c r="W217" s="5">
        <v>0</v>
      </c>
      <c r="Y217">
        <v>2</v>
      </c>
    </row>
    <row r="218" spans="4:25" x14ac:dyDescent="0.25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U218" s="5">
        <v>0</v>
      </c>
      <c r="V218" s="5">
        <v>0</v>
      </c>
      <c r="W218" s="5">
        <v>0</v>
      </c>
      <c r="Y218">
        <v>2</v>
      </c>
    </row>
    <row r="219" spans="4:25" x14ac:dyDescent="0.25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U219" s="5">
        <v>0</v>
      </c>
      <c r="V219" s="5">
        <v>0</v>
      </c>
      <c r="W219" s="5">
        <v>0</v>
      </c>
      <c r="Y219">
        <v>2</v>
      </c>
    </row>
    <row r="220" spans="4:25" x14ac:dyDescent="0.25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U220" s="5">
        <v>0</v>
      </c>
      <c r="V220" s="5">
        <v>0</v>
      </c>
      <c r="W220" s="5">
        <v>0</v>
      </c>
      <c r="Y220">
        <v>2</v>
      </c>
    </row>
    <row r="221" spans="4:25" x14ac:dyDescent="0.25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U221" s="5">
        <v>0</v>
      </c>
      <c r="V221" s="5">
        <v>0</v>
      </c>
      <c r="W221" s="5">
        <v>0</v>
      </c>
      <c r="Y221">
        <v>2</v>
      </c>
    </row>
    <row r="222" spans="4:25" x14ac:dyDescent="0.25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U222" s="5">
        <v>0</v>
      </c>
      <c r="V222" s="5">
        <v>0</v>
      </c>
      <c r="W222" s="5">
        <v>0</v>
      </c>
      <c r="Y222">
        <v>2</v>
      </c>
    </row>
    <row r="223" spans="4:25" x14ac:dyDescent="0.25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U223" s="5">
        <v>0</v>
      </c>
      <c r="V223" s="5">
        <v>0</v>
      </c>
      <c r="W223" s="5">
        <v>0</v>
      </c>
      <c r="Y223">
        <v>3</v>
      </c>
    </row>
    <row r="224" spans="4:25" x14ac:dyDescent="0.25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U224" s="5">
        <v>0</v>
      </c>
      <c r="V224" s="5">
        <v>0</v>
      </c>
      <c r="W224" s="5">
        <v>0</v>
      </c>
      <c r="Y224">
        <v>3</v>
      </c>
    </row>
    <row r="225" spans="4:25" x14ac:dyDescent="0.25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U225" s="5">
        <v>0</v>
      </c>
      <c r="V225" s="5">
        <v>0</v>
      </c>
      <c r="W225" s="5">
        <v>0</v>
      </c>
      <c r="Y225">
        <v>2</v>
      </c>
    </row>
    <row r="226" spans="4:25" x14ac:dyDescent="0.25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U226" s="5">
        <v>0</v>
      </c>
      <c r="V226" s="5">
        <v>0</v>
      </c>
      <c r="W226" s="5">
        <v>0</v>
      </c>
      <c r="Y226">
        <v>2</v>
      </c>
    </row>
    <row r="227" spans="4:25" x14ac:dyDescent="0.25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U227" s="5">
        <v>0</v>
      </c>
      <c r="V227" s="5">
        <v>0</v>
      </c>
      <c r="W227" s="5">
        <v>0</v>
      </c>
      <c r="Y227">
        <v>2</v>
      </c>
    </row>
    <row r="228" spans="4:25" x14ac:dyDescent="0.25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U228" s="5">
        <v>0</v>
      </c>
      <c r="V228" s="5">
        <v>0</v>
      </c>
      <c r="W228" s="5">
        <v>0</v>
      </c>
      <c r="Y228">
        <v>2</v>
      </c>
    </row>
    <row r="229" spans="4:25" x14ac:dyDescent="0.25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U229" s="5">
        <v>0</v>
      </c>
      <c r="V229" s="5">
        <v>0</v>
      </c>
      <c r="W229" s="5">
        <v>0</v>
      </c>
      <c r="Y229">
        <v>2</v>
      </c>
    </row>
    <row r="230" spans="4:25" x14ac:dyDescent="0.25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U230" s="5">
        <v>0</v>
      </c>
      <c r="V230" s="5">
        <v>0</v>
      </c>
      <c r="W230" s="5">
        <v>0</v>
      </c>
      <c r="Y230">
        <v>0</v>
      </c>
    </row>
    <row r="231" spans="4:25" x14ac:dyDescent="0.25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U231" s="5">
        <v>0</v>
      </c>
      <c r="V231" s="5">
        <v>0</v>
      </c>
      <c r="W231" s="5">
        <v>0</v>
      </c>
      <c r="Y231">
        <v>0</v>
      </c>
    </row>
    <row r="232" spans="4:25" x14ac:dyDescent="0.25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5">
        <v>0</v>
      </c>
      <c r="V232" s="5">
        <v>0</v>
      </c>
      <c r="W232" s="5">
        <v>0</v>
      </c>
      <c r="Y232">
        <v>0</v>
      </c>
    </row>
    <row r="233" spans="4:25" x14ac:dyDescent="0.25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U233" s="5">
        <v>0</v>
      </c>
      <c r="V233" s="5">
        <v>0</v>
      </c>
      <c r="W233" s="5">
        <v>0</v>
      </c>
      <c r="Y233">
        <v>2</v>
      </c>
    </row>
    <row r="234" spans="4:25" x14ac:dyDescent="0.25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U234" s="5">
        <v>0</v>
      </c>
      <c r="V234" s="5">
        <v>0</v>
      </c>
      <c r="W234" s="5">
        <v>0</v>
      </c>
      <c r="Y234">
        <v>2</v>
      </c>
    </row>
    <row r="235" spans="4:25" x14ac:dyDescent="0.25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U235" s="5">
        <v>0</v>
      </c>
      <c r="V235" s="5">
        <v>0</v>
      </c>
      <c r="W235" s="5">
        <v>0</v>
      </c>
      <c r="Y235">
        <v>2</v>
      </c>
    </row>
    <row r="236" spans="4:25" x14ac:dyDescent="0.25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U236" s="5">
        <v>0</v>
      </c>
      <c r="V236" s="5">
        <v>0</v>
      </c>
      <c r="W236" s="5">
        <v>0</v>
      </c>
      <c r="Y236">
        <v>2</v>
      </c>
    </row>
    <row r="237" spans="4:25" x14ac:dyDescent="0.25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U237" s="5">
        <v>0</v>
      </c>
      <c r="V237" s="5">
        <v>0</v>
      </c>
      <c r="W237" s="5">
        <v>0</v>
      </c>
      <c r="Y237">
        <v>2</v>
      </c>
    </row>
    <row r="238" spans="4:25" x14ac:dyDescent="0.25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U238" s="5">
        <v>0</v>
      </c>
      <c r="V238" s="5">
        <v>0</v>
      </c>
      <c r="W238" s="5">
        <v>0</v>
      </c>
      <c r="Y238">
        <v>2</v>
      </c>
    </row>
    <row r="239" spans="4:25" x14ac:dyDescent="0.25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U239" s="5">
        <v>0</v>
      </c>
      <c r="V239" s="5">
        <v>0</v>
      </c>
      <c r="W239" s="5">
        <v>0</v>
      </c>
      <c r="Y239">
        <v>2</v>
      </c>
    </row>
    <row r="240" spans="4:25" x14ac:dyDescent="0.25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U240" s="5">
        <v>0</v>
      </c>
      <c r="V240" s="5">
        <v>0</v>
      </c>
      <c r="W240" s="5">
        <v>0</v>
      </c>
      <c r="Y240">
        <v>2</v>
      </c>
    </row>
    <row r="241" spans="4:25" x14ac:dyDescent="0.25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U241" s="5">
        <v>0</v>
      </c>
      <c r="V241" s="5">
        <v>0</v>
      </c>
      <c r="W241" s="5">
        <v>0</v>
      </c>
      <c r="Y241">
        <v>2</v>
      </c>
    </row>
    <row r="242" spans="4:25" x14ac:dyDescent="0.25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U242" s="5">
        <v>0</v>
      </c>
      <c r="V242" s="5">
        <v>0</v>
      </c>
      <c r="W242" s="5">
        <v>0</v>
      </c>
      <c r="Y242">
        <v>2</v>
      </c>
    </row>
    <row r="243" spans="4:25" x14ac:dyDescent="0.25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U243" s="5">
        <v>0</v>
      </c>
      <c r="V243" s="5">
        <v>0</v>
      </c>
      <c r="W243" s="5">
        <v>0</v>
      </c>
      <c r="Y243">
        <v>2</v>
      </c>
    </row>
    <row r="244" spans="4:25" x14ac:dyDescent="0.25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U244" s="5">
        <v>0</v>
      </c>
      <c r="V244" s="5">
        <v>0</v>
      </c>
      <c r="W244" s="5">
        <v>0</v>
      </c>
      <c r="Y244">
        <v>2</v>
      </c>
    </row>
    <row r="245" spans="4:25" x14ac:dyDescent="0.25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U245" s="5">
        <v>0</v>
      </c>
      <c r="V245" s="5">
        <v>0</v>
      </c>
      <c r="W245" s="5">
        <v>0</v>
      </c>
      <c r="Y245">
        <v>2</v>
      </c>
    </row>
    <row r="246" spans="4:25" x14ac:dyDescent="0.25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U246" s="5">
        <v>0</v>
      </c>
      <c r="V246" s="5">
        <v>0</v>
      </c>
      <c r="W246" s="5">
        <v>0</v>
      </c>
      <c r="Y246">
        <v>2</v>
      </c>
    </row>
    <row r="247" spans="4:25" x14ac:dyDescent="0.25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U247" s="5">
        <v>0</v>
      </c>
      <c r="V247" s="5">
        <v>0</v>
      </c>
      <c r="W247" s="5">
        <v>0</v>
      </c>
      <c r="Y247">
        <v>2</v>
      </c>
    </row>
    <row r="248" spans="4:25" x14ac:dyDescent="0.25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U248" s="5">
        <v>0</v>
      </c>
      <c r="V248" s="5">
        <v>0</v>
      </c>
      <c r="W248" s="5">
        <v>0</v>
      </c>
      <c r="Y248">
        <v>2</v>
      </c>
    </row>
    <row r="249" spans="4:25" x14ac:dyDescent="0.25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U249" s="5">
        <v>0</v>
      </c>
      <c r="V249" s="5">
        <v>0</v>
      </c>
      <c r="W249" s="5">
        <v>0</v>
      </c>
      <c r="Y249">
        <v>2</v>
      </c>
    </row>
    <row r="250" spans="4:25" x14ac:dyDescent="0.25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U250" s="5">
        <v>0</v>
      </c>
      <c r="V250" s="5">
        <v>0</v>
      </c>
      <c r="W250" s="5">
        <v>0</v>
      </c>
      <c r="Y250">
        <v>2</v>
      </c>
    </row>
    <row r="251" spans="4:25" x14ac:dyDescent="0.25">
      <c r="D251" t="str">
        <f ca="1"/>
        <v>31-Aug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1</v>
      </c>
      <c r="P251" s="5">
        <v>0</v>
      </c>
      <c r="Q251" s="5">
        <v>0</v>
      </c>
      <c r="R251" s="5">
        <v>0</v>
      </c>
      <c r="S251" s="5">
        <v>1</v>
      </c>
      <c r="T251" s="5">
        <v>0</v>
      </c>
      <c r="U251" s="5">
        <v>0</v>
      </c>
      <c r="V251" s="5">
        <v>0</v>
      </c>
      <c r="W251" s="5">
        <v>0</v>
      </c>
      <c r="Y251">
        <v>2</v>
      </c>
    </row>
    <row r="252" spans="4:25" x14ac:dyDescent="0.25">
      <c r="D252" t="str">
        <f ca="1"/>
        <v>01-Sep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1</v>
      </c>
      <c r="P252" s="5">
        <v>0</v>
      </c>
      <c r="Q252" s="5">
        <v>0</v>
      </c>
      <c r="R252" s="5">
        <v>0</v>
      </c>
      <c r="S252" s="5">
        <v>1</v>
      </c>
      <c r="T252" s="5">
        <v>0</v>
      </c>
      <c r="U252" s="5">
        <v>0</v>
      </c>
      <c r="V252" s="5">
        <v>0</v>
      </c>
      <c r="W252" s="5">
        <v>0</v>
      </c>
      <c r="Y252">
        <v>2</v>
      </c>
    </row>
    <row r="253" spans="4:25" x14ac:dyDescent="0.25">
      <c r="D253" t="str">
        <f ca="1"/>
        <v>02-Sep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1</v>
      </c>
      <c r="P253" s="5">
        <v>0</v>
      </c>
      <c r="Q253" s="5">
        <v>0</v>
      </c>
      <c r="R253" s="5">
        <v>0</v>
      </c>
      <c r="S253" s="5">
        <v>1</v>
      </c>
      <c r="T253" s="5">
        <v>0</v>
      </c>
      <c r="U253" s="5">
        <v>0</v>
      </c>
      <c r="V253" s="5">
        <v>0</v>
      </c>
      <c r="W253" s="5">
        <v>0</v>
      </c>
      <c r="Y253">
        <v>2</v>
      </c>
    </row>
    <row r="254" spans="4:25" x14ac:dyDescent="0.25">
      <c r="D254" t="str">
        <f ca="1"/>
        <v>03-Sep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1</v>
      </c>
      <c r="P254" s="5">
        <v>0</v>
      </c>
      <c r="Q254" s="5">
        <v>0</v>
      </c>
      <c r="R254" s="5">
        <v>0</v>
      </c>
      <c r="S254" s="5">
        <v>1</v>
      </c>
      <c r="T254" s="5">
        <v>0</v>
      </c>
      <c r="U254" s="5">
        <v>0</v>
      </c>
      <c r="V254" s="5">
        <v>0</v>
      </c>
      <c r="W254" s="5">
        <v>0</v>
      </c>
      <c r="Y254">
        <v>2</v>
      </c>
    </row>
    <row r="255" spans="4:25" x14ac:dyDescent="0.25">
      <c r="D255" t="str">
        <f ca="1"/>
        <v>04-Sep</v>
      </c>
      <c r="E255" s="5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1</v>
      </c>
      <c r="P255" s="5">
        <v>0</v>
      </c>
      <c r="Q255" s="5">
        <v>0</v>
      </c>
      <c r="R255" s="5">
        <v>0</v>
      </c>
      <c r="S255" s="5">
        <v>1</v>
      </c>
      <c r="T255" s="5">
        <v>0</v>
      </c>
      <c r="U255" s="5">
        <v>0</v>
      </c>
      <c r="V255" s="5">
        <v>0</v>
      </c>
      <c r="W255" s="5">
        <v>0</v>
      </c>
      <c r="Y255">
        <v>2</v>
      </c>
    </row>
    <row r="256" spans="4:25" x14ac:dyDescent="0.25">
      <c r="D256" t="str">
        <f ca="1"/>
        <v>05-Sep</v>
      </c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1</v>
      </c>
      <c r="P256" s="5">
        <v>0</v>
      </c>
      <c r="Q256" s="5">
        <v>0</v>
      </c>
      <c r="R256" s="5">
        <v>0</v>
      </c>
      <c r="S256" s="5">
        <v>1</v>
      </c>
      <c r="T256" s="5">
        <v>0</v>
      </c>
      <c r="U256" s="5">
        <v>0</v>
      </c>
      <c r="V256" s="5">
        <v>0</v>
      </c>
      <c r="W256" s="5">
        <v>0</v>
      </c>
      <c r="Y256">
        <v>2</v>
      </c>
    </row>
    <row r="257" spans="4:25" x14ac:dyDescent="0.25">
      <c r="D257" t="str">
        <f ca="1"/>
        <v>06-Sep</v>
      </c>
      <c r="E257" s="5">
        <v>0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1</v>
      </c>
      <c r="P257" s="5">
        <v>0</v>
      </c>
      <c r="Q257" s="5">
        <v>0</v>
      </c>
      <c r="R257" s="5">
        <v>0</v>
      </c>
      <c r="S257" s="5">
        <v>1</v>
      </c>
      <c r="T257" s="5">
        <v>0</v>
      </c>
      <c r="U257" s="5">
        <v>0</v>
      </c>
      <c r="V257" s="5">
        <v>0</v>
      </c>
      <c r="W257" s="5">
        <v>0</v>
      </c>
      <c r="Y257">
        <v>2</v>
      </c>
    </row>
    <row r="258" spans="4:25" x14ac:dyDescent="0.25">
      <c r="D258" t="str">
        <f ca="1"/>
        <v>07-Sep</v>
      </c>
      <c r="E258" s="5">
        <v>0</v>
      </c>
      <c r="F258" s="5">
        <v>0</v>
      </c>
      <c r="G258" s="5">
        <v>0</v>
      </c>
      <c r="H258" s="5">
        <v>0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 s="5">
        <v>0</v>
      </c>
      <c r="O258" s="5">
        <v>1</v>
      </c>
      <c r="P258" s="5">
        <v>0</v>
      </c>
      <c r="Q258" s="5">
        <v>0</v>
      </c>
      <c r="R258" s="5">
        <v>0</v>
      </c>
      <c r="S258" s="5">
        <v>1</v>
      </c>
      <c r="T258" s="5">
        <v>0</v>
      </c>
      <c r="U258" s="5">
        <v>0</v>
      </c>
      <c r="V258" s="5">
        <v>0</v>
      </c>
      <c r="W258" s="5">
        <v>0</v>
      </c>
      <c r="Y258">
        <v>2</v>
      </c>
    </row>
    <row r="259" spans="4:25" x14ac:dyDescent="0.25">
      <c r="D259" t="str">
        <f ca="1"/>
        <v>08-Sep</v>
      </c>
      <c r="E259" s="5">
        <v>0</v>
      </c>
      <c r="F259" s="5">
        <v>0</v>
      </c>
      <c r="G259" s="5">
        <v>0</v>
      </c>
      <c r="H259" s="5">
        <v>0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1</v>
      </c>
      <c r="P259" s="5">
        <v>0</v>
      </c>
      <c r="Q259" s="5">
        <v>0</v>
      </c>
      <c r="R259" s="5">
        <v>0</v>
      </c>
      <c r="S259" s="5">
        <v>1</v>
      </c>
      <c r="T259" s="5">
        <v>0</v>
      </c>
      <c r="U259" s="5">
        <v>0</v>
      </c>
      <c r="V259" s="5">
        <v>0</v>
      </c>
      <c r="W259" s="5">
        <v>0</v>
      </c>
      <c r="Y259">
        <v>2</v>
      </c>
    </row>
    <row r="260" spans="4:25" x14ac:dyDescent="0.25">
      <c r="D260" t="str">
        <f ca="1"/>
        <v>09-Sep</v>
      </c>
      <c r="E260" s="5">
        <v>0</v>
      </c>
      <c r="F260" s="5">
        <v>0</v>
      </c>
      <c r="G260" s="5">
        <v>0</v>
      </c>
      <c r="H260" s="5">
        <v>0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1</v>
      </c>
      <c r="P260" s="5">
        <v>0</v>
      </c>
      <c r="Q260" s="5">
        <v>0</v>
      </c>
      <c r="R260" s="5">
        <v>0</v>
      </c>
      <c r="S260" s="5">
        <v>1</v>
      </c>
      <c r="T260" s="5">
        <v>0</v>
      </c>
      <c r="U260" s="5">
        <v>0</v>
      </c>
      <c r="V260" s="5">
        <v>0</v>
      </c>
      <c r="W260" s="5">
        <v>0</v>
      </c>
      <c r="Y260">
        <v>2</v>
      </c>
    </row>
    <row r="261" spans="4:25" x14ac:dyDescent="0.25">
      <c r="D261" t="str">
        <f ca="1"/>
        <v>10-Sep</v>
      </c>
      <c r="E261" s="5">
        <v>0</v>
      </c>
      <c r="F261" s="5">
        <v>0</v>
      </c>
      <c r="G261" s="5">
        <v>0</v>
      </c>
      <c r="H261" s="5">
        <v>0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 s="5">
        <v>0</v>
      </c>
      <c r="O261" s="5">
        <v>1</v>
      </c>
      <c r="P261" s="5">
        <v>0</v>
      </c>
      <c r="Q261" s="5">
        <v>0</v>
      </c>
      <c r="R261" s="5">
        <v>0</v>
      </c>
      <c r="S261" s="5">
        <v>1</v>
      </c>
      <c r="T261" s="5">
        <v>0</v>
      </c>
      <c r="U261" s="5">
        <v>0</v>
      </c>
      <c r="V261" s="5">
        <v>0</v>
      </c>
      <c r="W261" s="5">
        <v>0</v>
      </c>
      <c r="Y261">
        <v>2</v>
      </c>
    </row>
    <row r="262" spans="4:25" x14ac:dyDescent="0.25">
      <c r="D262" t="str">
        <f ca="1"/>
        <v>11-Sep</v>
      </c>
      <c r="E262" s="5">
        <v>0</v>
      </c>
      <c r="F262" s="5">
        <v>0</v>
      </c>
      <c r="G262" s="5">
        <v>0</v>
      </c>
      <c r="H262" s="5">
        <v>0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 s="5">
        <v>0</v>
      </c>
      <c r="O262" s="5">
        <v>1</v>
      </c>
      <c r="P262" s="5">
        <v>0</v>
      </c>
      <c r="Q262" s="5">
        <v>0</v>
      </c>
      <c r="R262" s="5">
        <v>0</v>
      </c>
      <c r="S262" s="5">
        <v>1</v>
      </c>
      <c r="T262" s="5">
        <v>0</v>
      </c>
      <c r="U262" s="5">
        <v>0</v>
      </c>
      <c r="V262" s="5">
        <v>0</v>
      </c>
      <c r="W262" s="5">
        <v>0</v>
      </c>
      <c r="Y262">
        <v>2</v>
      </c>
    </row>
    <row r="263" spans="4:25" x14ac:dyDescent="0.25">
      <c r="D263" t="str">
        <f ca="1"/>
        <v>12-Sep</v>
      </c>
      <c r="E263" s="5">
        <v>0</v>
      </c>
      <c r="F263" s="5">
        <v>0</v>
      </c>
      <c r="G263" s="5">
        <v>0</v>
      </c>
      <c r="H263" s="5">
        <v>0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 s="5">
        <v>0</v>
      </c>
      <c r="O263" s="5">
        <v>1</v>
      </c>
      <c r="P263" s="5">
        <v>0</v>
      </c>
      <c r="Q263" s="5">
        <v>0</v>
      </c>
      <c r="R263" s="5">
        <v>0</v>
      </c>
      <c r="S263" s="5">
        <v>1</v>
      </c>
      <c r="T263" s="5">
        <v>0</v>
      </c>
      <c r="U263" s="5">
        <v>0</v>
      </c>
      <c r="V263" s="5">
        <v>0</v>
      </c>
      <c r="W263" s="5">
        <v>0</v>
      </c>
      <c r="Y263">
        <v>2</v>
      </c>
    </row>
    <row r="264" spans="4:25" x14ac:dyDescent="0.25">
      <c r="D264" t="str">
        <f ca="1"/>
        <v>13-Sep</v>
      </c>
      <c r="E264" s="5">
        <v>0</v>
      </c>
      <c r="F264" s="5">
        <v>0</v>
      </c>
      <c r="G264" s="5">
        <v>0</v>
      </c>
      <c r="H264" s="5">
        <v>0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 s="5">
        <v>0</v>
      </c>
      <c r="O264" s="5">
        <v>1</v>
      </c>
      <c r="P264" s="5">
        <v>0</v>
      </c>
      <c r="Q264" s="5">
        <v>0</v>
      </c>
      <c r="R264" s="5">
        <v>0</v>
      </c>
      <c r="S264" s="5">
        <v>1</v>
      </c>
      <c r="T264" s="5">
        <v>0</v>
      </c>
      <c r="U264" s="5">
        <v>0</v>
      </c>
      <c r="V264" s="5">
        <v>0</v>
      </c>
      <c r="W264" s="5">
        <v>0</v>
      </c>
      <c r="Y264">
        <v>2</v>
      </c>
    </row>
    <row r="265" spans="4:25" x14ac:dyDescent="0.25">
      <c r="D265" t="str">
        <f ca="1"/>
        <v>14-Sep</v>
      </c>
      <c r="E265" s="5">
        <v>0</v>
      </c>
      <c r="F265" s="5">
        <v>0</v>
      </c>
      <c r="G265" s="5">
        <v>0</v>
      </c>
      <c r="H265" s="5">
        <v>0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 s="5">
        <v>0</v>
      </c>
      <c r="O265" s="5">
        <v>1</v>
      </c>
      <c r="P265" s="5">
        <v>0</v>
      </c>
      <c r="Q265" s="5">
        <v>0</v>
      </c>
      <c r="R265" s="5">
        <v>0</v>
      </c>
      <c r="S265" s="5">
        <v>1</v>
      </c>
      <c r="T265" s="5">
        <v>0</v>
      </c>
      <c r="U265" s="5">
        <v>0</v>
      </c>
      <c r="V265" s="5">
        <v>0</v>
      </c>
      <c r="W265" s="5">
        <v>0</v>
      </c>
      <c r="Y265">
        <v>2</v>
      </c>
    </row>
    <row r="266" spans="4:25" x14ac:dyDescent="0.25">
      <c r="D266" t="str">
        <f ca="1"/>
        <v>15-Sep</v>
      </c>
      <c r="E266" s="5">
        <v>0</v>
      </c>
      <c r="F266" s="5">
        <v>0</v>
      </c>
      <c r="G266" s="5">
        <v>0</v>
      </c>
      <c r="H266" s="5">
        <v>0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 s="5">
        <v>0</v>
      </c>
      <c r="O266" s="5">
        <v>1</v>
      </c>
      <c r="P266" s="5">
        <v>0</v>
      </c>
      <c r="Q266" s="5">
        <v>0</v>
      </c>
      <c r="R266" s="5">
        <v>0</v>
      </c>
      <c r="S266" s="5">
        <v>1</v>
      </c>
      <c r="T266" s="5">
        <v>0</v>
      </c>
      <c r="U266" s="5">
        <v>0</v>
      </c>
      <c r="V266" s="5">
        <v>0</v>
      </c>
      <c r="W266" s="5">
        <v>0</v>
      </c>
      <c r="Y266">
        <v>2</v>
      </c>
    </row>
    <row r="267" spans="4:25" x14ac:dyDescent="0.25">
      <c r="D267" t="str">
        <f ca="1"/>
        <v>16-Sep</v>
      </c>
      <c r="E267" s="5">
        <v>0</v>
      </c>
      <c r="F267" s="5">
        <v>0</v>
      </c>
      <c r="G267" s="5">
        <v>0</v>
      </c>
      <c r="H267" s="5">
        <v>0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 s="5">
        <v>0</v>
      </c>
      <c r="O267" s="5">
        <v>1</v>
      </c>
      <c r="P267" s="5">
        <v>0</v>
      </c>
      <c r="Q267" s="5">
        <v>0</v>
      </c>
      <c r="R267" s="5">
        <v>0</v>
      </c>
      <c r="S267" s="5">
        <v>1</v>
      </c>
      <c r="T267" s="5">
        <v>0</v>
      </c>
      <c r="U267" s="5">
        <v>0</v>
      </c>
      <c r="V267" s="5">
        <v>0</v>
      </c>
      <c r="W267" s="5">
        <v>0</v>
      </c>
      <c r="Y267">
        <v>2</v>
      </c>
    </row>
    <row r="268" spans="4:25" x14ac:dyDescent="0.25">
      <c r="D268" t="str">
        <f ca="1"/>
        <v>17-Sep</v>
      </c>
      <c r="E268" s="5">
        <v>0</v>
      </c>
      <c r="F268" s="5">
        <v>0</v>
      </c>
      <c r="G268" s="5">
        <v>0</v>
      </c>
      <c r="H268" s="5">
        <v>0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 s="5">
        <v>0</v>
      </c>
      <c r="O268" s="5">
        <v>1</v>
      </c>
      <c r="P268" s="5">
        <v>0</v>
      </c>
      <c r="Q268" s="5">
        <v>0</v>
      </c>
      <c r="R268" s="5">
        <v>0</v>
      </c>
      <c r="S268" s="5">
        <v>1</v>
      </c>
      <c r="T268" s="5">
        <v>0</v>
      </c>
      <c r="U268" s="5">
        <v>0</v>
      </c>
      <c r="V268" s="5">
        <v>0</v>
      </c>
      <c r="W268" s="5">
        <v>0</v>
      </c>
      <c r="Y268">
        <v>2</v>
      </c>
    </row>
    <row r="269" spans="4:25" x14ac:dyDescent="0.25">
      <c r="D269" t="str">
        <f ca="1"/>
        <v>18-Sep</v>
      </c>
      <c r="E269" s="5">
        <v>0</v>
      </c>
      <c r="F269" s="5">
        <v>0</v>
      </c>
      <c r="G269" s="5">
        <v>0</v>
      </c>
      <c r="H269" s="5">
        <v>0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 s="5">
        <v>0</v>
      </c>
      <c r="O269" s="5">
        <v>1</v>
      </c>
      <c r="P269" s="5">
        <v>0</v>
      </c>
      <c r="Q269" s="5">
        <v>0</v>
      </c>
      <c r="R269" s="5">
        <v>0</v>
      </c>
      <c r="S269" s="5">
        <v>1</v>
      </c>
      <c r="T269" s="5">
        <v>0</v>
      </c>
      <c r="U269" s="5">
        <v>0</v>
      </c>
      <c r="V269" s="5">
        <v>0</v>
      </c>
      <c r="W269" s="5">
        <v>0</v>
      </c>
      <c r="Y269">
        <v>2</v>
      </c>
    </row>
    <row r="270" spans="4:25" x14ac:dyDescent="0.25">
      <c r="D270" t="str">
        <f ca="1"/>
        <v>19-Sep</v>
      </c>
      <c r="E270" s="5">
        <v>0</v>
      </c>
      <c r="F270" s="5">
        <v>0</v>
      </c>
      <c r="G270" s="5">
        <v>0</v>
      </c>
      <c r="H270" s="5">
        <v>0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 s="5">
        <v>0</v>
      </c>
      <c r="O270" s="5">
        <v>1</v>
      </c>
      <c r="P270" s="5">
        <v>0</v>
      </c>
      <c r="Q270" s="5">
        <v>0</v>
      </c>
      <c r="R270" s="5">
        <v>0</v>
      </c>
      <c r="S270" s="5">
        <v>1</v>
      </c>
      <c r="T270" s="5">
        <v>0</v>
      </c>
      <c r="U270" s="5">
        <v>0</v>
      </c>
      <c r="V270" s="5">
        <v>0</v>
      </c>
      <c r="W270" s="5">
        <v>0</v>
      </c>
      <c r="Y270">
        <v>2</v>
      </c>
    </row>
    <row r="271" spans="4:25" x14ac:dyDescent="0.25">
      <c r="D271" t="str">
        <f ca="1"/>
        <v>20-Sep</v>
      </c>
      <c r="E271" s="5">
        <v>0</v>
      </c>
      <c r="F271" s="5">
        <v>0</v>
      </c>
      <c r="G271" s="5">
        <v>0</v>
      </c>
      <c r="H271" s="5">
        <v>0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 s="5">
        <v>0</v>
      </c>
      <c r="O271" s="5">
        <v>1</v>
      </c>
      <c r="P271" s="5">
        <v>0</v>
      </c>
      <c r="Q271" s="5">
        <v>0</v>
      </c>
      <c r="R271" s="5">
        <v>0</v>
      </c>
      <c r="S271" s="5">
        <v>1</v>
      </c>
      <c r="T271" s="5">
        <v>0</v>
      </c>
      <c r="U271" s="5">
        <v>0</v>
      </c>
      <c r="V271" s="5">
        <v>0</v>
      </c>
      <c r="W271" s="5">
        <v>0</v>
      </c>
      <c r="Y271">
        <v>2</v>
      </c>
    </row>
    <row r="272" spans="4:25" x14ac:dyDescent="0.25">
      <c r="D272" t="str">
        <f ca="1"/>
        <v>21-Sep</v>
      </c>
      <c r="E272" s="5">
        <v>0</v>
      </c>
      <c r="F272" s="5">
        <v>0</v>
      </c>
      <c r="G272" s="5">
        <v>0</v>
      </c>
      <c r="H272" s="5">
        <v>0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 s="5">
        <v>0</v>
      </c>
      <c r="O272" s="5">
        <v>1</v>
      </c>
      <c r="P272" s="5">
        <v>0</v>
      </c>
      <c r="Q272" s="5">
        <v>0</v>
      </c>
      <c r="R272" s="5">
        <v>0</v>
      </c>
      <c r="S272" s="5">
        <v>1</v>
      </c>
      <c r="T272" s="5">
        <v>0</v>
      </c>
      <c r="U272" s="5">
        <v>0</v>
      </c>
      <c r="V272" s="5">
        <v>0</v>
      </c>
      <c r="W272" s="5">
        <v>0</v>
      </c>
      <c r="Y272">
        <v>2</v>
      </c>
    </row>
    <row r="273" spans="4:25" x14ac:dyDescent="0.25">
      <c r="D273" t="str">
        <f ca="1"/>
        <v>22-Sep</v>
      </c>
      <c r="E273" s="5">
        <v>0</v>
      </c>
      <c r="F273" s="5">
        <v>0</v>
      </c>
      <c r="G273" s="5">
        <v>0</v>
      </c>
      <c r="H273" s="5">
        <v>0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 s="5">
        <v>0</v>
      </c>
      <c r="O273" s="5">
        <v>1</v>
      </c>
      <c r="P273" s="5">
        <v>0</v>
      </c>
      <c r="Q273" s="5">
        <v>0</v>
      </c>
      <c r="R273" s="5">
        <v>0</v>
      </c>
      <c r="S273" s="5">
        <v>1</v>
      </c>
      <c r="T273" s="5">
        <v>0</v>
      </c>
      <c r="U273" s="5">
        <v>0</v>
      </c>
      <c r="V273" s="5">
        <v>0</v>
      </c>
      <c r="W273" s="5">
        <v>0</v>
      </c>
      <c r="Y273">
        <v>2</v>
      </c>
    </row>
    <row r="274" spans="4:25" x14ac:dyDescent="0.25">
      <c r="D274" t="str">
        <f ca="1"/>
        <v>23-Sep</v>
      </c>
      <c r="E274" s="5">
        <v>0</v>
      </c>
      <c r="F274" s="5">
        <v>0</v>
      </c>
      <c r="G274" s="5">
        <v>0</v>
      </c>
      <c r="H274" s="5">
        <v>0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 s="5">
        <v>0</v>
      </c>
      <c r="O274" s="5">
        <v>1</v>
      </c>
      <c r="P274" s="5">
        <v>0</v>
      </c>
      <c r="Q274" s="5">
        <v>0</v>
      </c>
      <c r="R274" s="5">
        <v>0</v>
      </c>
      <c r="S274" s="5">
        <v>1</v>
      </c>
      <c r="T274" s="5">
        <v>0</v>
      </c>
      <c r="U274" s="5">
        <v>0</v>
      </c>
      <c r="V274" s="5">
        <v>0</v>
      </c>
      <c r="W274" s="5">
        <v>0</v>
      </c>
      <c r="Y274">
        <v>2</v>
      </c>
    </row>
    <row r="275" spans="4:25" x14ac:dyDescent="0.25">
      <c r="D275" t="str">
        <f ca="1"/>
        <v>24-Sep</v>
      </c>
      <c r="E275" s="5">
        <v>0</v>
      </c>
      <c r="F275" s="5">
        <v>0</v>
      </c>
      <c r="G275" s="5">
        <v>0</v>
      </c>
      <c r="H275" s="5">
        <v>0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 s="5">
        <v>0</v>
      </c>
      <c r="O275" s="5">
        <v>1</v>
      </c>
      <c r="P275" s="5">
        <v>0</v>
      </c>
      <c r="Q275" s="5">
        <v>0</v>
      </c>
      <c r="R275" s="5">
        <v>0</v>
      </c>
      <c r="S275" s="5">
        <v>1</v>
      </c>
      <c r="T275" s="5">
        <v>0</v>
      </c>
      <c r="U275" s="5">
        <v>0</v>
      </c>
      <c r="V275" s="5">
        <v>0</v>
      </c>
      <c r="W275" s="5">
        <v>0</v>
      </c>
      <c r="Y275">
        <v>2</v>
      </c>
    </row>
    <row r="276" spans="4:25" x14ac:dyDescent="0.25">
      <c r="D276" t="str">
        <f ca="1"/>
        <v>25-Sep</v>
      </c>
      <c r="E276" s="5">
        <v>0</v>
      </c>
      <c r="F276" s="5">
        <v>0</v>
      </c>
      <c r="G276" s="5">
        <v>0</v>
      </c>
      <c r="H276" s="5">
        <v>0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 s="5">
        <v>0</v>
      </c>
      <c r="O276" s="5">
        <v>1</v>
      </c>
      <c r="P276" s="5">
        <v>0</v>
      </c>
      <c r="Q276" s="5">
        <v>0</v>
      </c>
      <c r="R276" s="5">
        <v>0</v>
      </c>
      <c r="S276" s="5">
        <v>1</v>
      </c>
      <c r="T276" s="5">
        <v>0</v>
      </c>
      <c r="U276" s="5">
        <v>0</v>
      </c>
      <c r="V276" s="5">
        <v>0</v>
      </c>
      <c r="W276" s="5">
        <v>0</v>
      </c>
      <c r="Y276">
        <v>2</v>
      </c>
    </row>
    <row r="277" spans="4:25" x14ac:dyDescent="0.25">
      <c r="D277" t="str">
        <f ca="1"/>
        <v>26-Sep</v>
      </c>
      <c r="E277" s="5">
        <v>0</v>
      </c>
      <c r="F277" s="5">
        <v>0</v>
      </c>
      <c r="G277" s="5">
        <v>0</v>
      </c>
      <c r="H277" s="5">
        <v>0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 s="5">
        <v>0</v>
      </c>
      <c r="O277" s="5">
        <v>1</v>
      </c>
      <c r="P277" s="5">
        <v>0</v>
      </c>
      <c r="Q277" s="5">
        <v>0</v>
      </c>
      <c r="R277" s="5">
        <v>0</v>
      </c>
      <c r="S277" s="5">
        <v>1</v>
      </c>
      <c r="T277" s="5">
        <v>0</v>
      </c>
      <c r="U277" s="5">
        <v>0</v>
      </c>
      <c r="V277" s="5">
        <v>0</v>
      </c>
      <c r="W277" s="5">
        <v>0</v>
      </c>
      <c r="Y277">
        <v>2</v>
      </c>
    </row>
    <row r="278" spans="4:25" x14ac:dyDescent="0.25">
      <c r="D278" t="str">
        <f ca="1"/>
        <v>27-Sep</v>
      </c>
      <c r="E278" s="5">
        <v>0</v>
      </c>
      <c r="F278" s="5">
        <v>0</v>
      </c>
      <c r="G278" s="5">
        <v>0</v>
      </c>
      <c r="H278" s="5">
        <v>0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 s="5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1</v>
      </c>
      <c r="U278" s="5">
        <v>1</v>
      </c>
      <c r="V278" s="5">
        <v>0</v>
      </c>
      <c r="W278" s="5">
        <v>0</v>
      </c>
      <c r="Y278">
        <v>2</v>
      </c>
    </row>
    <row r="279" spans="4:25" x14ac:dyDescent="0.25">
      <c r="D279" t="str">
        <f ca="1"/>
        <v>28-Sep</v>
      </c>
      <c r="E279" s="5">
        <v>0</v>
      </c>
      <c r="F279" s="5">
        <v>0</v>
      </c>
      <c r="G279" s="5">
        <v>0</v>
      </c>
      <c r="H279" s="5">
        <v>0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 s="5">
        <v>0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  <c r="T279" s="5">
        <v>1</v>
      </c>
      <c r="U279" s="5">
        <v>1</v>
      </c>
      <c r="V279" s="5">
        <v>0</v>
      </c>
      <c r="W279" s="5">
        <v>0</v>
      </c>
      <c r="Y279">
        <v>2</v>
      </c>
    </row>
    <row r="280" spans="4:25" x14ac:dyDescent="0.25">
      <c r="D280" t="str">
        <f ca="1"/>
        <v>29-Sep</v>
      </c>
      <c r="E280" s="5">
        <v>0</v>
      </c>
      <c r="F280" s="5">
        <v>0</v>
      </c>
      <c r="G280" s="5">
        <v>0</v>
      </c>
      <c r="H280" s="5">
        <v>0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 s="5">
        <v>0</v>
      </c>
      <c r="O280" s="5">
        <v>0</v>
      </c>
      <c r="P280" s="5">
        <v>0</v>
      </c>
      <c r="Q280" s="5">
        <v>0</v>
      </c>
      <c r="R280" s="5">
        <v>0</v>
      </c>
      <c r="S280" s="5">
        <v>0</v>
      </c>
      <c r="T280" s="5">
        <v>1</v>
      </c>
      <c r="U280" s="5">
        <v>1</v>
      </c>
      <c r="V280" s="5">
        <v>0</v>
      </c>
      <c r="W280" s="5">
        <v>0</v>
      </c>
      <c r="Y280">
        <v>2</v>
      </c>
    </row>
    <row r="281" spans="4:25" x14ac:dyDescent="0.25">
      <c r="D281" t="str">
        <f ca="1"/>
        <v>30-Sep</v>
      </c>
      <c r="E281" s="5">
        <v>0</v>
      </c>
      <c r="F281" s="5">
        <v>0</v>
      </c>
      <c r="G281" s="5">
        <v>0</v>
      </c>
      <c r="H281" s="5">
        <v>0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 s="5">
        <v>0</v>
      </c>
      <c r="O281" s="5">
        <v>0</v>
      </c>
      <c r="P281" s="5">
        <v>0</v>
      </c>
      <c r="Q281" s="5">
        <v>0</v>
      </c>
      <c r="R281" s="5">
        <v>0</v>
      </c>
      <c r="S281" s="5">
        <v>0</v>
      </c>
      <c r="T281" s="5">
        <v>1</v>
      </c>
      <c r="U281" s="5">
        <v>1</v>
      </c>
      <c r="V281" s="5">
        <v>0</v>
      </c>
      <c r="W281" s="5">
        <v>0</v>
      </c>
      <c r="Y281">
        <v>2</v>
      </c>
    </row>
    <row r="282" spans="4:25" x14ac:dyDescent="0.25">
      <c r="D282" t="str">
        <f ca="1"/>
        <v>01-Oct</v>
      </c>
      <c r="E282" s="5">
        <v>0</v>
      </c>
      <c r="F282" s="5">
        <v>0</v>
      </c>
      <c r="G282" s="5">
        <v>0</v>
      </c>
      <c r="H282" s="5">
        <v>0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 s="5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  <c r="T282" s="5">
        <v>1</v>
      </c>
      <c r="U282" s="5">
        <v>1</v>
      </c>
      <c r="V282" s="5">
        <v>0</v>
      </c>
      <c r="W282" s="5">
        <v>0</v>
      </c>
      <c r="Y282">
        <v>2</v>
      </c>
    </row>
    <row r="283" spans="4:25" x14ac:dyDescent="0.25">
      <c r="D283" t="str">
        <f ca="1"/>
        <v>02-Oct</v>
      </c>
      <c r="E283" s="5">
        <v>0</v>
      </c>
      <c r="F283" s="5">
        <v>0</v>
      </c>
      <c r="G283" s="5">
        <v>0</v>
      </c>
      <c r="H283" s="5">
        <v>0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 s="5">
        <v>0</v>
      </c>
      <c r="O283" s="5">
        <v>0</v>
      </c>
      <c r="P283" s="5">
        <v>0</v>
      </c>
      <c r="Q283" s="5">
        <v>0</v>
      </c>
      <c r="R283" s="5">
        <v>0</v>
      </c>
      <c r="S283" s="5">
        <v>0</v>
      </c>
      <c r="T283" s="5">
        <v>1</v>
      </c>
      <c r="U283" s="5">
        <v>1</v>
      </c>
      <c r="V283" s="5">
        <v>0</v>
      </c>
      <c r="W283" s="5">
        <v>0</v>
      </c>
      <c r="Y283">
        <v>2</v>
      </c>
    </row>
    <row r="284" spans="4:25" x14ac:dyDescent="0.25">
      <c r="D284" t="str">
        <f ca="1"/>
        <v>03-Oct</v>
      </c>
      <c r="E284" s="5">
        <v>0</v>
      </c>
      <c r="F284" s="5">
        <v>0</v>
      </c>
      <c r="G284" s="5">
        <v>0</v>
      </c>
      <c r="H284" s="5">
        <v>0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 s="5">
        <v>0</v>
      </c>
      <c r="O284" s="5">
        <v>0</v>
      </c>
      <c r="P284" s="5">
        <v>0</v>
      </c>
      <c r="Q284" s="5">
        <v>0</v>
      </c>
      <c r="R284" s="5">
        <v>0</v>
      </c>
      <c r="S284" s="5">
        <v>0</v>
      </c>
      <c r="T284" s="5">
        <v>1</v>
      </c>
      <c r="U284" s="5">
        <v>1</v>
      </c>
      <c r="V284" s="5">
        <v>0</v>
      </c>
      <c r="W284" s="5">
        <v>0</v>
      </c>
      <c r="Y284">
        <v>2</v>
      </c>
    </row>
    <row r="285" spans="4:25" x14ac:dyDescent="0.25">
      <c r="D285" t="str">
        <f ca="1"/>
        <v>04-Oct</v>
      </c>
      <c r="E285" s="5">
        <v>0</v>
      </c>
      <c r="F285" s="5">
        <v>0</v>
      </c>
      <c r="G285" s="5">
        <v>0</v>
      </c>
      <c r="H285" s="5">
        <v>0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 s="5">
        <v>0</v>
      </c>
      <c r="O285" s="5">
        <v>0</v>
      </c>
      <c r="P285" s="5">
        <v>0</v>
      </c>
      <c r="Q285" s="5">
        <v>0</v>
      </c>
      <c r="R285" s="5">
        <v>0</v>
      </c>
      <c r="S285" s="5">
        <v>0</v>
      </c>
      <c r="T285" s="5">
        <v>1</v>
      </c>
      <c r="U285" s="5">
        <v>1</v>
      </c>
      <c r="V285" s="5">
        <v>0</v>
      </c>
      <c r="W285" s="5">
        <v>0</v>
      </c>
      <c r="Y285">
        <v>2</v>
      </c>
    </row>
    <row r="286" spans="4:25" x14ac:dyDescent="0.25">
      <c r="D286" t="str">
        <f ca="1"/>
        <v>05-Oct</v>
      </c>
      <c r="E286" s="5">
        <v>0</v>
      </c>
      <c r="F286" s="5">
        <v>0</v>
      </c>
      <c r="G286" s="5">
        <v>0</v>
      </c>
      <c r="H286" s="5">
        <v>0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 s="5">
        <v>0</v>
      </c>
      <c r="O286" s="5">
        <v>0</v>
      </c>
      <c r="P286" s="5">
        <v>0</v>
      </c>
      <c r="Q286" s="5">
        <v>0</v>
      </c>
      <c r="R286" s="5">
        <v>0</v>
      </c>
      <c r="S286" s="5">
        <v>0</v>
      </c>
      <c r="T286" s="5">
        <v>1</v>
      </c>
      <c r="U286" s="5">
        <v>1</v>
      </c>
      <c r="V286" s="5">
        <v>0</v>
      </c>
      <c r="W286" s="5">
        <v>0</v>
      </c>
      <c r="Y286">
        <v>2</v>
      </c>
    </row>
    <row r="287" spans="4:25" x14ac:dyDescent="0.25">
      <c r="D287" t="str">
        <f ca="1"/>
        <v>06-Oct</v>
      </c>
      <c r="E287" s="5">
        <v>0</v>
      </c>
      <c r="F287" s="5">
        <v>0</v>
      </c>
      <c r="G287" s="5">
        <v>0</v>
      </c>
      <c r="H287" s="5">
        <v>0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 s="5">
        <v>0</v>
      </c>
      <c r="O287" s="5">
        <v>0</v>
      </c>
      <c r="P287" s="5">
        <v>0</v>
      </c>
      <c r="Q287" s="5">
        <v>0</v>
      </c>
      <c r="R287" s="5">
        <v>0</v>
      </c>
      <c r="S287" s="5">
        <v>0</v>
      </c>
      <c r="T287" s="5">
        <v>1</v>
      </c>
      <c r="U287" s="5">
        <v>1</v>
      </c>
      <c r="V287" s="5">
        <v>0</v>
      </c>
      <c r="W287" s="5">
        <v>0</v>
      </c>
      <c r="Y287">
        <v>2</v>
      </c>
    </row>
    <row r="288" spans="4:25" x14ac:dyDescent="0.25">
      <c r="D288" t="str">
        <f ca="1"/>
        <v>07-Oct</v>
      </c>
      <c r="E288" s="5">
        <v>0</v>
      </c>
      <c r="F288" s="5">
        <v>0</v>
      </c>
      <c r="G288" s="5">
        <v>0</v>
      </c>
      <c r="H288" s="5">
        <v>0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 s="5">
        <v>0</v>
      </c>
      <c r="O288" s="5">
        <v>0</v>
      </c>
      <c r="P288" s="5">
        <v>0</v>
      </c>
      <c r="Q288" s="5">
        <v>0</v>
      </c>
      <c r="R288" s="5">
        <v>0</v>
      </c>
      <c r="S288" s="5">
        <v>0</v>
      </c>
      <c r="T288" s="5">
        <v>1</v>
      </c>
      <c r="U288" s="5">
        <v>1</v>
      </c>
      <c r="V288" s="5">
        <v>0</v>
      </c>
      <c r="W288" s="5">
        <v>0</v>
      </c>
      <c r="Y288">
        <v>2</v>
      </c>
    </row>
    <row r="289" spans="4:25" x14ac:dyDescent="0.25">
      <c r="D289" t="str">
        <f ca="1"/>
        <v>08-Oct</v>
      </c>
      <c r="E289" s="5">
        <v>0</v>
      </c>
      <c r="F289" s="5">
        <v>0</v>
      </c>
      <c r="G289" s="5">
        <v>0</v>
      </c>
      <c r="H289" s="5">
        <v>0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 s="5">
        <v>0</v>
      </c>
      <c r="O289" s="5">
        <v>0</v>
      </c>
      <c r="P289" s="5">
        <v>0</v>
      </c>
      <c r="Q289" s="5">
        <v>0</v>
      </c>
      <c r="R289" s="5">
        <v>0</v>
      </c>
      <c r="S289" s="5">
        <v>0</v>
      </c>
      <c r="T289" s="5">
        <v>1</v>
      </c>
      <c r="U289" s="5">
        <v>1</v>
      </c>
      <c r="V289" s="5">
        <v>0</v>
      </c>
      <c r="W289" s="5">
        <v>0</v>
      </c>
      <c r="Y289">
        <v>2</v>
      </c>
    </row>
    <row r="290" spans="4:25" x14ac:dyDescent="0.25">
      <c r="D290" t="str">
        <f ca="1"/>
        <v>09-Oct</v>
      </c>
      <c r="E290" s="5">
        <v>0</v>
      </c>
      <c r="F290" s="5">
        <v>0</v>
      </c>
      <c r="G290" s="5">
        <v>0</v>
      </c>
      <c r="H290" s="5">
        <v>0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 s="5">
        <v>0</v>
      </c>
      <c r="O290" s="5">
        <v>0</v>
      </c>
      <c r="P290" s="5">
        <v>0</v>
      </c>
      <c r="Q290" s="5">
        <v>0</v>
      </c>
      <c r="R290" s="5">
        <v>0</v>
      </c>
      <c r="S290" s="5">
        <v>0</v>
      </c>
      <c r="T290" s="5">
        <v>1</v>
      </c>
      <c r="U290" s="5">
        <v>1</v>
      </c>
      <c r="V290" s="5">
        <v>0</v>
      </c>
      <c r="W290" s="5">
        <v>0</v>
      </c>
      <c r="Y290">
        <v>2</v>
      </c>
    </row>
    <row r="291" spans="4:25" x14ac:dyDescent="0.25">
      <c r="D291" t="str">
        <f ca="1"/>
        <v>10-Oct</v>
      </c>
      <c r="E291" s="5">
        <v>0</v>
      </c>
      <c r="F291" s="5">
        <v>0</v>
      </c>
      <c r="G291" s="5">
        <v>0</v>
      </c>
      <c r="H291" s="5">
        <v>0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 s="5">
        <v>0</v>
      </c>
      <c r="O291" s="5">
        <v>0</v>
      </c>
      <c r="P291" s="5">
        <v>0</v>
      </c>
      <c r="Q291" s="5">
        <v>0</v>
      </c>
      <c r="R291" s="5">
        <v>0</v>
      </c>
      <c r="S291" s="5">
        <v>0</v>
      </c>
      <c r="T291" s="5">
        <v>1</v>
      </c>
      <c r="U291" s="5">
        <v>1</v>
      </c>
      <c r="V291" s="5">
        <v>0</v>
      </c>
      <c r="W291" s="5">
        <v>0</v>
      </c>
      <c r="Y291">
        <v>2</v>
      </c>
    </row>
    <row r="292" spans="4:25" x14ac:dyDescent="0.25">
      <c r="D292" t="str">
        <f ca="1"/>
        <v>11-Oct</v>
      </c>
      <c r="E292" s="5">
        <v>0</v>
      </c>
      <c r="F292" s="5">
        <v>0</v>
      </c>
      <c r="G292" s="5">
        <v>0</v>
      </c>
      <c r="H292" s="5">
        <v>0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 s="5">
        <v>0</v>
      </c>
      <c r="O292" s="5">
        <v>0</v>
      </c>
      <c r="P292" s="5">
        <v>0</v>
      </c>
      <c r="Q292" s="5">
        <v>0</v>
      </c>
      <c r="R292" s="5">
        <v>0</v>
      </c>
      <c r="S292" s="5">
        <v>0</v>
      </c>
      <c r="T292" s="5">
        <v>1</v>
      </c>
      <c r="U292" s="5">
        <v>1</v>
      </c>
      <c r="V292" s="5">
        <v>0</v>
      </c>
      <c r="W292" s="5">
        <v>0</v>
      </c>
      <c r="Y292">
        <v>2</v>
      </c>
    </row>
    <row r="293" spans="4:25" x14ac:dyDescent="0.25">
      <c r="D293" t="str">
        <f ca="1"/>
        <v>12-Oct</v>
      </c>
      <c r="E293" s="5">
        <v>0</v>
      </c>
      <c r="F293" s="5">
        <v>0</v>
      </c>
      <c r="G293" s="5">
        <v>0</v>
      </c>
      <c r="H293" s="5">
        <v>0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 s="5">
        <v>0</v>
      </c>
      <c r="O293" s="5">
        <v>0</v>
      </c>
      <c r="P293" s="5">
        <v>0</v>
      </c>
      <c r="Q293" s="5">
        <v>0</v>
      </c>
      <c r="R293" s="5">
        <v>0</v>
      </c>
      <c r="S293" s="5">
        <v>0</v>
      </c>
      <c r="T293" s="5">
        <v>1</v>
      </c>
      <c r="U293" s="5">
        <v>1</v>
      </c>
      <c r="V293" s="5">
        <v>0</v>
      </c>
      <c r="W293" s="5">
        <v>0</v>
      </c>
      <c r="Y293">
        <v>2</v>
      </c>
    </row>
    <row r="294" spans="4:25" x14ac:dyDescent="0.25">
      <c r="D294" t="str">
        <f ca="1"/>
        <v>13-Oct</v>
      </c>
      <c r="E294" s="5">
        <v>0</v>
      </c>
      <c r="F294" s="5">
        <v>0</v>
      </c>
      <c r="G294" s="5">
        <v>0</v>
      </c>
      <c r="H294" s="5">
        <v>0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 s="5">
        <v>0</v>
      </c>
      <c r="O294" s="5">
        <v>0</v>
      </c>
      <c r="P294" s="5">
        <v>0</v>
      </c>
      <c r="Q294" s="5">
        <v>0</v>
      </c>
      <c r="R294" s="5">
        <v>0</v>
      </c>
      <c r="S294" s="5">
        <v>0</v>
      </c>
      <c r="T294" s="5">
        <v>1</v>
      </c>
      <c r="U294" s="5">
        <v>1</v>
      </c>
      <c r="V294" s="5">
        <v>0</v>
      </c>
      <c r="W294" s="5">
        <v>0</v>
      </c>
      <c r="Y294">
        <v>2</v>
      </c>
    </row>
    <row r="295" spans="4:25" x14ac:dyDescent="0.25">
      <c r="D295" t="str">
        <f ca="1"/>
        <v>14-Oct</v>
      </c>
      <c r="E295" s="5">
        <v>0</v>
      </c>
      <c r="F295" s="5">
        <v>0</v>
      </c>
      <c r="G295" s="5">
        <v>0</v>
      </c>
      <c r="H295" s="5">
        <v>0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 s="5">
        <v>0</v>
      </c>
      <c r="O295" s="5">
        <v>0</v>
      </c>
      <c r="P295" s="5">
        <v>0</v>
      </c>
      <c r="Q295" s="5">
        <v>0</v>
      </c>
      <c r="R295" s="5">
        <v>0</v>
      </c>
      <c r="S295" s="5">
        <v>0</v>
      </c>
      <c r="T295" s="5">
        <v>1</v>
      </c>
      <c r="U295" s="5">
        <v>1</v>
      </c>
      <c r="V295" s="5">
        <v>0</v>
      </c>
      <c r="W295" s="5">
        <v>0</v>
      </c>
      <c r="Y295">
        <v>2</v>
      </c>
    </row>
    <row r="296" spans="4:25" x14ac:dyDescent="0.25">
      <c r="D296" t="str">
        <f ca="1"/>
        <v>15-Oct</v>
      </c>
      <c r="E296" s="5">
        <v>0</v>
      </c>
      <c r="F296" s="5">
        <v>0</v>
      </c>
      <c r="G296" s="5">
        <v>0</v>
      </c>
      <c r="H296" s="5">
        <v>0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 s="5">
        <v>0</v>
      </c>
      <c r="O296" s="5">
        <v>0</v>
      </c>
      <c r="P296" s="5">
        <v>0</v>
      </c>
      <c r="Q296" s="5">
        <v>0</v>
      </c>
      <c r="R296" s="5">
        <v>0</v>
      </c>
      <c r="S296" s="5">
        <v>0</v>
      </c>
      <c r="T296" s="5">
        <v>1</v>
      </c>
      <c r="U296" s="5">
        <v>1</v>
      </c>
      <c r="V296" s="5">
        <v>0</v>
      </c>
      <c r="W296" s="5">
        <v>0</v>
      </c>
      <c r="Y296">
        <v>2</v>
      </c>
    </row>
    <row r="297" spans="4:25" x14ac:dyDescent="0.25">
      <c r="D297" t="str">
        <f ca="1"/>
        <v>16-Oct</v>
      </c>
      <c r="E297" s="5">
        <v>0</v>
      </c>
      <c r="F297" s="5">
        <v>0</v>
      </c>
      <c r="G297" s="5">
        <v>0</v>
      </c>
      <c r="H297" s="5">
        <v>0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 s="5">
        <v>0</v>
      </c>
      <c r="O297" s="5">
        <v>0</v>
      </c>
      <c r="P297" s="5">
        <v>0</v>
      </c>
      <c r="Q297" s="5">
        <v>0</v>
      </c>
      <c r="R297" s="5">
        <v>0</v>
      </c>
      <c r="S297" s="5">
        <v>0</v>
      </c>
      <c r="T297" s="5">
        <v>1</v>
      </c>
      <c r="U297" s="5">
        <v>1</v>
      </c>
      <c r="V297" s="5">
        <v>0</v>
      </c>
      <c r="W297" s="5">
        <v>0</v>
      </c>
      <c r="Y297">
        <v>2</v>
      </c>
    </row>
    <row r="298" spans="4:25" x14ac:dyDescent="0.25">
      <c r="D298" t="str">
        <f ca="1"/>
        <v>17-Oct</v>
      </c>
      <c r="E298" s="5">
        <v>0</v>
      </c>
      <c r="F298" s="5">
        <v>0</v>
      </c>
      <c r="G298" s="5">
        <v>0</v>
      </c>
      <c r="H298" s="5">
        <v>0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 s="5">
        <v>0</v>
      </c>
      <c r="O298" s="5">
        <v>0</v>
      </c>
      <c r="P298" s="5">
        <v>0</v>
      </c>
      <c r="Q298" s="5">
        <v>0</v>
      </c>
      <c r="R298" s="5">
        <v>0</v>
      </c>
      <c r="S298" s="5">
        <v>0</v>
      </c>
      <c r="T298" s="5">
        <v>1</v>
      </c>
      <c r="U298" s="5">
        <v>1</v>
      </c>
      <c r="V298" s="5">
        <v>0</v>
      </c>
      <c r="W298" s="5">
        <v>0</v>
      </c>
      <c r="Y298">
        <v>2</v>
      </c>
    </row>
    <row r="299" spans="4:25" x14ac:dyDescent="0.25">
      <c r="D299" t="str">
        <f ca="1"/>
        <v>18-Oct</v>
      </c>
      <c r="E299" s="5">
        <v>0</v>
      </c>
      <c r="F299" s="5">
        <v>0</v>
      </c>
      <c r="G299" s="5">
        <v>0</v>
      </c>
      <c r="H299" s="5">
        <v>0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 s="5">
        <v>0</v>
      </c>
      <c r="O299" s="5">
        <v>0</v>
      </c>
      <c r="P299" s="5">
        <v>0</v>
      </c>
      <c r="Q299" s="5">
        <v>0</v>
      </c>
      <c r="R299" s="5">
        <v>0</v>
      </c>
      <c r="S299" s="5">
        <v>0</v>
      </c>
      <c r="T299" s="5">
        <v>1</v>
      </c>
      <c r="U299" s="5">
        <v>1</v>
      </c>
      <c r="V299" s="5">
        <v>0</v>
      </c>
      <c r="W299" s="5">
        <v>0</v>
      </c>
      <c r="Y299">
        <v>2</v>
      </c>
    </row>
    <row r="300" spans="4:25" x14ac:dyDescent="0.25">
      <c r="D300" t="str">
        <f ca="1"/>
        <v>19-Oct</v>
      </c>
      <c r="E300" s="5">
        <v>0</v>
      </c>
      <c r="F300" s="5">
        <v>0</v>
      </c>
      <c r="G300" s="5">
        <v>0</v>
      </c>
      <c r="H300" s="5">
        <v>0</v>
      </c>
      <c r="I300" s="5">
        <v>0</v>
      </c>
      <c r="J300" s="5">
        <v>0</v>
      </c>
      <c r="K300" s="5">
        <v>0</v>
      </c>
      <c r="L300" s="5">
        <v>0</v>
      </c>
      <c r="M300" s="5">
        <v>0</v>
      </c>
      <c r="N300" s="5">
        <v>0</v>
      </c>
      <c r="O300" s="5">
        <v>0</v>
      </c>
      <c r="P300" s="5">
        <v>0</v>
      </c>
      <c r="Q300" s="5">
        <v>0</v>
      </c>
      <c r="R300" s="5">
        <v>0</v>
      </c>
      <c r="S300" s="5">
        <v>0</v>
      </c>
      <c r="T300" s="5">
        <v>1</v>
      </c>
      <c r="U300" s="5">
        <v>1</v>
      </c>
      <c r="V300" s="5">
        <v>0</v>
      </c>
      <c r="W300" s="5">
        <v>0</v>
      </c>
      <c r="Y300">
        <v>2</v>
      </c>
    </row>
    <row r="301" spans="4:25" x14ac:dyDescent="0.25">
      <c r="D301" t="str">
        <f ca="1"/>
        <v>20-Oct</v>
      </c>
      <c r="E301" s="5">
        <v>0</v>
      </c>
      <c r="F301" s="5">
        <v>0</v>
      </c>
      <c r="G301" s="5">
        <v>0</v>
      </c>
      <c r="H301" s="5">
        <v>0</v>
      </c>
      <c r="I301" s="5">
        <v>0</v>
      </c>
      <c r="J301" s="5">
        <v>0</v>
      </c>
      <c r="K301" s="5">
        <v>0</v>
      </c>
      <c r="L301" s="5">
        <v>0</v>
      </c>
      <c r="M301" s="5">
        <v>0</v>
      </c>
      <c r="N301" s="5">
        <v>0</v>
      </c>
      <c r="O301" s="5">
        <v>0</v>
      </c>
      <c r="P301" s="5">
        <v>0</v>
      </c>
      <c r="Q301" s="5">
        <v>0</v>
      </c>
      <c r="R301" s="5">
        <v>0</v>
      </c>
      <c r="S301" s="5">
        <v>0</v>
      </c>
      <c r="T301" s="5">
        <v>1</v>
      </c>
      <c r="U301" s="5">
        <v>1</v>
      </c>
      <c r="V301" s="5">
        <v>0</v>
      </c>
      <c r="W301" s="5">
        <v>0</v>
      </c>
      <c r="Y301">
        <v>2</v>
      </c>
    </row>
    <row r="302" spans="4:25" x14ac:dyDescent="0.25">
      <c r="D302" t="str">
        <f ca="1"/>
        <v>21-Oct</v>
      </c>
      <c r="E302" s="5">
        <v>0</v>
      </c>
      <c r="F302" s="5">
        <v>0</v>
      </c>
      <c r="G302" s="5">
        <v>0</v>
      </c>
      <c r="H302" s="5">
        <v>0</v>
      </c>
      <c r="I302" s="5">
        <v>0</v>
      </c>
      <c r="J302" s="5">
        <v>0</v>
      </c>
      <c r="K302" s="5">
        <v>0</v>
      </c>
      <c r="L302" s="5">
        <v>0</v>
      </c>
      <c r="M302" s="5">
        <v>0</v>
      </c>
      <c r="N302" s="5">
        <v>0</v>
      </c>
      <c r="O302" s="5">
        <v>0</v>
      </c>
      <c r="P302" s="5">
        <v>0</v>
      </c>
      <c r="Q302" s="5">
        <v>0</v>
      </c>
      <c r="R302" s="5">
        <v>0</v>
      </c>
      <c r="S302" s="5">
        <v>0</v>
      </c>
      <c r="T302" s="5">
        <v>1</v>
      </c>
      <c r="U302" s="5">
        <v>1</v>
      </c>
      <c r="V302" s="5">
        <v>0</v>
      </c>
      <c r="W302" s="5">
        <v>0</v>
      </c>
      <c r="Y302">
        <v>2</v>
      </c>
    </row>
    <row r="303" spans="4:25" x14ac:dyDescent="0.25">
      <c r="D303" t="str">
        <f ca="1"/>
        <v>22-Oct</v>
      </c>
      <c r="E303" s="5">
        <v>0</v>
      </c>
      <c r="F303" s="5">
        <v>0</v>
      </c>
      <c r="G303" s="5">
        <v>0</v>
      </c>
      <c r="H303" s="5">
        <v>0</v>
      </c>
      <c r="I303" s="5">
        <v>0</v>
      </c>
      <c r="J303" s="5">
        <v>0</v>
      </c>
      <c r="K303" s="5">
        <v>0</v>
      </c>
      <c r="L303" s="5">
        <v>0</v>
      </c>
      <c r="M303" s="5">
        <v>0</v>
      </c>
      <c r="N303" s="5">
        <v>0</v>
      </c>
      <c r="O303" s="5">
        <v>0</v>
      </c>
      <c r="P303" s="5">
        <v>0</v>
      </c>
      <c r="Q303" s="5">
        <v>0</v>
      </c>
      <c r="R303" s="5">
        <v>0</v>
      </c>
      <c r="S303" s="5">
        <v>0</v>
      </c>
      <c r="T303" s="5">
        <v>1</v>
      </c>
      <c r="U303" s="5">
        <v>1</v>
      </c>
      <c r="V303" s="5">
        <v>0</v>
      </c>
      <c r="W303" s="5">
        <v>0</v>
      </c>
      <c r="Y303">
        <v>2</v>
      </c>
    </row>
    <row r="304" spans="4:25" x14ac:dyDescent="0.25">
      <c r="D304" t="str">
        <f ca="1"/>
        <v>23-Oct</v>
      </c>
      <c r="E304" s="5">
        <v>0</v>
      </c>
      <c r="F304" s="5">
        <v>0</v>
      </c>
      <c r="G304" s="5">
        <v>0</v>
      </c>
      <c r="H304" s="5">
        <v>0</v>
      </c>
      <c r="I304" s="5">
        <v>0</v>
      </c>
      <c r="J304" s="5">
        <v>0</v>
      </c>
      <c r="K304" s="5">
        <v>0</v>
      </c>
      <c r="L304" s="5">
        <v>0</v>
      </c>
      <c r="M304" s="5">
        <v>0</v>
      </c>
      <c r="N304" s="5">
        <v>0</v>
      </c>
      <c r="O304" s="5">
        <v>0</v>
      </c>
      <c r="P304" s="5">
        <v>0</v>
      </c>
      <c r="Q304" s="5">
        <v>0</v>
      </c>
      <c r="R304" s="5">
        <v>0</v>
      </c>
      <c r="S304" s="5">
        <v>0</v>
      </c>
      <c r="T304" s="5">
        <v>1</v>
      </c>
      <c r="U304" s="5">
        <v>1</v>
      </c>
      <c r="V304" s="5">
        <v>0</v>
      </c>
      <c r="W304" s="5">
        <v>0</v>
      </c>
      <c r="Y304">
        <v>2</v>
      </c>
    </row>
    <row r="305" spans="4:25" x14ac:dyDescent="0.25">
      <c r="D305" t="str">
        <f ca="1"/>
        <v>24-Oct</v>
      </c>
      <c r="E305" s="5">
        <v>0</v>
      </c>
      <c r="F305" s="5">
        <v>0</v>
      </c>
      <c r="G305" s="5">
        <v>0</v>
      </c>
      <c r="H305" s="5">
        <v>0</v>
      </c>
      <c r="I305" s="5">
        <v>0</v>
      </c>
      <c r="J305" s="5">
        <v>0</v>
      </c>
      <c r="K305" s="5">
        <v>0</v>
      </c>
      <c r="L305" s="5">
        <v>0</v>
      </c>
      <c r="M305" s="5">
        <v>0</v>
      </c>
      <c r="N305" s="5">
        <v>0</v>
      </c>
      <c r="O305" s="5">
        <v>0</v>
      </c>
      <c r="P305" s="5">
        <v>0</v>
      </c>
      <c r="Q305" s="5">
        <v>0</v>
      </c>
      <c r="R305" s="5">
        <v>0</v>
      </c>
      <c r="S305" s="5">
        <v>0</v>
      </c>
      <c r="T305" s="5">
        <v>1</v>
      </c>
      <c r="U305" s="5">
        <v>1</v>
      </c>
      <c r="V305" s="5">
        <v>0</v>
      </c>
      <c r="W305" s="5">
        <v>0</v>
      </c>
      <c r="Y305">
        <v>2</v>
      </c>
    </row>
    <row r="306" spans="4:25" x14ac:dyDescent="0.25">
      <c r="D306" t="str">
        <f ca="1"/>
        <v>25-Oct</v>
      </c>
      <c r="E306" s="5">
        <v>0</v>
      </c>
      <c r="F306" s="5">
        <v>0</v>
      </c>
      <c r="G306" s="5">
        <v>0</v>
      </c>
      <c r="H306" s="5">
        <v>0</v>
      </c>
      <c r="I306" s="5">
        <v>0</v>
      </c>
      <c r="J306" s="5">
        <v>0</v>
      </c>
      <c r="K306" s="5">
        <v>0</v>
      </c>
      <c r="L306" s="5">
        <v>0</v>
      </c>
      <c r="M306" s="5">
        <v>0</v>
      </c>
      <c r="N306" s="5">
        <v>0</v>
      </c>
      <c r="O306" s="5">
        <v>0</v>
      </c>
      <c r="P306" s="5">
        <v>0</v>
      </c>
      <c r="Q306" s="5">
        <v>0</v>
      </c>
      <c r="R306" s="5">
        <v>0</v>
      </c>
      <c r="S306" s="5">
        <v>0</v>
      </c>
      <c r="T306" s="5">
        <v>1</v>
      </c>
      <c r="U306" s="5">
        <v>1</v>
      </c>
      <c r="V306" s="5">
        <v>0</v>
      </c>
      <c r="W306" s="5">
        <v>0</v>
      </c>
      <c r="Y306">
        <v>2</v>
      </c>
    </row>
    <row r="307" spans="4:25" x14ac:dyDescent="0.25">
      <c r="D307" t="str">
        <f ca="1"/>
        <v>26-Oct</v>
      </c>
      <c r="E307" s="5">
        <v>0</v>
      </c>
      <c r="F307" s="5">
        <v>0</v>
      </c>
      <c r="G307" s="5">
        <v>0</v>
      </c>
      <c r="H307" s="5">
        <v>0</v>
      </c>
      <c r="I307" s="5">
        <v>0</v>
      </c>
      <c r="J307" s="5">
        <v>0</v>
      </c>
      <c r="K307" s="5">
        <v>0</v>
      </c>
      <c r="L307" s="5">
        <v>0</v>
      </c>
      <c r="M307" s="5">
        <v>0</v>
      </c>
      <c r="N307" s="5">
        <v>0</v>
      </c>
      <c r="O307" s="5">
        <v>0</v>
      </c>
      <c r="P307" s="5">
        <v>0</v>
      </c>
      <c r="Q307" s="5">
        <v>0</v>
      </c>
      <c r="R307" s="5">
        <v>0</v>
      </c>
      <c r="S307" s="5">
        <v>0</v>
      </c>
      <c r="T307" s="5">
        <v>1</v>
      </c>
      <c r="U307" s="5">
        <v>1</v>
      </c>
      <c r="V307" s="5">
        <v>0</v>
      </c>
      <c r="W307" s="5">
        <v>0</v>
      </c>
      <c r="Y307">
        <v>2</v>
      </c>
    </row>
    <row r="308" spans="4:25" x14ac:dyDescent="0.25">
      <c r="D308" t="str">
        <f ca="1"/>
        <v>27-Oct</v>
      </c>
      <c r="E308" s="5">
        <v>0</v>
      </c>
      <c r="F308" s="5">
        <v>0</v>
      </c>
      <c r="G308" s="5">
        <v>0</v>
      </c>
      <c r="H308" s="5">
        <v>0</v>
      </c>
      <c r="I308" s="5">
        <v>0</v>
      </c>
      <c r="J308" s="5">
        <v>0</v>
      </c>
      <c r="K308" s="5">
        <v>0</v>
      </c>
      <c r="L308" s="5">
        <v>0</v>
      </c>
      <c r="M308" s="5">
        <v>0</v>
      </c>
      <c r="N308" s="5">
        <v>0</v>
      </c>
      <c r="O308" s="5">
        <v>0</v>
      </c>
      <c r="P308" s="5">
        <v>0</v>
      </c>
      <c r="Q308" s="5">
        <v>0</v>
      </c>
      <c r="R308" s="5">
        <v>0</v>
      </c>
      <c r="S308" s="5">
        <v>0</v>
      </c>
      <c r="T308" s="5">
        <v>1</v>
      </c>
      <c r="U308" s="5">
        <v>1</v>
      </c>
      <c r="V308" s="5">
        <v>0</v>
      </c>
      <c r="W308" s="5">
        <v>0</v>
      </c>
      <c r="Y308">
        <v>2</v>
      </c>
    </row>
    <row r="309" spans="4:25" x14ac:dyDescent="0.25">
      <c r="D309" t="str">
        <f ca="1"/>
        <v>28-Oct</v>
      </c>
      <c r="E309" s="5">
        <v>0</v>
      </c>
      <c r="F309" s="5">
        <v>0</v>
      </c>
      <c r="G309" s="5">
        <v>0</v>
      </c>
      <c r="H309" s="5">
        <v>0</v>
      </c>
      <c r="I309" s="5">
        <v>0</v>
      </c>
      <c r="J309" s="5">
        <v>0</v>
      </c>
      <c r="K309" s="5">
        <v>0</v>
      </c>
      <c r="L309" s="5">
        <v>0</v>
      </c>
      <c r="M309" s="5">
        <v>0</v>
      </c>
      <c r="N309" s="5">
        <v>0</v>
      </c>
      <c r="O309" s="5">
        <v>0</v>
      </c>
      <c r="P309" s="5">
        <v>0</v>
      </c>
      <c r="Q309" s="5">
        <v>0</v>
      </c>
      <c r="R309" s="5">
        <v>0</v>
      </c>
      <c r="S309" s="5">
        <v>0</v>
      </c>
      <c r="T309" s="5">
        <v>1</v>
      </c>
      <c r="U309" s="5">
        <v>1</v>
      </c>
      <c r="V309" s="5">
        <v>0</v>
      </c>
      <c r="W309" s="5">
        <v>0</v>
      </c>
      <c r="Y309">
        <v>2</v>
      </c>
    </row>
    <row r="310" spans="4:25" x14ac:dyDescent="0.25">
      <c r="D310" t="str">
        <f ca="1"/>
        <v>29-Oct</v>
      </c>
      <c r="E310" s="5">
        <v>0</v>
      </c>
      <c r="F310" s="5">
        <v>0</v>
      </c>
      <c r="G310" s="5">
        <v>0</v>
      </c>
      <c r="H310" s="5">
        <v>0</v>
      </c>
      <c r="I310" s="5">
        <v>0</v>
      </c>
      <c r="J310" s="5">
        <v>0</v>
      </c>
      <c r="K310" s="5">
        <v>0</v>
      </c>
      <c r="L310" s="5">
        <v>0</v>
      </c>
      <c r="M310" s="5">
        <v>0</v>
      </c>
      <c r="N310" s="5">
        <v>0</v>
      </c>
      <c r="O310" s="5">
        <v>0</v>
      </c>
      <c r="P310" s="5">
        <v>0</v>
      </c>
      <c r="Q310" s="5">
        <v>0</v>
      </c>
      <c r="R310" s="5">
        <v>0</v>
      </c>
      <c r="S310" s="5">
        <v>0</v>
      </c>
      <c r="T310" s="5">
        <v>1</v>
      </c>
      <c r="U310" s="5">
        <v>1</v>
      </c>
      <c r="V310" s="5">
        <v>0</v>
      </c>
      <c r="W310" s="5">
        <v>0</v>
      </c>
      <c r="Y310">
        <v>2</v>
      </c>
    </row>
    <row r="311" spans="4:25" x14ac:dyDescent="0.25">
      <c r="D311" t="str">
        <f ca="1"/>
        <v>30-Oct</v>
      </c>
      <c r="E311" s="5">
        <v>0</v>
      </c>
      <c r="F311" s="5">
        <v>0</v>
      </c>
      <c r="G311" s="5">
        <v>0</v>
      </c>
      <c r="H311" s="5">
        <v>0</v>
      </c>
      <c r="I311" s="5">
        <v>0</v>
      </c>
      <c r="J311" s="5">
        <v>0</v>
      </c>
      <c r="K311" s="5">
        <v>0</v>
      </c>
      <c r="L311" s="5">
        <v>0</v>
      </c>
      <c r="M311" s="5">
        <v>0</v>
      </c>
      <c r="N311" s="5">
        <v>0</v>
      </c>
      <c r="O311" s="5">
        <v>0</v>
      </c>
      <c r="P311" s="5">
        <v>0</v>
      </c>
      <c r="Q311" s="5">
        <v>0</v>
      </c>
      <c r="R311" s="5">
        <v>0</v>
      </c>
      <c r="S311" s="5">
        <v>0</v>
      </c>
      <c r="T311" s="5">
        <v>1</v>
      </c>
      <c r="U311" s="5">
        <v>1</v>
      </c>
      <c r="V311" s="5">
        <v>0</v>
      </c>
      <c r="W311" s="5">
        <v>0</v>
      </c>
      <c r="Y311">
        <v>2</v>
      </c>
    </row>
    <row r="312" spans="4:25" x14ac:dyDescent="0.25">
      <c r="D312" t="str">
        <f ca="1"/>
        <v>31-Oct</v>
      </c>
      <c r="E312" s="5">
        <v>0</v>
      </c>
      <c r="F312" s="5">
        <v>0</v>
      </c>
      <c r="G312" s="5">
        <v>0</v>
      </c>
      <c r="H312" s="5">
        <v>0</v>
      </c>
      <c r="I312" s="5">
        <v>0</v>
      </c>
      <c r="J312" s="5">
        <v>0</v>
      </c>
      <c r="K312" s="5">
        <v>0</v>
      </c>
      <c r="L312" s="5">
        <v>0</v>
      </c>
      <c r="M312" s="5">
        <v>0</v>
      </c>
      <c r="N312" s="5">
        <v>0</v>
      </c>
      <c r="O312" s="5">
        <v>0</v>
      </c>
      <c r="P312" s="5">
        <v>0</v>
      </c>
      <c r="Q312" s="5">
        <v>0</v>
      </c>
      <c r="R312" s="5">
        <v>0</v>
      </c>
      <c r="S312" s="5">
        <v>0</v>
      </c>
      <c r="T312" s="5">
        <v>1</v>
      </c>
      <c r="U312" s="5">
        <v>1</v>
      </c>
      <c r="V312" s="5">
        <v>0</v>
      </c>
      <c r="W312" s="5">
        <v>0</v>
      </c>
      <c r="Y312">
        <v>2</v>
      </c>
    </row>
    <row r="313" spans="4:25" x14ac:dyDescent="0.25">
      <c r="D313" t="str">
        <f ca="1"/>
        <v>01-Nov</v>
      </c>
      <c r="E313" s="5">
        <v>0</v>
      </c>
      <c r="F313" s="5">
        <v>0</v>
      </c>
      <c r="G313" s="5">
        <v>0</v>
      </c>
      <c r="H313" s="5">
        <v>0</v>
      </c>
      <c r="I313" s="5">
        <v>0</v>
      </c>
      <c r="J313" s="5">
        <v>0</v>
      </c>
      <c r="K313" s="5">
        <v>0</v>
      </c>
      <c r="L313" s="5">
        <v>0</v>
      </c>
      <c r="M313" s="5">
        <v>0</v>
      </c>
      <c r="N313" s="5">
        <v>0</v>
      </c>
      <c r="O313" s="5">
        <v>0</v>
      </c>
      <c r="P313" s="5">
        <v>0</v>
      </c>
      <c r="Q313" s="5">
        <v>0</v>
      </c>
      <c r="R313" s="5">
        <v>0</v>
      </c>
      <c r="S313" s="5">
        <v>0</v>
      </c>
      <c r="T313" s="5">
        <v>1</v>
      </c>
      <c r="U313" s="5">
        <v>1</v>
      </c>
      <c r="V313" s="5">
        <v>0</v>
      </c>
      <c r="W313" s="5">
        <v>0</v>
      </c>
      <c r="Y313">
        <v>2</v>
      </c>
    </row>
    <row r="314" spans="4:25" x14ac:dyDescent="0.25">
      <c r="D314" t="str">
        <f ca="1"/>
        <v>02-Nov</v>
      </c>
      <c r="E314" s="5">
        <v>0</v>
      </c>
      <c r="F314" s="5">
        <v>0</v>
      </c>
      <c r="G314" s="5">
        <v>0</v>
      </c>
      <c r="H314" s="5">
        <v>0</v>
      </c>
      <c r="I314" s="5">
        <v>0</v>
      </c>
      <c r="J314" s="5">
        <v>0</v>
      </c>
      <c r="K314" s="5">
        <v>0</v>
      </c>
      <c r="L314" s="5">
        <v>0</v>
      </c>
      <c r="M314" s="5">
        <v>0</v>
      </c>
      <c r="N314" s="5">
        <v>0</v>
      </c>
      <c r="O314" s="5">
        <v>0</v>
      </c>
      <c r="P314" s="5">
        <v>0</v>
      </c>
      <c r="Q314" s="5">
        <v>0</v>
      </c>
      <c r="R314" s="5">
        <v>0</v>
      </c>
      <c r="S314" s="5">
        <v>0</v>
      </c>
      <c r="T314" s="5">
        <v>1</v>
      </c>
      <c r="U314" s="5">
        <v>1</v>
      </c>
      <c r="V314" s="5">
        <v>0</v>
      </c>
      <c r="W314" s="5">
        <v>0</v>
      </c>
      <c r="Y314">
        <v>2</v>
      </c>
    </row>
    <row r="315" spans="4:25" x14ac:dyDescent="0.25">
      <c r="D315" t="str">
        <f ca="1"/>
        <v>03-Nov</v>
      </c>
      <c r="E315" s="5">
        <v>0</v>
      </c>
      <c r="F315" s="5">
        <v>0</v>
      </c>
      <c r="G315" s="5">
        <v>0</v>
      </c>
      <c r="H315" s="5">
        <v>0</v>
      </c>
      <c r="I315" s="5">
        <v>0</v>
      </c>
      <c r="J315" s="5">
        <v>0</v>
      </c>
      <c r="K315" s="5">
        <v>0</v>
      </c>
      <c r="L315" s="5">
        <v>0</v>
      </c>
      <c r="M315" s="5">
        <v>0</v>
      </c>
      <c r="N315" s="5">
        <v>0</v>
      </c>
      <c r="O315" s="5">
        <v>0</v>
      </c>
      <c r="P315" s="5">
        <v>0</v>
      </c>
      <c r="Q315" s="5">
        <v>0</v>
      </c>
      <c r="R315" s="5">
        <v>0</v>
      </c>
      <c r="S315" s="5">
        <v>0</v>
      </c>
      <c r="T315" s="5">
        <v>1</v>
      </c>
      <c r="U315" s="5">
        <v>1</v>
      </c>
      <c r="V315" s="5">
        <v>0</v>
      </c>
      <c r="W315" s="5">
        <v>0</v>
      </c>
      <c r="Y315">
        <v>2</v>
      </c>
    </row>
    <row r="316" spans="4:25" x14ac:dyDescent="0.25">
      <c r="D316" t="str">
        <f ca="1"/>
        <v>04-Nov</v>
      </c>
      <c r="E316" s="5">
        <v>0</v>
      </c>
      <c r="F316" s="5">
        <v>0</v>
      </c>
      <c r="G316" s="5">
        <v>0</v>
      </c>
      <c r="H316" s="5">
        <v>0</v>
      </c>
      <c r="I316" s="5">
        <v>0</v>
      </c>
      <c r="J316" s="5">
        <v>0</v>
      </c>
      <c r="K316" s="5">
        <v>0</v>
      </c>
      <c r="L316" s="5">
        <v>0</v>
      </c>
      <c r="M316" s="5">
        <v>0</v>
      </c>
      <c r="N316" s="5">
        <v>0</v>
      </c>
      <c r="O316" s="5">
        <v>0</v>
      </c>
      <c r="P316" s="5">
        <v>0</v>
      </c>
      <c r="Q316" s="5">
        <v>0</v>
      </c>
      <c r="R316" s="5">
        <v>0</v>
      </c>
      <c r="S316" s="5">
        <v>0</v>
      </c>
      <c r="T316" s="5">
        <v>1</v>
      </c>
      <c r="U316" s="5">
        <v>1</v>
      </c>
      <c r="V316" s="5">
        <v>0</v>
      </c>
      <c r="W316" s="5">
        <v>0</v>
      </c>
      <c r="Y316">
        <v>2</v>
      </c>
    </row>
    <row r="317" spans="4:25" x14ac:dyDescent="0.25">
      <c r="D317" t="str">
        <f ca="1"/>
        <v>05-Nov</v>
      </c>
      <c r="E317" s="5">
        <v>0</v>
      </c>
      <c r="F317" s="5">
        <v>0</v>
      </c>
      <c r="G317" s="5">
        <v>0</v>
      </c>
      <c r="H317" s="5">
        <v>0</v>
      </c>
      <c r="I317" s="5">
        <v>0</v>
      </c>
      <c r="J317" s="5">
        <v>0</v>
      </c>
      <c r="K317" s="5">
        <v>0</v>
      </c>
      <c r="L317" s="5">
        <v>0</v>
      </c>
      <c r="M317" s="5">
        <v>0</v>
      </c>
      <c r="N317" s="5">
        <v>0</v>
      </c>
      <c r="O317" s="5">
        <v>0</v>
      </c>
      <c r="P317" s="5">
        <v>0</v>
      </c>
      <c r="Q317" s="5">
        <v>0</v>
      </c>
      <c r="R317" s="5">
        <v>0</v>
      </c>
      <c r="S317" s="5">
        <v>0</v>
      </c>
      <c r="T317" s="5">
        <v>1</v>
      </c>
      <c r="U317" s="5">
        <v>1</v>
      </c>
      <c r="V317" s="5">
        <v>0</v>
      </c>
      <c r="W317" s="5">
        <v>0</v>
      </c>
      <c r="Y317">
        <v>2</v>
      </c>
    </row>
    <row r="318" spans="4:25" x14ac:dyDescent="0.25">
      <c r="D318" t="str">
        <f ca="1"/>
        <v>06-Nov</v>
      </c>
      <c r="E318" s="5">
        <v>0</v>
      </c>
      <c r="F318" s="5">
        <v>0</v>
      </c>
      <c r="G318" s="5">
        <v>0</v>
      </c>
      <c r="H318" s="5">
        <v>0</v>
      </c>
      <c r="I318" s="5">
        <v>0</v>
      </c>
      <c r="J318" s="5">
        <v>0</v>
      </c>
      <c r="K318" s="5">
        <v>0</v>
      </c>
      <c r="L318" s="5">
        <v>0</v>
      </c>
      <c r="M318" s="5">
        <v>0</v>
      </c>
      <c r="N318" s="5">
        <v>0</v>
      </c>
      <c r="O318" s="5">
        <v>0</v>
      </c>
      <c r="P318" s="5">
        <v>0</v>
      </c>
      <c r="Q318" s="5">
        <v>0</v>
      </c>
      <c r="R318" s="5">
        <v>0</v>
      </c>
      <c r="S318" s="5">
        <v>0</v>
      </c>
      <c r="T318" s="5">
        <v>1</v>
      </c>
      <c r="U318" s="5">
        <v>1</v>
      </c>
      <c r="V318" s="5">
        <v>0</v>
      </c>
      <c r="W318" s="5">
        <v>0</v>
      </c>
      <c r="Y318">
        <v>2</v>
      </c>
    </row>
    <row r="319" spans="4:25" x14ac:dyDescent="0.25">
      <c r="D319" t="str">
        <f ca="1"/>
        <v>07-Nov</v>
      </c>
      <c r="E319" s="5">
        <v>0</v>
      </c>
      <c r="F319" s="5">
        <v>0</v>
      </c>
      <c r="G319" s="5">
        <v>0</v>
      </c>
      <c r="H319" s="5">
        <v>0</v>
      </c>
      <c r="I319" s="5">
        <v>0</v>
      </c>
      <c r="J319" s="5">
        <v>0</v>
      </c>
      <c r="K319" s="5">
        <v>0</v>
      </c>
      <c r="L319" s="5">
        <v>0</v>
      </c>
      <c r="M319" s="5">
        <v>0</v>
      </c>
      <c r="N319" s="5">
        <v>0</v>
      </c>
      <c r="O319" s="5">
        <v>0</v>
      </c>
      <c r="P319" s="5">
        <v>0</v>
      </c>
      <c r="Q319" s="5">
        <v>0</v>
      </c>
      <c r="R319" s="5">
        <v>0</v>
      </c>
      <c r="S319" s="5">
        <v>0</v>
      </c>
      <c r="T319" s="5">
        <v>1</v>
      </c>
      <c r="U319" s="5">
        <v>1</v>
      </c>
      <c r="V319" s="5">
        <v>0</v>
      </c>
      <c r="W319" s="5">
        <v>0</v>
      </c>
      <c r="Y319">
        <v>2</v>
      </c>
    </row>
    <row r="320" spans="4:25" x14ac:dyDescent="0.25">
      <c r="D320" t="str">
        <f ca="1"/>
        <v>08-Nov</v>
      </c>
      <c r="E320" s="5">
        <v>0</v>
      </c>
      <c r="F320" s="5">
        <v>0</v>
      </c>
      <c r="G320" s="5">
        <v>0</v>
      </c>
      <c r="H320" s="5">
        <v>0</v>
      </c>
      <c r="I320" s="5">
        <v>0</v>
      </c>
      <c r="J320" s="5">
        <v>0</v>
      </c>
      <c r="K320" s="5">
        <v>0</v>
      </c>
      <c r="L320" s="5">
        <v>0</v>
      </c>
      <c r="M320" s="5">
        <v>0</v>
      </c>
      <c r="N320" s="5">
        <v>0</v>
      </c>
      <c r="O320" s="5">
        <v>0</v>
      </c>
      <c r="P320" s="5">
        <v>0</v>
      </c>
      <c r="Q320" s="5">
        <v>0</v>
      </c>
      <c r="R320" s="5">
        <v>0</v>
      </c>
      <c r="S320" s="5">
        <v>0</v>
      </c>
      <c r="T320" s="5">
        <v>1</v>
      </c>
      <c r="U320" s="5">
        <v>1</v>
      </c>
      <c r="V320" s="5">
        <v>0</v>
      </c>
      <c r="W320" s="5">
        <v>0</v>
      </c>
      <c r="Y320">
        <v>2</v>
      </c>
    </row>
    <row r="321" spans="4:25" x14ac:dyDescent="0.25">
      <c r="D321" t="str">
        <f ca="1"/>
        <v>09-Nov</v>
      </c>
      <c r="E321" s="5">
        <v>0</v>
      </c>
      <c r="F321" s="5">
        <v>0</v>
      </c>
      <c r="G321" s="5">
        <v>0</v>
      </c>
      <c r="H321" s="5">
        <v>0</v>
      </c>
      <c r="I321" s="5">
        <v>0</v>
      </c>
      <c r="J321" s="5">
        <v>0</v>
      </c>
      <c r="K321" s="5">
        <v>0</v>
      </c>
      <c r="L321" s="5">
        <v>0</v>
      </c>
      <c r="M321" s="5">
        <v>0</v>
      </c>
      <c r="N321" s="5">
        <v>0</v>
      </c>
      <c r="O321" s="5">
        <v>0</v>
      </c>
      <c r="P321" s="5">
        <v>0</v>
      </c>
      <c r="Q321" s="5">
        <v>0</v>
      </c>
      <c r="R321" s="5">
        <v>0</v>
      </c>
      <c r="S321" s="5">
        <v>0</v>
      </c>
      <c r="T321" s="5">
        <v>1</v>
      </c>
      <c r="U321" s="5">
        <v>1</v>
      </c>
      <c r="V321" s="5">
        <v>0</v>
      </c>
      <c r="W321" s="5">
        <v>0</v>
      </c>
      <c r="Y321">
        <v>2</v>
      </c>
    </row>
    <row r="322" spans="4:25" x14ac:dyDescent="0.25">
      <c r="D322" t="str">
        <f ca="1"/>
        <v>10-Nov</v>
      </c>
      <c r="E322" s="5">
        <v>0</v>
      </c>
      <c r="F322" s="5">
        <v>0</v>
      </c>
      <c r="G322" s="5">
        <v>0</v>
      </c>
      <c r="H322" s="5">
        <v>0</v>
      </c>
      <c r="I322" s="5">
        <v>0</v>
      </c>
      <c r="J322" s="5">
        <v>0</v>
      </c>
      <c r="K322" s="5">
        <v>0</v>
      </c>
      <c r="L322" s="5">
        <v>0</v>
      </c>
      <c r="M322" s="5">
        <v>0</v>
      </c>
      <c r="N322" s="5">
        <v>0</v>
      </c>
      <c r="O322" s="5">
        <v>0</v>
      </c>
      <c r="P322" s="5">
        <v>0</v>
      </c>
      <c r="Q322" s="5">
        <v>0</v>
      </c>
      <c r="R322" s="5">
        <v>0</v>
      </c>
      <c r="S322" s="5">
        <v>0</v>
      </c>
      <c r="T322" s="5">
        <v>1</v>
      </c>
      <c r="U322" s="5">
        <v>1</v>
      </c>
      <c r="V322" s="5">
        <v>0</v>
      </c>
      <c r="W322" s="5">
        <v>0</v>
      </c>
      <c r="Y322">
        <v>2</v>
      </c>
    </row>
    <row r="323" spans="4:25" x14ac:dyDescent="0.25">
      <c r="D323" t="str">
        <f ca="1"/>
        <v>11-Nov</v>
      </c>
      <c r="E323" s="5">
        <v>0</v>
      </c>
      <c r="F323" s="5">
        <v>0</v>
      </c>
      <c r="G323" s="5">
        <v>0</v>
      </c>
      <c r="H323" s="5">
        <v>0</v>
      </c>
      <c r="I323" s="5">
        <v>0</v>
      </c>
      <c r="J323" s="5">
        <v>0</v>
      </c>
      <c r="K323" s="5">
        <v>0</v>
      </c>
      <c r="L323" s="5">
        <v>0</v>
      </c>
      <c r="M323" s="5">
        <v>0</v>
      </c>
      <c r="N323" s="5">
        <v>0</v>
      </c>
      <c r="O323" s="5">
        <v>0</v>
      </c>
      <c r="P323" s="5">
        <v>0</v>
      </c>
      <c r="Q323" s="5">
        <v>0</v>
      </c>
      <c r="R323" s="5">
        <v>0</v>
      </c>
      <c r="S323" s="5">
        <v>0</v>
      </c>
      <c r="T323" s="5">
        <v>1</v>
      </c>
      <c r="U323" s="5">
        <v>1</v>
      </c>
      <c r="V323" s="5">
        <v>0</v>
      </c>
      <c r="W323" s="5">
        <v>0</v>
      </c>
      <c r="Y323">
        <v>2</v>
      </c>
    </row>
    <row r="324" spans="4:25" x14ac:dyDescent="0.25">
      <c r="D324" t="str">
        <f ca="1"/>
        <v>12-Nov</v>
      </c>
      <c r="E324" s="5">
        <v>0</v>
      </c>
      <c r="F324" s="5">
        <v>0</v>
      </c>
      <c r="G324" s="5">
        <v>0</v>
      </c>
      <c r="H324" s="5">
        <v>0</v>
      </c>
      <c r="I324" s="5">
        <v>0</v>
      </c>
      <c r="J324" s="5">
        <v>0</v>
      </c>
      <c r="K324" s="5">
        <v>0</v>
      </c>
      <c r="L324" s="5">
        <v>0</v>
      </c>
      <c r="M324" s="5">
        <v>0</v>
      </c>
      <c r="N324" s="5">
        <v>0</v>
      </c>
      <c r="O324" s="5">
        <v>0</v>
      </c>
      <c r="P324" s="5">
        <v>0</v>
      </c>
      <c r="Q324" s="5">
        <v>0</v>
      </c>
      <c r="R324" s="5">
        <v>0</v>
      </c>
      <c r="S324" s="5">
        <v>0</v>
      </c>
      <c r="T324" s="5">
        <v>1</v>
      </c>
      <c r="U324" s="5">
        <v>1</v>
      </c>
      <c r="V324" s="5">
        <v>0</v>
      </c>
      <c r="W324" s="5">
        <v>0</v>
      </c>
      <c r="Y324">
        <v>2</v>
      </c>
    </row>
    <row r="325" spans="4:25" x14ac:dyDescent="0.25">
      <c r="D325" t="str">
        <f ca="1"/>
        <v>13-Nov</v>
      </c>
      <c r="E325" s="5">
        <v>0</v>
      </c>
      <c r="F325" s="5">
        <v>0</v>
      </c>
      <c r="G325" s="5">
        <v>0</v>
      </c>
      <c r="H325" s="5">
        <v>0</v>
      </c>
      <c r="I325" s="5">
        <v>0</v>
      </c>
      <c r="J325" s="5">
        <v>0</v>
      </c>
      <c r="K325" s="5">
        <v>0</v>
      </c>
      <c r="L325" s="5">
        <v>0</v>
      </c>
      <c r="M325" s="5">
        <v>0</v>
      </c>
      <c r="N325" s="5">
        <v>0</v>
      </c>
      <c r="O325" s="5">
        <v>0</v>
      </c>
      <c r="P325" s="5">
        <v>0</v>
      </c>
      <c r="Q325" s="5">
        <v>0</v>
      </c>
      <c r="R325" s="5">
        <v>0</v>
      </c>
      <c r="S325" s="5">
        <v>0</v>
      </c>
      <c r="T325" s="5">
        <v>1</v>
      </c>
      <c r="U325" s="5">
        <v>1</v>
      </c>
      <c r="V325" s="5">
        <v>0</v>
      </c>
      <c r="W325" s="5">
        <v>0</v>
      </c>
      <c r="Y325">
        <v>2</v>
      </c>
    </row>
    <row r="326" spans="4:25" x14ac:dyDescent="0.25">
      <c r="D326" t="str">
        <f ca="1"/>
        <v>14-Nov</v>
      </c>
      <c r="E326" s="5">
        <v>0</v>
      </c>
      <c r="F326" s="5">
        <v>0</v>
      </c>
      <c r="G326" s="5">
        <v>0</v>
      </c>
      <c r="H326" s="5">
        <v>0</v>
      </c>
      <c r="I326" s="5">
        <v>0</v>
      </c>
      <c r="J326" s="5">
        <v>0</v>
      </c>
      <c r="K326" s="5">
        <v>0</v>
      </c>
      <c r="L326" s="5">
        <v>0</v>
      </c>
      <c r="M326" s="5">
        <v>0</v>
      </c>
      <c r="N326" s="5">
        <v>0</v>
      </c>
      <c r="O326" s="5">
        <v>0</v>
      </c>
      <c r="P326" s="5">
        <v>0</v>
      </c>
      <c r="Q326" s="5">
        <v>0</v>
      </c>
      <c r="R326" s="5">
        <v>0</v>
      </c>
      <c r="S326" s="5">
        <v>0</v>
      </c>
      <c r="T326" s="5">
        <v>1</v>
      </c>
      <c r="U326" s="5">
        <v>1</v>
      </c>
      <c r="V326" s="5">
        <v>0</v>
      </c>
      <c r="W326" s="5">
        <v>0</v>
      </c>
      <c r="Y326">
        <v>2</v>
      </c>
    </row>
    <row r="327" spans="4:25" x14ac:dyDescent="0.25">
      <c r="D327" t="str">
        <f ca="1"/>
        <v>15-Nov</v>
      </c>
      <c r="E327" s="5">
        <v>0</v>
      </c>
      <c r="F327" s="5">
        <v>0</v>
      </c>
      <c r="G327" s="5">
        <v>0</v>
      </c>
      <c r="H327" s="5">
        <v>0</v>
      </c>
      <c r="I327" s="5">
        <v>0</v>
      </c>
      <c r="J327" s="5">
        <v>0</v>
      </c>
      <c r="K327" s="5">
        <v>0</v>
      </c>
      <c r="L327" s="5">
        <v>0</v>
      </c>
      <c r="M327" s="5">
        <v>0</v>
      </c>
      <c r="N327" s="5">
        <v>0</v>
      </c>
      <c r="O327" s="5">
        <v>0</v>
      </c>
      <c r="P327" s="5">
        <v>0</v>
      </c>
      <c r="Q327" s="5">
        <v>0</v>
      </c>
      <c r="R327" s="5">
        <v>0</v>
      </c>
      <c r="S327" s="5">
        <v>0</v>
      </c>
      <c r="T327" s="5">
        <v>1</v>
      </c>
      <c r="U327" s="5">
        <v>1</v>
      </c>
      <c r="V327" s="5">
        <v>0</v>
      </c>
      <c r="W327" s="5">
        <v>0</v>
      </c>
      <c r="Y327">
        <v>2</v>
      </c>
    </row>
    <row r="328" spans="4:25" x14ac:dyDescent="0.25">
      <c r="D328" t="str">
        <f ca="1"/>
        <v>16-Nov</v>
      </c>
      <c r="E328" s="5">
        <v>0</v>
      </c>
      <c r="F328" s="5">
        <v>0</v>
      </c>
      <c r="G328" s="5">
        <v>0</v>
      </c>
      <c r="H328" s="5">
        <v>0</v>
      </c>
      <c r="I328" s="5">
        <v>0</v>
      </c>
      <c r="J328" s="5">
        <v>0</v>
      </c>
      <c r="K328" s="5">
        <v>0</v>
      </c>
      <c r="L328" s="5">
        <v>0</v>
      </c>
      <c r="M328" s="5">
        <v>0</v>
      </c>
      <c r="N328" s="5">
        <v>0</v>
      </c>
      <c r="O328" s="5">
        <v>0</v>
      </c>
      <c r="P328" s="5">
        <v>0</v>
      </c>
      <c r="Q328" s="5">
        <v>0</v>
      </c>
      <c r="R328" s="5">
        <v>0</v>
      </c>
      <c r="S328" s="5">
        <v>0</v>
      </c>
      <c r="T328" s="5">
        <v>1</v>
      </c>
      <c r="U328" s="5">
        <v>1</v>
      </c>
      <c r="V328" s="5">
        <v>0</v>
      </c>
      <c r="W328" s="5">
        <v>0</v>
      </c>
      <c r="Y328">
        <v>2</v>
      </c>
    </row>
    <row r="329" spans="4:25" x14ac:dyDescent="0.25">
      <c r="D329" t="str">
        <f ca="1"/>
        <v>17-Nov</v>
      </c>
      <c r="E329" s="5">
        <v>0</v>
      </c>
      <c r="F329" s="5">
        <v>0</v>
      </c>
      <c r="G329" s="5">
        <v>0</v>
      </c>
      <c r="H329" s="5">
        <v>0</v>
      </c>
      <c r="I329" s="5">
        <v>0</v>
      </c>
      <c r="J329" s="5">
        <v>0</v>
      </c>
      <c r="K329" s="5">
        <v>0</v>
      </c>
      <c r="L329" s="5">
        <v>0</v>
      </c>
      <c r="M329" s="5">
        <v>0</v>
      </c>
      <c r="N329" s="5">
        <v>0</v>
      </c>
      <c r="O329" s="5">
        <v>0</v>
      </c>
      <c r="P329" s="5">
        <v>0</v>
      </c>
      <c r="Q329" s="5">
        <v>0</v>
      </c>
      <c r="R329" s="5">
        <v>0</v>
      </c>
      <c r="S329" s="5">
        <v>0</v>
      </c>
      <c r="T329" s="5">
        <v>1</v>
      </c>
      <c r="U329" s="5">
        <v>1</v>
      </c>
      <c r="V329" s="5">
        <v>0</v>
      </c>
      <c r="W329" s="5">
        <v>0</v>
      </c>
      <c r="Y329">
        <v>2</v>
      </c>
    </row>
    <row r="330" spans="4:25" x14ac:dyDescent="0.25">
      <c r="D330" t="str">
        <f ca="1"/>
        <v>18-Nov</v>
      </c>
      <c r="E330" s="5">
        <v>0</v>
      </c>
      <c r="F330" s="5">
        <v>0</v>
      </c>
      <c r="G330" s="5">
        <v>0</v>
      </c>
      <c r="H330" s="5">
        <v>0</v>
      </c>
      <c r="I330" s="5">
        <v>0</v>
      </c>
      <c r="J330" s="5">
        <v>0</v>
      </c>
      <c r="K330" s="5">
        <v>0</v>
      </c>
      <c r="L330" s="5">
        <v>0</v>
      </c>
      <c r="M330" s="5">
        <v>0</v>
      </c>
      <c r="N330" s="5">
        <v>0</v>
      </c>
      <c r="O330" s="5">
        <v>0</v>
      </c>
      <c r="P330" s="5">
        <v>0</v>
      </c>
      <c r="Q330" s="5">
        <v>0</v>
      </c>
      <c r="R330" s="5">
        <v>0</v>
      </c>
      <c r="S330" s="5">
        <v>0</v>
      </c>
      <c r="T330" s="5">
        <v>1</v>
      </c>
      <c r="U330" s="5">
        <v>1</v>
      </c>
      <c r="V330" s="5">
        <v>0</v>
      </c>
      <c r="W330" s="5">
        <v>0</v>
      </c>
      <c r="Y330">
        <v>2</v>
      </c>
    </row>
    <row r="331" spans="4:25" x14ac:dyDescent="0.25">
      <c r="D331" t="str">
        <f ca="1"/>
        <v>19-Nov</v>
      </c>
      <c r="E331" s="5">
        <v>0</v>
      </c>
      <c r="F331" s="5">
        <v>0</v>
      </c>
      <c r="G331" s="5">
        <v>0</v>
      </c>
      <c r="H331" s="5">
        <v>0</v>
      </c>
      <c r="I331" s="5">
        <v>0</v>
      </c>
      <c r="J331" s="5">
        <v>0</v>
      </c>
      <c r="K331" s="5">
        <v>0</v>
      </c>
      <c r="L331" s="5">
        <v>0</v>
      </c>
      <c r="M331" s="5">
        <v>0</v>
      </c>
      <c r="N331" s="5">
        <v>0</v>
      </c>
      <c r="O331" s="5">
        <v>0</v>
      </c>
      <c r="P331" s="5">
        <v>0</v>
      </c>
      <c r="Q331" s="5">
        <v>0</v>
      </c>
      <c r="R331" s="5">
        <v>0</v>
      </c>
      <c r="S331" s="5">
        <v>0</v>
      </c>
      <c r="T331" s="5">
        <v>1</v>
      </c>
      <c r="U331" s="5">
        <v>1</v>
      </c>
      <c r="V331" s="5">
        <v>0</v>
      </c>
      <c r="W331" s="5">
        <v>0</v>
      </c>
      <c r="Y331">
        <v>2</v>
      </c>
    </row>
    <row r="332" spans="4:25" x14ac:dyDescent="0.25">
      <c r="D332" t="str">
        <f ca="1"/>
        <v>20-Nov</v>
      </c>
      <c r="E332" s="5">
        <v>0</v>
      </c>
      <c r="F332" s="5">
        <v>0</v>
      </c>
      <c r="G332" s="5">
        <v>0</v>
      </c>
      <c r="H332" s="5">
        <v>0</v>
      </c>
      <c r="I332" s="5">
        <v>0</v>
      </c>
      <c r="J332" s="5">
        <v>0</v>
      </c>
      <c r="K332" s="5">
        <v>0</v>
      </c>
      <c r="L332" s="5">
        <v>0</v>
      </c>
      <c r="M332" s="5">
        <v>0</v>
      </c>
      <c r="N332" s="5">
        <v>0</v>
      </c>
      <c r="O332" s="5">
        <v>0</v>
      </c>
      <c r="P332" s="5">
        <v>0</v>
      </c>
      <c r="Q332" s="5">
        <v>0</v>
      </c>
      <c r="R332" s="5">
        <v>0</v>
      </c>
      <c r="S332" s="5">
        <v>0</v>
      </c>
      <c r="T332" s="5">
        <v>1</v>
      </c>
      <c r="U332" s="5">
        <v>1</v>
      </c>
      <c r="V332" s="5">
        <v>0</v>
      </c>
      <c r="W332" s="5">
        <v>0</v>
      </c>
      <c r="Y332">
        <v>2</v>
      </c>
    </row>
    <row r="333" spans="4:25" x14ac:dyDescent="0.25">
      <c r="D333" t="str">
        <f ca="1"/>
        <v>21-Nov</v>
      </c>
      <c r="E333" s="5">
        <v>0</v>
      </c>
      <c r="F333" s="5">
        <v>0</v>
      </c>
      <c r="G333" s="5">
        <v>0</v>
      </c>
      <c r="H333" s="5">
        <v>0</v>
      </c>
      <c r="I333" s="5">
        <v>0</v>
      </c>
      <c r="J333" s="5">
        <v>0</v>
      </c>
      <c r="K333" s="5">
        <v>0</v>
      </c>
      <c r="L333" s="5">
        <v>0</v>
      </c>
      <c r="M333" s="5">
        <v>0</v>
      </c>
      <c r="N333" s="5">
        <v>0</v>
      </c>
      <c r="O333" s="5">
        <v>0</v>
      </c>
      <c r="P333" s="5">
        <v>0</v>
      </c>
      <c r="Q333" s="5">
        <v>0</v>
      </c>
      <c r="R333" s="5">
        <v>0</v>
      </c>
      <c r="S333" s="5">
        <v>0</v>
      </c>
      <c r="T333" s="5">
        <v>1</v>
      </c>
      <c r="U333" s="5">
        <v>1</v>
      </c>
      <c r="V333" s="5">
        <v>0</v>
      </c>
      <c r="W333" s="5">
        <v>0</v>
      </c>
      <c r="Y333">
        <v>2</v>
      </c>
    </row>
    <row r="334" spans="4:25" x14ac:dyDescent="0.25">
      <c r="D334" t="str">
        <f ca="1"/>
        <v>22-Nov</v>
      </c>
      <c r="E334" s="5">
        <v>0</v>
      </c>
      <c r="F334" s="5">
        <v>0</v>
      </c>
      <c r="G334" s="5">
        <v>0</v>
      </c>
      <c r="H334" s="5">
        <v>0</v>
      </c>
      <c r="I334" s="5">
        <v>0</v>
      </c>
      <c r="J334" s="5">
        <v>0</v>
      </c>
      <c r="K334" s="5">
        <v>0</v>
      </c>
      <c r="L334" s="5">
        <v>0</v>
      </c>
      <c r="M334" s="5">
        <v>0</v>
      </c>
      <c r="N334" s="5">
        <v>0</v>
      </c>
      <c r="O334" s="5">
        <v>0</v>
      </c>
      <c r="P334" s="5">
        <v>0</v>
      </c>
      <c r="Q334" s="5">
        <v>0</v>
      </c>
      <c r="R334" s="5">
        <v>0</v>
      </c>
      <c r="S334" s="5">
        <v>0</v>
      </c>
      <c r="T334" s="5">
        <v>1</v>
      </c>
      <c r="U334" s="5">
        <v>1</v>
      </c>
      <c r="V334" s="5">
        <v>1</v>
      </c>
      <c r="W334" s="5">
        <v>0</v>
      </c>
      <c r="Y334">
        <v>3</v>
      </c>
    </row>
    <row r="335" spans="4:25" x14ac:dyDescent="0.25">
      <c r="D335" t="str">
        <f ca="1"/>
        <v>23-Nov</v>
      </c>
      <c r="E335" s="5">
        <v>0</v>
      </c>
      <c r="F335" s="5">
        <v>0</v>
      </c>
      <c r="G335" s="5">
        <v>0</v>
      </c>
      <c r="H335" s="5">
        <v>0</v>
      </c>
      <c r="I335" s="5">
        <v>0</v>
      </c>
      <c r="J335" s="5">
        <v>0</v>
      </c>
      <c r="K335" s="5">
        <v>0</v>
      </c>
      <c r="L335" s="5">
        <v>0</v>
      </c>
      <c r="M335" s="5">
        <v>0</v>
      </c>
      <c r="N335" s="5">
        <v>0</v>
      </c>
      <c r="O335" s="5">
        <v>0</v>
      </c>
      <c r="P335" s="5">
        <v>0</v>
      </c>
      <c r="Q335" s="5">
        <v>0</v>
      </c>
      <c r="R335" s="5">
        <v>0</v>
      </c>
      <c r="S335" s="5">
        <v>0</v>
      </c>
      <c r="T335" s="5">
        <v>1</v>
      </c>
      <c r="U335" s="5">
        <v>1</v>
      </c>
      <c r="V335" s="5">
        <v>1</v>
      </c>
      <c r="W335" s="5">
        <v>0</v>
      </c>
      <c r="Y335">
        <v>3</v>
      </c>
    </row>
    <row r="336" spans="4:25" x14ac:dyDescent="0.25">
      <c r="D336" t="str">
        <f ca="1"/>
        <v>24-Nov</v>
      </c>
      <c r="E336" s="5">
        <v>0</v>
      </c>
      <c r="F336" s="5">
        <v>0</v>
      </c>
      <c r="G336" s="5">
        <v>0</v>
      </c>
      <c r="H336" s="5">
        <v>0</v>
      </c>
      <c r="I336" s="5">
        <v>0</v>
      </c>
      <c r="J336" s="5">
        <v>0</v>
      </c>
      <c r="K336" s="5">
        <v>0</v>
      </c>
      <c r="L336" s="5">
        <v>0</v>
      </c>
      <c r="M336" s="5">
        <v>0</v>
      </c>
      <c r="N336" s="5">
        <v>0</v>
      </c>
      <c r="O336" s="5">
        <v>0</v>
      </c>
      <c r="P336" s="5">
        <v>0</v>
      </c>
      <c r="Q336" s="5">
        <v>0</v>
      </c>
      <c r="R336" s="5">
        <v>0</v>
      </c>
      <c r="S336" s="5">
        <v>0</v>
      </c>
      <c r="T336" s="5">
        <v>1</v>
      </c>
      <c r="U336" s="5">
        <v>1</v>
      </c>
      <c r="V336" s="5">
        <v>1</v>
      </c>
      <c r="W336" s="5">
        <v>0</v>
      </c>
      <c r="Y336">
        <v>3</v>
      </c>
    </row>
    <row r="337" spans="4:25" x14ac:dyDescent="0.25">
      <c r="D337" t="str">
        <f ca="1"/>
        <v>25-Nov</v>
      </c>
      <c r="E337" s="5">
        <v>0</v>
      </c>
      <c r="F337" s="5">
        <v>0</v>
      </c>
      <c r="G337" s="5">
        <v>0</v>
      </c>
      <c r="H337" s="5">
        <v>0</v>
      </c>
      <c r="I337" s="5">
        <v>0</v>
      </c>
      <c r="J337" s="5">
        <v>0</v>
      </c>
      <c r="K337" s="5">
        <v>0</v>
      </c>
      <c r="L337" s="5">
        <v>0</v>
      </c>
      <c r="M337" s="5">
        <v>0</v>
      </c>
      <c r="N337" s="5">
        <v>0</v>
      </c>
      <c r="O337" s="5">
        <v>0</v>
      </c>
      <c r="P337" s="5">
        <v>0</v>
      </c>
      <c r="Q337" s="5">
        <v>0</v>
      </c>
      <c r="R337" s="5">
        <v>0</v>
      </c>
      <c r="S337" s="5">
        <v>0</v>
      </c>
      <c r="T337" s="5">
        <v>1</v>
      </c>
      <c r="U337" s="5">
        <v>1</v>
      </c>
      <c r="V337" s="5">
        <v>1</v>
      </c>
      <c r="W337" s="5">
        <v>0</v>
      </c>
      <c r="Y337">
        <v>3</v>
      </c>
    </row>
    <row r="338" spans="4:25" x14ac:dyDescent="0.25">
      <c r="D338" t="str">
        <f ca="1"/>
        <v>26-Nov</v>
      </c>
      <c r="E338" s="5">
        <v>0</v>
      </c>
      <c r="F338" s="5">
        <v>0</v>
      </c>
      <c r="G338" s="5">
        <v>0</v>
      </c>
      <c r="H338" s="5">
        <v>0</v>
      </c>
      <c r="I338" s="5">
        <v>0</v>
      </c>
      <c r="J338" s="5">
        <v>0</v>
      </c>
      <c r="K338" s="5">
        <v>0</v>
      </c>
      <c r="L338" s="5">
        <v>0</v>
      </c>
      <c r="M338" s="5">
        <v>0</v>
      </c>
      <c r="N338" s="5">
        <v>0</v>
      </c>
      <c r="O338" s="5">
        <v>0</v>
      </c>
      <c r="P338" s="5">
        <v>0</v>
      </c>
      <c r="Q338" s="5">
        <v>0</v>
      </c>
      <c r="R338" s="5">
        <v>0</v>
      </c>
      <c r="S338" s="5">
        <v>0</v>
      </c>
      <c r="T338" s="5">
        <v>1</v>
      </c>
      <c r="U338" s="5">
        <v>1</v>
      </c>
      <c r="V338" s="5">
        <v>1</v>
      </c>
      <c r="W338" s="5">
        <v>0</v>
      </c>
      <c r="Y338">
        <v>3</v>
      </c>
    </row>
    <row r="339" spans="4:25" x14ac:dyDescent="0.25">
      <c r="D339" t="str">
        <f ca="1"/>
        <v>27-Nov</v>
      </c>
      <c r="E339" s="5">
        <v>0</v>
      </c>
      <c r="F339" s="5">
        <v>0</v>
      </c>
      <c r="G339" s="5">
        <v>0</v>
      </c>
      <c r="H339" s="5">
        <v>0</v>
      </c>
      <c r="I339" s="5">
        <v>0</v>
      </c>
      <c r="J339" s="5">
        <v>0</v>
      </c>
      <c r="K339" s="5">
        <v>0</v>
      </c>
      <c r="L339" s="5">
        <v>0</v>
      </c>
      <c r="M339" s="5">
        <v>0</v>
      </c>
      <c r="N339" s="5">
        <v>0</v>
      </c>
      <c r="O339" s="5">
        <v>0</v>
      </c>
      <c r="P339" s="5">
        <v>0</v>
      </c>
      <c r="Q339" s="5">
        <v>0</v>
      </c>
      <c r="R339" s="5">
        <v>0</v>
      </c>
      <c r="S339" s="5">
        <v>0</v>
      </c>
      <c r="T339" s="5">
        <v>1</v>
      </c>
      <c r="U339" s="5">
        <v>1</v>
      </c>
      <c r="V339" s="5">
        <v>1</v>
      </c>
      <c r="W339" s="5">
        <v>0</v>
      </c>
      <c r="Y339">
        <v>3</v>
      </c>
    </row>
    <row r="340" spans="4:25" x14ac:dyDescent="0.25">
      <c r="D340" t="str">
        <f ca="1"/>
        <v>28-Nov</v>
      </c>
      <c r="E340" s="5">
        <v>0</v>
      </c>
      <c r="F340" s="5">
        <v>0</v>
      </c>
      <c r="G340" s="5">
        <v>0</v>
      </c>
      <c r="H340" s="5">
        <v>0</v>
      </c>
      <c r="I340" s="5">
        <v>0</v>
      </c>
      <c r="J340" s="5">
        <v>0</v>
      </c>
      <c r="K340" s="5">
        <v>0</v>
      </c>
      <c r="L340" s="5">
        <v>0</v>
      </c>
      <c r="M340" s="5">
        <v>0</v>
      </c>
      <c r="N340" s="5">
        <v>0</v>
      </c>
      <c r="O340" s="5">
        <v>0</v>
      </c>
      <c r="P340" s="5">
        <v>0</v>
      </c>
      <c r="Q340" s="5">
        <v>0</v>
      </c>
      <c r="R340" s="5">
        <v>0</v>
      </c>
      <c r="S340" s="5">
        <v>0</v>
      </c>
      <c r="T340" s="5">
        <v>1</v>
      </c>
      <c r="U340" s="5">
        <v>1</v>
      </c>
      <c r="V340" s="5">
        <v>1</v>
      </c>
      <c r="W340" s="5">
        <v>0</v>
      </c>
      <c r="Y340">
        <v>3</v>
      </c>
    </row>
    <row r="341" spans="4:25" x14ac:dyDescent="0.25">
      <c r="D341" t="str">
        <f ca="1"/>
        <v>29-Nov</v>
      </c>
      <c r="E341" s="5">
        <v>0</v>
      </c>
      <c r="F341" s="5">
        <v>0</v>
      </c>
      <c r="G341" s="5">
        <v>0</v>
      </c>
      <c r="H341" s="5">
        <v>0</v>
      </c>
      <c r="I341" s="5">
        <v>0</v>
      </c>
      <c r="J341" s="5">
        <v>0</v>
      </c>
      <c r="K341" s="5">
        <v>0</v>
      </c>
      <c r="L341" s="5">
        <v>0</v>
      </c>
      <c r="M341" s="5">
        <v>0</v>
      </c>
      <c r="N341" s="5">
        <v>0</v>
      </c>
      <c r="O341" s="5">
        <v>0</v>
      </c>
      <c r="P341" s="5">
        <v>0</v>
      </c>
      <c r="Q341" s="5">
        <v>0</v>
      </c>
      <c r="R341" s="5">
        <v>0</v>
      </c>
      <c r="S341" s="5">
        <v>0</v>
      </c>
      <c r="T341" s="5">
        <v>1</v>
      </c>
      <c r="U341" s="5">
        <v>1</v>
      </c>
      <c r="V341" s="5">
        <v>1</v>
      </c>
      <c r="W341" s="5">
        <v>0</v>
      </c>
      <c r="Y341">
        <v>3</v>
      </c>
    </row>
    <row r="342" spans="4:25" x14ac:dyDescent="0.25">
      <c r="D342" t="str">
        <f ca="1"/>
        <v>30-Nov</v>
      </c>
      <c r="E342" s="5">
        <v>0</v>
      </c>
      <c r="F342" s="5">
        <v>0</v>
      </c>
      <c r="G342" s="5">
        <v>0</v>
      </c>
      <c r="H342" s="5">
        <v>0</v>
      </c>
      <c r="I342" s="5">
        <v>0</v>
      </c>
      <c r="J342" s="5">
        <v>0</v>
      </c>
      <c r="K342" s="5">
        <v>0</v>
      </c>
      <c r="L342" s="5">
        <v>0</v>
      </c>
      <c r="M342" s="5">
        <v>0</v>
      </c>
      <c r="N342" s="5">
        <v>0</v>
      </c>
      <c r="O342" s="5">
        <v>0</v>
      </c>
      <c r="P342" s="5">
        <v>0</v>
      </c>
      <c r="Q342" s="5">
        <v>0</v>
      </c>
      <c r="R342" s="5">
        <v>0</v>
      </c>
      <c r="S342" s="5">
        <v>0</v>
      </c>
      <c r="T342" s="5">
        <v>1</v>
      </c>
      <c r="U342" s="5">
        <v>1</v>
      </c>
      <c r="V342" s="5">
        <v>1</v>
      </c>
      <c r="W342" s="5">
        <v>0</v>
      </c>
      <c r="Y342">
        <v>3</v>
      </c>
    </row>
    <row r="343" spans="4:25" x14ac:dyDescent="0.25">
      <c r="D343" t="str">
        <f ca="1"/>
        <v>01-Dec</v>
      </c>
      <c r="E343" s="5">
        <v>0</v>
      </c>
      <c r="F343" s="5">
        <v>0</v>
      </c>
      <c r="G343" s="5">
        <v>0</v>
      </c>
      <c r="H343" s="5">
        <v>0</v>
      </c>
      <c r="I343" s="5">
        <v>0</v>
      </c>
      <c r="J343" s="5">
        <v>0</v>
      </c>
      <c r="K343" s="5">
        <v>0</v>
      </c>
      <c r="L343" s="5">
        <v>0</v>
      </c>
      <c r="M343" s="5">
        <v>0</v>
      </c>
      <c r="N343" s="5">
        <v>0</v>
      </c>
      <c r="O343" s="5">
        <v>0</v>
      </c>
      <c r="P343" s="5">
        <v>0</v>
      </c>
      <c r="Q343" s="5">
        <v>0</v>
      </c>
      <c r="R343" s="5">
        <v>0</v>
      </c>
      <c r="S343" s="5">
        <v>0</v>
      </c>
      <c r="T343" s="5">
        <v>1</v>
      </c>
      <c r="U343" s="5">
        <v>1</v>
      </c>
      <c r="V343" s="5">
        <v>1</v>
      </c>
      <c r="W343" s="5">
        <v>0</v>
      </c>
      <c r="Y343">
        <v>3</v>
      </c>
    </row>
    <row r="344" spans="4:25" x14ac:dyDescent="0.25">
      <c r="D344" t="str">
        <f ca="1"/>
        <v>02-Dec</v>
      </c>
      <c r="E344" s="5">
        <v>0</v>
      </c>
      <c r="F344" s="5">
        <v>0</v>
      </c>
      <c r="G344" s="5">
        <v>0</v>
      </c>
      <c r="H344" s="5">
        <v>0</v>
      </c>
      <c r="I344" s="5">
        <v>0</v>
      </c>
      <c r="J344" s="5">
        <v>0</v>
      </c>
      <c r="K344" s="5">
        <v>0</v>
      </c>
      <c r="L344" s="5">
        <v>0</v>
      </c>
      <c r="M344" s="5">
        <v>0</v>
      </c>
      <c r="N344" s="5">
        <v>0</v>
      </c>
      <c r="O344" s="5">
        <v>0</v>
      </c>
      <c r="P344" s="5">
        <v>0</v>
      </c>
      <c r="Q344" s="5">
        <v>0</v>
      </c>
      <c r="R344" s="5">
        <v>0</v>
      </c>
      <c r="S344" s="5">
        <v>0</v>
      </c>
      <c r="T344" s="5">
        <v>1</v>
      </c>
      <c r="U344" s="5">
        <v>1</v>
      </c>
      <c r="V344" s="5">
        <v>1</v>
      </c>
      <c r="W344" s="5">
        <v>0</v>
      </c>
      <c r="Y344">
        <v>3</v>
      </c>
    </row>
    <row r="345" spans="4:25" x14ac:dyDescent="0.25">
      <c r="D345" t="str">
        <f ca="1"/>
        <v>03-Dec</v>
      </c>
      <c r="E345" s="5">
        <v>0</v>
      </c>
      <c r="F345" s="5">
        <v>0</v>
      </c>
      <c r="G345" s="5">
        <v>0</v>
      </c>
      <c r="H345" s="5">
        <v>0</v>
      </c>
      <c r="I345" s="5">
        <v>0</v>
      </c>
      <c r="J345" s="5">
        <v>0</v>
      </c>
      <c r="K345" s="5">
        <v>0</v>
      </c>
      <c r="L345" s="5">
        <v>0</v>
      </c>
      <c r="M345" s="5">
        <v>0</v>
      </c>
      <c r="N345" s="5">
        <v>0</v>
      </c>
      <c r="O345" s="5">
        <v>0</v>
      </c>
      <c r="P345" s="5">
        <v>0</v>
      </c>
      <c r="Q345" s="5">
        <v>0</v>
      </c>
      <c r="R345" s="5">
        <v>0</v>
      </c>
      <c r="S345" s="5">
        <v>0</v>
      </c>
      <c r="T345" s="5">
        <v>1</v>
      </c>
      <c r="U345" s="5">
        <v>1</v>
      </c>
      <c r="V345" s="5">
        <v>1</v>
      </c>
      <c r="W345" s="5">
        <v>0</v>
      </c>
      <c r="Y345">
        <v>3</v>
      </c>
    </row>
    <row r="346" spans="4:25" x14ac:dyDescent="0.25">
      <c r="D346" t="str">
        <f ca="1"/>
        <v>04-Dec</v>
      </c>
      <c r="E346" s="5">
        <v>0</v>
      </c>
      <c r="F346" s="5">
        <v>0</v>
      </c>
      <c r="G346" s="5">
        <v>0</v>
      </c>
      <c r="H346" s="5">
        <v>0</v>
      </c>
      <c r="I346" s="5">
        <v>0</v>
      </c>
      <c r="J346" s="5">
        <v>0</v>
      </c>
      <c r="K346" s="5">
        <v>0</v>
      </c>
      <c r="L346" s="5">
        <v>0</v>
      </c>
      <c r="M346" s="5">
        <v>0</v>
      </c>
      <c r="N346" s="5">
        <v>0</v>
      </c>
      <c r="O346" s="5">
        <v>0</v>
      </c>
      <c r="P346" s="5">
        <v>0</v>
      </c>
      <c r="Q346" s="5">
        <v>0</v>
      </c>
      <c r="R346" s="5">
        <v>0</v>
      </c>
      <c r="S346" s="5">
        <v>0</v>
      </c>
      <c r="T346" s="5">
        <v>1</v>
      </c>
      <c r="U346" s="5">
        <v>1</v>
      </c>
      <c r="V346" s="5">
        <v>1</v>
      </c>
      <c r="W346" s="5">
        <v>0</v>
      </c>
      <c r="Y346">
        <v>3</v>
      </c>
    </row>
    <row r="347" spans="4:25" x14ac:dyDescent="0.25">
      <c r="D347" t="str">
        <f ca="1"/>
        <v>05-Dec</v>
      </c>
      <c r="E347" s="5">
        <v>0</v>
      </c>
      <c r="F347" s="5">
        <v>0</v>
      </c>
      <c r="G347" s="5">
        <v>0</v>
      </c>
      <c r="H347" s="5">
        <v>0</v>
      </c>
      <c r="I347" s="5">
        <v>0</v>
      </c>
      <c r="J347" s="5">
        <v>0</v>
      </c>
      <c r="K347" s="5">
        <v>0</v>
      </c>
      <c r="L347" s="5">
        <v>0</v>
      </c>
      <c r="M347" s="5">
        <v>0</v>
      </c>
      <c r="N347" s="5">
        <v>0</v>
      </c>
      <c r="O347" s="5">
        <v>0</v>
      </c>
      <c r="P347" s="5">
        <v>0</v>
      </c>
      <c r="Q347" s="5">
        <v>0</v>
      </c>
      <c r="R347" s="5">
        <v>0</v>
      </c>
      <c r="S347" s="5">
        <v>0</v>
      </c>
      <c r="T347" s="5">
        <v>1</v>
      </c>
      <c r="U347" s="5">
        <v>1</v>
      </c>
      <c r="V347" s="5">
        <v>1</v>
      </c>
      <c r="W347" s="5">
        <v>0</v>
      </c>
      <c r="Y347">
        <v>3</v>
      </c>
    </row>
    <row r="348" spans="4:25" x14ac:dyDescent="0.25">
      <c r="D348" t="str">
        <f ca="1"/>
        <v>06-Dec</v>
      </c>
      <c r="E348" s="5">
        <v>0</v>
      </c>
      <c r="F348" s="5">
        <v>0</v>
      </c>
      <c r="G348" s="5">
        <v>0</v>
      </c>
      <c r="H348" s="5">
        <v>0</v>
      </c>
      <c r="I348" s="5">
        <v>0</v>
      </c>
      <c r="J348" s="5">
        <v>0</v>
      </c>
      <c r="K348" s="5">
        <v>0</v>
      </c>
      <c r="L348" s="5">
        <v>0</v>
      </c>
      <c r="M348" s="5">
        <v>0</v>
      </c>
      <c r="N348" s="5">
        <v>0</v>
      </c>
      <c r="O348" s="5">
        <v>0</v>
      </c>
      <c r="P348" s="5">
        <v>0</v>
      </c>
      <c r="Q348" s="5">
        <v>0</v>
      </c>
      <c r="R348" s="5">
        <v>0</v>
      </c>
      <c r="S348" s="5">
        <v>0</v>
      </c>
      <c r="T348" s="5">
        <v>1</v>
      </c>
      <c r="U348" s="5">
        <v>1</v>
      </c>
      <c r="V348" s="5">
        <v>1</v>
      </c>
      <c r="W348" s="5">
        <v>0</v>
      </c>
      <c r="Y348">
        <v>3</v>
      </c>
    </row>
    <row r="349" spans="4:25" x14ac:dyDescent="0.25">
      <c r="D349" t="str">
        <f ca="1"/>
        <v>07-Dec</v>
      </c>
      <c r="E349" s="5">
        <v>0</v>
      </c>
      <c r="F349" s="5">
        <v>0</v>
      </c>
      <c r="G349" s="5">
        <v>0</v>
      </c>
      <c r="H349" s="5">
        <v>0</v>
      </c>
      <c r="I349" s="5">
        <v>0</v>
      </c>
      <c r="J349" s="5">
        <v>0</v>
      </c>
      <c r="K349" s="5">
        <v>0</v>
      </c>
      <c r="L349" s="5">
        <v>0</v>
      </c>
      <c r="M349" s="5">
        <v>0</v>
      </c>
      <c r="N349" s="5">
        <v>0</v>
      </c>
      <c r="O349" s="5">
        <v>0</v>
      </c>
      <c r="P349" s="5">
        <v>0</v>
      </c>
      <c r="Q349" s="5">
        <v>0</v>
      </c>
      <c r="R349" s="5">
        <v>0</v>
      </c>
      <c r="S349" s="5">
        <v>0</v>
      </c>
      <c r="T349" s="5">
        <v>1</v>
      </c>
      <c r="U349" s="5">
        <v>1</v>
      </c>
      <c r="V349" s="5">
        <v>1</v>
      </c>
      <c r="W349" s="5">
        <v>0</v>
      </c>
      <c r="Y349">
        <v>3</v>
      </c>
    </row>
    <row r="350" spans="4:25" x14ac:dyDescent="0.25">
      <c r="D350" t="str">
        <f ca="1"/>
        <v>08-Dec</v>
      </c>
      <c r="E350" s="5">
        <v>0</v>
      </c>
      <c r="F350" s="5">
        <v>0</v>
      </c>
      <c r="G350" s="5">
        <v>0</v>
      </c>
      <c r="H350" s="5">
        <v>0</v>
      </c>
      <c r="I350" s="5">
        <v>0</v>
      </c>
      <c r="J350" s="5">
        <v>0</v>
      </c>
      <c r="K350" s="5">
        <v>0</v>
      </c>
      <c r="L350" s="5">
        <v>0</v>
      </c>
      <c r="M350" s="5">
        <v>0</v>
      </c>
      <c r="N350" s="5">
        <v>0</v>
      </c>
      <c r="O350" s="5">
        <v>0</v>
      </c>
      <c r="P350" s="5">
        <v>0</v>
      </c>
      <c r="Q350" s="5">
        <v>0</v>
      </c>
      <c r="R350" s="5">
        <v>0</v>
      </c>
      <c r="S350" s="5">
        <v>0</v>
      </c>
      <c r="T350" s="5">
        <v>1</v>
      </c>
      <c r="U350" s="5">
        <v>1</v>
      </c>
      <c r="V350" s="5">
        <v>1</v>
      </c>
      <c r="W350" s="5">
        <v>0</v>
      </c>
      <c r="Y350">
        <v>3</v>
      </c>
    </row>
    <row r="351" spans="4:25" x14ac:dyDescent="0.25">
      <c r="D351" t="str">
        <f ca="1"/>
        <v>09-Dec</v>
      </c>
      <c r="E351" s="5">
        <v>0</v>
      </c>
      <c r="F351" s="5">
        <v>0</v>
      </c>
      <c r="G351" s="5">
        <v>0</v>
      </c>
      <c r="H351" s="5">
        <v>0</v>
      </c>
      <c r="I351" s="5">
        <v>0</v>
      </c>
      <c r="J351" s="5">
        <v>0</v>
      </c>
      <c r="K351" s="5">
        <v>0</v>
      </c>
      <c r="L351" s="5">
        <v>0</v>
      </c>
      <c r="M351" s="5">
        <v>0</v>
      </c>
      <c r="N351" s="5">
        <v>0</v>
      </c>
      <c r="O351" s="5">
        <v>0</v>
      </c>
      <c r="P351" s="5">
        <v>0</v>
      </c>
      <c r="Q351" s="5">
        <v>0</v>
      </c>
      <c r="R351" s="5">
        <v>0</v>
      </c>
      <c r="S351" s="5">
        <v>0</v>
      </c>
      <c r="T351" s="5">
        <v>1</v>
      </c>
      <c r="U351" s="5">
        <v>1</v>
      </c>
      <c r="V351" s="5">
        <v>1</v>
      </c>
      <c r="W351" s="5">
        <v>0</v>
      </c>
      <c r="Y351">
        <v>3</v>
      </c>
    </row>
    <row r="352" spans="4:25" x14ac:dyDescent="0.25">
      <c r="D352" t="str">
        <f ca="1"/>
        <v>10-Dec</v>
      </c>
      <c r="E352" s="5">
        <v>0</v>
      </c>
      <c r="F352" s="5">
        <v>0</v>
      </c>
      <c r="G352" s="5">
        <v>0</v>
      </c>
      <c r="H352" s="5">
        <v>0</v>
      </c>
      <c r="I352" s="5">
        <v>0</v>
      </c>
      <c r="J352" s="5">
        <v>0</v>
      </c>
      <c r="K352" s="5">
        <v>0</v>
      </c>
      <c r="L352" s="5">
        <v>0</v>
      </c>
      <c r="M352" s="5">
        <v>0</v>
      </c>
      <c r="N352" s="5">
        <v>0</v>
      </c>
      <c r="O352" s="5">
        <v>0</v>
      </c>
      <c r="P352" s="5">
        <v>0</v>
      </c>
      <c r="Q352" s="5">
        <v>0</v>
      </c>
      <c r="R352" s="5">
        <v>0</v>
      </c>
      <c r="S352" s="5">
        <v>0</v>
      </c>
      <c r="T352" s="5">
        <v>1</v>
      </c>
      <c r="U352" s="5">
        <v>1</v>
      </c>
      <c r="V352" s="5">
        <v>1</v>
      </c>
      <c r="W352" s="5">
        <v>0</v>
      </c>
      <c r="Y352">
        <v>3</v>
      </c>
    </row>
    <row r="353" spans="4:25" x14ac:dyDescent="0.25">
      <c r="D353" t="str">
        <f ca="1"/>
        <v>11-Dec</v>
      </c>
      <c r="E353" s="5">
        <v>0</v>
      </c>
      <c r="F353" s="5">
        <v>0</v>
      </c>
      <c r="G353" s="5">
        <v>0</v>
      </c>
      <c r="H353" s="5">
        <v>0</v>
      </c>
      <c r="I353" s="5">
        <v>0</v>
      </c>
      <c r="J353" s="5">
        <v>0</v>
      </c>
      <c r="K353" s="5">
        <v>0</v>
      </c>
      <c r="L353" s="5">
        <v>0</v>
      </c>
      <c r="M353" s="5">
        <v>0</v>
      </c>
      <c r="N353" s="5">
        <v>0</v>
      </c>
      <c r="O353" s="5">
        <v>0</v>
      </c>
      <c r="P353" s="5">
        <v>0</v>
      </c>
      <c r="Q353" s="5">
        <v>0</v>
      </c>
      <c r="R353" s="5">
        <v>0</v>
      </c>
      <c r="S353" s="5">
        <v>0</v>
      </c>
      <c r="T353" s="5">
        <v>1</v>
      </c>
      <c r="U353" s="5">
        <v>1</v>
      </c>
      <c r="V353" s="5">
        <v>1</v>
      </c>
      <c r="W353" s="5">
        <v>0</v>
      </c>
      <c r="Y353">
        <v>3</v>
      </c>
    </row>
  </sheetData>
  <conditionalFormatting sqref="D9:W339">
    <cfRule type="expression" dxfId="0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1932A-FBAC-4264-8A5F-50165E7C663D}">
  <dimension ref="A1:R64"/>
  <sheetViews>
    <sheetView topLeftCell="A40" workbookViewId="0">
      <selection activeCell="M50" sqref="M50"/>
    </sheetView>
  </sheetViews>
  <sheetFormatPr defaultRowHeight="13.2" x14ac:dyDescent="0.25"/>
  <sheetData>
    <row r="1" spans="1:3" x14ac:dyDescent="0.25">
      <c r="A1" s="27" t="s">
        <v>51</v>
      </c>
      <c r="B1" s="26" t="s">
        <v>50</v>
      </c>
      <c r="C1" s="26"/>
    </row>
    <row r="2" spans="1:3" x14ac:dyDescent="0.25">
      <c r="A2" s="27" t="s">
        <v>49</v>
      </c>
      <c r="B2" s="26"/>
      <c r="C2" s="26"/>
    </row>
    <row r="3" spans="1:3" x14ac:dyDescent="0.25">
      <c r="A3" s="27" t="s">
        <v>48</v>
      </c>
      <c r="B3" s="26" t="str" cm="1">
        <f t="array" aca="1" ref="B3" ca="1">HD_Date</f>
        <v>11-Dec-2025</v>
      </c>
      <c r="C3" s="26"/>
    </row>
    <row r="43" spans="4:12" x14ac:dyDescent="0.25">
      <c r="E43" t="s">
        <v>52</v>
      </c>
      <c r="F43" t="s">
        <v>52</v>
      </c>
      <c r="G43" t="s">
        <v>52</v>
      </c>
      <c r="H43" t="s">
        <v>53</v>
      </c>
    </row>
    <row r="44" spans="4:12" x14ac:dyDescent="0.25">
      <c r="D44" t="s">
        <v>52</v>
      </c>
      <c r="F44" t="s">
        <v>55</v>
      </c>
      <c r="G44" t="s">
        <v>55</v>
      </c>
      <c r="H44" t="s">
        <v>54</v>
      </c>
      <c r="J44" t="str" cm="1">
        <f t="array" ref="J44:J55">_xlfn._xlws.SORT(_xlfn.TOCOL(E44:H47,TRUE))</f>
        <v>BB</v>
      </c>
      <c r="K44" t="str" cm="1">
        <f t="array" ref="K44:L46">_xlfn.GROUPBY(_xlfn.ANCHORARRAY(J44),_xlfn.ANCHORARRAY(J44),_xleta.COUNTA)</f>
        <v>BB</v>
      </c>
      <c r="L44">
        <v>6</v>
      </c>
    </row>
    <row r="45" spans="4:12" x14ac:dyDescent="0.25">
      <c r="D45" t="s">
        <v>52</v>
      </c>
      <c r="E45" t="s">
        <v>55</v>
      </c>
      <c r="G45" t="s">
        <v>55</v>
      </c>
      <c r="H45" t="s">
        <v>54</v>
      </c>
      <c r="J45" t="str">
        <v>BB</v>
      </c>
      <c r="K45" t="str">
        <v>BR</v>
      </c>
      <c r="L45">
        <v>6</v>
      </c>
    </row>
    <row r="46" spans="4:12" x14ac:dyDescent="0.25">
      <c r="D46" t="s">
        <v>52</v>
      </c>
      <c r="E46" t="s">
        <v>55</v>
      </c>
      <c r="F46" t="s">
        <v>55</v>
      </c>
      <c r="H46" t="s">
        <v>54</v>
      </c>
      <c r="J46" t="str">
        <v>BB</v>
      </c>
      <c r="K46" t="str">
        <v>Total</v>
      </c>
      <c r="L46">
        <v>12</v>
      </c>
    </row>
    <row r="47" spans="4:12" x14ac:dyDescent="0.25">
      <c r="D47" t="s">
        <v>53</v>
      </c>
      <c r="E47" t="s">
        <v>54</v>
      </c>
      <c r="F47" t="s">
        <v>54</v>
      </c>
      <c r="G47" t="s">
        <v>54</v>
      </c>
      <c r="J47" t="str">
        <v>BB</v>
      </c>
    </row>
    <row r="48" spans="4:12" x14ac:dyDescent="0.25">
      <c r="J48" t="str">
        <v>BB</v>
      </c>
    </row>
    <row r="49" spans="4:18" x14ac:dyDescent="0.25">
      <c r="J49" t="str">
        <v>BB</v>
      </c>
    </row>
    <row r="50" spans="4:18" x14ac:dyDescent="0.25">
      <c r="J50" t="str">
        <v>BR</v>
      </c>
    </row>
    <row r="51" spans="4:18" x14ac:dyDescent="0.25">
      <c r="J51" t="str">
        <v>BR</v>
      </c>
    </row>
    <row r="52" spans="4:18" x14ac:dyDescent="0.25">
      <c r="J52" t="str">
        <v>BR</v>
      </c>
    </row>
    <row r="53" spans="4:18" x14ac:dyDescent="0.25">
      <c r="J53" t="str">
        <v>BR</v>
      </c>
    </row>
    <row r="54" spans="4:18" x14ac:dyDescent="0.25">
      <c r="J54" t="str">
        <v>BR</v>
      </c>
    </row>
    <row r="55" spans="4:18" x14ac:dyDescent="0.25">
      <c r="J55" t="str">
        <v>BR</v>
      </c>
    </row>
    <row r="58" spans="4:18" x14ac:dyDescent="0.25">
      <c r="E58" t="s">
        <v>52</v>
      </c>
      <c r="F58" t="s">
        <v>52</v>
      </c>
      <c r="G58" t="s">
        <v>53</v>
      </c>
      <c r="N58">
        <f>COMBIN(4,3)</f>
        <v>4</v>
      </c>
      <c r="O58">
        <f>(0.75)^2</f>
        <v>0.5625</v>
      </c>
      <c r="P58" t="str">
        <f ca="1">_xlfn.FORMULATEXT(O58)</f>
        <v>=(0.75)^2</v>
      </c>
      <c r="R58" t="s">
        <v>57</v>
      </c>
    </row>
    <row r="59" spans="4:18" x14ac:dyDescent="0.25">
      <c r="D59" t="s">
        <v>52</v>
      </c>
      <c r="F59" t="s">
        <v>55</v>
      </c>
      <c r="G59" t="s">
        <v>54</v>
      </c>
      <c r="J59" t="str" cm="1">
        <f t="array" ref="J59:J64">_xlfn._xlws.SORT(_xlfn.TOCOL(E59:G61,TRUE))</f>
        <v>BB</v>
      </c>
      <c r="K59" t="str" cm="1">
        <f t="array" ref="K59:L61">_xlfn.GROUPBY(_xlfn.ANCHORARRAY(J59),_xlfn.ANCHORARRAY(J59),_xleta.COUNTA)</f>
        <v>BB</v>
      </c>
      <c r="L59">
        <v>4</v>
      </c>
      <c r="R59" t="s">
        <v>58</v>
      </c>
    </row>
    <row r="60" spans="4:18" x14ac:dyDescent="0.25">
      <c r="D60" t="s">
        <v>52</v>
      </c>
      <c r="E60" t="s">
        <v>55</v>
      </c>
      <c r="G60" t="s">
        <v>54</v>
      </c>
      <c r="J60" t="str">
        <v>BB</v>
      </c>
      <c r="K60" t="str">
        <v>BR</v>
      </c>
      <c r="L60">
        <v>2</v>
      </c>
      <c r="O60">
        <f>(3/4)*(2/3)</f>
        <v>0.5</v>
      </c>
      <c r="P60" t="str">
        <f ca="1">_xlfn.FORMULATEXT(O60)</f>
        <v>=(3/4)*(2/3)</v>
      </c>
      <c r="R60" t="s">
        <v>56</v>
      </c>
    </row>
    <row r="61" spans="4:18" x14ac:dyDescent="0.25">
      <c r="D61" t="s">
        <v>52</v>
      </c>
      <c r="E61" t="s">
        <v>55</v>
      </c>
      <c r="F61" t="s">
        <v>55</v>
      </c>
      <c r="J61" t="str">
        <v>BB</v>
      </c>
      <c r="K61" t="str">
        <v>Total</v>
      </c>
      <c r="L61">
        <v>6</v>
      </c>
    </row>
    <row r="62" spans="4:18" x14ac:dyDescent="0.25">
      <c r="J62" t="str">
        <v>BB</v>
      </c>
    </row>
    <row r="63" spans="4:18" x14ac:dyDescent="0.25">
      <c r="J63" t="str">
        <v>BR</v>
      </c>
    </row>
    <row r="64" spans="4:18" x14ac:dyDescent="0.25">
      <c r="J64" t="str">
        <v>BR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5877F3-E7D5-4CF8-8A2B-48C1D89B0166}">
  <dimension ref="B2:Q8"/>
  <sheetViews>
    <sheetView topLeftCell="A19" workbookViewId="0">
      <selection activeCell="J10" sqref="J10"/>
    </sheetView>
  </sheetViews>
  <sheetFormatPr defaultRowHeight="13.2" x14ac:dyDescent="0.25"/>
  <cols>
    <col min="2" max="2" width="7.88671875" customWidth="1"/>
    <col min="3" max="3" width="10.88671875" customWidth="1"/>
    <col min="4" max="4" width="8.88671875" customWidth="1"/>
    <col min="5" max="5" width="12.88671875" customWidth="1"/>
    <col min="6" max="6" width="5.88671875" customWidth="1"/>
  </cols>
  <sheetData>
    <row r="2" spans="2:17" x14ac:dyDescent="0.25">
      <c r="B2" t="s">
        <v>59</v>
      </c>
      <c r="C2" t="s">
        <v>60</v>
      </c>
      <c r="D2" t="s">
        <v>61</v>
      </c>
      <c r="E2" t="s">
        <v>62</v>
      </c>
      <c r="F2" t="s">
        <v>63</v>
      </c>
    </row>
    <row r="3" spans="2:17" x14ac:dyDescent="0.25">
      <c r="B3" t="s">
        <v>64</v>
      </c>
      <c r="C3" t="s">
        <v>70</v>
      </c>
      <c r="E3" t="s">
        <v>74</v>
      </c>
      <c r="H3">
        <f>Report!I3511</f>
        <v>0</v>
      </c>
      <c r="M3" t="b" cm="1">
        <f t="array" ref="M3:Q3">_xlfn.BYCOL(Table1[#All],_xleta.COUNTA)&gt;1</f>
        <v>1</v>
      </c>
      <c r="N3" t="b">
        <v>1</v>
      </c>
      <c r="O3" t="b">
        <v>0</v>
      </c>
      <c r="P3" t="b">
        <v>1</v>
      </c>
      <c r="Q3" t="b">
        <v>0</v>
      </c>
    </row>
    <row r="4" spans="2:17" x14ac:dyDescent="0.25">
      <c r="B4" t="s">
        <v>65</v>
      </c>
      <c r="C4" t="s">
        <v>71</v>
      </c>
      <c r="E4" t="s">
        <v>75</v>
      </c>
    </row>
    <row r="5" spans="2:17" x14ac:dyDescent="0.25">
      <c r="B5" t="s">
        <v>66</v>
      </c>
      <c r="E5" t="s">
        <v>76</v>
      </c>
    </row>
    <row r="6" spans="2:17" x14ac:dyDescent="0.25">
      <c r="B6" t="s">
        <v>67</v>
      </c>
      <c r="C6" t="s">
        <v>72</v>
      </c>
    </row>
    <row r="7" spans="2:17" x14ac:dyDescent="0.25">
      <c r="B7" t="s">
        <v>68</v>
      </c>
      <c r="E7" t="s">
        <v>74</v>
      </c>
    </row>
    <row r="8" spans="2:17" x14ac:dyDescent="0.25">
      <c r="B8" t="s">
        <v>69</v>
      </c>
      <c r="C8" t="s">
        <v>73</v>
      </c>
      <c r="E8" t="s">
        <v>77</v>
      </c>
    </row>
  </sheetData>
  <pageMargins left="0.7" right="0.7" top="0.75" bottom="0.75" header="0.3" footer="0.3"/>
  <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</vt:i4>
      </vt:variant>
    </vt:vector>
  </HeadingPairs>
  <TitlesOfParts>
    <vt:vector size="6" baseType="lpstr">
      <vt:lpstr>Report</vt:lpstr>
      <vt:lpstr>PointTraining</vt:lpstr>
      <vt:lpstr>LongTermTraining</vt:lpstr>
      <vt:lpstr>Sheet1</vt:lpstr>
      <vt:lpstr>Sheet2</vt:lpstr>
      <vt:lpstr>_nHd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Dawn Biegert</cp:lastModifiedBy>
  <cp:lastPrinted>2025-01-13T03:35:14Z</cp:lastPrinted>
  <dcterms:created xsi:type="dcterms:W3CDTF">2021-09-27T12:19:57Z</dcterms:created>
  <dcterms:modified xsi:type="dcterms:W3CDTF">2025-12-12T02:51:57Z</dcterms:modified>
</cp:coreProperties>
</file>