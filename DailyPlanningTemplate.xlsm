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1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BD60ED99-D6DB-46C1-BCA5-40C14DE173C8}" xr6:coauthVersionLast="47" xr6:coauthVersionMax="47" xr10:uidLastSave="{00000000-0000-0000-0000-000000000000}"/>
  <bookViews>
    <workbookView xWindow="-108" yWindow="-108" windowWidth="23256" windowHeight="12456" activeTab="1" xr2:uid="{AD5FE48E-9CE6-4EDE-8F69-E8FD3B4EAF42}"/>
  </bookViews>
  <sheets>
    <sheet name="Report" sheetId="1" r:id="rId1"/>
    <sheet name="ROBF" sheetId="8" r:id="rId2"/>
    <sheet name="PointTraining" sheetId="4" r:id="rId3"/>
    <sheet name="LongTermTraining" sheetId="3" r:id="rId4"/>
    <sheet name="Sheet1" sheetId="5" r:id="rId5"/>
    <sheet name="Sheet2" sheetId="6" r:id="rId6"/>
    <sheet name="SH3_Correction_Table" sheetId="7" r:id="rId7"/>
  </sheets>
  <definedNames>
    <definedName name="__xL">ROBF!$C$12</definedName>
    <definedName name="_AOB">ROBF!$C$1</definedName>
    <definedName name="_B">ROBF!$C$2</definedName>
    <definedName name="_date">_xlfn.DROP(_xlfn._TRO_ALL(Report!$B:$B),12)</definedName>
    <definedName name="_xlnm._FilterDatabase" localSheetId="0" hidden="1">Report!$P$24:$P$60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ROBF!$C$4</definedName>
    <definedName name="_nHd">Report!$C$9:$L$9</definedName>
    <definedName name="_R">ROBF!$C$3</definedName>
    <definedName name="_Theta">ROBF!$C$10</definedName>
    <definedName name="_v">ROBF!$C$5</definedName>
    <definedName name="_vSub">ROBF!$C$6</definedName>
    <definedName name="_vyps">ROBF!$C$13</definedName>
    <definedName name="_xleta.COS" hidden="1" xlm="1">#NAME?</definedName>
    <definedName name="_xleta.COUNTA" hidden="1" xlm="1">#NAME?</definedName>
    <definedName name="_xleta.SIN" hidden="1" xlm="1">#NAME?</definedName>
    <definedName name="_xleta.SUM" hidden="1" xlm="1">#NAME?</definedName>
    <definedName name="_xleta.TAN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ROBF!$C$8</definedName>
    <definedName name="_yL">ROBF!$C$11</definedName>
    <definedName name="_yShip">ROBF!$C$9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3">_xlfn.DROP(_xlfn.TRIMRANGE(LongTermTraining!$D:$W),1)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23" i="8" l="1"/>
  <c r="N22" i="8"/>
  <c r="M22" i="8"/>
  <c r="C8" i="8"/>
  <c r="C9" i="8"/>
  <c r="J20" i="8"/>
  <c r="K22" i="8"/>
  <c r="C10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E17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Q9" i="1" a="1"/>
  <c r="Q9" i="1" s="1"/>
  <c r="Y9" i="3" a="1"/>
  <c r="D9" i="3" a="1"/>
  <c r="N10" i="1" a="1"/>
  <c r="B10" i="1" a="1"/>
  <c r="F8" i="8" l="1"/>
  <c r="C12" i="8"/>
  <c r="C11" i="8"/>
  <c r="J59" i="5"/>
  <c r="K59" i="5" a="1"/>
  <c r="J44" i="5"/>
  <c r="K44" i="5" a="1"/>
  <c r="D9" i="3"/>
  <c r="Y9" i="3"/>
  <c r="N10" i="1"/>
  <c r="M21" i="1" a="1"/>
  <c r="B10" i="1"/>
  <c r="C191" i="8" l="1"/>
  <c r="C210" i="8"/>
  <c r="C211" i="8"/>
  <c r="C149" i="8"/>
  <c r="C208" i="8"/>
  <c r="C212" i="8"/>
  <c r="D104" i="8"/>
  <c r="F12" i="8"/>
  <c r="C216" i="8"/>
  <c r="C194" i="8"/>
  <c r="C88" i="8"/>
  <c r="C140" i="8"/>
  <c r="C213" i="8"/>
  <c r="F213" i="8" s="1"/>
  <c r="C61" i="8"/>
  <c r="C94" i="8"/>
  <c r="C105" i="8"/>
  <c r="C84" i="8"/>
  <c r="F84" i="8" s="1"/>
  <c r="C179" i="8"/>
  <c r="C142" i="8"/>
  <c r="C101" i="8"/>
  <c r="C193" i="8"/>
  <c r="F193" i="8" s="1"/>
  <c r="C181" i="8"/>
  <c r="C99" i="8"/>
  <c r="C148" i="8"/>
  <c r="C204" i="8"/>
  <c r="F204" i="8" s="1"/>
  <c r="C90" i="8"/>
  <c r="C189" i="8"/>
  <c r="F189" i="8" s="1"/>
  <c r="C93" i="8"/>
  <c r="C150" i="8"/>
  <c r="F150" i="8" s="1"/>
  <c r="C177" i="8"/>
  <c r="F177" i="8" s="1"/>
  <c r="C180" i="8"/>
  <c r="C186" i="8"/>
  <c r="F186" i="8" s="1"/>
  <c r="C206" i="8"/>
  <c r="C95" i="8"/>
  <c r="F95" i="8" s="1"/>
  <c r="C97" i="8"/>
  <c r="F97" i="8" s="1"/>
  <c r="C92" i="8"/>
  <c r="C100" i="8"/>
  <c r="F100" i="8" s="1"/>
  <c r="C102" i="8"/>
  <c r="C104" i="8"/>
  <c r="F104" i="8" s="1"/>
  <c r="C106" i="8"/>
  <c r="F106" i="8" s="1"/>
  <c r="C139" i="8"/>
  <c r="F139" i="8" s="1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F85" i="8" s="1"/>
  <c r="C87" i="8"/>
  <c r="C89" i="8"/>
  <c r="F89" i="8" s="1"/>
  <c r="C91" i="8"/>
  <c r="C143" i="8"/>
  <c r="C145" i="8"/>
  <c r="F145" i="8" s="1"/>
  <c r="C64" i="8"/>
  <c r="C65" i="8"/>
  <c r="C66" i="8"/>
  <c r="C103" i="8"/>
  <c r="C55" i="8"/>
  <c r="C56" i="8"/>
  <c r="C57" i="8"/>
  <c r="F57" i="8" s="1"/>
  <c r="C59" i="8"/>
  <c r="D135" i="8"/>
  <c r="D140" i="8"/>
  <c r="D147" i="8"/>
  <c r="D212" i="8"/>
  <c r="D17" i="8"/>
  <c r="C50" i="8"/>
  <c r="F50" i="8" s="1"/>
  <c r="C51" i="8"/>
  <c r="F51" i="8" s="1"/>
  <c r="C52" i="8"/>
  <c r="F52" i="8" s="1"/>
  <c r="C53" i="8"/>
  <c r="F53" i="8" s="1"/>
  <c r="C58" i="8"/>
  <c r="C60" i="8"/>
  <c r="C215" i="8"/>
  <c r="F215" i="8" s="1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F40" i="8" s="1"/>
  <c r="C19" i="8"/>
  <c r="C116" i="8"/>
  <c r="F116" i="8" s="1"/>
  <c r="C20" i="8"/>
  <c r="C41" i="8"/>
  <c r="F41" i="8" s="1"/>
  <c r="C21" i="8"/>
  <c r="F21" i="8" s="1"/>
  <c r="C117" i="8"/>
  <c r="F117" i="8" s="1"/>
  <c r="C22" i="8"/>
  <c r="F22" i="8" s="1"/>
  <c r="C42" i="8"/>
  <c r="C23" i="8"/>
  <c r="F23" i="8" s="1"/>
  <c r="C118" i="8"/>
  <c r="F118" i="8" s="1"/>
  <c r="C24" i="8"/>
  <c r="F24" i="8" s="1"/>
  <c r="C46" i="8"/>
  <c r="F46" i="8" s="1"/>
  <c r="C25" i="8"/>
  <c r="F25" i="8" s="1"/>
  <c r="C119" i="8"/>
  <c r="F119" i="8" s="1"/>
  <c r="C26" i="8"/>
  <c r="F26" i="8" s="1"/>
  <c r="C47" i="8"/>
  <c r="F47" i="8" s="1"/>
  <c r="C27" i="8"/>
  <c r="C28" i="8"/>
  <c r="F28" i="8" s="1"/>
  <c r="C120" i="8"/>
  <c r="F120" i="8" s="1"/>
  <c r="C29" i="8"/>
  <c r="F29" i="8" s="1"/>
  <c r="C48" i="8"/>
  <c r="F48" i="8" s="1"/>
  <c r="C30" i="8"/>
  <c r="F30" i="8" s="1"/>
  <c r="C121" i="8"/>
  <c r="F121" i="8" s="1"/>
  <c r="C49" i="8"/>
  <c r="F49" i="8" s="1"/>
  <c r="C122" i="8"/>
  <c r="F122" i="8" s="1"/>
  <c r="C34" i="8"/>
  <c r="F34" i="8" s="1"/>
  <c r="C35" i="8"/>
  <c r="F35" i="8" s="1"/>
  <c r="C36" i="8"/>
  <c r="F36" i="8" s="1"/>
  <c r="C37" i="8"/>
  <c r="F37" i="8" s="1"/>
  <c r="C38" i="8"/>
  <c r="F38" i="8" s="1"/>
  <c r="C54" i="8"/>
  <c r="F54" i="8" s="1"/>
  <c r="C123" i="8"/>
  <c r="F123" i="8" s="1"/>
  <c r="C43" i="8"/>
  <c r="F43" i="8" s="1"/>
  <c r="C124" i="8"/>
  <c r="F124" i="8" s="1"/>
  <c r="C153" i="8"/>
  <c r="F153" i="8" s="1"/>
  <c r="C44" i="8"/>
  <c r="F44" i="8" s="1"/>
  <c r="C45" i="8"/>
  <c r="F45" i="8" s="1"/>
  <c r="C154" i="8"/>
  <c r="F154" i="8" s="1"/>
  <c r="C156" i="8"/>
  <c r="F156" i="8" s="1"/>
  <c r="C161" i="8"/>
  <c r="F161" i="8" s="1"/>
  <c r="C125" i="8"/>
  <c r="F125" i="8" s="1"/>
  <c r="C126" i="8"/>
  <c r="F126" i="8" s="1"/>
  <c r="C127" i="8"/>
  <c r="F127" i="8" s="1"/>
  <c r="C128" i="8"/>
  <c r="C129" i="8"/>
  <c r="F129" i="8" s="1"/>
  <c r="C67" i="8"/>
  <c r="F67" i="8" s="1"/>
  <c r="C130" i="8"/>
  <c r="F130" i="8" s="1"/>
  <c r="C68" i="8"/>
  <c r="F68" i="8" s="1"/>
  <c r="C131" i="8"/>
  <c r="F131" i="8" s="1"/>
  <c r="C69" i="8"/>
  <c r="F69" i="8" s="1"/>
  <c r="C132" i="8"/>
  <c r="F132" i="8" s="1"/>
  <c r="C70" i="8"/>
  <c r="F70" i="8" s="1"/>
  <c r="C133" i="8"/>
  <c r="F133" i="8" s="1"/>
  <c r="C71" i="8"/>
  <c r="F71" i="8" s="1"/>
  <c r="C134" i="8"/>
  <c r="F134" i="8" s="1"/>
  <c r="C72" i="8"/>
  <c r="F72" i="8" s="1"/>
  <c r="C136" i="8"/>
  <c r="F136" i="8" s="1"/>
  <c r="C73" i="8"/>
  <c r="F73" i="8" s="1"/>
  <c r="C138" i="8"/>
  <c r="F138" i="8" s="1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F164" i="8" s="1"/>
  <c r="C184" i="8"/>
  <c r="C187" i="8"/>
  <c r="F187" i="8" s="1"/>
  <c r="C165" i="8"/>
  <c r="F165" i="8" s="1"/>
  <c r="C107" i="8"/>
  <c r="F107" i="8" s="1"/>
  <c r="C108" i="8"/>
  <c r="F108" i="8" s="1"/>
  <c r="C109" i="8"/>
  <c r="F109" i="8" s="1"/>
  <c r="C166" i="8"/>
  <c r="F166" i="8" s="1"/>
  <c r="C167" i="8"/>
  <c r="F167" i="8" s="1"/>
  <c r="C168" i="8"/>
  <c r="F168" i="8" s="1"/>
  <c r="C169" i="8"/>
  <c r="F169" i="8" s="1"/>
  <c r="C160" i="8"/>
  <c r="F160" i="8" s="1"/>
  <c r="C162" i="8"/>
  <c r="C175" i="8"/>
  <c r="C170" i="8"/>
  <c r="C171" i="8"/>
  <c r="C172" i="8"/>
  <c r="F172" i="8" s="1"/>
  <c r="C173" i="8"/>
  <c r="C81" i="8"/>
  <c r="F81" i="8" s="1"/>
  <c r="C192" i="8"/>
  <c r="C82" i="8"/>
  <c r="F82" i="8" s="1"/>
  <c r="C205" i="8"/>
  <c r="C86" i="8"/>
  <c r="C214" i="8"/>
  <c r="C195" i="8"/>
  <c r="F195" i="8" s="1"/>
  <c r="C96" i="8"/>
  <c r="C98" i="8"/>
  <c r="F98" i="8" s="1"/>
  <c r="C196" i="8"/>
  <c r="F196" i="8" s="1"/>
  <c r="C197" i="8"/>
  <c r="F197" i="8" s="1"/>
  <c r="C176" i="8"/>
  <c r="C198" i="8"/>
  <c r="F198" i="8" s="1"/>
  <c r="C201" i="8"/>
  <c r="C199" i="8"/>
  <c r="F199" i="8" s="1"/>
  <c r="C200" i="8"/>
  <c r="C135" i="8"/>
  <c r="C137" i="8"/>
  <c r="F137" i="8" s="1"/>
  <c r="C157" i="8"/>
  <c r="C159" i="8"/>
  <c r="C144" i="8"/>
  <c r="F144" i="8" s="1"/>
  <c r="C146" i="8"/>
  <c r="C183" i="8"/>
  <c r="F183" i="8" s="1"/>
  <c r="C188" i="8"/>
  <c r="C202" i="8"/>
  <c r="C203" i="8"/>
  <c r="C110" i="8"/>
  <c r="C209" i="8"/>
  <c r="F209" i="8" s="1"/>
  <c r="C111" i="8"/>
  <c r="C31" i="8"/>
  <c r="C112" i="8"/>
  <c r="F112" i="8" s="1"/>
  <c r="C32" i="8"/>
  <c r="C113" i="8"/>
  <c r="F113" i="8" s="1"/>
  <c r="C33" i="8"/>
  <c r="F33" i="8" s="1"/>
  <c r="C114" i="8"/>
  <c r="F114" i="8" s="1"/>
  <c r="C39" i="8"/>
  <c r="C115" i="8"/>
  <c r="F115" i="8" s="1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M21" i="1"/>
  <c r="P10" i="1" s="1" a="1"/>
  <c r="F87" i="8" l="1"/>
  <c r="F152" i="8"/>
  <c r="F185" i="8"/>
  <c r="F18" i="8"/>
  <c r="F19" i="8"/>
  <c r="F20" i="8"/>
  <c r="F27" i="8"/>
  <c r="F170" i="8"/>
  <c r="F171" i="8"/>
  <c r="F192" i="8"/>
  <c r="F188" i="8"/>
  <c r="F110" i="8"/>
  <c r="F111" i="8"/>
  <c r="F61" i="8"/>
  <c r="F101" i="8"/>
  <c r="F93" i="8"/>
  <c r="F180" i="8"/>
  <c r="F206" i="8"/>
  <c r="F83" i="8"/>
  <c r="F91" i="8"/>
  <c r="F103" i="8"/>
  <c r="F55" i="8"/>
  <c r="F56" i="8"/>
  <c r="F59" i="8"/>
  <c r="F58" i="8"/>
  <c r="F42" i="8"/>
  <c r="F182" i="8"/>
  <c r="F158" i="8"/>
  <c r="F174" i="8"/>
  <c r="F190" i="8"/>
  <c r="F151" i="8"/>
  <c r="F163" i="8"/>
  <c r="F162" i="8"/>
  <c r="F200" i="8"/>
  <c r="F39" i="8"/>
  <c r="F211" i="8"/>
  <c r="F88" i="8"/>
  <c r="F181" i="8"/>
  <c r="F208" i="8"/>
  <c r="F194" i="8"/>
  <c r="F140" i="8"/>
  <c r="F105" i="8"/>
  <c r="F142" i="8"/>
  <c r="F92" i="8"/>
  <c r="F102" i="8"/>
  <c r="F143" i="8"/>
  <c r="F64" i="8"/>
  <c r="F65" i="8"/>
  <c r="F66" i="8"/>
  <c r="F128" i="8"/>
  <c r="F205" i="8"/>
  <c r="F63" i="8"/>
  <c r="F74" i="8"/>
  <c r="F141" i="8"/>
  <c r="F75" i="8"/>
  <c r="F178" i="8"/>
  <c r="F76" i="8"/>
  <c r="F77" i="8"/>
  <c r="F155" i="8"/>
  <c r="F78" i="8"/>
  <c r="F79" i="8"/>
  <c r="F80" i="8"/>
  <c r="F17" i="8"/>
  <c r="J22" i="8" s="1" a="1"/>
  <c r="J22" i="8" s="1"/>
  <c r="F147" i="8"/>
  <c r="F173" i="8"/>
  <c r="F62" i="8"/>
  <c r="F184" i="8"/>
  <c r="F175" i="8"/>
  <c r="F86" i="8"/>
  <c r="F214" i="8"/>
  <c r="F96" i="8"/>
  <c r="F176" i="8"/>
  <c r="F201" i="8"/>
  <c r="F135" i="8"/>
  <c r="F157" i="8"/>
  <c r="F159" i="8"/>
  <c r="F146" i="8"/>
  <c r="F202" i="8"/>
  <c r="F203" i="8"/>
  <c r="F31" i="8"/>
  <c r="F32" i="8"/>
  <c r="F179" i="8"/>
  <c r="F148" i="8"/>
  <c r="F207" i="8"/>
  <c r="F60" i="8"/>
  <c r="F191" i="8"/>
  <c r="F210" i="8"/>
  <c r="F149" i="8"/>
  <c r="F212" i="8"/>
  <c r="F216" i="8"/>
  <c r="F94" i="8"/>
  <c r="F99" i="8"/>
  <c r="F90" i="8"/>
  <c r="P10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<sst xmlns="http://schemas.openxmlformats.org/spreadsheetml/2006/main" count="201" uniqueCount="156">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</sst>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30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7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6"/>
      <tableStyleElement type="headerRow" dxfId="35"/>
      <tableStyleElement type="totalRow" dxfId="34"/>
      <tableStyleElement type="firstColumnStripe" dxfId="33"/>
      <tableStyleElement type="firstHeaderCell" dxfId="32"/>
      <tableStyleElement type="firstSubtotalColumn" dxfId="31"/>
      <tableStyleElement type="firstSubtotalRow" dxfId="30"/>
      <tableStyleElement type="secondSubtotalRow" dxfId="29"/>
      <tableStyleElement type="firstRowSubheading" dxfId="28"/>
      <tableStyleElement type="secondRowSubheading" dxfId="27"/>
      <tableStyleElement type="pageFieldLabels" dxfId="26"/>
      <tableStyleElement type="pageFieldValues" dxfId="25"/>
    </tableStyle>
    <tableStyle name="Biegert Table Standard" pivot="0" count="7" xr9:uid="{95B43237-2845-4068-A415-A5A3E7804959}">
      <tableStyleElement type="wholeTable" dxfId="24"/>
      <tableStyleElement type="headerRow" dxfId="23"/>
      <tableStyleElement type="totalRow" dxfId="22"/>
      <tableStyleElement type="firstColumn" dxfId="21"/>
      <tableStyleElement type="lastColumn" dxfId="20"/>
      <tableStyleElement type="firstRowStripe" dxfId="19"/>
      <tableStyleElement type="firstColumnStripe" dxfId="18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22/11/relationships/FeaturePropertyBag" Target="featurePropertyBag/featurePropertyBag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23/09/relationships/Python" Target="pyth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ROBF!$C$17:$C$216</c:f>
              <c:numCache>
                <c:formatCode>General</c:formatCode>
                <c:ptCount val="200"/>
                <c:pt idx="0">
                  <c:v>1314.2135623730949</c:v>
                </c:pt>
                <c:pt idx="1">
                  <c:v>1315.3387689444958</c:v>
                </c:pt>
                <c:pt idx="2">
                  <c:v>1316.4639755158964</c:v>
                </c:pt>
                <c:pt idx="3">
                  <c:v>1317.5891820872973</c:v>
                </c:pt>
                <c:pt idx="4">
                  <c:v>1318.714388658698</c:v>
                </c:pt>
                <c:pt idx="5">
                  <c:v>1319.8395952300989</c:v>
                </c:pt>
                <c:pt idx="6">
                  <c:v>1320.9648018014996</c:v>
                </c:pt>
                <c:pt idx="7">
                  <c:v>1322.0900083729005</c:v>
                </c:pt>
                <c:pt idx="8">
                  <c:v>1323.2152149443014</c:v>
                </c:pt>
                <c:pt idx="9">
                  <c:v>1324.340421515702</c:v>
                </c:pt>
                <c:pt idx="10">
                  <c:v>1325.4656280871029</c:v>
                </c:pt>
                <c:pt idx="11">
                  <c:v>1326.5908346585036</c:v>
                </c:pt>
                <c:pt idx="12">
                  <c:v>1327.7160412299045</c:v>
                </c:pt>
                <c:pt idx="13">
                  <c:v>1328.8412478013051</c:v>
                </c:pt>
                <c:pt idx="14">
                  <c:v>1329.966454372706</c:v>
                </c:pt>
                <c:pt idx="15">
                  <c:v>1331.0916609441069</c:v>
                </c:pt>
                <c:pt idx="16">
                  <c:v>1332.2168675155076</c:v>
                </c:pt>
                <c:pt idx="17">
                  <c:v>1333.3420740869085</c:v>
                </c:pt>
                <c:pt idx="18">
                  <c:v>1334.4672806583092</c:v>
                </c:pt>
                <c:pt idx="19">
                  <c:v>1335.5924872297101</c:v>
                </c:pt>
                <c:pt idx="20">
                  <c:v>1336.7176938011107</c:v>
                </c:pt>
                <c:pt idx="21">
                  <c:v>1337.8429003725116</c:v>
                </c:pt>
                <c:pt idx="22">
                  <c:v>1338.9681069439125</c:v>
                </c:pt>
                <c:pt idx="23">
                  <c:v>1340.0933135153132</c:v>
                </c:pt>
                <c:pt idx="24">
                  <c:v>1341.2185200867141</c:v>
                </c:pt>
                <c:pt idx="25">
                  <c:v>1342.3437266581147</c:v>
                </c:pt>
                <c:pt idx="26">
                  <c:v>1343.4689332295156</c:v>
                </c:pt>
                <c:pt idx="27">
                  <c:v>1344.5941398009163</c:v>
                </c:pt>
                <c:pt idx="28">
                  <c:v>1345.7193463723172</c:v>
                </c:pt>
                <c:pt idx="29">
                  <c:v>1346.8445529437181</c:v>
                </c:pt>
                <c:pt idx="30">
                  <c:v>1347.9697595151188</c:v>
                </c:pt>
                <c:pt idx="31">
                  <c:v>1349.0949660865197</c:v>
                </c:pt>
                <c:pt idx="32">
                  <c:v>1350.2201726579203</c:v>
                </c:pt>
                <c:pt idx="33">
                  <c:v>1351.3453792293212</c:v>
                </c:pt>
                <c:pt idx="34">
                  <c:v>1352.4705858007219</c:v>
                </c:pt>
                <c:pt idx="35">
                  <c:v>1353.5957923721228</c:v>
                </c:pt>
                <c:pt idx="36">
                  <c:v>1354.7209989435237</c:v>
                </c:pt>
                <c:pt idx="37">
                  <c:v>1355.8462055149243</c:v>
                </c:pt>
                <c:pt idx="38">
                  <c:v>1356.9714120863252</c:v>
                </c:pt>
                <c:pt idx="39">
                  <c:v>1358.0966186577259</c:v>
                </c:pt>
                <c:pt idx="40">
                  <c:v>1359.2218252291268</c:v>
                </c:pt>
                <c:pt idx="41">
                  <c:v>1360.3470318005275</c:v>
                </c:pt>
                <c:pt idx="42">
                  <c:v>1361.4722383719284</c:v>
                </c:pt>
                <c:pt idx="43">
                  <c:v>1362.5974449433293</c:v>
                </c:pt>
                <c:pt idx="44">
                  <c:v>1363.7226515147299</c:v>
                </c:pt>
                <c:pt idx="45">
                  <c:v>1364.8478580861308</c:v>
                </c:pt>
                <c:pt idx="46">
                  <c:v>1365.9730646575315</c:v>
                </c:pt>
                <c:pt idx="47">
                  <c:v>1367.0982712289324</c:v>
                </c:pt>
                <c:pt idx="48">
                  <c:v>1368.2234778003331</c:v>
                </c:pt>
                <c:pt idx="49">
                  <c:v>1369.348684371734</c:v>
                </c:pt>
                <c:pt idx="50">
                  <c:v>1370.4738909431348</c:v>
                </c:pt>
                <c:pt idx="51">
                  <c:v>1371.5990975145355</c:v>
                </c:pt>
                <c:pt idx="52">
                  <c:v>1372.7243040859364</c:v>
                </c:pt>
                <c:pt idx="53">
                  <c:v>1373.8495106573371</c:v>
                </c:pt>
                <c:pt idx="54">
                  <c:v>1374.974717228738</c:v>
                </c:pt>
                <c:pt idx="55">
                  <c:v>1376.0999238001386</c:v>
                </c:pt>
                <c:pt idx="56">
                  <c:v>1377.2251303715395</c:v>
                </c:pt>
                <c:pt idx="57">
                  <c:v>1378.3503369429404</c:v>
                </c:pt>
                <c:pt idx="58">
                  <c:v>1379.4755435143411</c:v>
                </c:pt>
                <c:pt idx="59">
                  <c:v>1380.600750085742</c:v>
                </c:pt>
                <c:pt idx="60">
                  <c:v>1381.7259566571427</c:v>
                </c:pt>
                <c:pt idx="61">
                  <c:v>1382.8511632285436</c:v>
                </c:pt>
                <c:pt idx="62">
                  <c:v>1383.9763697999442</c:v>
                </c:pt>
                <c:pt idx="63">
                  <c:v>1385.1015763713451</c:v>
                </c:pt>
                <c:pt idx="64">
                  <c:v>1386.226782942746</c:v>
                </c:pt>
                <c:pt idx="65">
                  <c:v>1387.3519895141467</c:v>
                </c:pt>
                <c:pt idx="66">
                  <c:v>1388.4771960855476</c:v>
                </c:pt>
                <c:pt idx="67">
                  <c:v>1389.6024026569482</c:v>
                </c:pt>
                <c:pt idx="68">
                  <c:v>1390.7276092283491</c:v>
                </c:pt>
                <c:pt idx="69">
                  <c:v>1391.8528157997498</c:v>
                </c:pt>
                <c:pt idx="70">
                  <c:v>1392.9780223711507</c:v>
                </c:pt>
                <c:pt idx="71">
                  <c:v>1394.1032289425516</c:v>
                </c:pt>
                <c:pt idx="72">
                  <c:v>1395.2284355139523</c:v>
                </c:pt>
                <c:pt idx="73">
                  <c:v>1396.3536420853532</c:v>
                </c:pt>
                <c:pt idx="74">
                  <c:v>1397.4788486567538</c:v>
                </c:pt>
                <c:pt idx="75">
                  <c:v>1398.6040552281547</c:v>
                </c:pt>
                <c:pt idx="76">
                  <c:v>1399.7292617995554</c:v>
                </c:pt>
                <c:pt idx="77">
                  <c:v>1400.8544683709563</c:v>
                </c:pt>
                <c:pt idx="78">
                  <c:v>1401.9796749423572</c:v>
                </c:pt>
                <c:pt idx="79">
                  <c:v>1403.1048815137578</c:v>
                </c:pt>
                <c:pt idx="80">
                  <c:v>1404.2300880851587</c:v>
                </c:pt>
                <c:pt idx="81">
                  <c:v>1405.3552946565594</c:v>
                </c:pt>
                <c:pt idx="82">
                  <c:v>1406.4805012279603</c:v>
                </c:pt>
                <c:pt idx="83">
                  <c:v>1407.605707799361</c:v>
                </c:pt>
                <c:pt idx="84">
                  <c:v>1408.7309143707619</c:v>
                </c:pt>
                <c:pt idx="85">
                  <c:v>1409.8561209421628</c:v>
                </c:pt>
                <c:pt idx="86">
                  <c:v>1410.9813275135634</c:v>
                </c:pt>
                <c:pt idx="87">
                  <c:v>1412.1065340849643</c:v>
                </c:pt>
                <c:pt idx="88">
                  <c:v>1413.231740656365</c:v>
                </c:pt>
                <c:pt idx="89">
                  <c:v>1414.3569472277659</c:v>
                </c:pt>
                <c:pt idx="90">
                  <c:v>1415.4821537991666</c:v>
                </c:pt>
                <c:pt idx="91">
                  <c:v>1416.6073603705674</c:v>
                </c:pt>
                <c:pt idx="92">
                  <c:v>1417.7325669419683</c:v>
                </c:pt>
                <c:pt idx="93">
                  <c:v>1418.857773513369</c:v>
                </c:pt>
                <c:pt idx="94">
                  <c:v>1419.9829800847699</c:v>
                </c:pt>
                <c:pt idx="95">
                  <c:v>1421.1081866561706</c:v>
                </c:pt>
                <c:pt idx="96">
                  <c:v>1422.2333932275715</c:v>
                </c:pt>
                <c:pt idx="97">
                  <c:v>1423.3585997989721</c:v>
                </c:pt>
                <c:pt idx="98">
                  <c:v>1424.483806370373</c:v>
                </c:pt>
                <c:pt idx="99">
                  <c:v>1425.6090129417737</c:v>
                </c:pt>
                <c:pt idx="100">
                  <c:v>1426.7342195131746</c:v>
                </c:pt>
                <c:pt idx="101">
                  <c:v>1427.8594260845755</c:v>
                </c:pt>
                <c:pt idx="102">
                  <c:v>1428.9846326559762</c:v>
                </c:pt>
                <c:pt idx="103">
                  <c:v>1430.1098392273771</c:v>
                </c:pt>
                <c:pt idx="104">
                  <c:v>1431.2350457987777</c:v>
                </c:pt>
                <c:pt idx="105">
                  <c:v>1432.3602523701786</c:v>
                </c:pt>
                <c:pt idx="106">
                  <c:v>1433.4854589415793</c:v>
                </c:pt>
                <c:pt idx="107">
                  <c:v>1434.6106655129802</c:v>
                </c:pt>
                <c:pt idx="108">
                  <c:v>1435.7358720843811</c:v>
                </c:pt>
                <c:pt idx="109">
                  <c:v>1436.8610786557817</c:v>
                </c:pt>
                <c:pt idx="110">
                  <c:v>1437.9862852271826</c:v>
                </c:pt>
                <c:pt idx="111">
                  <c:v>1439.1114917985833</c:v>
                </c:pt>
                <c:pt idx="112">
                  <c:v>1440.2366983699842</c:v>
                </c:pt>
                <c:pt idx="113">
                  <c:v>1441.3619049413849</c:v>
                </c:pt>
                <c:pt idx="114">
                  <c:v>1442.4871115127858</c:v>
                </c:pt>
                <c:pt idx="115">
                  <c:v>1443.6123180841867</c:v>
                </c:pt>
                <c:pt idx="116">
                  <c:v>1444.7375246555873</c:v>
                </c:pt>
                <c:pt idx="117">
                  <c:v>1445.8627312269882</c:v>
                </c:pt>
                <c:pt idx="118">
                  <c:v>1446.9879377983889</c:v>
                </c:pt>
                <c:pt idx="119">
                  <c:v>1448.1131443697898</c:v>
                </c:pt>
                <c:pt idx="120">
                  <c:v>1449.2383509411907</c:v>
                </c:pt>
                <c:pt idx="121">
                  <c:v>1450.3635575125913</c:v>
                </c:pt>
                <c:pt idx="122">
                  <c:v>1451.4887640839922</c:v>
                </c:pt>
                <c:pt idx="123">
                  <c:v>1452.6139706553929</c:v>
                </c:pt>
                <c:pt idx="124">
                  <c:v>1453.7391772267938</c:v>
                </c:pt>
                <c:pt idx="125">
                  <c:v>1454.8643837981945</c:v>
                </c:pt>
                <c:pt idx="126">
                  <c:v>1455.9895903695954</c:v>
                </c:pt>
                <c:pt idx="127">
                  <c:v>1457.114796940996</c:v>
                </c:pt>
                <c:pt idx="128">
                  <c:v>1458.2400035123969</c:v>
                </c:pt>
                <c:pt idx="129">
                  <c:v>1459.3652100837978</c:v>
                </c:pt>
                <c:pt idx="130">
                  <c:v>1460.4904166551985</c:v>
                </c:pt>
                <c:pt idx="131">
                  <c:v>1461.6156232265994</c:v>
                </c:pt>
                <c:pt idx="132">
                  <c:v>1462.740829798</c:v>
                </c:pt>
                <c:pt idx="133">
                  <c:v>1463.8660363694009</c:v>
                </c:pt>
                <c:pt idx="134">
                  <c:v>1464.9912429408016</c:v>
                </c:pt>
                <c:pt idx="135">
                  <c:v>1466.1164495122025</c:v>
                </c:pt>
                <c:pt idx="136">
                  <c:v>1467.2416560836032</c:v>
                </c:pt>
                <c:pt idx="137">
                  <c:v>1468.3668626550041</c:v>
                </c:pt>
                <c:pt idx="138">
                  <c:v>1469.492069226405</c:v>
                </c:pt>
                <c:pt idx="139">
                  <c:v>1470.6172757978056</c:v>
                </c:pt>
                <c:pt idx="140">
                  <c:v>1471.7424823692065</c:v>
                </c:pt>
                <c:pt idx="141">
                  <c:v>1472.8676889406072</c:v>
                </c:pt>
                <c:pt idx="142">
                  <c:v>1473.9928955120081</c:v>
                </c:pt>
                <c:pt idx="143">
                  <c:v>1475.1181020834088</c:v>
                </c:pt>
                <c:pt idx="144">
                  <c:v>1476.2433086548097</c:v>
                </c:pt>
                <c:pt idx="145">
                  <c:v>1477.3685152262105</c:v>
                </c:pt>
                <c:pt idx="146">
                  <c:v>1478.4937217976112</c:v>
                </c:pt>
                <c:pt idx="147">
                  <c:v>1479.6189283690121</c:v>
                </c:pt>
                <c:pt idx="148">
                  <c:v>1480.7441349404128</c:v>
                </c:pt>
                <c:pt idx="149">
                  <c:v>1481.8693415118137</c:v>
                </c:pt>
                <c:pt idx="150">
                  <c:v>1482.9945480832143</c:v>
                </c:pt>
                <c:pt idx="151">
                  <c:v>1484.1197546546152</c:v>
                </c:pt>
                <c:pt idx="152">
                  <c:v>1485.2449612260161</c:v>
                </c:pt>
                <c:pt idx="153">
                  <c:v>1486.3701677974168</c:v>
                </c:pt>
                <c:pt idx="154">
                  <c:v>1487.4953743688177</c:v>
                </c:pt>
                <c:pt idx="155">
                  <c:v>1488.6205809402184</c:v>
                </c:pt>
                <c:pt idx="156">
                  <c:v>1489.7457875116193</c:v>
                </c:pt>
                <c:pt idx="157">
                  <c:v>1490.8709940830199</c:v>
                </c:pt>
                <c:pt idx="158">
                  <c:v>1491.9962006544208</c:v>
                </c:pt>
                <c:pt idx="159">
                  <c:v>1493.1214072258217</c:v>
                </c:pt>
                <c:pt idx="160">
                  <c:v>1494.2466137972224</c:v>
                </c:pt>
                <c:pt idx="161">
                  <c:v>1495.3718203686233</c:v>
                </c:pt>
                <c:pt idx="162">
                  <c:v>1496.4970269400239</c:v>
                </c:pt>
                <c:pt idx="163">
                  <c:v>1497.6222335114248</c:v>
                </c:pt>
                <c:pt idx="164">
                  <c:v>1498.7474400828255</c:v>
                </c:pt>
                <c:pt idx="165">
                  <c:v>1499.8726466542264</c:v>
                </c:pt>
                <c:pt idx="166">
                  <c:v>1500.9978532256273</c:v>
                </c:pt>
                <c:pt idx="167">
                  <c:v>1502.123059797028</c:v>
                </c:pt>
                <c:pt idx="168">
                  <c:v>1503.2482663684289</c:v>
                </c:pt>
                <c:pt idx="169">
                  <c:v>1504.3734729398295</c:v>
                </c:pt>
                <c:pt idx="170">
                  <c:v>1505.4986795112304</c:v>
                </c:pt>
                <c:pt idx="171">
                  <c:v>1506.6238860826311</c:v>
                </c:pt>
                <c:pt idx="172">
                  <c:v>1507.749092654032</c:v>
                </c:pt>
                <c:pt idx="173">
                  <c:v>1508.8742992254329</c:v>
                </c:pt>
                <c:pt idx="174">
                  <c:v>1509.9995057968335</c:v>
                </c:pt>
                <c:pt idx="175">
                  <c:v>1511.1247123682344</c:v>
                </c:pt>
                <c:pt idx="176">
                  <c:v>1512.2499189396351</c:v>
                </c:pt>
                <c:pt idx="177">
                  <c:v>1513.375125511036</c:v>
                </c:pt>
                <c:pt idx="178">
                  <c:v>1514.5003320824367</c:v>
                </c:pt>
                <c:pt idx="179">
                  <c:v>1515.6255386538376</c:v>
                </c:pt>
                <c:pt idx="180">
                  <c:v>1516.7507452252385</c:v>
                </c:pt>
                <c:pt idx="181">
                  <c:v>1517.8759517966391</c:v>
                </c:pt>
                <c:pt idx="182">
                  <c:v>1519.00115836804</c:v>
                </c:pt>
                <c:pt idx="183">
                  <c:v>1520.1263649394407</c:v>
                </c:pt>
                <c:pt idx="184">
                  <c:v>1521.2515715108416</c:v>
                </c:pt>
                <c:pt idx="185">
                  <c:v>1522.3767780822423</c:v>
                </c:pt>
                <c:pt idx="186">
                  <c:v>1523.5019846536431</c:v>
                </c:pt>
                <c:pt idx="187">
                  <c:v>1524.627191225044</c:v>
                </c:pt>
                <c:pt idx="188">
                  <c:v>1525.7523977964447</c:v>
                </c:pt>
                <c:pt idx="189">
                  <c:v>1526.8776043678456</c:v>
                </c:pt>
                <c:pt idx="190">
                  <c:v>1528.0028109392463</c:v>
                </c:pt>
                <c:pt idx="191">
                  <c:v>1529.1280175106472</c:v>
                </c:pt>
                <c:pt idx="192">
                  <c:v>1530.2532240820478</c:v>
                </c:pt>
                <c:pt idx="193">
                  <c:v>1531.3784306534487</c:v>
                </c:pt>
                <c:pt idx="194">
                  <c:v>1532.5036372248496</c:v>
                </c:pt>
                <c:pt idx="195">
                  <c:v>1533.6288437962503</c:v>
                </c:pt>
                <c:pt idx="196">
                  <c:v>1534.7540503676512</c:v>
                </c:pt>
                <c:pt idx="197">
                  <c:v>1535.8792569390519</c:v>
                </c:pt>
                <c:pt idx="198">
                  <c:v>1537.0044635104528</c:v>
                </c:pt>
                <c:pt idx="199">
                  <c:v>1538.1296700818534</c:v>
                </c:pt>
              </c:numCache>
            </c:numRef>
          </c:xVal>
          <c:yVal>
            <c:numRef>
              <c:f>ROBF!$D$17:$D$216</c:f>
              <c:numCache>
                <c:formatCode>General</c:formatCode>
                <c:ptCount val="200"/>
                <c:pt idx="0">
                  <c:v>1414.2135623730951</c:v>
                </c:pt>
                <c:pt idx="1">
                  <c:v>1414.2135623730951</c:v>
                </c:pt>
                <c:pt idx="2">
                  <c:v>1414.2135623730951</c:v>
                </c:pt>
                <c:pt idx="3">
                  <c:v>1414.2135623730951</c:v>
                </c:pt>
                <c:pt idx="4">
                  <c:v>1414.2135623730951</c:v>
                </c:pt>
                <c:pt idx="5">
                  <c:v>1414.2135623730951</c:v>
                </c:pt>
                <c:pt idx="6">
                  <c:v>1414.2135623730951</c:v>
                </c:pt>
                <c:pt idx="7">
                  <c:v>1414.2135623730951</c:v>
                </c:pt>
                <c:pt idx="8">
                  <c:v>1414.2135623730951</c:v>
                </c:pt>
                <c:pt idx="9">
                  <c:v>1414.2135623730951</c:v>
                </c:pt>
                <c:pt idx="10">
                  <c:v>1414.2135623730951</c:v>
                </c:pt>
                <c:pt idx="11">
                  <c:v>1414.2135623730951</c:v>
                </c:pt>
                <c:pt idx="12">
                  <c:v>1414.2135623730951</c:v>
                </c:pt>
                <c:pt idx="13">
                  <c:v>1414.2135623730951</c:v>
                </c:pt>
                <c:pt idx="14">
                  <c:v>1414.2135623730951</c:v>
                </c:pt>
                <c:pt idx="15">
                  <c:v>1414.2135623730951</c:v>
                </c:pt>
                <c:pt idx="16">
                  <c:v>1414.2135623730951</c:v>
                </c:pt>
                <c:pt idx="17">
                  <c:v>1414.2135623730951</c:v>
                </c:pt>
                <c:pt idx="18">
                  <c:v>1414.2135623730951</c:v>
                </c:pt>
                <c:pt idx="19">
                  <c:v>1414.2135623730951</c:v>
                </c:pt>
                <c:pt idx="20">
                  <c:v>1414.2135623730951</c:v>
                </c:pt>
                <c:pt idx="21">
                  <c:v>1414.2135623730951</c:v>
                </c:pt>
                <c:pt idx="22">
                  <c:v>1414.2135623730951</c:v>
                </c:pt>
                <c:pt idx="23">
                  <c:v>1414.2135623730951</c:v>
                </c:pt>
                <c:pt idx="24">
                  <c:v>1414.2135623730951</c:v>
                </c:pt>
                <c:pt idx="25">
                  <c:v>1414.2135623730951</c:v>
                </c:pt>
                <c:pt idx="26">
                  <c:v>1414.2135623730951</c:v>
                </c:pt>
                <c:pt idx="27">
                  <c:v>1414.2135623730951</c:v>
                </c:pt>
                <c:pt idx="28">
                  <c:v>1414.2135623730951</c:v>
                </c:pt>
                <c:pt idx="29">
                  <c:v>1414.2135623730951</c:v>
                </c:pt>
                <c:pt idx="30">
                  <c:v>1414.2135623730951</c:v>
                </c:pt>
                <c:pt idx="31">
                  <c:v>1414.2135623730951</c:v>
                </c:pt>
                <c:pt idx="32">
                  <c:v>1414.2135623730951</c:v>
                </c:pt>
                <c:pt idx="33">
                  <c:v>1414.2135623730951</c:v>
                </c:pt>
                <c:pt idx="34">
                  <c:v>1414.2135623730951</c:v>
                </c:pt>
                <c:pt idx="35">
                  <c:v>1414.2135623730951</c:v>
                </c:pt>
                <c:pt idx="36">
                  <c:v>1414.2135623730951</c:v>
                </c:pt>
                <c:pt idx="37">
                  <c:v>1414.2135623730951</c:v>
                </c:pt>
                <c:pt idx="38">
                  <c:v>1414.2135623730951</c:v>
                </c:pt>
                <c:pt idx="39">
                  <c:v>1414.2135623730951</c:v>
                </c:pt>
                <c:pt idx="40">
                  <c:v>1414.2135623730951</c:v>
                </c:pt>
                <c:pt idx="41">
                  <c:v>1414.2135623730951</c:v>
                </c:pt>
                <c:pt idx="42">
                  <c:v>1414.2135623730951</c:v>
                </c:pt>
                <c:pt idx="43">
                  <c:v>1414.2135623730951</c:v>
                </c:pt>
                <c:pt idx="44">
                  <c:v>1414.2135623730951</c:v>
                </c:pt>
                <c:pt idx="45">
                  <c:v>1414.2135623730951</c:v>
                </c:pt>
                <c:pt idx="46">
                  <c:v>1414.2135623730951</c:v>
                </c:pt>
                <c:pt idx="47">
                  <c:v>1414.2135623730951</c:v>
                </c:pt>
                <c:pt idx="48">
                  <c:v>1414.2135623730951</c:v>
                </c:pt>
                <c:pt idx="49">
                  <c:v>1414.2135623730951</c:v>
                </c:pt>
                <c:pt idx="50">
                  <c:v>1414.2135623730951</c:v>
                </c:pt>
                <c:pt idx="51">
                  <c:v>1414.2135623730951</c:v>
                </c:pt>
                <c:pt idx="52">
                  <c:v>1414.2135623730951</c:v>
                </c:pt>
                <c:pt idx="53">
                  <c:v>1414.2135623730951</c:v>
                </c:pt>
                <c:pt idx="54">
                  <c:v>1414.2135623730951</c:v>
                </c:pt>
                <c:pt idx="55">
                  <c:v>1414.2135623730951</c:v>
                </c:pt>
                <c:pt idx="56">
                  <c:v>1414.2135623730951</c:v>
                </c:pt>
                <c:pt idx="57">
                  <c:v>1414.2135623730951</c:v>
                </c:pt>
                <c:pt idx="58">
                  <c:v>1414.2135623730951</c:v>
                </c:pt>
                <c:pt idx="59">
                  <c:v>1414.2135623730951</c:v>
                </c:pt>
                <c:pt idx="60">
                  <c:v>1414.2135623730951</c:v>
                </c:pt>
                <c:pt idx="61">
                  <c:v>1414.2135623730951</c:v>
                </c:pt>
                <c:pt idx="62">
                  <c:v>1414.2135623730951</c:v>
                </c:pt>
                <c:pt idx="63">
                  <c:v>1414.2135623730951</c:v>
                </c:pt>
                <c:pt idx="64">
                  <c:v>1414.2135623730951</c:v>
                </c:pt>
                <c:pt idx="65">
                  <c:v>1414.2135623730951</c:v>
                </c:pt>
                <c:pt idx="66">
                  <c:v>1414.2135623730951</c:v>
                </c:pt>
                <c:pt idx="67">
                  <c:v>1414.2135623730951</c:v>
                </c:pt>
                <c:pt idx="68">
                  <c:v>1414.2135623730951</c:v>
                </c:pt>
                <c:pt idx="69">
                  <c:v>1414.2135623730951</c:v>
                </c:pt>
                <c:pt idx="70">
                  <c:v>1414.2135623730951</c:v>
                </c:pt>
                <c:pt idx="71">
                  <c:v>1414.2135623730951</c:v>
                </c:pt>
                <c:pt idx="72">
                  <c:v>1414.2135623730951</c:v>
                </c:pt>
                <c:pt idx="73">
                  <c:v>1414.2135623730951</c:v>
                </c:pt>
                <c:pt idx="74">
                  <c:v>1414.2135623730951</c:v>
                </c:pt>
                <c:pt idx="75">
                  <c:v>1414.2135623730951</c:v>
                </c:pt>
                <c:pt idx="76">
                  <c:v>1414.2135623730951</c:v>
                </c:pt>
                <c:pt idx="77">
                  <c:v>1414.2135623730951</c:v>
                </c:pt>
                <c:pt idx="78">
                  <c:v>1414.2135623730951</c:v>
                </c:pt>
                <c:pt idx="79">
                  <c:v>1414.2135623730951</c:v>
                </c:pt>
                <c:pt idx="80">
                  <c:v>1414.2135623730951</c:v>
                </c:pt>
                <c:pt idx="81">
                  <c:v>1414.2135623730951</c:v>
                </c:pt>
                <c:pt idx="82">
                  <c:v>1414.2135623730951</c:v>
                </c:pt>
                <c:pt idx="83">
                  <c:v>1414.2135623730951</c:v>
                </c:pt>
                <c:pt idx="84">
                  <c:v>1414.2135623730951</c:v>
                </c:pt>
                <c:pt idx="85">
                  <c:v>1414.2135623730951</c:v>
                </c:pt>
                <c:pt idx="86">
                  <c:v>1414.2135623730951</c:v>
                </c:pt>
                <c:pt idx="87">
                  <c:v>1414.2135623730951</c:v>
                </c:pt>
                <c:pt idx="88">
                  <c:v>1414.2135623730951</c:v>
                </c:pt>
                <c:pt idx="89">
                  <c:v>1414.2135623730951</c:v>
                </c:pt>
                <c:pt idx="90">
                  <c:v>1414.2135623730951</c:v>
                </c:pt>
                <c:pt idx="91">
                  <c:v>1414.2135623730951</c:v>
                </c:pt>
                <c:pt idx="92">
                  <c:v>1414.2135623730951</c:v>
                </c:pt>
                <c:pt idx="93">
                  <c:v>1414.2135623730951</c:v>
                </c:pt>
                <c:pt idx="94">
                  <c:v>1414.2135623730951</c:v>
                </c:pt>
                <c:pt idx="95">
                  <c:v>1414.2135623730951</c:v>
                </c:pt>
                <c:pt idx="96">
                  <c:v>1414.2135623730951</c:v>
                </c:pt>
                <c:pt idx="97">
                  <c:v>1414.2135623730951</c:v>
                </c:pt>
                <c:pt idx="98">
                  <c:v>1414.2135623730951</c:v>
                </c:pt>
                <c:pt idx="99">
                  <c:v>1414.2135623730951</c:v>
                </c:pt>
                <c:pt idx="100">
                  <c:v>1414.2135623730951</c:v>
                </c:pt>
                <c:pt idx="101">
                  <c:v>1414.2135623730951</c:v>
                </c:pt>
                <c:pt idx="102">
                  <c:v>1414.2135623730951</c:v>
                </c:pt>
                <c:pt idx="103">
                  <c:v>1414.2135623730951</c:v>
                </c:pt>
                <c:pt idx="104">
                  <c:v>1414.2135623730951</c:v>
                </c:pt>
                <c:pt idx="105">
                  <c:v>1414.2135623730951</c:v>
                </c:pt>
                <c:pt idx="106">
                  <c:v>1414.2135623730951</c:v>
                </c:pt>
                <c:pt idx="107">
                  <c:v>1414.2135623730951</c:v>
                </c:pt>
                <c:pt idx="108">
                  <c:v>1414.2135623730951</c:v>
                </c:pt>
                <c:pt idx="109">
                  <c:v>1414.2135623730951</c:v>
                </c:pt>
                <c:pt idx="110">
                  <c:v>1414.2135623730951</c:v>
                </c:pt>
                <c:pt idx="111">
                  <c:v>1414.2135623730951</c:v>
                </c:pt>
                <c:pt idx="112">
                  <c:v>1414.2135623730951</c:v>
                </c:pt>
                <c:pt idx="113">
                  <c:v>1414.2135623730951</c:v>
                </c:pt>
                <c:pt idx="114">
                  <c:v>1414.2135623730951</c:v>
                </c:pt>
                <c:pt idx="115">
                  <c:v>1414.2135623730951</c:v>
                </c:pt>
                <c:pt idx="116">
                  <c:v>1414.2135623730951</c:v>
                </c:pt>
                <c:pt idx="117">
                  <c:v>1414.2135623730951</c:v>
                </c:pt>
                <c:pt idx="118">
                  <c:v>1414.2135623730951</c:v>
                </c:pt>
                <c:pt idx="119">
                  <c:v>1414.2135623730951</c:v>
                </c:pt>
                <c:pt idx="120">
                  <c:v>1414.2135623730951</c:v>
                </c:pt>
                <c:pt idx="121">
                  <c:v>1414.2135623730951</c:v>
                </c:pt>
                <c:pt idx="122">
                  <c:v>1414.2135623730951</c:v>
                </c:pt>
                <c:pt idx="123">
                  <c:v>1414.2135623730951</c:v>
                </c:pt>
                <c:pt idx="124">
                  <c:v>1414.2135623730951</c:v>
                </c:pt>
                <c:pt idx="125">
                  <c:v>1414.2135623730951</c:v>
                </c:pt>
                <c:pt idx="126">
                  <c:v>1414.2135623730951</c:v>
                </c:pt>
                <c:pt idx="127">
                  <c:v>1414.2135623730951</c:v>
                </c:pt>
                <c:pt idx="128">
                  <c:v>1414.2135623730951</c:v>
                </c:pt>
                <c:pt idx="129">
                  <c:v>1414.2135623730951</c:v>
                </c:pt>
                <c:pt idx="130">
                  <c:v>1414.2135623730951</c:v>
                </c:pt>
                <c:pt idx="131">
                  <c:v>1414.2135623730951</c:v>
                </c:pt>
                <c:pt idx="132">
                  <c:v>1414.2135623730951</c:v>
                </c:pt>
                <c:pt idx="133">
                  <c:v>1414.2135623730951</c:v>
                </c:pt>
                <c:pt idx="134">
                  <c:v>1414.2135623730951</c:v>
                </c:pt>
                <c:pt idx="135">
                  <c:v>1414.2135623730951</c:v>
                </c:pt>
                <c:pt idx="136">
                  <c:v>1414.2135623730951</c:v>
                </c:pt>
                <c:pt idx="137">
                  <c:v>1414.2135623730951</c:v>
                </c:pt>
                <c:pt idx="138">
                  <c:v>1414.2135623730951</c:v>
                </c:pt>
                <c:pt idx="139">
                  <c:v>1414.2135623730951</c:v>
                </c:pt>
                <c:pt idx="140">
                  <c:v>1414.2135623730951</c:v>
                </c:pt>
                <c:pt idx="141">
                  <c:v>1414.2135623730951</c:v>
                </c:pt>
                <c:pt idx="142">
                  <c:v>1414.2135623730951</c:v>
                </c:pt>
                <c:pt idx="143">
                  <c:v>1414.2135623730951</c:v>
                </c:pt>
                <c:pt idx="144">
                  <c:v>1414.2135623730951</c:v>
                </c:pt>
                <c:pt idx="145">
                  <c:v>1414.2135623730951</c:v>
                </c:pt>
                <c:pt idx="146">
                  <c:v>1414.2135623730951</c:v>
                </c:pt>
                <c:pt idx="147">
                  <c:v>1414.2135623730951</c:v>
                </c:pt>
                <c:pt idx="148">
                  <c:v>1414.2135623730951</c:v>
                </c:pt>
                <c:pt idx="149">
                  <c:v>1414.2135623730951</c:v>
                </c:pt>
                <c:pt idx="150">
                  <c:v>1414.2135623730951</c:v>
                </c:pt>
                <c:pt idx="151">
                  <c:v>1414.2135623730951</c:v>
                </c:pt>
                <c:pt idx="152">
                  <c:v>1414.2135623730951</c:v>
                </c:pt>
                <c:pt idx="153">
                  <c:v>1414.2135623730951</c:v>
                </c:pt>
                <c:pt idx="154">
                  <c:v>1414.2135623730951</c:v>
                </c:pt>
                <c:pt idx="155">
                  <c:v>1414.2135623730951</c:v>
                </c:pt>
                <c:pt idx="156">
                  <c:v>1414.2135623730951</c:v>
                </c:pt>
                <c:pt idx="157">
                  <c:v>1414.2135623730951</c:v>
                </c:pt>
                <c:pt idx="158">
                  <c:v>1414.2135623730951</c:v>
                </c:pt>
                <c:pt idx="159">
                  <c:v>1414.2135623730951</c:v>
                </c:pt>
                <c:pt idx="160">
                  <c:v>1414.2135623730951</c:v>
                </c:pt>
                <c:pt idx="161">
                  <c:v>1414.2135623730951</c:v>
                </c:pt>
                <c:pt idx="162">
                  <c:v>1414.2135623730951</c:v>
                </c:pt>
                <c:pt idx="163">
                  <c:v>1414.2135623730951</c:v>
                </c:pt>
                <c:pt idx="164">
                  <c:v>1414.2135623730951</c:v>
                </c:pt>
                <c:pt idx="165">
                  <c:v>1414.2135623730951</c:v>
                </c:pt>
                <c:pt idx="166">
                  <c:v>1414.2135623730951</c:v>
                </c:pt>
                <c:pt idx="167">
                  <c:v>1414.2135623730951</c:v>
                </c:pt>
                <c:pt idx="168">
                  <c:v>1414.2135623730951</c:v>
                </c:pt>
                <c:pt idx="169">
                  <c:v>1414.2135623730951</c:v>
                </c:pt>
                <c:pt idx="170">
                  <c:v>1414.2135623730951</c:v>
                </c:pt>
                <c:pt idx="171">
                  <c:v>1414.2135623730951</c:v>
                </c:pt>
                <c:pt idx="172">
                  <c:v>1414.2135623730951</c:v>
                </c:pt>
                <c:pt idx="173">
                  <c:v>1414.2135623730951</c:v>
                </c:pt>
                <c:pt idx="174">
                  <c:v>1414.2135623730951</c:v>
                </c:pt>
                <c:pt idx="175">
                  <c:v>1414.2135623730951</c:v>
                </c:pt>
                <c:pt idx="176">
                  <c:v>1414.2135623730951</c:v>
                </c:pt>
                <c:pt idx="177">
                  <c:v>1414.2135623730951</c:v>
                </c:pt>
                <c:pt idx="178">
                  <c:v>1414.2135623730951</c:v>
                </c:pt>
                <c:pt idx="179">
                  <c:v>1414.2135623730951</c:v>
                </c:pt>
                <c:pt idx="180">
                  <c:v>1414.2135623730951</c:v>
                </c:pt>
                <c:pt idx="181">
                  <c:v>1414.2135623730951</c:v>
                </c:pt>
                <c:pt idx="182">
                  <c:v>1414.2135623730951</c:v>
                </c:pt>
                <c:pt idx="183">
                  <c:v>1414.2135623730951</c:v>
                </c:pt>
                <c:pt idx="184">
                  <c:v>1414.2135623730951</c:v>
                </c:pt>
                <c:pt idx="185">
                  <c:v>1414.2135623730951</c:v>
                </c:pt>
                <c:pt idx="186">
                  <c:v>1414.2135623730951</c:v>
                </c:pt>
                <c:pt idx="187">
                  <c:v>1414.2135623730951</c:v>
                </c:pt>
                <c:pt idx="188">
                  <c:v>1414.2135623730951</c:v>
                </c:pt>
                <c:pt idx="189">
                  <c:v>1414.2135623730951</c:v>
                </c:pt>
                <c:pt idx="190">
                  <c:v>1414.2135623730951</c:v>
                </c:pt>
                <c:pt idx="191">
                  <c:v>1414.2135623730951</c:v>
                </c:pt>
                <c:pt idx="192">
                  <c:v>1414.2135623730951</c:v>
                </c:pt>
                <c:pt idx="193">
                  <c:v>1414.2135623730951</c:v>
                </c:pt>
                <c:pt idx="194">
                  <c:v>1414.2135623730951</c:v>
                </c:pt>
                <c:pt idx="195">
                  <c:v>1414.2135623730951</c:v>
                </c:pt>
                <c:pt idx="196">
                  <c:v>1414.2135623730951</c:v>
                </c:pt>
                <c:pt idx="197">
                  <c:v>1414.2135623730951</c:v>
                </c:pt>
                <c:pt idx="198">
                  <c:v>1414.2135623730951</c:v>
                </c:pt>
                <c:pt idx="199">
                  <c:v>1414.2135623730951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in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in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291</xdr:row>
          <xdr:rowOff>127000</xdr:rowOff>
        </xdr:from>
        <xdr:to>
          <xdr:col>26</xdr:col>
          <xdr:colOff>0</xdr:colOff>
          <xdr:row>345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64FE5FD-0960-61CF-74BD-A9CB051F47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6" spid="_x0000_s904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50045620"/>
              <a:ext cx="3596640" cy="89255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307</xdr:row>
          <xdr:rowOff>123190</xdr:rowOff>
        </xdr:from>
        <xdr:to>
          <xdr:col>25</xdr:col>
          <xdr:colOff>226060</xdr:colOff>
          <xdr:row>361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EA38C59D-649D-192D-9A34-4263BC6B39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8" spid="_x0000_s9045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4572000" y="52724050"/>
              <a:ext cx="3594100" cy="892937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17</xdr:col>
      <xdr:colOff>601980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E366"/>
  <sheetViews>
    <sheetView workbookViewId="0">
      <pane ySplit="9" topLeftCell="A358" activePane="bottomLeft" state="frozen"/>
      <selection pane="bottomLeft" activeCell="I366" sqref="I366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4" t="str" cm="1">
        <f t="array" ref="Q9:Z9">_nHd</f>
        <v>Excel Drill</v>
      </c>
      <c r="R9" s="24" t="str">
        <v>Meds</v>
      </c>
      <c r="S9" s="24" t="str">
        <v>Weight Lift</v>
      </c>
      <c r="T9" s="24" t="str">
        <v>Walk</v>
      </c>
      <c r="U9" s="24" t="str">
        <v>German Grammar</v>
      </c>
      <c r="V9" s="24" t="str">
        <v>German Vocab</v>
      </c>
      <c r="W9" s="24" t="str">
        <v>German Story Audio</v>
      </c>
      <c r="X9" s="24" t="str">
        <v>German Story Reading</v>
      </c>
      <c r="Y9" s="25" t="str">
        <v>Dynamic Drill</v>
      </c>
      <c r="Z9" s="25" t="str">
        <v>CSS Drill</v>
      </c>
    </row>
    <row r="10" spans="1:28" ht="13.8" thickTop="1" x14ac:dyDescent="0.25">
      <c r="B10" s="11" t="str" cm="1">
        <f t="array" aca="1" ref="B10:B361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61">_xlfn.BYROW(_xlfn.DROP(Banded,,1),_xleta.SUM)</f>
        <v>0</v>
      </c>
      <c r="P10" s="7" cm="1">
        <f t="array" aca="1" ref="P10:Z58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61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 s="7">
        <f ca="1"/>
        <v>44</v>
      </c>
      <c r="Q51" s="5">
        <f ca="1"/>
        <v>7</v>
      </c>
      <c r="R51" s="5">
        <f ca="1"/>
        <v>7</v>
      </c>
      <c r="S51" s="5">
        <f ca="1"/>
        <v>6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  <c r="Y51" s="5">
        <f ca="1"/>
        <v>7</v>
      </c>
      <c r="Z51" s="5">
        <f ca="1"/>
        <v>7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  <c r="P52" s="7">
        <f ca="1"/>
        <v>45</v>
      </c>
      <c r="Q52" s="5">
        <f ca="1"/>
        <v>7</v>
      </c>
      <c r="R52" s="5">
        <f ca="1"/>
        <v>7</v>
      </c>
      <c r="S52" s="5">
        <f ca="1"/>
        <v>4</v>
      </c>
      <c r="T52" s="5">
        <f ca="1"/>
        <v>7</v>
      </c>
      <c r="U52" s="5">
        <f ca="1"/>
        <v>7</v>
      </c>
      <c r="V52" s="5">
        <f ca="1"/>
        <v>7</v>
      </c>
      <c r="W52" s="5">
        <f ca="1"/>
        <v>7</v>
      </c>
      <c r="X52" s="5">
        <f ca="1"/>
        <v>7</v>
      </c>
      <c r="Y52" s="5">
        <f ca="1"/>
        <v>7</v>
      </c>
      <c r="Z52" s="5">
        <f ca="1"/>
        <v>7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  <c r="P53" s="7">
        <f ca="1"/>
        <v>46</v>
      </c>
      <c r="Q53" s="5">
        <f ca="1"/>
        <v>7</v>
      </c>
      <c r="R53" s="5">
        <f ca="1"/>
        <v>7</v>
      </c>
      <c r="S53" s="5">
        <f ca="1"/>
        <v>4</v>
      </c>
      <c r="T53" s="5">
        <f ca="1"/>
        <v>7</v>
      </c>
      <c r="U53" s="5">
        <f ca="1"/>
        <v>7</v>
      </c>
      <c r="V53" s="5">
        <f ca="1"/>
        <v>7</v>
      </c>
      <c r="W53" s="5">
        <f ca="1"/>
        <v>7</v>
      </c>
      <c r="X53" s="5">
        <f ca="1"/>
        <v>7</v>
      </c>
      <c r="Y53" s="5">
        <f ca="1"/>
        <v>7</v>
      </c>
      <c r="Z53" s="5">
        <f ca="1"/>
        <v>7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  <c r="P54" s="7">
        <f ca="1"/>
        <v>47</v>
      </c>
      <c r="Q54" s="5">
        <f ca="1"/>
        <v>7</v>
      </c>
      <c r="R54" s="5">
        <f ca="1"/>
        <v>7</v>
      </c>
      <c r="S54" s="5">
        <f ca="1"/>
        <v>2</v>
      </c>
      <c r="T54" s="5">
        <f ca="1"/>
        <v>6</v>
      </c>
      <c r="U54" s="5">
        <f ca="1"/>
        <v>7</v>
      </c>
      <c r="V54" s="5">
        <f ca="1"/>
        <v>7</v>
      </c>
      <c r="W54" s="5">
        <f ca="1"/>
        <v>7</v>
      </c>
      <c r="X54" s="5">
        <f ca="1"/>
        <v>7</v>
      </c>
      <c r="Y54" s="5">
        <f ca="1"/>
        <v>7</v>
      </c>
      <c r="Z54" s="5">
        <f ca="1"/>
        <v>7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  <c r="P55" s="7">
        <f ca="1"/>
        <v>48</v>
      </c>
      <c r="Q55" s="5">
        <f ca="1"/>
        <v>7</v>
      </c>
      <c r="R55" s="5">
        <f ca="1"/>
        <v>7</v>
      </c>
      <c r="S55" s="5">
        <f ca="1"/>
        <v>4</v>
      </c>
      <c r="T55" s="5">
        <f ca="1"/>
        <v>4</v>
      </c>
      <c r="U55" s="5">
        <f ca="1"/>
        <v>7</v>
      </c>
      <c r="V55" s="5">
        <f ca="1"/>
        <v>7</v>
      </c>
      <c r="W55" s="5">
        <f ca="1"/>
        <v>7</v>
      </c>
      <c r="X55" s="5">
        <f ca="1"/>
        <v>7</v>
      </c>
      <c r="Y55" s="5">
        <f ca="1"/>
        <v>7</v>
      </c>
      <c r="Z55">
        <f ca="1"/>
        <v>7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  <c r="P56" s="7">
        <f ca="1"/>
        <v>49</v>
      </c>
      <c r="Q56" s="5">
        <f ca="1"/>
        <v>7</v>
      </c>
      <c r="R56" s="5">
        <f ca="1"/>
        <v>7</v>
      </c>
      <c r="S56" s="5">
        <f ca="1"/>
        <v>3</v>
      </c>
      <c r="T56" s="5">
        <f ca="1"/>
        <v>7</v>
      </c>
      <c r="U56" s="5">
        <f ca="1"/>
        <v>7</v>
      </c>
      <c r="V56" s="5">
        <f ca="1"/>
        <v>7</v>
      </c>
      <c r="W56" s="5">
        <f ca="1"/>
        <v>7</v>
      </c>
      <c r="X56" s="5">
        <f ca="1"/>
        <v>7</v>
      </c>
      <c r="Y56" s="5">
        <f ca="1"/>
        <v>7</v>
      </c>
      <c r="Z56">
        <f ca="1"/>
        <v>7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  <c r="P57" s="7">
        <f ca="1"/>
        <v>50</v>
      </c>
      <c r="Q57" s="5">
        <f ca="1"/>
        <v>7</v>
      </c>
      <c r="R57" s="5">
        <f ca="1"/>
        <v>7</v>
      </c>
      <c r="S57" s="5">
        <f ca="1"/>
        <v>4</v>
      </c>
      <c r="T57" s="5">
        <f ca="1"/>
        <v>7</v>
      </c>
      <c r="U57" s="5">
        <f ca="1"/>
        <v>7</v>
      </c>
      <c r="V57" s="5">
        <f ca="1"/>
        <v>7</v>
      </c>
      <c r="W57" s="5">
        <f ca="1"/>
        <v>7</v>
      </c>
      <c r="X57" s="5">
        <f ca="1"/>
        <v>7</v>
      </c>
      <c r="Y57" s="5">
        <f ca="1"/>
        <v>7</v>
      </c>
      <c r="Z57">
        <f ca="1"/>
        <v>7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  <c r="P58" s="7">
        <f ca="1"/>
        <v>51</v>
      </c>
      <c r="Q58" s="5">
        <f ca="1"/>
        <v>5</v>
      </c>
      <c r="R58" s="5">
        <f ca="1"/>
        <v>5</v>
      </c>
      <c r="S58" s="5">
        <f ca="1"/>
        <v>3</v>
      </c>
      <c r="T58" s="5">
        <f ca="1"/>
        <v>5</v>
      </c>
      <c r="U58" s="5">
        <f ca="1"/>
        <v>5</v>
      </c>
      <c r="V58" s="5">
        <f ca="1"/>
        <v>5</v>
      </c>
      <c r="W58" s="5">
        <f ca="1"/>
        <v>4</v>
      </c>
      <c r="X58" s="5">
        <f ca="1"/>
        <v>4</v>
      </c>
      <c r="Y58" s="5">
        <f ca="1"/>
        <v>5</v>
      </c>
      <c r="Z58">
        <f ca="1"/>
        <v>5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4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4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4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 s="16">
        <v>1</v>
      </c>
      <c r="M307">
        <f ca="1"/>
        <v>43</v>
      </c>
      <c r="N307">
        <v>10</v>
      </c>
    </row>
    <row r="308" spans="2:14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 s="16">
        <v>1</v>
      </c>
      <c r="M308">
        <f ca="1"/>
        <v>44</v>
      </c>
      <c r="N308">
        <v>9</v>
      </c>
    </row>
    <row r="309" spans="2:14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 s="16">
        <v>1</v>
      </c>
      <c r="M309">
        <f ca="1"/>
        <v>44</v>
      </c>
      <c r="N309">
        <v>10</v>
      </c>
    </row>
    <row r="310" spans="2:14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 s="16">
        <v>1</v>
      </c>
      <c r="M310">
        <f ca="1"/>
        <v>44</v>
      </c>
      <c r="N310">
        <v>10</v>
      </c>
    </row>
    <row r="311" spans="2:14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 s="16">
        <v>1</v>
      </c>
      <c r="M311">
        <f ca="1"/>
        <v>44</v>
      </c>
      <c r="N311">
        <v>10</v>
      </c>
    </row>
    <row r="312" spans="2:14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 s="16">
        <v>1</v>
      </c>
      <c r="M312">
        <f ca="1"/>
        <v>44</v>
      </c>
      <c r="N312">
        <v>10</v>
      </c>
    </row>
    <row r="313" spans="2:14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 s="16">
        <v>1</v>
      </c>
      <c r="M313">
        <f ca="1"/>
        <v>44</v>
      </c>
      <c r="N313">
        <v>10</v>
      </c>
    </row>
    <row r="314" spans="2:14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 s="16">
        <v>1</v>
      </c>
      <c r="M314">
        <f ca="1"/>
        <v>44</v>
      </c>
      <c r="N314">
        <v>10</v>
      </c>
    </row>
    <row r="315" spans="2:14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 s="16">
        <v>1</v>
      </c>
      <c r="M315">
        <f ca="1"/>
        <v>45</v>
      </c>
      <c r="N315">
        <v>10</v>
      </c>
    </row>
    <row r="316" spans="2:14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 s="16">
        <v>1</v>
      </c>
      <c r="M316">
        <f ca="1"/>
        <v>45</v>
      </c>
      <c r="N316">
        <v>10</v>
      </c>
    </row>
    <row r="317" spans="2:14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 s="16">
        <v>1</v>
      </c>
      <c r="M317">
        <f ca="1"/>
        <v>45</v>
      </c>
      <c r="N317">
        <v>9</v>
      </c>
    </row>
    <row r="318" spans="2:14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 s="16">
        <v>1</v>
      </c>
      <c r="M318">
        <f ca="1"/>
        <v>45</v>
      </c>
      <c r="N318">
        <v>10</v>
      </c>
    </row>
    <row r="319" spans="2:14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 s="16">
        <v>1</v>
      </c>
      <c r="M319">
        <f ca="1"/>
        <v>45</v>
      </c>
      <c r="N319">
        <v>10</v>
      </c>
    </row>
    <row r="320" spans="2:14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 s="16">
        <v>1</v>
      </c>
      <c r="M320">
        <f ca="1"/>
        <v>45</v>
      </c>
      <c r="N320">
        <v>9</v>
      </c>
    </row>
    <row r="321" spans="2:14" x14ac:dyDescent="0.25">
      <c r="B321" s="15" t="str">
        <f ca="1"/>
        <v>08-Nov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 s="16">
        <v>1</v>
      </c>
      <c r="M321">
        <f ca="1"/>
        <v>45</v>
      </c>
      <c r="N321">
        <v>9</v>
      </c>
    </row>
    <row r="322" spans="2:14" x14ac:dyDescent="0.25">
      <c r="B322" s="15" t="str">
        <f ca="1"/>
        <v>09-Nov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 s="16">
        <v>1</v>
      </c>
      <c r="M322">
        <f ca="1"/>
        <v>46</v>
      </c>
      <c r="N322">
        <v>10</v>
      </c>
    </row>
    <row r="323" spans="2:14" x14ac:dyDescent="0.25">
      <c r="B323" s="15" t="str">
        <f ca="1"/>
        <v>10-Nov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 s="16">
        <v>1</v>
      </c>
      <c r="M323">
        <f ca="1"/>
        <v>46</v>
      </c>
      <c r="N323">
        <v>9</v>
      </c>
    </row>
    <row r="324" spans="2:14" x14ac:dyDescent="0.25">
      <c r="B324" s="15" t="str">
        <f ca="1"/>
        <v>11-Nov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 s="16">
        <v>1</v>
      </c>
      <c r="M324">
        <f ca="1"/>
        <v>46</v>
      </c>
      <c r="N324">
        <v>10</v>
      </c>
    </row>
    <row r="325" spans="2:14" x14ac:dyDescent="0.25">
      <c r="B325" s="15" t="str">
        <f ca="1"/>
        <v>12-Nov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 s="16">
        <v>1</v>
      </c>
      <c r="M325">
        <f ca="1"/>
        <v>46</v>
      </c>
      <c r="N325">
        <v>9</v>
      </c>
    </row>
    <row r="326" spans="2:14" x14ac:dyDescent="0.25">
      <c r="B326" s="15" t="str">
        <f ca="1"/>
        <v>13-Nov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 s="16">
        <v>1</v>
      </c>
      <c r="M326">
        <f ca="1"/>
        <v>46</v>
      </c>
      <c r="N326">
        <v>10</v>
      </c>
    </row>
    <row r="327" spans="2:14" x14ac:dyDescent="0.25">
      <c r="B327" s="15" t="str">
        <f ca="1"/>
        <v>14-Nov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 s="16">
        <v>1</v>
      </c>
      <c r="M327">
        <f ca="1"/>
        <v>46</v>
      </c>
      <c r="N327">
        <v>9</v>
      </c>
    </row>
    <row r="328" spans="2:14" x14ac:dyDescent="0.25">
      <c r="B328" s="15" t="str">
        <f ca="1"/>
        <v>15-Nov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 s="16">
        <v>1</v>
      </c>
      <c r="M328">
        <f ca="1"/>
        <v>46</v>
      </c>
      <c r="N328">
        <v>10</v>
      </c>
    </row>
    <row r="329" spans="2:14" x14ac:dyDescent="0.25">
      <c r="B329" s="15" t="str">
        <f ca="1"/>
        <v>16-Nov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 s="16">
        <v>1</v>
      </c>
      <c r="M329">
        <f ca="1"/>
        <v>47</v>
      </c>
      <c r="N329">
        <v>9</v>
      </c>
    </row>
    <row r="330" spans="2:14" x14ac:dyDescent="0.25">
      <c r="B330" s="15" t="str">
        <f ca="1"/>
        <v>17-Nov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 s="16">
        <v>1</v>
      </c>
      <c r="M330">
        <f ca="1"/>
        <v>47</v>
      </c>
      <c r="N330">
        <v>9</v>
      </c>
    </row>
    <row r="331" spans="2:14" x14ac:dyDescent="0.25">
      <c r="B331" s="15" t="str">
        <f ca="1"/>
        <v>18-Nov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 s="16">
        <v>1</v>
      </c>
      <c r="M331">
        <f ca="1"/>
        <v>47</v>
      </c>
      <c r="N331">
        <v>10</v>
      </c>
    </row>
    <row r="332" spans="2:14" x14ac:dyDescent="0.25">
      <c r="B332" s="15" t="str">
        <f ca="1"/>
        <v>19-Nov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 s="16">
        <v>1</v>
      </c>
      <c r="M332">
        <f ca="1"/>
        <v>47</v>
      </c>
      <c r="N332">
        <v>9</v>
      </c>
    </row>
    <row r="333" spans="2:14" x14ac:dyDescent="0.25">
      <c r="B333" s="15" t="str">
        <f ca="1"/>
        <v>20-Nov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 s="16">
        <v>1</v>
      </c>
      <c r="M333">
        <f ca="1"/>
        <v>47</v>
      </c>
      <c r="N333">
        <v>8</v>
      </c>
    </row>
    <row r="334" spans="2:14" x14ac:dyDescent="0.25">
      <c r="B334" s="15" t="str">
        <f ca="1"/>
        <v>21-Nov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 s="16">
        <v>1</v>
      </c>
      <c r="M334">
        <f ca="1"/>
        <v>47</v>
      </c>
      <c r="N334">
        <v>9</v>
      </c>
    </row>
    <row r="335" spans="2:14" x14ac:dyDescent="0.25">
      <c r="B335" s="15" t="str">
        <f ca="1"/>
        <v>22-Nov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 s="16">
        <v>1</v>
      </c>
      <c r="M335">
        <f ca="1"/>
        <v>47</v>
      </c>
      <c r="N335">
        <v>10</v>
      </c>
    </row>
    <row r="336" spans="2:14" x14ac:dyDescent="0.25">
      <c r="B336" s="15" t="str">
        <f ca="1"/>
        <v>23-Nov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 s="16">
        <v>1</v>
      </c>
      <c r="M336">
        <f ca="1"/>
        <v>48</v>
      </c>
      <c r="N336">
        <v>10</v>
      </c>
    </row>
    <row r="337" spans="2:31" x14ac:dyDescent="0.25">
      <c r="B337" s="15" t="str">
        <f ca="1"/>
        <v>24-Nov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 s="16">
        <v>1</v>
      </c>
      <c r="M337">
        <f ca="1"/>
        <v>48</v>
      </c>
      <c r="N337">
        <v>10</v>
      </c>
    </row>
    <row r="338" spans="2:31" x14ac:dyDescent="0.25">
      <c r="B338" s="15" t="str">
        <f ca="1"/>
        <v>25-Nov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 s="16">
        <v>1</v>
      </c>
      <c r="M338">
        <f ca="1"/>
        <v>48</v>
      </c>
      <c r="N338">
        <v>9</v>
      </c>
    </row>
    <row r="339" spans="2:31" x14ac:dyDescent="0.25">
      <c r="B339" s="15" t="str">
        <f ca="1"/>
        <v>26-Nov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 s="16">
        <v>1</v>
      </c>
      <c r="M339">
        <f ca="1"/>
        <v>48</v>
      </c>
      <c r="N339">
        <v>9</v>
      </c>
    </row>
    <row r="340" spans="2:31" x14ac:dyDescent="0.25">
      <c r="B340" s="15" t="str">
        <f ca="1"/>
        <v>27-Nov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 s="16">
        <v>1</v>
      </c>
      <c r="M340">
        <f ca="1"/>
        <v>48</v>
      </c>
      <c r="N340">
        <v>8</v>
      </c>
    </row>
    <row r="341" spans="2:31" x14ac:dyDescent="0.25">
      <c r="B341" s="15" t="str">
        <f ca="1"/>
        <v>28-Nov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 s="16">
        <v>1</v>
      </c>
      <c r="M341">
        <f ca="1"/>
        <v>48</v>
      </c>
      <c r="N341">
        <v>9</v>
      </c>
    </row>
    <row r="342" spans="2:31" x14ac:dyDescent="0.25">
      <c r="B342" s="15" t="str">
        <f ca="1"/>
        <v>29-Nov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 s="16">
        <v>1</v>
      </c>
      <c r="M342">
        <f ca="1"/>
        <v>48</v>
      </c>
      <c r="N342">
        <v>9</v>
      </c>
    </row>
    <row r="343" spans="2:31" x14ac:dyDescent="0.25">
      <c r="B343" s="15" t="str">
        <f ca="1"/>
        <v>30-Nov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 s="16">
        <v>1</v>
      </c>
      <c r="M343">
        <f ca="1"/>
        <v>49</v>
      </c>
      <c r="N343">
        <v>10</v>
      </c>
    </row>
    <row r="344" spans="2:31" x14ac:dyDescent="0.25">
      <c r="B344" s="15" t="str">
        <f ca="1"/>
        <v>01-Dec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 s="16">
        <v>1</v>
      </c>
      <c r="M344">
        <f ca="1"/>
        <v>49</v>
      </c>
      <c r="N344">
        <v>10</v>
      </c>
    </row>
    <row r="345" spans="2:31" x14ac:dyDescent="0.25">
      <c r="B345" s="15" t="str">
        <f ca="1"/>
        <v>02-Dec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 s="16">
        <v>1</v>
      </c>
      <c r="M345">
        <f ca="1"/>
        <v>49</v>
      </c>
      <c r="N345">
        <v>9</v>
      </c>
    </row>
    <row r="346" spans="2:31" x14ac:dyDescent="0.25">
      <c r="B346" s="15" t="str">
        <f ca="1"/>
        <v>03-Dec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 s="16">
        <v>1</v>
      </c>
      <c r="M346">
        <f ca="1"/>
        <v>49</v>
      </c>
      <c r="N346">
        <v>9</v>
      </c>
    </row>
    <row r="347" spans="2:31" x14ac:dyDescent="0.25">
      <c r="B347" s="15" t="str">
        <f ca="1"/>
        <v>04-Dec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 s="16">
        <v>1</v>
      </c>
      <c r="M347">
        <f ca="1"/>
        <v>49</v>
      </c>
      <c r="N347">
        <v>9</v>
      </c>
    </row>
    <row r="348" spans="2:31" x14ac:dyDescent="0.25">
      <c r="B348" s="15" t="str">
        <f ca="1"/>
        <v>05-Dec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 s="16">
        <v>1</v>
      </c>
      <c r="M348">
        <f ca="1"/>
        <v>49</v>
      </c>
      <c r="N348">
        <v>10</v>
      </c>
    </row>
    <row r="349" spans="2:31" x14ac:dyDescent="0.25">
      <c r="B349" s="15" t="str">
        <f ca="1"/>
        <v>06-Dec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 s="16">
        <v>1</v>
      </c>
      <c r="M349">
        <f ca="1"/>
        <v>49</v>
      </c>
      <c r="N349">
        <v>9</v>
      </c>
    </row>
    <row r="350" spans="2:31" x14ac:dyDescent="0.25">
      <c r="B350" s="15" t="str">
        <f ca="1"/>
        <v>07-Dec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 s="16">
        <v>1</v>
      </c>
      <c r="M350">
        <f ca="1"/>
        <v>50</v>
      </c>
      <c r="N350">
        <v>10</v>
      </c>
    </row>
    <row r="351" spans="2:31" x14ac:dyDescent="0.25">
      <c r="B351" s="15" t="str">
        <f ca="1"/>
        <v>08-Dec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 s="16">
        <v>1</v>
      </c>
      <c r="M351">
        <f ca="1"/>
        <v>50</v>
      </c>
      <c r="N351">
        <v>9</v>
      </c>
      <c r="AE351" t="s">
        <v>78</v>
      </c>
    </row>
    <row r="352" spans="2:31" x14ac:dyDescent="0.25">
      <c r="B352" s="15" t="str">
        <f ca="1"/>
        <v>09-Dec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 s="16">
        <v>1</v>
      </c>
      <c r="M352">
        <f ca="1"/>
        <v>50</v>
      </c>
      <c r="N352">
        <v>10</v>
      </c>
    </row>
    <row r="353" spans="2:16" x14ac:dyDescent="0.25">
      <c r="B353" s="15" t="str">
        <f ca="1"/>
        <v>10-Dec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 s="16">
        <v>1</v>
      </c>
      <c r="M353">
        <f ca="1"/>
        <v>50</v>
      </c>
      <c r="N353">
        <v>9</v>
      </c>
    </row>
    <row r="354" spans="2:16" x14ac:dyDescent="0.25">
      <c r="B354" s="15" t="str">
        <f ca="1"/>
        <v>11-Dec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 s="16">
        <v>1</v>
      </c>
      <c r="M354">
        <f ca="1"/>
        <v>50</v>
      </c>
      <c r="N354">
        <v>10</v>
      </c>
    </row>
    <row r="355" spans="2:16" x14ac:dyDescent="0.25">
      <c r="B355" s="15" t="str">
        <f ca="1"/>
        <v>12-Dec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 s="16">
        <v>1</v>
      </c>
      <c r="M355">
        <f ca="1"/>
        <v>50</v>
      </c>
      <c r="N355">
        <v>9</v>
      </c>
    </row>
    <row r="356" spans="2:16" x14ac:dyDescent="0.25">
      <c r="B356" s="15" t="str">
        <f ca="1"/>
        <v>13-Dec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 s="16">
        <v>1</v>
      </c>
      <c r="M356">
        <f ca="1"/>
        <v>50</v>
      </c>
      <c r="N356">
        <v>10</v>
      </c>
    </row>
    <row r="357" spans="2:16" x14ac:dyDescent="0.25">
      <c r="B357" s="15" t="str">
        <f ca="1"/>
        <v>14-Dec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 s="16">
        <v>1</v>
      </c>
      <c r="M357">
        <f ca="1"/>
        <v>51</v>
      </c>
      <c r="N357">
        <v>9</v>
      </c>
    </row>
    <row r="358" spans="2:16" x14ac:dyDescent="0.25">
      <c r="B358" s="15" t="str">
        <f ca="1"/>
        <v>15-Dec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 s="16">
        <v>1</v>
      </c>
      <c r="M358">
        <f ca="1"/>
        <v>51</v>
      </c>
      <c r="N358">
        <v>10</v>
      </c>
    </row>
    <row r="359" spans="2:16" x14ac:dyDescent="0.25">
      <c r="B359" s="15" t="str">
        <f ca="1"/>
        <v>16-Dec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 s="16">
        <v>1</v>
      </c>
      <c r="M359">
        <f ca="1"/>
        <v>51</v>
      </c>
      <c r="N359">
        <v>9</v>
      </c>
    </row>
    <row r="360" spans="2:16" x14ac:dyDescent="0.25">
      <c r="B360" s="15" t="str">
        <f ca="1"/>
        <v>17-Dec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 s="16">
        <v>1</v>
      </c>
      <c r="M360">
        <f ca="1"/>
        <v>51</v>
      </c>
      <c r="N360">
        <v>10</v>
      </c>
    </row>
    <row r="361" spans="2:16" x14ac:dyDescent="0.25">
      <c r="B361" s="15" t="str">
        <f ca="1"/>
        <v>18-Dec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0</v>
      </c>
      <c r="J361" s="16">
        <v>0</v>
      </c>
      <c r="K361" s="16">
        <v>1</v>
      </c>
      <c r="L361" s="16">
        <v>1</v>
      </c>
      <c r="M361">
        <f ca="1"/>
        <v>51</v>
      </c>
      <c r="N361">
        <v>8</v>
      </c>
    </row>
    <row r="363" spans="2:16" x14ac:dyDescent="0.25">
      <c r="P363" t="s">
        <v>35</v>
      </c>
    </row>
    <row r="364" spans="2:16" x14ac:dyDescent="0.25">
      <c r="P364" t="s">
        <v>36</v>
      </c>
    </row>
    <row r="365" spans="2:16" x14ac:dyDescent="0.25">
      <c r="P365" t="s">
        <v>40</v>
      </c>
    </row>
    <row r="366" spans="2:16" x14ac:dyDescent="0.25">
      <c r="P366" t="s">
        <v>47</v>
      </c>
    </row>
  </sheetData>
  <sortState xmlns:xlrd2="http://schemas.microsoft.com/office/spreadsheetml/2017/richdata2" ref="R24:R60">
    <sortCondition ref="R24:R60"/>
  </sortState>
  <conditionalFormatting sqref="O9">
    <cfRule type="expression" dxfId="17" priority="25" stopIfTrue="1">
      <formula>MOD(ROW(O9)-ROW($B$9),2)</formula>
    </cfRule>
  </conditionalFormatting>
  <conditionalFormatting sqref="P10:Z58">
    <cfRule type="expression" dxfId="16" priority="64">
      <formula>MOD(ROW(P10)-ROW($P$258),2)</formula>
    </cfRule>
  </conditionalFormatting>
  <conditionalFormatting sqref="P45">
    <cfRule type="expression" dxfId="15" priority="20">
      <formula>MOD(ROW(P45)-ROW($P$258),2)</formula>
    </cfRule>
  </conditionalFormatting>
  <conditionalFormatting sqref="P46:P52">
    <cfRule type="expression" dxfId="14" priority="19">
      <formula>MOD(ROW(P46)-ROW($P$258),2)</formula>
    </cfRule>
  </conditionalFormatting>
  <conditionalFormatting sqref="Q46:Z46">
    <cfRule type="expression" dxfId="13" priority="18">
      <formula>MOD(ROW(Q46)-ROW($P$258),2)</formula>
    </cfRule>
  </conditionalFormatting>
  <conditionalFormatting sqref="P48:Z48">
    <cfRule type="expression" dxfId="12" priority="17">
      <formula>MOD(ROW(P48)-ROW($P$258),2)</formula>
    </cfRule>
  </conditionalFormatting>
  <conditionalFormatting sqref="Q48:Z48">
    <cfRule type="expression" dxfId="11" priority="16">
      <formula>MOD(ROW(Q48)-ROW($P$258),2)</formula>
    </cfRule>
  </conditionalFormatting>
  <conditionalFormatting sqref="P49:Z49">
    <cfRule type="expression" dxfId="10" priority="14">
      <formula>MOD(ROW(P49)-ROW($P$258),2)</formula>
    </cfRule>
  </conditionalFormatting>
  <conditionalFormatting sqref="P50:Z50">
    <cfRule type="expression" dxfId="9" priority="13">
      <formula>MOD(ROW(P50)-ROW($P$258),2)</formula>
    </cfRule>
  </conditionalFormatting>
  <conditionalFormatting sqref="Q50:Z50">
    <cfRule type="expression" dxfId="8" priority="12">
      <formula>MOD(ROW(Q50)-ROW($P$258),2)</formula>
    </cfRule>
  </conditionalFormatting>
  <conditionalFormatting sqref="P51:Z51">
    <cfRule type="expression" dxfId="7" priority="10">
      <formula>MOD(ROW(P51)-ROW($P$258),2)</formula>
    </cfRule>
  </conditionalFormatting>
  <conditionalFormatting sqref="P52:Z52">
    <cfRule type="expression" dxfId="6" priority="9">
      <formula>MOD(ROW(P52)-ROW($P$258),2)</formula>
    </cfRule>
  </conditionalFormatting>
  <conditionalFormatting sqref="P52:Z52">
    <cfRule type="expression" dxfId="5" priority="8">
      <formula>MOD(ROW(P52)-ROW($P$258),2)</formula>
    </cfRule>
  </conditionalFormatting>
  <conditionalFormatting sqref="Q52:Z52">
    <cfRule type="expression" dxfId="4" priority="7">
      <formula>MOD(ROW(Q52)-ROW($P$258),2)</formula>
    </cfRule>
  </conditionalFormatting>
  <conditionalFormatting sqref="Q54:Z54">
    <cfRule type="expression" dxfId="3" priority="2">
      <formula>MOD(ROW(Q54)-ROW($P$258),2)</formula>
    </cfRule>
  </conditionalFormatting>
  <conditionalFormatting sqref="Q53:Z53">
    <cfRule type="expression" dxfId="2" priority="1">
      <formula>MOD(ROW(Q53)-ROW($P$258),2)</formula>
    </cfRule>
  </conditionalFormatting>
  <conditionalFormatting sqref="B10:L361">
    <cfRule type="expression" dxfId="1" priority="65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N216"/>
  <sheetViews>
    <sheetView tabSelected="1" topLeftCell="A2" zoomScale="115" zoomScaleNormal="115" workbookViewId="0">
      <selection activeCell="M21" sqref="M21"/>
    </sheetView>
  </sheetViews>
  <sheetFormatPr defaultRowHeight="13.2" x14ac:dyDescent="0.25"/>
  <cols>
    <col min="10" max="10" width="12" bestFit="1" customWidth="1"/>
  </cols>
  <sheetData>
    <row r="1" spans="2:6" x14ac:dyDescent="0.25">
      <c r="B1" t="s">
        <v>133</v>
      </c>
      <c r="C1">
        <v>45</v>
      </c>
      <c r="D1" t="s">
        <v>137</v>
      </c>
    </row>
    <row r="2" spans="2:6" x14ac:dyDescent="0.25">
      <c r="B2" t="s">
        <v>134</v>
      </c>
      <c r="C2">
        <v>45</v>
      </c>
      <c r="D2" t="s">
        <v>137</v>
      </c>
    </row>
    <row r="3" spans="2:6" x14ac:dyDescent="0.25">
      <c r="B3" t="s">
        <v>135</v>
      </c>
      <c r="C3">
        <v>2000</v>
      </c>
      <c r="D3" t="s">
        <v>140</v>
      </c>
    </row>
    <row r="4" spans="2:6" x14ac:dyDescent="0.25">
      <c r="B4" t="s">
        <v>136</v>
      </c>
      <c r="C4">
        <v>100</v>
      </c>
      <c r="D4" t="s">
        <v>140</v>
      </c>
    </row>
    <row r="5" spans="2:6" x14ac:dyDescent="0.25">
      <c r="B5" t="s">
        <v>138</v>
      </c>
      <c r="C5">
        <v>2</v>
      </c>
      <c r="D5" t="s">
        <v>139</v>
      </c>
    </row>
    <row r="6" spans="2:6" x14ac:dyDescent="0.25">
      <c r="B6" t="s">
        <v>152</v>
      </c>
      <c r="C6">
        <v>1</v>
      </c>
      <c r="D6" t="s">
        <v>139</v>
      </c>
    </row>
    <row r="8" spans="2:6" x14ac:dyDescent="0.25">
      <c r="B8" t="s">
        <v>144</v>
      </c>
      <c r="C8" s="29">
        <f>_R*SIN(_B*PI()/180)</f>
        <v>1414.2135623730949</v>
      </c>
      <c r="D8" t="s">
        <v>140</v>
      </c>
      <c r="F8">
        <f>ATAN2(_xShip,_yShip)*180/PI()</f>
        <v>45.000000000000007</v>
      </c>
    </row>
    <row r="9" spans="2:6" x14ac:dyDescent="0.25">
      <c r="B9" t="s">
        <v>145</v>
      </c>
      <c r="C9" s="29">
        <f>_R*COS(_B*PI()/180)</f>
        <v>1414.2135623730951</v>
      </c>
      <c r="D9" t="s">
        <v>140</v>
      </c>
    </row>
    <row r="10" spans="2:6" x14ac:dyDescent="0.25">
      <c r="B10" t="s">
        <v>148</v>
      </c>
      <c r="C10">
        <f>(_B+_AOB)-90</f>
        <v>0</v>
      </c>
      <c r="D10" t="s">
        <v>149</v>
      </c>
    </row>
    <row r="11" spans="2:6" x14ac:dyDescent="0.25">
      <c r="B11" t="s">
        <v>147</v>
      </c>
      <c r="C11">
        <f>-SIN(PI()/180*_Theta)*_L</f>
        <v>0</v>
      </c>
    </row>
    <row r="12" spans="2:6" x14ac:dyDescent="0.25">
      <c r="B12" t="s">
        <v>146</v>
      </c>
      <c r="C12">
        <f>-COS(PI()/180*C10)*_L</f>
        <v>-100</v>
      </c>
      <c r="F12">
        <f>ATAN(C11/C12)*180/PI()</f>
        <v>0</v>
      </c>
    </row>
    <row r="13" spans="2:6" x14ac:dyDescent="0.25">
      <c r="B13" t="s">
        <v>150</v>
      </c>
      <c r="C13">
        <f>CONVERT(CONVERT(_v,"kn","m/sec"),"m","yd")</f>
        <v>1.1252065714007973</v>
      </c>
      <c r="D13" t="s">
        <v>151</v>
      </c>
    </row>
    <row r="16" spans="2:6" x14ac:dyDescent="0.25">
      <c r="B16" t="s">
        <v>141</v>
      </c>
      <c r="C16" t="s">
        <v>142</v>
      </c>
      <c r="D16" t="s">
        <v>143</v>
      </c>
      <c r="E16" t="s">
        <v>153</v>
      </c>
      <c r="F16" t="s">
        <v>154</v>
      </c>
    </row>
    <row r="17" spans="2:14" x14ac:dyDescent="0.25">
      <c r="B17" cm="1">
        <f t="array" ref="B17:B216">_xlfn.SEQUENCE(200,1,0,1)</f>
        <v>0</v>
      </c>
      <c r="C17">
        <f t="shared" ref="C17:C48" si="0">COS(PI()/180*_Theta)*_vyps*B17+_xShip+__xL</f>
        <v>1314.2135623730949</v>
      </c>
      <c r="D17">
        <f t="shared" ref="D17:D48" si="1">SIN(PI()/180*_Theta)*_vyps*B17+_yShip+_yL</f>
        <v>1414.2135623730951</v>
      </c>
      <c r="E17">
        <f t="shared" ref="E17:E48" si="2">B17*CONVERT(CONVERT(_vSub,"kn","m/sec"),"m","yd")</f>
        <v>0</v>
      </c>
      <c r="F17">
        <f>ATAN2(C17,D17-E17)*180/PI()</f>
        <v>47.099016842977946</v>
      </c>
    </row>
    <row r="18" spans="2:14" x14ac:dyDescent="0.25">
      <c r="B18">
        <v>1</v>
      </c>
      <c r="C18">
        <f t="shared" si="0"/>
        <v>1315.3387689444958</v>
      </c>
      <c r="D18">
        <f t="shared" si="1"/>
        <v>1414.2135623730951</v>
      </c>
      <c r="E18">
        <f t="shared" si="2"/>
        <v>0.56260328570039864</v>
      </c>
      <c r="F18">
        <f t="shared" ref="F18:F81" si="3">ATAN2(C18,D18-E18)*180/PI()</f>
        <v>47.063195258262638</v>
      </c>
    </row>
    <row r="19" spans="2:14" x14ac:dyDescent="0.25">
      <c r="B19">
        <v>2</v>
      </c>
      <c r="C19">
        <f t="shared" si="0"/>
        <v>1316.4639755158964</v>
      </c>
      <c r="D19">
        <f t="shared" si="1"/>
        <v>1414.2135623730951</v>
      </c>
      <c r="E19">
        <f t="shared" si="2"/>
        <v>1.1252065714007973</v>
      </c>
      <c r="F19">
        <f t="shared" si="3"/>
        <v>47.027386827618486</v>
      </c>
    </row>
    <row r="20" spans="2:14" x14ac:dyDescent="0.25">
      <c r="B20">
        <v>3</v>
      </c>
      <c r="C20">
        <f t="shared" si="0"/>
        <v>1317.5891820872973</v>
      </c>
      <c r="D20">
        <f t="shared" si="1"/>
        <v>1414.2135623730951</v>
      </c>
      <c r="E20">
        <f t="shared" si="2"/>
        <v>1.6878098571011959</v>
      </c>
      <c r="F20">
        <f t="shared" si="3"/>
        <v>46.991591571758981</v>
      </c>
      <c r="J20">
        <f>100/1.125</f>
        <v>88.888888888888886</v>
      </c>
      <c r="M20" t="s">
        <v>155</v>
      </c>
    </row>
    <row r="21" spans="2:14" x14ac:dyDescent="0.25">
      <c r="B21">
        <v>4</v>
      </c>
      <c r="C21">
        <f t="shared" si="0"/>
        <v>1318.714388658698</v>
      </c>
      <c r="D21">
        <f t="shared" si="1"/>
        <v>1414.2135623730951</v>
      </c>
      <c r="E21">
        <f t="shared" si="2"/>
        <v>2.2504131428015945</v>
      </c>
      <c r="F21">
        <f t="shared" si="3"/>
        <v>46.955809511341293</v>
      </c>
    </row>
    <row r="22" spans="2:14" x14ac:dyDescent="0.25">
      <c r="B22">
        <v>5</v>
      </c>
      <c r="C22">
        <f t="shared" si="0"/>
        <v>1319.8395952300989</v>
      </c>
      <c r="D22">
        <f t="shared" si="1"/>
        <v>1414.2135623730951</v>
      </c>
      <c r="E22">
        <f t="shared" si="2"/>
        <v>2.8130164285019932</v>
      </c>
      <c r="F22">
        <f t="shared" si="3"/>
        <v>46.920040666966194</v>
      </c>
      <c r="J22" cm="1">
        <f t="array" ref="J22">_fInt(90-_B,F17:F216,_xlfn.ANCHORARRAY(B17))</f>
        <v>59.248418171723827</v>
      </c>
      <c r="K22">
        <f>2*J20</f>
        <v>177.77777777777777</v>
      </c>
      <c r="M22">
        <f>100*COS(45*PI()/180)/J22</f>
        <v>1.1934610290136196</v>
      </c>
      <c r="N22">
        <f>1.414*M22</f>
        <v>1.687553895025258</v>
      </c>
    </row>
    <row r="23" spans="2:14" x14ac:dyDescent="0.25">
      <c r="B23">
        <v>6</v>
      </c>
      <c r="C23">
        <f t="shared" si="0"/>
        <v>1320.9648018014996</v>
      </c>
      <c r="D23">
        <f t="shared" si="1"/>
        <v>1414.2135623730951</v>
      </c>
      <c r="E23">
        <f t="shared" si="2"/>
        <v>3.3756197142023918</v>
      </c>
      <c r="F23">
        <f t="shared" si="3"/>
        <v>46.884285059177984</v>
      </c>
      <c r="N23">
        <f>N22/2</f>
        <v>0.84377694751262899</v>
      </c>
    </row>
    <row r="24" spans="2:14" x14ac:dyDescent="0.25">
      <c r="B24">
        <v>7</v>
      </c>
      <c r="C24">
        <f t="shared" si="0"/>
        <v>1322.0900083729005</v>
      </c>
      <c r="D24">
        <f t="shared" si="1"/>
        <v>1414.2135623730951</v>
      </c>
      <c r="E24">
        <f t="shared" si="2"/>
        <v>3.9382229999027905</v>
      </c>
      <c r="F24">
        <f t="shared" si="3"/>
        <v>46.848542708464592</v>
      </c>
    </row>
    <row r="25" spans="2:14" x14ac:dyDescent="0.25">
      <c r="B25">
        <v>8</v>
      </c>
      <c r="C25">
        <f t="shared" si="0"/>
        <v>1323.2152149443014</v>
      </c>
      <c r="D25">
        <f t="shared" si="1"/>
        <v>1414.2135623730951</v>
      </c>
      <c r="E25">
        <f t="shared" si="2"/>
        <v>4.5008262856031891</v>
      </c>
      <c r="F25">
        <f t="shared" si="3"/>
        <v>46.812813635257413</v>
      </c>
    </row>
    <row r="26" spans="2:14" x14ac:dyDescent="0.25">
      <c r="B26">
        <v>9</v>
      </c>
      <c r="C26">
        <f t="shared" si="0"/>
        <v>1324.340421515702</v>
      </c>
      <c r="D26">
        <f t="shared" si="1"/>
        <v>1414.2135623730951</v>
      </c>
      <c r="E26">
        <f t="shared" si="2"/>
        <v>5.0634295713035877</v>
      </c>
      <c r="F26">
        <f t="shared" si="3"/>
        <v>46.777097859931438</v>
      </c>
    </row>
    <row r="27" spans="2:14" x14ac:dyDescent="0.25">
      <c r="B27">
        <v>10</v>
      </c>
      <c r="C27">
        <f t="shared" si="0"/>
        <v>1325.4656280871029</v>
      </c>
      <c r="D27">
        <f t="shared" si="1"/>
        <v>1414.2135623730951</v>
      </c>
      <c r="E27">
        <f t="shared" si="2"/>
        <v>5.6260328570039864</v>
      </c>
      <c r="F27">
        <f t="shared" si="3"/>
        <v>46.74139540280509</v>
      </c>
    </row>
    <row r="28" spans="2:14" x14ac:dyDescent="0.25">
      <c r="B28">
        <v>11</v>
      </c>
      <c r="C28">
        <f t="shared" si="0"/>
        <v>1326.5908346585036</v>
      </c>
      <c r="D28">
        <f t="shared" si="1"/>
        <v>1414.2135623730951</v>
      </c>
      <c r="E28">
        <f t="shared" si="2"/>
        <v>6.188636142704385</v>
      </c>
      <c r="F28">
        <f t="shared" si="3"/>
        <v>46.705706284140319</v>
      </c>
    </row>
    <row r="29" spans="2:14" x14ac:dyDescent="0.25">
      <c r="B29">
        <v>12</v>
      </c>
      <c r="C29">
        <f t="shared" si="0"/>
        <v>1327.7160412299045</v>
      </c>
      <c r="D29">
        <f t="shared" si="1"/>
        <v>1414.2135623730951</v>
      </c>
      <c r="E29">
        <f t="shared" si="2"/>
        <v>6.7512394284047836</v>
      </c>
      <c r="F29">
        <f t="shared" si="3"/>
        <v>46.670030524142497</v>
      </c>
    </row>
    <row r="30" spans="2:14" x14ac:dyDescent="0.25">
      <c r="B30">
        <v>13</v>
      </c>
      <c r="C30">
        <f t="shared" si="0"/>
        <v>1328.8412478013051</v>
      </c>
      <c r="D30">
        <f t="shared" si="1"/>
        <v>1414.2135623730951</v>
      </c>
      <c r="E30">
        <f t="shared" si="2"/>
        <v>7.3138427141051823</v>
      </c>
      <c r="F30">
        <f t="shared" si="3"/>
        <v>46.634368142960454</v>
      </c>
    </row>
    <row r="31" spans="2:14" x14ac:dyDescent="0.25">
      <c r="B31">
        <v>14</v>
      </c>
      <c r="C31">
        <f t="shared" si="0"/>
        <v>1329.966454372706</v>
      </c>
      <c r="D31">
        <f t="shared" si="1"/>
        <v>1414.2135623730951</v>
      </c>
      <c r="E31">
        <f t="shared" si="2"/>
        <v>7.8764459998055809</v>
      </c>
      <c r="F31">
        <f t="shared" si="3"/>
        <v>46.598719160686457</v>
      </c>
    </row>
    <row r="32" spans="2:14" x14ac:dyDescent="0.25">
      <c r="B32">
        <v>15</v>
      </c>
      <c r="C32">
        <f t="shared" si="0"/>
        <v>1331.0916609441069</v>
      </c>
      <c r="D32">
        <f t="shared" si="1"/>
        <v>1414.2135623730951</v>
      </c>
      <c r="E32">
        <f t="shared" si="2"/>
        <v>8.4390492855059804</v>
      </c>
      <c r="F32">
        <f t="shared" si="3"/>
        <v>46.563083597356176</v>
      </c>
    </row>
    <row r="33" spans="2:6" x14ac:dyDescent="0.25">
      <c r="B33">
        <v>16</v>
      </c>
      <c r="C33">
        <f t="shared" si="0"/>
        <v>1332.2168675155076</v>
      </c>
      <c r="D33">
        <f t="shared" si="1"/>
        <v>1414.2135623730951</v>
      </c>
      <c r="E33">
        <f t="shared" si="2"/>
        <v>9.0016525712063782</v>
      </c>
      <c r="F33">
        <f t="shared" si="3"/>
        <v>46.527461472948666</v>
      </c>
    </row>
    <row r="34" spans="2:6" x14ac:dyDescent="0.25">
      <c r="B34">
        <v>17</v>
      </c>
      <c r="C34">
        <f t="shared" si="0"/>
        <v>1333.3420740869085</v>
      </c>
      <c r="D34">
        <f t="shared" si="1"/>
        <v>1414.2135623730951</v>
      </c>
      <c r="E34">
        <f t="shared" si="2"/>
        <v>9.5642558569067759</v>
      </c>
      <c r="F34">
        <f t="shared" si="3"/>
        <v>46.491852807386358</v>
      </c>
    </row>
    <row r="35" spans="2:6" x14ac:dyDescent="0.25">
      <c r="B35">
        <v>18</v>
      </c>
      <c r="C35">
        <f t="shared" si="0"/>
        <v>1334.4672806583092</v>
      </c>
      <c r="D35">
        <f t="shared" si="1"/>
        <v>1414.2135623730951</v>
      </c>
      <c r="E35">
        <f t="shared" si="2"/>
        <v>10.126859142607175</v>
      </c>
      <c r="F35">
        <f t="shared" si="3"/>
        <v>46.456257620535062</v>
      </c>
    </row>
    <row r="36" spans="2:6" x14ac:dyDescent="0.25">
      <c r="B36">
        <v>19</v>
      </c>
      <c r="C36">
        <f t="shared" si="0"/>
        <v>1335.5924872297101</v>
      </c>
      <c r="D36">
        <f t="shared" si="1"/>
        <v>1414.2135623730951</v>
      </c>
      <c r="E36">
        <f t="shared" si="2"/>
        <v>10.689462428307575</v>
      </c>
      <c r="F36">
        <f t="shared" si="3"/>
        <v>46.420675932203906</v>
      </c>
    </row>
    <row r="37" spans="2:6" x14ac:dyDescent="0.25">
      <c r="B37">
        <v>20</v>
      </c>
      <c r="C37">
        <f t="shared" si="0"/>
        <v>1336.7176938011107</v>
      </c>
      <c r="D37">
        <f t="shared" si="1"/>
        <v>1414.2135623730951</v>
      </c>
      <c r="E37">
        <f t="shared" si="2"/>
        <v>11.252065714007973</v>
      </c>
      <c r="F37">
        <f t="shared" si="3"/>
        <v>46.385107762145374</v>
      </c>
    </row>
    <row r="38" spans="2:6" x14ac:dyDescent="0.25">
      <c r="B38">
        <v>21</v>
      </c>
      <c r="C38">
        <f t="shared" si="0"/>
        <v>1337.8429003725116</v>
      </c>
      <c r="D38">
        <f t="shared" si="1"/>
        <v>1414.2135623730951</v>
      </c>
      <c r="E38">
        <f t="shared" si="2"/>
        <v>11.81466899970837</v>
      </c>
      <c r="F38">
        <f t="shared" si="3"/>
        <v>46.349553130055249</v>
      </c>
    </row>
    <row r="39" spans="2:6" x14ac:dyDescent="0.25">
      <c r="B39">
        <v>22</v>
      </c>
      <c r="C39">
        <f t="shared" si="0"/>
        <v>1338.9681069439125</v>
      </c>
      <c r="D39">
        <f t="shared" si="1"/>
        <v>1414.2135623730951</v>
      </c>
      <c r="E39">
        <f t="shared" si="2"/>
        <v>12.37727228540877</v>
      </c>
      <c r="F39">
        <f t="shared" si="3"/>
        <v>46.31401205557264</v>
      </c>
    </row>
    <row r="40" spans="2:6" x14ac:dyDescent="0.25">
      <c r="B40">
        <v>23</v>
      </c>
      <c r="C40">
        <f t="shared" si="0"/>
        <v>1340.0933135153132</v>
      </c>
      <c r="D40">
        <f t="shared" si="1"/>
        <v>1414.2135623730951</v>
      </c>
      <c r="E40">
        <f t="shared" si="2"/>
        <v>12.93987557110917</v>
      </c>
      <c r="F40">
        <f t="shared" si="3"/>
        <v>46.278484558279928</v>
      </c>
    </row>
    <row r="41" spans="2:6" x14ac:dyDescent="0.25">
      <c r="B41">
        <v>24</v>
      </c>
      <c r="C41">
        <f t="shared" si="0"/>
        <v>1341.2185200867141</v>
      </c>
      <c r="D41">
        <f t="shared" si="1"/>
        <v>1414.2135623730951</v>
      </c>
      <c r="E41">
        <f t="shared" si="2"/>
        <v>13.502478856809567</v>
      </c>
      <c r="F41">
        <f t="shared" si="3"/>
        <v>46.242970657702784</v>
      </c>
    </row>
    <row r="42" spans="2:6" x14ac:dyDescent="0.25">
      <c r="B42">
        <v>25</v>
      </c>
      <c r="C42">
        <f t="shared" si="0"/>
        <v>1342.3437266581147</v>
      </c>
      <c r="D42">
        <f t="shared" si="1"/>
        <v>1414.2135623730951</v>
      </c>
      <c r="E42">
        <f t="shared" si="2"/>
        <v>14.065082142509965</v>
      </c>
      <c r="F42">
        <f t="shared" si="3"/>
        <v>46.207470373310137</v>
      </c>
    </row>
    <row r="43" spans="2:6" x14ac:dyDescent="0.25">
      <c r="B43">
        <v>26</v>
      </c>
      <c r="C43">
        <f t="shared" si="0"/>
        <v>1343.4689332295156</v>
      </c>
      <c r="D43">
        <f t="shared" si="1"/>
        <v>1414.2135623730951</v>
      </c>
      <c r="E43">
        <f t="shared" si="2"/>
        <v>14.627685428210365</v>
      </c>
      <c r="F43">
        <f t="shared" si="3"/>
        <v>46.171983724514185</v>
      </c>
    </row>
    <row r="44" spans="2:6" x14ac:dyDescent="0.25">
      <c r="B44">
        <v>27</v>
      </c>
      <c r="C44">
        <f t="shared" si="0"/>
        <v>1344.5941398009163</v>
      </c>
      <c r="D44">
        <f t="shared" si="1"/>
        <v>1414.2135623730951</v>
      </c>
      <c r="E44">
        <f t="shared" si="2"/>
        <v>15.190288713910764</v>
      </c>
      <c r="F44">
        <f t="shared" si="3"/>
        <v>46.136510730670359</v>
      </c>
    </row>
    <row r="45" spans="2:6" x14ac:dyDescent="0.25">
      <c r="B45">
        <v>28</v>
      </c>
      <c r="C45">
        <f t="shared" si="0"/>
        <v>1345.7193463723172</v>
      </c>
      <c r="D45">
        <f t="shared" si="1"/>
        <v>1414.2135623730951</v>
      </c>
      <c r="E45">
        <f t="shared" si="2"/>
        <v>15.752891999611162</v>
      </c>
      <c r="F45">
        <f t="shared" si="3"/>
        <v>46.101051411077329</v>
      </c>
    </row>
    <row r="46" spans="2:6" x14ac:dyDescent="0.25">
      <c r="B46">
        <v>29</v>
      </c>
      <c r="C46">
        <f t="shared" si="0"/>
        <v>1346.8445529437181</v>
      </c>
      <c r="D46">
        <f t="shared" si="1"/>
        <v>1414.2135623730951</v>
      </c>
      <c r="E46">
        <f t="shared" si="2"/>
        <v>16.31549528531156</v>
      </c>
      <c r="F46">
        <f t="shared" si="3"/>
        <v>46.065605784977009</v>
      </c>
    </row>
    <row r="47" spans="2:6" x14ac:dyDescent="0.25">
      <c r="B47">
        <v>30</v>
      </c>
      <c r="C47">
        <f t="shared" si="0"/>
        <v>1347.9697595151188</v>
      </c>
      <c r="D47">
        <f t="shared" si="1"/>
        <v>1414.2135623730951</v>
      </c>
      <c r="E47">
        <f t="shared" si="2"/>
        <v>16.878098571011961</v>
      </c>
      <c r="F47">
        <f t="shared" si="3"/>
        <v>46.030173871554474</v>
      </c>
    </row>
    <row r="48" spans="2:6" x14ac:dyDescent="0.25">
      <c r="B48">
        <v>31</v>
      </c>
      <c r="C48">
        <f t="shared" si="0"/>
        <v>1349.0949660865197</v>
      </c>
      <c r="D48">
        <f t="shared" si="1"/>
        <v>1414.2135623730951</v>
      </c>
      <c r="E48">
        <f t="shared" si="2"/>
        <v>17.440701856712359</v>
      </c>
      <c r="F48">
        <f t="shared" si="3"/>
        <v>45.994755689938074</v>
      </c>
    </row>
    <row r="49" spans="2:6" x14ac:dyDescent="0.25">
      <c r="B49">
        <v>32</v>
      </c>
      <c r="C49">
        <f t="shared" ref="C49:C80" si="4">COS(PI()/180*_Theta)*_vyps*B49+_xShip+__xL</f>
        <v>1350.2201726579203</v>
      </c>
      <c r="D49">
        <f t="shared" ref="D49:D80" si="5">SIN(PI()/180*_Theta)*_vyps*B49+_yShip+_yL</f>
        <v>1414.2135623730951</v>
      </c>
      <c r="E49">
        <f t="shared" ref="E49:E80" si="6">B49*CONVERT(CONVERT(_vSub,"kn","m/sec"),"m","yd")</f>
        <v>18.003305142412756</v>
      </c>
      <c r="F49">
        <f t="shared" si="3"/>
        <v>45.959351259199302</v>
      </c>
    </row>
    <row r="50" spans="2:6" x14ac:dyDescent="0.25">
      <c r="B50">
        <v>33</v>
      </c>
      <c r="C50">
        <f t="shared" si="4"/>
        <v>1351.3453792293212</v>
      </c>
      <c r="D50">
        <f t="shared" si="5"/>
        <v>1414.2135623730951</v>
      </c>
      <c r="E50">
        <f t="shared" si="6"/>
        <v>18.565908428113154</v>
      </c>
      <c r="F50">
        <f t="shared" si="3"/>
        <v>45.92396059835287</v>
      </c>
    </row>
    <row r="51" spans="2:6" x14ac:dyDescent="0.25">
      <c r="B51">
        <v>34</v>
      </c>
      <c r="C51">
        <f t="shared" si="4"/>
        <v>1352.4705858007219</v>
      </c>
      <c r="D51">
        <f t="shared" si="5"/>
        <v>1414.2135623730951</v>
      </c>
      <c r="E51">
        <f t="shared" si="6"/>
        <v>19.128511713813552</v>
      </c>
      <c r="F51">
        <f t="shared" si="3"/>
        <v>45.888583726356664</v>
      </c>
    </row>
    <row r="52" spans="2:6" x14ac:dyDescent="0.25">
      <c r="B52">
        <v>35</v>
      </c>
      <c r="C52">
        <f t="shared" si="4"/>
        <v>1353.5957923721228</v>
      </c>
      <c r="D52">
        <f t="shared" si="5"/>
        <v>1414.2135623730951</v>
      </c>
      <c r="E52">
        <f t="shared" si="6"/>
        <v>19.691114999513953</v>
      </c>
      <c r="F52">
        <f t="shared" si="3"/>
        <v>45.853220662111767</v>
      </c>
    </row>
    <row r="53" spans="2:6" x14ac:dyDescent="0.25">
      <c r="B53">
        <v>36</v>
      </c>
      <c r="C53">
        <f t="shared" si="4"/>
        <v>1354.7209989435237</v>
      </c>
      <c r="D53">
        <f t="shared" si="5"/>
        <v>1414.2135623730951</v>
      </c>
      <c r="E53">
        <f t="shared" si="6"/>
        <v>20.253718285214351</v>
      </c>
      <c r="F53">
        <f t="shared" si="3"/>
        <v>45.817871424462382</v>
      </c>
    </row>
    <row r="54" spans="2:6" x14ac:dyDescent="0.25">
      <c r="B54">
        <v>37</v>
      </c>
      <c r="C54">
        <f t="shared" si="4"/>
        <v>1355.8462055149243</v>
      </c>
      <c r="D54">
        <f t="shared" si="5"/>
        <v>1414.2135623730951</v>
      </c>
      <c r="E54">
        <f t="shared" si="6"/>
        <v>20.816321570914749</v>
      </c>
      <c r="F54">
        <f t="shared" si="3"/>
        <v>45.782536032195928</v>
      </c>
    </row>
    <row r="55" spans="2:6" x14ac:dyDescent="0.25">
      <c r="B55">
        <v>38</v>
      </c>
      <c r="C55">
        <f t="shared" si="4"/>
        <v>1356.9714120863252</v>
      </c>
      <c r="D55">
        <f t="shared" si="5"/>
        <v>1414.2135623730951</v>
      </c>
      <c r="E55">
        <f t="shared" si="6"/>
        <v>21.37892485661515</v>
      </c>
      <c r="F55">
        <f t="shared" si="3"/>
        <v>45.747214504042951</v>
      </c>
    </row>
    <row r="56" spans="2:6" x14ac:dyDescent="0.25">
      <c r="B56">
        <v>39</v>
      </c>
      <c r="C56">
        <f t="shared" si="4"/>
        <v>1358.0966186577259</v>
      </c>
      <c r="D56">
        <f t="shared" si="5"/>
        <v>1414.2135623730951</v>
      </c>
      <c r="E56">
        <f t="shared" si="6"/>
        <v>21.941528142315548</v>
      </c>
      <c r="F56">
        <f t="shared" si="3"/>
        <v>45.711906858677153</v>
      </c>
    </row>
    <row r="57" spans="2:6" x14ac:dyDescent="0.25">
      <c r="B57">
        <v>40</v>
      </c>
      <c r="C57">
        <f t="shared" si="4"/>
        <v>1359.2218252291268</v>
      </c>
      <c r="D57">
        <f t="shared" si="5"/>
        <v>1414.2135623730951</v>
      </c>
      <c r="E57">
        <f t="shared" si="6"/>
        <v>22.504131428015945</v>
      </c>
      <c r="F57">
        <f t="shared" si="3"/>
        <v>45.676613114715401</v>
      </c>
    </row>
    <row r="58" spans="2:6" x14ac:dyDescent="0.25">
      <c r="B58">
        <v>41</v>
      </c>
      <c r="C58">
        <f t="shared" si="4"/>
        <v>1360.3470318005275</v>
      </c>
      <c r="D58">
        <f t="shared" si="5"/>
        <v>1414.2135623730951</v>
      </c>
      <c r="E58">
        <f t="shared" si="6"/>
        <v>23.066734713716343</v>
      </c>
      <c r="F58">
        <f t="shared" si="3"/>
        <v>45.641333290717711</v>
      </c>
    </row>
    <row r="59" spans="2:6" x14ac:dyDescent="0.25">
      <c r="B59">
        <v>42</v>
      </c>
      <c r="C59">
        <f t="shared" si="4"/>
        <v>1361.4722383719284</v>
      </c>
      <c r="D59">
        <f t="shared" si="5"/>
        <v>1414.2135623730951</v>
      </c>
      <c r="E59">
        <f t="shared" si="6"/>
        <v>23.629337999416741</v>
      </c>
      <c r="F59">
        <f t="shared" si="3"/>
        <v>45.606067405187176</v>
      </c>
    </row>
    <row r="60" spans="2:6" x14ac:dyDescent="0.25">
      <c r="B60">
        <v>43</v>
      </c>
      <c r="C60">
        <f t="shared" si="4"/>
        <v>1362.5974449433293</v>
      </c>
      <c r="D60">
        <f t="shared" si="5"/>
        <v>1414.2135623730951</v>
      </c>
      <c r="E60">
        <f t="shared" si="6"/>
        <v>24.191941285117142</v>
      </c>
      <c r="F60">
        <f t="shared" si="3"/>
        <v>45.570815476570118</v>
      </c>
    </row>
    <row r="61" spans="2:6" x14ac:dyDescent="0.25">
      <c r="B61">
        <v>44</v>
      </c>
      <c r="C61">
        <f t="shared" si="4"/>
        <v>1363.7226515147299</v>
      </c>
      <c r="D61">
        <f t="shared" si="5"/>
        <v>1414.2135623730951</v>
      </c>
      <c r="E61">
        <f t="shared" si="6"/>
        <v>24.75454457081754</v>
      </c>
      <c r="F61">
        <f t="shared" si="3"/>
        <v>45.535577523255931</v>
      </c>
    </row>
    <row r="62" spans="2:6" x14ac:dyDescent="0.25">
      <c r="B62">
        <v>45</v>
      </c>
      <c r="C62">
        <f t="shared" si="4"/>
        <v>1364.8478580861308</v>
      </c>
      <c r="D62">
        <f t="shared" si="5"/>
        <v>1414.2135623730951</v>
      </c>
      <c r="E62">
        <f t="shared" si="6"/>
        <v>25.317147856517938</v>
      </c>
      <c r="F62">
        <f t="shared" si="3"/>
        <v>45.500353563577193</v>
      </c>
    </row>
    <row r="63" spans="2:6" x14ac:dyDescent="0.25">
      <c r="B63">
        <v>46</v>
      </c>
      <c r="C63">
        <f t="shared" si="4"/>
        <v>1365.9730646575315</v>
      </c>
      <c r="D63">
        <f t="shared" si="5"/>
        <v>1414.2135623730951</v>
      </c>
      <c r="E63">
        <f t="shared" si="6"/>
        <v>25.879751142218339</v>
      </c>
      <c r="F63">
        <f t="shared" si="3"/>
        <v>45.465143615809545</v>
      </c>
    </row>
    <row r="64" spans="2:6" x14ac:dyDescent="0.25">
      <c r="B64">
        <v>47</v>
      </c>
      <c r="C64">
        <f t="shared" si="4"/>
        <v>1367.0982712289324</v>
      </c>
      <c r="D64">
        <f t="shared" si="5"/>
        <v>1414.2135623730951</v>
      </c>
      <c r="E64">
        <f t="shared" si="6"/>
        <v>26.442354427918737</v>
      </c>
      <c r="F64">
        <f t="shared" si="3"/>
        <v>45.429947698171816</v>
      </c>
    </row>
    <row r="65" spans="2:6" x14ac:dyDescent="0.25">
      <c r="B65">
        <v>48</v>
      </c>
      <c r="C65">
        <f t="shared" si="4"/>
        <v>1368.2234778003331</v>
      </c>
      <c r="D65">
        <f t="shared" si="5"/>
        <v>1414.2135623730951</v>
      </c>
      <c r="E65">
        <f t="shared" si="6"/>
        <v>27.004957713619135</v>
      </c>
      <c r="F65">
        <f t="shared" si="3"/>
        <v>45.394765828825953</v>
      </c>
    </row>
    <row r="66" spans="2:6" x14ac:dyDescent="0.25">
      <c r="B66">
        <v>49</v>
      </c>
      <c r="C66">
        <f t="shared" si="4"/>
        <v>1369.348684371734</v>
      </c>
      <c r="D66">
        <f t="shared" si="5"/>
        <v>1414.2135623730951</v>
      </c>
      <c r="E66">
        <f t="shared" si="6"/>
        <v>27.567560999319532</v>
      </c>
      <c r="F66">
        <f t="shared" si="3"/>
        <v>45.35959802587702</v>
      </c>
    </row>
    <row r="67" spans="2:6" x14ac:dyDescent="0.25">
      <c r="B67">
        <v>50</v>
      </c>
      <c r="C67">
        <f t="shared" si="4"/>
        <v>1370.4738909431348</v>
      </c>
      <c r="D67">
        <f t="shared" si="5"/>
        <v>1414.2135623730951</v>
      </c>
      <c r="E67">
        <f t="shared" si="6"/>
        <v>28.13016428501993</v>
      </c>
      <c r="F67">
        <f t="shared" si="3"/>
        <v>45.324444307373213</v>
      </c>
    </row>
    <row r="68" spans="2:6" x14ac:dyDescent="0.25">
      <c r="B68">
        <v>51</v>
      </c>
      <c r="C68">
        <f t="shared" si="4"/>
        <v>1371.5990975145355</v>
      </c>
      <c r="D68">
        <f t="shared" si="5"/>
        <v>1414.2135623730951</v>
      </c>
      <c r="E68">
        <f t="shared" si="6"/>
        <v>28.692767570720331</v>
      </c>
      <c r="F68">
        <f t="shared" si="3"/>
        <v>45.289304691305873</v>
      </c>
    </row>
    <row r="69" spans="2:6" x14ac:dyDescent="0.25">
      <c r="B69">
        <v>52</v>
      </c>
      <c r="C69">
        <f t="shared" si="4"/>
        <v>1372.7243040859364</v>
      </c>
      <c r="D69">
        <f t="shared" si="5"/>
        <v>1414.2135623730951</v>
      </c>
      <c r="E69">
        <f t="shared" si="6"/>
        <v>29.255370856420729</v>
      </c>
      <c r="F69">
        <f t="shared" si="3"/>
        <v>45.254179195609446</v>
      </c>
    </row>
    <row r="70" spans="2:6" x14ac:dyDescent="0.25">
      <c r="B70">
        <v>53</v>
      </c>
      <c r="C70">
        <f t="shared" si="4"/>
        <v>1373.8495106573371</v>
      </c>
      <c r="D70">
        <f t="shared" si="5"/>
        <v>1414.2135623730951</v>
      </c>
      <c r="E70">
        <f t="shared" si="6"/>
        <v>29.817974142121127</v>
      </c>
      <c r="F70">
        <f t="shared" si="3"/>
        <v>45.219067838161564</v>
      </c>
    </row>
    <row r="71" spans="2:6" x14ac:dyDescent="0.25">
      <c r="B71">
        <v>54</v>
      </c>
      <c r="C71">
        <f t="shared" si="4"/>
        <v>1374.974717228738</v>
      </c>
      <c r="D71">
        <f t="shared" si="5"/>
        <v>1414.2135623730951</v>
      </c>
      <c r="E71">
        <f t="shared" si="6"/>
        <v>30.380577427821528</v>
      </c>
      <c r="F71">
        <f t="shared" si="3"/>
        <v>45.183970636782917</v>
      </c>
    </row>
    <row r="72" spans="2:6" x14ac:dyDescent="0.25">
      <c r="B72">
        <v>55</v>
      </c>
      <c r="C72">
        <f t="shared" si="4"/>
        <v>1376.0999238001386</v>
      </c>
      <c r="D72">
        <f t="shared" si="5"/>
        <v>1414.2135623730951</v>
      </c>
      <c r="E72">
        <f t="shared" si="6"/>
        <v>30.943180713521926</v>
      </c>
      <c r="F72">
        <f t="shared" si="3"/>
        <v>45.148887609237399</v>
      </c>
    </row>
    <row r="73" spans="2:6" x14ac:dyDescent="0.25">
      <c r="B73">
        <v>56</v>
      </c>
      <c r="C73">
        <f t="shared" si="4"/>
        <v>1377.2251303715395</v>
      </c>
      <c r="D73">
        <f t="shared" si="5"/>
        <v>1414.2135623730951</v>
      </c>
      <c r="E73">
        <f t="shared" si="6"/>
        <v>31.505783999222324</v>
      </c>
      <c r="F73">
        <f t="shared" si="3"/>
        <v>45.11381877323204</v>
      </c>
    </row>
    <row r="74" spans="2:6" x14ac:dyDescent="0.25">
      <c r="B74">
        <v>57</v>
      </c>
      <c r="C74">
        <f t="shared" si="4"/>
        <v>1378.3503369429404</v>
      </c>
      <c r="D74">
        <f t="shared" si="5"/>
        <v>1414.2135623730951</v>
      </c>
      <c r="E74">
        <f t="shared" si="6"/>
        <v>32.068387284922721</v>
      </c>
      <c r="F74">
        <f t="shared" si="3"/>
        <v>45.078764146416972</v>
      </c>
    </row>
    <row r="75" spans="2:6" x14ac:dyDescent="0.25">
      <c r="B75">
        <v>58</v>
      </c>
      <c r="C75">
        <f t="shared" si="4"/>
        <v>1379.4755435143411</v>
      </c>
      <c r="D75">
        <f t="shared" si="5"/>
        <v>1414.2135623730951</v>
      </c>
      <c r="E75">
        <f t="shared" si="6"/>
        <v>32.630990570623119</v>
      </c>
      <c r="F75">
        <f t="shared" si="3"/>
        <v>45.043723746385517</v>
      </c>
    </row>
    <row r="76" spans="2:6" x14ac:dyDescent="0.25">
      <c r="B76">
        <v>59</v>
      </c>
      <c r="C76">
        <f t="shared" si="4"/>
        <v>1380.600750085742</v>
      </c>
      <c r="D76">
        <f t="shared" si="5"/>
        <v>1414.2135623730951</v>
      </c>
      <c r="E76">
        <f t="shared" si="6"/>
        <v>33.193593856323517</v>
      </c>
      <c r="F76">
        <f t="shared" si="3"/>
        <v>45.008697590674132</v>
      </c>
    </row>
    <row r="77" spans="2:6" x14ac:dyDescent="0.25">
      <c r="B77">
        <v>60</v>
      </c>
      <c r="C77">
        <f t="shared" si="4"/>
        <v>1381.7259566571427</v>
      </c>
      <c r="D77">
        <f t="shared" si="5"/>
        <v>1414.2135623730951</v>
      </c>
      <c r="E77">
        <f t="shared" si="6"/>
        <v>33.756197142023922</v>
      </c>
      <c r="F77">
        <f t="shared" si="3"/>
        <v>44.973685696762438</v>
      </c>
    </row>
    <row r="78" spans="2:6" x14ac:dyDescent="0.25">
      <c r="B78">
        <v>61</v>
      </c>
      <c r="C78">
        <f t="shared" si="4"/>
        <v>1382.8511632285436</v>
      </c>
      <c r="D78">
        <f t="shared" si="5"/>
        <v>1414.2135623730951</v>
      </c>
      <c r="E78">
        <f t="shared" si="6"/>
        <v>34.318800427724319</v>
      </c>
      <c r="F78">
        <f t="shared" si="3"/>
        <v>44.938688082073234</v>
      </c>
    </row>
    <row r="79" spans="2:6" x14ac:dyDescent="0.25">
      <c r="B79">
        <v>62</v>
      </c>
      <c r="C79">
        <f t="shared" si="4"/>
        <v>1383.9763697999442</v>
      </c>
      <c r="D79">
        <f t="shared" si="5"/>
        <v>1414.2135623730951</v>
      </c>
      <c r="E79">
        <f t="shared" si="6"/>
        <v>34.881403713424717</v>
      </c>
      <c r="F79">
        <f t="shared" si="3"/>
        <v>44.903704763972456</v>
      </c>
    </row>
    <row r="80" spans="2:6" x14ac:dyDescent="0.25">
      <c r="B80">
        <v>63</v>
      </c>
      <c r="C80">
        <f t="shared" si="4"/>
        <v>1385.1015763713451</v>
      </c>
      <c r="D80">
        <f t="shared" si="5"/>
        <v>1414.2135623730951</v>
      </c>
      <c r="E80">
        <f t="shared" si="6"/>
        <v>35.444006999125115</v>
      </c>
      <c r="F80">
        <f t="shared" si="3"/>
        <v>44.868735759769258</v>
      </c>
    </row>
    <row r="81" spans="2:6" x14ac:dyDescent="0.25">
      <c r="B81">
        <v>64</v>
      </c>
      <c r="C81">
        <f t="shared" ref="C81:C112" si="7">COS(PI()/180*_Theta)*_vyps*B81+_xShip+__xL</f>
        <v>1386.226782942746</v>
      </c>
      <c r="D81">
        <f t="shared" ref="D81:D112" si="8">SIN(PI()/180*_Theta)*_vyps*B81+_yShip+_yL</f>
        <v>1414.2135623730951</v>
      </c>
      <c r="E81">
        <f t="shared" ref="E81:E112" si="9">B81*CONVERT(CONVERT(_vSub,"kn","m/sec"),"m","yd")</f>
        <v>36.006610284825513</v>
      </c>
      <c r="F81">
        <f t="shared" si="3"/>
        <v>44.833781086715945</v>
      </c>
    </row>
    <row r="82" spans="2:6" x14ac:dyDescent="0.25">
      <c r="B82">
        <v>65</v>
      </c>
      <c r="C82">
        <f t="shared" si="7"/>
        <v>1387.3519895141467</v>
      </c>
      <c r="D82">
        <f t="shared" si="8"/>
        <v>1414.2135623730951</v>
      </c>
      <c r="E82">
        <f t="shared" si="9"/>
        <v>36.56921357052591</v>
      </c>
      <c r="F82">
        <f t="shared" ref="F82:F145" si="10">ATAN2(C82,D82-E82)*180/PI()</f>
        <v>44.79884076200802</v>
      </c>
    </row>
    <row r="83" spans="2:6" x14ac:dyDescent="0.25">
      <c r="B83">
        <v>66</v>
      </c>
      <c r="C83">
        <f t="shared" si="7"/>
        <v>1388.4771960855476</v>
      </c>
      <c r="D83">
        <f t="shared" si="8"/>
        <v>1414.2135623730951</v>
      </c>
      <c r="E83">
        <f t="shared" si="9"/>
        <v>37.131816856226308</v>
      </c>
      <c r="F83">
        <f t="shared" si="10"/>
        <v>44.763914802784193</v>
      </c>
    </row>
    <row r="84" spans="2:6" x14ac:dyDescent="0.25">
      <c r="B84">
        <v>67</v>
      </c>
      <c r="C84">
        <f t="shared" si="7"/>
        <v>1389.6024026569482</v>
      </c>
      <c r="D84">
        <f t="shared" si="8"/>
        <v>1414.2135623730951</v>
      </c>
      <c r="E84">
        <f t="shared" si="9"/>
        <v>37.694420141926706</v>
      </c>
      <c r="F84">
        <f t="shared" si="10"/>
        <v>44.729003226126387</v>
      </c>
    </row>
    <row r="85" spans="2:6" x14ac:dyDescent="0.25">
      <c r="B85">
        <v>68</v>
      </c>
      <c r="C85">
        <f t="shared" si="7"/>
        <v>1390.7276092283491</v>
      </c>
      <c r="D85">
        <f t="shared" si="8"/>
        <v>1414.2135623730951</v>
      </c>
      <c r="E85">
        <f t="shared" si="9"/>
        <v>38.257023427627104</v>
      </c>
      <c r="F85">
        <f t="shared" si="10"/>
        <v>44.694106049059712</v>
      </c>
    </row>
    <row r="86" spans="2:6" x14ac:dyDescent="0.25">
      <c r="B86">
        <v>69</v>
      </c>
      <c r="C86">
        <f t="shared" si="7"/>
        <v>1391.8528157997498</v>
      </c>
      <c r="D86">
        <f t="shared" si="8"/>
        <v>1414.2135623730951</v>
      </c>
      <c r="E86">
        <f t="shared" si="9"/>
        <v>38.819626713327509</v>
      </c>
      <c r="F86">
        <f t="shared" si="10"/>
        <v>44.659223288552539</v>
      </c>
    </row>
    <row r="87" spans="2:6" x14ac:dyDescent="0.25">
      <c r="B87">
        <v>70</v>
      </c>
      <c r="C87">
        <f t="shared" si="7"/>
        <v>1392.9780223711507</v>
      </c>
      <c r="D87">
        <f t="shared" si="8"/>
        <v>1414.2135623730951</v>
      </c>
      <c r="E87">
        <f t="shared" si="9"/>
        <v>39.382229999027906</v>
      </c>
      <c r="F87">
        <f t="shared" si="10"/>
        <v>44.624354961516431</v>
      </c>
    </row>
    <row r="88" spans="2:6" x14ac:dyDescent="0.25">
      <c r="B88">
        <v>71</v>
      </c>
      <c r="C88">
        <f t="shared" si="7"/>
        <v>1394.1032289425516</v>
      </c>
      <c r="D88">
        <f t="shared" si="8"/>
        <v>1414.2135623730951</v>
      </c>
      <c r="E88">
        <f t="shared" si="9"/>
        <v>39.944833284728304</v>
      </c>
      <c r="F88">
        <f t="shared" si="10"/>
        <v>44.589501084806244</v>
      </c>
    </row>
    <row r="89" spans="2:6" x14ac:dyDescent="0.25">
      <c r="B89">
        <v>72</v>
      </c>
      <c r="C89">
        <f t="shared" si="7"/>
        <v>1395.2284355139523</v>
      </c>
      <c r="D89">
        <f t="shared" si="8"/>
        <v>1414.2135623730951</v>
      </c>
      <c r="E89">
        <f t="shared" si="9"/>
        <v>40.507436570428702</v>
      </c>
      <c r="F89">
        <f t="shared" si="10"/>
        <v>44.554661675220053</v>
      </c>
    </row>
    <row r="90" spans="2:6" x14ac:dyDescent="0.25">
      <c r="B90">
        <v>73</v>
      </c>
      <c r="C90">
        <f t="shared" si="7"/>
        <v>1396.3536420853532</v>
      </c>
      <c r="D90">
        <f t="shared" si="8"/>
        <v>1414.2135623730951</v>
      </c>
      <c r="E90">
        <f t="shared" si="9"/>
        <v>41.0700398561291</v>
      </c>
      <c r="F90">
        <f t="shared" si="10"/>
        <v>44.519836749499191</v>
      </c>
    </row>
    <row r="91" spans="2:6" x14ac:dyDescent="0.25">
      <c r="B91">
        <v>74</v>
      </c>
      <c r="C91">
        <f t="shared" si="7"/>
        <v>1397.4788486567538</v>
      </c>
      <c r="D91">
        <f t="shared" si="8"/>
        <v>1414.2135623730951</v>
      </c>
      <c r="E91">
        <f t="shared" si="9"/>
        <v>41.632643141829497</v>
      </c>
      <c r="F91">
        <f t="shared" si="10"/>
        <v>44.485026324328309</v>
      </c>
    </row>
    <row r="92" spans="2:6" x14ac:dyDescent="0.25">
      <c r="B92">
        <v>75</v>
      </c>
      <c r="C92">
        <f t="shared" si="7"/>
        <v>1398.6040552281547</v>
      </c>
      <c r="D92">
        <f t="shared" si="8"/>
        <v>1414.2135623730951</v>
      </c>
      <c r="E92">
        <f t="shared" si="9"/>
        <v>42.195246427529895</v>
      </c>
      <c r="F92">
        <f t="shared" si="10"/>
        <v>44.450230416335316</v>
      </c>
    </row>
    <row r="93" spans="2:6" x14ac:dyDescent="0.25">
      <c r="B93">
        <v>76</v>
      </c>
      <c r="C93">
        <f t="shared" si="7"/>
        <v>1399.7292617995554</v>
      </c>
      <c r="D93">
        <f t="shared" si="8"/>
        <v>1414.2135623730951</v>
      </c>
      <c r="E93">
        <f t="shared" si="9"/>
        <v>42.7578497132303</v>
      </c>
      <c r="F93">
        <f t="shared" si="10"/>
        <v>44.415449042091403</v>
      </c>
    </row>
    <row r="94" spans="2:6" x14ac:dyDescent="0.25">
      <c r="B94">
        <v>77</v>
      </c>
      <c r="C94">
        <f t="shared" si="7"/>
        <v>1400.8544683709563</v>
      </c>
      <c r="D94">
        <f t="shared" si="8"/>
        <v>1414.2135623730951</v>
      </c>
      <c r="E94">
        <f t="shared" si="9"/>
        <v>43.320452998930698</v>
      </c>
      <c r="F94">
        <f t="shared" si="10"/>
        <v>44.380682218111133</v>
      </c>
    </row>
    <row r="95" spans="2:6" x14ac:dyDescent="0.25">
      <c r="B95">
        <v>78</v>
      </c>
      <c r="C95">
        <f t="shared" si="7"/>
        <v>1401.9796749423572</v>
      </c>
      <c r="D95">
        <f t="shared" si="8"/>
        <v>1414.2135623730951</v>
      </c>
      <c r="E95">
        <f t="shared" si="9"/>
        <v>43.883056284631095</v>
      </c>
      <c r="F95">
        <f t="shared" si="10"/>
        <v>44.345929960852352</v>
      </c>
    </row>
    <row r="96" spans="2:6" x14ac:dyDescent="0.25">
      <c r="B96">
        <v>79</v>
      </c>
      <c r="C96">
        <f t="shared" si="7"/>
        <v>1403.1048815137578</v>
      </c>
      <c r="D96">
        <f t="shared" si="8"/>
        <v>1414.2135623730951</v>
      </c>
      <c r="E96">
        <f t="shared" si="9"/>
        <v>44.445659570331493</v>
      </c>
      <c r="F96">
        <f t="shared" si="10"/>
        <v>44.311192286716235</v>
      </c>
    </row>
    <row r="97" spans="2:6" x14ac:dyDescent="0.25">
      <c r="B97">
        <v>80</v>
      </c>
      <c r="C97">
        <f t="shared" si="7"/>
        <v>1404.2300880851587</v>
      </c>
      <c r="D97">
        <f t="shared" si="8"/>
        <v>1414.2135623730951</v>
      </c>
      <c r="E97">
        <f t="shared" si="9"/>
        <v>45.008262856031891</v>
      </c>
      <c r="F97">
        <f t="shared" si="10"/>
        <v>44.276469212047346</v>
      </c>
    </row>
    <row r="98" spans="2:6" x14ac:dyDescent="0.25">
      <c r="B98">
        <v>81</v>
      </c>
      <c r="C98">
        <f t="shared" si="7"/>
        <v>1405.3552946565594</v>
      </c>
      <c r="D98">
        <f t="shared" si="8"/>
        <v>1414.2135623730951</v>
      </c>
      <c r="E98">
        <f t="shared" si="9"/>
        <v>45.570866141732289</v>
      </c>
      <c r="F98">
        <f t="shared" si="10"/>
        <v>44.241760753133619</v>
      </c>
    </row>
    <row r="99" spans="2:6" x14ac:dyDescent="0.25">
      <c r="B99">
        <v>82</v>
      </c>
      <c r="C99">
        <f t="shared" si="7"/>
        <v>1406.4805012279603</v>
      </c>
      <c r="D99">
        <f t="shared" si="8"/>
        <v>1414.2135623730951</v>
      </c>
      <c r="E99">
        <f t="shared" si="9"/>
        <v>46.133469427432686</v>
      </c>
      <c r="F99">
        <f t="shared" si="10"/>
        <v>44.207066926206323</v>
      </c>
    </row>
    <row r="100" spans="2:6" x14ac:dyDescent="0.25">
      <c r="B100">
        <v>83</v>
      </c>
      <c r="C100">
        <f t="shared" si="7"/>
        <v>1407.605707799361</v>
      </c>
      <c r="D100">
        <f t="shared" si="8"/>
        <v>1414.2135623730951</v>
      </c>
      <c r="E100">
        <f t="shared" si="9"/>
        <v>46.696072713133084</v>
      </c>
      <c r="F100">
        <f t="shared" si="10"/>
        <v>44.172387747440176</v>
      </c>
    </row>
    <row r="101" spans="2:6" x14ac:dyDescent="0.25">
      <c r="B101">
        <v>84</v>
      </c>
      <c r="C101">
        <f t="shared" si="7"/>
        <v>1408.7309143707619</v>
      </c>
      <c r="D101">
        <f t="shared" si="8"/>
        <v>1414.2135623730951</v>
      </c>
      <c r="E101">
        <f t="shared" si="9"/>
        <v>47.258675998833482</v>
      </c>
      <c r="F101">
        <f t="shared" si="10"/>
        <v>44.137723232953277</v>
      </c>
    </row>
    <row r="102" spans="2:6" x14ac:dyDescent="0.25">
      <c r="B102">
        <v>85</v>
      </c>
      <c r="C102">
        <f t="shared" si="7"/>
        <v>1409.8561209421628</v>
      </c>
      <c r="D102">
        <f t="shared" si="8"/>
        <v>1414.2135623730951</v>
      </c>
      <c r="E102">
        <f t="shared" si="9"/>
        <v>47.821279284533887</v>
      </c>
      <c r="F102">
        <f t="shared" si="10"/>
        <v>44.10307339880719</v>
      </c>
    </row>
    <row r="103" spans="2:6" x14ac:dyDescent="0.25">
      <c r="B103">
        <v>86</v>
      </c>
      <c r="C103">
        <f t="shared" si="7"/>
        <v>1410.9813275135634</v>
      </c>
      <c r="D103">
        <f t="shared" si="8"/>
        <v>1414.2135623730951</v>
      </c>
      <c r="E103">
        <f t="shared" si="9"/>
        <v>48.383882570234285</v>
      </c>
      <c r="F103">
        <f t="shared" si="10"/>
        <v>44.068438261006897</v>
      </c>
    </row>
    <row r="104" spans="2:6" x14ac:dyDescent="0.25">
      <c r="B104">
        <v>87</v>
      </c>
      <c r="C104">
        <f t="shared" si="7"/>
        <v>1412.1065340849643</v>
      </c>
      <c r="D104">
        <f>SIN(PI()/180*_Theta)*_vyps*B104+_yShip+_yL</f>
        <v>1414.2135623730951</v>
      </c>
      <c r="E104">
        <f t="shared" si="9"/>
        <v>48.946485855934682</v>
      </c>
      <c r="F104">
        <f t="shared" si="10"/>
        <v>44.033817835500834</v>
      </c>
    </row>
    <row r="105" spans="2:6" x14ac:dyDescent="0.25">
      <c r="B105">
        <v>88</v>
      </c>
      <c r="C105">
        <f t="shared" si="7"/>
        <v>1413.231740656365</v>
      </c>
      <c r="D105">
        <f t="shared" si="8"/>
        <v>1414.2135623730951</v>
      </c>
      <c r="E105">
        <f t="shared" si="9"/>
        <v>49.50908914163508</v>
      </c>
      <c r="F105">
        <f t="shared" si="10"/>
        <v>43.999212138180965</v>
      </c>
    </row>
    <row r="106" spans="2:6" x14ac:dyDescent="0.25">
      <c r="B106">
        <v>89</v>
      </c>
      <c r="C106">
        <f t="shared" si="7"/>
        <v>1414.3569472277659</v>
      </c>
      <c r="D106">
        <f t="shared" si="8"/>
        <v>1414.2135623730951</v>
      </c>
      <c r="E106">
        <f t="shared" si="9"/>
        <v>50.071692427335478</v>
      </c>
      <c r="F106">
        <f t="shared" si="10"/>
        <v>43.964621184882702</v>
      </c>
    </row>
    <row r="107" spans="2:6" x14ac:dyDescent="0.25">
      <c r="B107">
        <v>90</v>
      </c>
      <c r="C107">
        <f t="shared" si="7"/>
        <v>1415.4821537991666</v>
      </c>
      <c r="D107">
        <f t="shared" si="8"/>
        <v>1414.2135623730951</v>
      </c>
      <c r="E107">
        <f t="shared" si="9"/>
        <v>50.634295713035876</v>
      </c>
      <c r="F107">
        <f t="shared" si="10"/>
        <v>43.93004499138501</v>
      </c>
    </row>
    <row r="108" spans="2:6" x14ac:dyDescent="0.25">
      <c r="B108">
        <v>91</v>
      </c>
      <c r="C108">
        <f t="shared" si="7"/>
        <v>1416.6073603705674</v>
      </c>
      <c r="D108">
        <f t="shared" si="8"/>
        <v>1414.2135623730951</v>
      </c>
      <c r="E108">
        <f t="shared" si="9"/>
        <v>51.196898998736273</v>
      </c>
      <c r="F108">
        <f t="shared" si="10"/>
        <v>43.895483573410374</v>
      </c>
    </row>
    <row r="109" spans="2:6" x14ac:dyDescent="0.25">
      <c r="B109">
        <v>92</v>
      </c>
      <c r="C109">
        <f t="shared" si="7"/>
        <v>1417.7325669419683</v>
      </c>
      <c r="D109">
        <f t="shared" si="8"/>
        <v>1414.2135623730951</v>
      </c>
      <c r="E109">
        <f t="shared" si="9"/>
        <v>51.759502284436678</v>
      </c>
      <c r="F109">
        <f t="shared" si="10"/>
        <v>43.860936946624832</v>
      </c>
    </row>
    <row r="110" spans="2:6" x14ac:dyDescent="0.25">
      <c r="B110">
        <v>93</v>
      </c>
      <c r="C110">
        <f t="shared" si="7"/>
        <v>1418.857773513369</v>
      </c>
      <c r="D110">
        <f t="shared" si="8"/>
        <v>1414.2135623730951</v>
      </c>
      <c r="E110">
        <f t="shared" si="9"/>
        <v>52.322105570137076</v>
      </c>
      <c r="F110">
        <f t="shared" si="10"/>
        <v>43.826405126638001</v>
      </c>
    </row>
    <row r="111" spans="2:6" x14ac:dyDescent="0.25">
      <c r="B111">
        <v>94</v>
      </c>
      <c r="C111">
        <f t="shared" si="7"/>
        <v>1419.9829800847699</v>
      </c>
      <c r="D111">
        <f t="shared" si="8"/>
        <v>1414.2135623730951</v>
      </c>
      <c r="E111">
        <f t="shared" si="9"/>
        <v>52.884708855837474</v>
      </c>
      <c r="F111">
        <f t="shared" si="10"/>
        <v>43.791888129003119</v>
      </c>
    </row>
    <row r="112" spans="2:6" x14ac:dyDescent="0.25">
      <c r="B112">
        <v>95</v>
      </c>
      <c r="C112">
        <f t="shared" si="7"/>
        <v>1421.1081866561706</v>
      </c>
      <c r="D112">
        <f t="shared" si="8"/>
        <v>1414.2135623730951</v>
      </c>
      <c r="E112">
        <f t="shared" si="9"/>
        <v>53.447312141537871</v>
      </c>
      <c r="F112">
        <f t="shared" si="10"/>
        <v>43.757385969216998</v>
      </c>
    </row>
    <row r="113" spans="2:6" x14ac:dyDescent="0.25">
      <c r="B113">
        <v>96</v>
      </c>
      <c r="C113">
        <f t="shared" ref="C113:C144" si="11">COS(PI()/180*_Theta)*_vyps*B113+_xShip+__xL</f>
        <v>1422.2333932275715</v>
      </c>
      <c r="D113">
        <f t="shared" ref="D113:D144" si="12">SIN(PI()/180*_Theta)*_vyps*B113+_yShip+_yL</f>
        <v>1414.2135623730951</v>
      </c>
      <c r="E113">
        <f t="shared" ref="E113:E144" si="13">B113*CONVERT(CONVERT(_vSub,"kn","m/sec"),"m","yd")</f>
        <v>54.009915427238269</v>
      </c>
      <c r="F113">
        <f t="shared" si="10"/>
        <v>43.722898662720084</v>
      </c>
    </row>
    <row r="114" spans="2:6" x14ac:dyDescent="0.25">
      <c r="B114">
        <v>97</v>
      </c>
      <c r="C114">
        <f t="shared" si="11"/>
        <v>1423.3585997989721</v>
      </c>
      <c r="D114">
        <f t="shared" si="12"/>
        <v>1414.2135623730951</v>
      </c>
      <c r="E114">
        <f t="shared" si="13"/>
        <v>54.572518712938667</v>
      </c>
      <c r="F114">
        <f t="shared" si="10"/>
        <v>43.688426224896524</v>
      </c>
    </row>
    <row r="115" spans="2:6" x14ac:dyDescent="0.25">
      <c r="B115">
        <v>98</v>
      </c>
      <c r="C115">
        <f t="shared" si="11"/>
        <v>1424.483806370373</v>
      </c>
      <c r="D115">
        <f t="shared" si="12"/>
        <v>1414.2135623730951</v>
      </c>
      <c r="E115">
        <f t="shared" si="13"/>
        <v>55.135121998639065</v>
      </c>
      <c r="F115">
        <f t="shared" si="10"/>
        <v>43.653968671074104</v>
      </c>
    </row>
    <row r="116" spans="2:6" x14ac:dyDescent="0.25">
      <c r="B116">
        <v>99</v>
      </c>
      <c r="C116">
        <f t="shared" si="11"/>
        <v>1425.6090129417737</v>
      </c>
      <c r="D116">
        <f t="shared" si="12"/>
        <v>1414.2135623730951</v>
      </c>
      <c r="E116">
        <f t="shared" si="13"/>
        <v>55.697725284339462</v>
      </c>
      <c r="F116">
        <f t="shared" si="10"/>
        <v>43.619526016524347</v>
      </c>
    </row>
    <row r="117" spans="2:6" x14ac:dyDescent="0.25">
      <c r="B117">
        <v>100</v>
      </c>
      <c r="C117">
        <f t="shared" si="11"/>
        <v>1426.7342195131746</v>
      </c>
      <c r="D117">
        <f t="shared" si="12"/>
        <v>1414.2135623730951</v>
      </c>
      <c r="E117">
        <f t="shared" si="13"/>
        <v>56.26032857003986</v>
      </c>
      <c r="F117">
        <f t="shared" si="10"/>
        <v>43.58509827646246</v>
      </c>
    </row>
    <row r="118" spans="2:6" x14ac:dyDescent="0.25">
      <c r="B118">
        <v>101</v>
      </c>
      <c r="C118">
        <f t="shared" si="11"/>
        <v>1427.8594260845755</v>
      </c>
      <c r="D118">
        <f t="shared" si="12"/>
        <v>1414.2135623730951</v>
      </c>
      <c r="E118">
        <f t="shared" si="13"/>
        <v>56.822931855740265</v>
      </c>
      <c r="F118">
        <f t="shared" si="10"/>
        <v>43.550685466047405</v>
      </c>
    </row>
    <row r="119" spans="2:6" x14ac:dyDescent="0.25">
      <c r="B119">
        <v>102</v>
      </c>
      <c r="C119">
        <f t="shared" si="11"/>
        <v>1428.9846326559762</v>
      </c>
      <c r="D119">
        <f t="shared" si="12"/>
        <v>1414.2135623730951</v>
      </c>
      <c r="E119">
        <f t="shared" si="13"/>
        <v>57.385535141440663</v>
      </c>
      <c r="F119">
        <f t="shared" si="10"/>
        <v>43.516287600381965</v>
      </c>
    </row>
    <row r="120" spans="2:6" x14ac:dyDescent="0.25">
      <c r="B120">
        <v>103</v>
      </c>
      <c r="C120">
        <f t="shared" si="11"/>
        <v>1430.1098392273771</v>
      </c>
      <c r="D120">
        <f t="shared" si="12"/>
        <v>1414.2135623730951</v>
      </c>
      <c r="E120">
        <f t="shared" si="13"/>
        <v>57.94813842714106</v>
      </c>
      <c r="F120">
        <f t="shared" si="10"/>
        <v>43.481904694512636</v>
      </c>
    </row>
    <row r="121" spans="2:6" x14ac:dyDescent="0.25">
      <c r="B121">
        <v>104</v>
      </c>
      <c r="C121">
        <f t="shared" si="11"/>
        <v>1431.2350457987777</v>
      </c>
      <c r="D121">
        <f t="shared" si="12"/>
        <v>1414.2135623730951</v>
      </c>
      <c r="E121">
        <f t="shared" si="13"/>
        <v>58.510741712841458</v>
      </c>
      <c r="F121">
        <f t="shared" si="10"/>
        <v>43.447536763429781</v>
      </c>
    </row>
    <row r="122" spans="2:6" x14ac:dyDescent="0.25">
      <c r="B122">
        <v>105</v>
      </c>
      <c r="C122">
        <f t="shared" si="11"/>
        <v>1432.3602523701786</v>
      </c>
      <c r="D122">
        <f t="shared" si="12"/>
        <v>1414.2135623730951</v>
      </c>
      <c r="E122">
        <f t="shared" si="13"/>
        <v>59.073344998541856</v>
      </c>
      <c r="F122">
        <f t="shared" si="10"/>
        <v>43.413183822067587</v>
      </c>
    </row>
    <row r="123" spans="2:6" x14ac:dyDescent="0.25">
      <c r="B123">
        <v>106</v>
      </c>
      <c r="C123">
        <f t="shared" si="11"/>
        <v>1433.4854589415793</v>
      </c>
      <c r="D123">
        <f t="shared" si="12"/>
        <v>1414.2135623730951</v>
      </c>
      <c r="E123">
        <f t="shared" si="13"/>
        <v>59.635948284242254</v>
      </c>
      <c r="F123">
        <f t="shared" si="10"/>
        <v>43.378845885304138</v>
      </c>
    </row>
    <row r="124" spans="2:6" x14ac:dyDescent="0.25">
      <c r="B124">
        <v>107</v>
      </c>
      <c r="C124">
        <f t="shared" si="11"/>
        <v>1434.6106655129802</v>
      </c>
      <c r="D124">
        <f t="shared" si="12"/>
        <v>1414.2135623730951</v>
      </c>
      <c r="E124">
        <f t="shared" si="13"/>
        <v>60.198551569942651</v>
      </c>
      <c r="F124">
        <f t="shared" si="10"/>
        <v>43.344522967961367</v>
      </c>
    </row>
    <row r="125" spans="2:6" x14ac:dyDescent="0.25">
      <c r="B125">
        <v>108</v>
      </c>
      <c r="C125">
        <f t="shared" si="11"/>
        <v>1435.7358720843811</v>
      </c>
      <c r="D125">
        <f t="shared" si="12"/>
        <v>1414.2135623730951</v>
      </c>
      <c r="E125">
        <f t="shared" si="13"/>
        <v>60.761154855643056</v>
      </c>
      <c r="F125">
        <f t="shared" si="10"/>
        <v>43.310215084805144</v>
      </c>
    </row>
    <row r="126" spans="2:6" x14ac:dyDescent="0.25">
      <c r="B126">
        <v>109</v>
      </c>
      <c r="C126">
        <f t="shared" si="11"/>
        <v>1436.8610786557817</v>
      </c>
      <c r="D126">
        <f t="shared" si="12"/>
        <v>1414.2135623730951</v>
      </c>
      <c r="E126">
        <f t="shared" si="13"/>
        <v>61.323758141343454</v>
      </c>
      <c r="F126">
        <f t="shared" si="10"/>
        <v>43.275922250545307</v>
      </c>
    </row>
    <row r="127" spans="2:6" x14ac:dyDescent="0.25">
      <c r="B127">
        <v>110</v>
      </c>
      <c r="C127">
        <f t="shared" si="11"/>
        <v>1437.9862852271826</v>
      </c>
      <c r="D127">
        <f t="shared" si="12"/>
        <v>1414.2135623730951</v>
      </c>
      <c r="E127">
        <f t="shared" si="13"/>
        <v>61.886361427043852</v>
      </c>
      <c r="F127">
        <f t="shared" si="10"/>
        <v>43.241644479835614</v>
      </c>
    </row>
    <row r="128" spans="2:6" x14ac:dyDescent="0.25">
      <c r="B128">
        <v>111</v>
      </c>
      <c r="C128">
        <f t="shared" si="11"/>
        <v>1439.1114917985833</v>
      </c>
      <c r="D128">
        <f t="shared" si="12"/>
        <v>1414.2135623730951</v>
      </c>
      <c r="E128">
        <f t="shared" si="13"/>
        <v>62.44896471274425</v>
      </c>
      <c r="F128">
        <f t="shared" si="10"/>
        <v>43.20738178727386</v>
      </c>
    </row>
    <row r="129" spans="2:6" x14ac:dyDescent="0.25">
      <c r="B129">
        <v>112</v>
      </c>
      <c r="C129">
        <f t="shared" si="11"/>
        <v>1440.2366983699842</v>
      </c>
      <c r="D129">
        <f t="shared" si="12"/>
        <v>1414.2135623730951</v>
      </c>
      <c r="E129">
        <f t="shared" si="13"/>
        <v>63.011567998444647</v>
      </c>
      <c r="F129">
        <f t="shared" si="10"/>
        <v>43.173134187401857</v>
      </c>
    </row>
    <row r="130" spans="2:6" x14ac:dyDescent="0.25">
      <c r="B130">
        <v>113</v>
      </c>
      <c r="C130">
        <f t="shared" si="11"/>
        <v>1441.3619049413849</v>
      </c>
      <c r="D130">
        <f t="shared" si="12"/>
        <v>1414.2135623730951</v>
      </c>
      <c r="E130">
        <f t="shared" si="13"/>
        <v>63.574171284145045</v>
      </c>
      <c r="F130">
        <f t="shared" si="10"/>
        <v>43.13890169470546</v>
      </c>
    </row>
    <row r="131" spans="2:6" x14ac:dyDescent="0.25">
      <c r="B131">
        <v>114</v>
      </c>
      <c r="C131">
        <f t="shared" si="11"/>
        <v>1442.4871115127858</v>
      </c>
      <c r="D131">
        <f t="shared" si="12"/>
        <v>1414.2135623730951</v>
      </c>
      <c r="E131">
        <f t="shared" si="13"/>
        <v>64.136774569845443</v>
      </c>
      <c r="F131">
        <f t="shared" si="10"/>
        <v>43.104684323614606</v>
      </c>
    </row>
    <row r="132" spans="2:6" x14ac:dyDescent="0.25">
      <c r="B132">
        <v>115</v>
      </c>
      <c r="C132">
        <f t="shared" si="11"/>
        <v>1443.6123180841867</v>
      </c>
      <c r="D132">
        <f t="shared" si="12"/>
        <v>1414.2135623730951</v>
      </c>
      <c r="E132">
        <f t="shared" si="13"/>
        <v>64.699377855545848</v>
      </c>
      <c r="F132">
        <f t="shared" si="10"/>
        <v>43.07048208850334</v>
      </c>
    </row>
    <row r="133" spans="2:6" x14ac:dyDescent="0.25">
      <c r="B133">
        <v>116</v>
      </c>
      <c r="C133">
        <f t="shared" si="11"/>
        <v>1444.7375246555873</v>
      </c>
      <c r="D133">
        <f t="shared" si="12"/>
        <v>1414.2135623730951</v>
      </c>
      <c r="E133">
        <f t="shared" si="13"/>
        <v>65.261981141246238</v>
      </c>
      <c r="F133">
        <f t="shared" si="10"/>
        <v>43.036295003689872</v>
      </c>
    </row>
    <row r="134" spans="2:6" x14ac:dyDescent="0.25">
      <c r="B134">
        <v>117</v>
      </c>
      <c r="C134">
        <f t="shared" si="11"/>
        <v>1445.8627312269882</v>
      </c>
      <c r="D134">
        <f t="shared" si="12"/>
        <v>1414.2135623730951</v>
      </c>
      <c r="E134">
        <f t="shared" si="13"/>
        <v>65.824584426946643</v>
      </c>
      <c r="F134">
        <f t="shared" si="10"/>
        <v>43.002123083436523</v>
      </c>
    </row>
    <row r="135" spans="2:6" x14ac:dyDescent="0.25">
      <c r="B135">
        <v>118</v>
      </c>
      <c r="C135">
        <f t="shared" si="11"/>
        <v>1446.9879377983889</v>
      </c>
      <c r="D135">
        <f t="shared" si="12"/>
        <v>1414.2135623730951</v>
      </c>
      <c r="E135">
        <f t="shared" si="13"/>
        <v>66.387187712647034</v>
      </c>
      <c r="F135">
        <f t="shared" si="10"/>
        <v>42.967966341949882</v>
      </c>
    </row>
    <row r="136" spans="2:6" x14ac:dyDescent="0.25">
      <c r="B136">
        <v>119</v>
      </c>
      <c r="C136">
        <f t="shared" si="11"/>
        <v>1448.1131443697898</v>
      </c>
      <c r="D136">
        <f t="shared" si="12"/>
        <v>1414.2135623730951</v>
      </c>
      <c r="E136">
        <f t="shared" si="13"/>
        <v>66.949790998347439</v>
      </c>
      <c r="F136">
        <f t="shared" si="10"/>
        <v>42.933824793380687</v>
      </c>
    </row>
    <row r="137" spans="2:6" x14ac:dyDescent="0.25">
      <c r="B137">
        <v>120</v>
      </c>
      <c r="C137">
        <f t="shared" si="11"/>
        <v>1449.2383509411907</v>
      </c>
      <c r="D137">
        <f t="shared" si="12"/>
        <v>1414.2135623730951</v>
      </c>
      <c r="E137">
        <f t="shared" si="13"/>
        <v>67.512394284047843</v>
      </c>
      <c r="F137">
        <f t="shared" si="10"/>
        <v>42.899698451824008</v>
      </c>
    </row>
    <row r="138" spans="2:6" x14ac:dyDescent="0.25">
      <c r="B138">
        <v>121</v>
      </c>
      <c r="C138">
        <f t="shared" si="11"/>
        <v>1450.3635575125913</v>
      </c>
      <c r="D138">
        <f t="shared" si="12"/>
        <v>1414.2135623730951</v>
      </c>
      <c r="E138">
        <f t="shared" si="13"/>
        <v>68.074997569748234</v>
      </c>
      <c r="F138">
        <f t="shared" si="10"/>
        <v>42.865587331319155</v>
      </c>
    </row>
    <row r="139" spans="2:6" x14ac:dyDescent="0.25">
      <c r="B139">
        <v>122</v>
      </c>
      <c r="C139">
        <f t="shared" si="11"/>
        <v>1451.4887640839922</v>
      </c>
      <c r="D139">
        <f t="shared" si="12"/>
        <v>1414.2135623730951</v>
      </c>
      <c r="E139">
        <f t="shared" si="13"/>
        <v>68.637600855448639</v>
      </c>
      <c r="F139">
        <f t="shared" si="10"/>
        <v>42.831491445849757</v>
      </c>
    </row>
    <row r="140" spans="2:6" x14ac:dyDescent="0.25">
      <c r="B140">
        <v>123</v>
      </c>
      <c r="C140">
        <f t="shared" si="11"/>
        <v>1452.6139706553929</v>
      </c>
      <c r="D140">
        <f t="shared" si="12"/>
        <v>1414.2135623730951</v>
      </c>
      <c r="E140">
        <f t="shared" si="13"/>
        <v>69.20020414114903</v>
      </c>
      <c r="F140">
        <f t="shared" si="10"/>
        <v>42.797410809343823</v>
      </c>
    </row>
    <row r="141" spans="2:6" x14ac:dyDescent="0.25">
      <c r="B141">
        <v>124</v>
      </c>
      <c r="C141">
        <f t="shared" si="11"/>
        <v>1453.7391772267938</v>
      </c>
      <c r="D141">
        <f t="shared" si="12"/>
        <v>1414.2135623730951</v>
      </c>
      <c r="E141">
        <f t="shared" si="13"/>
        <v>69.762807426849434</v>
      </c>
      <c r="F141">
        <f t="shared" si="10"/>
        <v>42.763345435673727</v>
      </c>
    </row>
    <row r="142" spans="2:6" x14ac:dyDescent="0.25">
      <c r="B142">
        <v>125</v>
      </c>
      <c r="C142">
        <f t="shared" si="11"/>
        <v>1454.8643837981945</v>
      </c>
      <c r="D142">
        <f t="shared" si="12"/>
        <v>1414.2135623730951</v>
      </c>
      <c r="E142">
        <f t="shared" si="13"/>
        <v>70.325410712549825</v>
      </c>
      <c r="F142">
        <f t="shared" si="10"/>
        <v>42.729295338656264</v>
      </c>
    </row>
    <row r="143" spans="2:6" x14ac:dyDescent="0.25">
      <c r="B143">
        <v>126</v>
      </c>
      <c r="C143">
        <f t="shared" si="11"/>
        <v>1455.9895903695954</v>
      </c>
      <c r="D143">
        <f t="shared" si="12"/>
        <v>1414.2135623730951</v>
      </c>
      <c r="E143">
        <f t="shared" si="13"/>
        <v>70.88801399825023</v>
      </c>
      <c r="F143">
        <f t="shared" si="10"/>
        <v>42.695260532052657</v>
      </c>
    </row>
    <row r="144" spans="2:6" x14ac:dyDescent="0.25">
      <c r="B144">
        <v>127</v>
      </c>
      <c r="C144">
        <f t="shared" si="11"/>
        <v>1457.114796940996</v>
      </c>
      <c r="D144">
        <f t="shared" si="12"/>
        <v>1414.2135623730951</v>
      </c>
      <c r="E144">
        <f t="shared" si="13"/>
        <v>71.450617283950621</v>
      </c>
      <c r="F144">
        <f t="shared" si="10"/>
        <v>42.661241029568629</v>
      </c>
    </row>
    <row r="145" spans="2:6" x14ac:dyDescent="0.25">
      <c r="B145">
        <v>128</v>
      </c>
      <c r="C145">
        <f t="shared" ref="C145:C176" si="14">COS(PI()/180*_Theta)*_vyps*B145+_xShip+__xL</f>
        <v>1458.2400035123969</v>
      </c>
      <c r="D145">
        <f t="shared" ref="D145:D176" si="15">SIN(PI()/180*_Theta)*_vyps*B145+_yShip+_yL</f>
        <v>1414.2135623730951</v>
      </c>
      <c r="E145">
        <f t="shared" ref="E145:E176" si="16">B145*CONVERT(CONVERT(_vSub,"kn","m/sec"),"m","yd")</f>
        <v>72.013220569651025</v>
      </c>
      <c r="F145">
        <f t="shared" si="10"/>
        <v>42.627236844854423</v>
      </c>
    </row>
    <row r="146" spans="2:6" x14ac:dyDescent="0.25">
      <c r="B146">
        <v>129</v>
      </c>
      <c r="C146">
        <f t="shared" si="14"/>
        <v>1459.3652100837978</v>
      </c>
      <c r="D146">
        <f t="shared" si="15"/>
        <v>1414.2135623730951</v>
      </c>
      <c r="E146">
        <f t="shared" si="16"/>
        <v>72.57582385535143</v>
      </c>
      <c r="F146">
        <f t="shared" ref="F146:F209" si="17">ATAN2(C146,D146-E146)*180/PI()</f>
        <v>42.593247991504818</v>
      </c>
    </row>
    <row r="147" spans="2:6" x14ac:dyDescent="0.25">
      <c r="B147">
        <v>130</v>
      </c>
      <c r="C147">
        <f t="shared" si="14"/>
        <v>1460.4904166551985</v>
      </c>
      <c r="D147">
        <f t="shared" si="15"/>
        <v>1414.2135623730951</v>
      </c>
      <c r="E147">
        <f t="shared" si="16"/>
        <v>73.138427141051821</v>
      </c>
      <c r="F147">
        <f t="shared" si="17"/>
        <v>42.559274483059177</v>
      </c>
    </row>
    <row r="148" spans="2:6" x14ac:dyDescent="0.25">
      <c r="B148">
        <v>131</v>
      </c>
      <c r="C148">
        <f t="shared" si="14"/>
        <v>1461.6156232265994</v>
      </c>
      <c r="D148">
        <f t="shared" si="15"/>
        <v>1414.2135623730951</v>
      </c>
      <c r="E148">
        <f t="shared" si="16"/>
        <v>73.701030426752226</v>
      </c>
      <c r="F148">
        <f t="shared" si="17"/>
        <v>42.525316333001477</v>
      </c>
    </row>
    <row r="149" spans="2:6" x14ac:dyDescent="0.25">
      <c r="B149">
        <v>132</v>
      </c>
      <c r="C149">
        <f t="shared" si="14"/>
        <v>1462.740829798</v>
      </c>
      <c r="D149">
        <f t="shared" si="15"/>
        <v>1414.2135623730951</v>
      </c>
      <c r="E149">
        <f t="shared" si="16"/>
        <v>74.263633712452616</v>
      </c>
      <c r="F149">
        <f t="shared" si="17"/>
        <v>42.491373554760351</v>
      </c>
    </row>
    <row r="150" spans="2:6" x14ac:dyDescent="0.25">
      <c r="B150">
        <v>133</v>
      </c>
      <c r="C150">
        <f t="shared" si="14"/>
        <v>1463.8660363694009</v>
      </c>
      <c r="D150">
        <f t="shared" si="15"/>
        <v>1414.2135623730951</v>
      </c>
      <c r="E150">
        <f t="shared" si="16"/>
        <v>74.826236998153021</v>
      </c>
      <c r="F150">
        <f t="shared" si="17"/>
        <v>42.457446161709122</v>
      </c>
    </row>
    <row r="151" spans="2:6" x14ac:dyDescent="0.25">
      <c r="B151">
        <v>134</v>
      </c>
      <c r="C151">
        <f t="shared" si="14"/>
        <v>1464.9912429408016</v>
      </c>
      <c r="D151">
        <f t="shared" si="15"/>
        <v>1414.2135623730951</v>
      </c>
      <c r="E151">
        <f t="shared" si="16"/>
        <v>75.388840283853412</v>
      </c>
      <c r="F151">
        <f t="shared" si="17"/>
        <v>42.423534167165833</v>
      </c>
    </row>
    <row r="152" spans="2:6" x14ac:dyDescent="0.25">
      <c r="B152">
        <v>135</v>
      </c>
      <c r="C152">
        <f t="shared" si="14"/>
        <v>1466.1164495122025</v>
      </c>
      <c r="D152">
        <f t="shared" si="15"/>
        <v>1414.2135623730951</v>
      </c>
      <c r="E152">
        <f t="shared" si="16"/>
        <v>75.951443569553817</v>
      </c>
      <c r="F152">
        <f t="shared" si="17"/>
        <v>42.38963758439327</v>
      </c>
    </row>
    <row r="153" spans="2:6" x14ac:dyDescent="0.25">
      <c r="B153">
        <v>136</v>
      </c>
      <c r="C153">
        <f t="shared" si="14"/>
        <v>1467.2416560836032</v>
      </c>
      <c r="D153">
        <f t="shared" si="15"/>
        <v>1414.2135623730951</v>
      </c>
      <c r="E153">
        <f t="shared" si="16"/>
        <v>76.514046855254207</v>
      </c>
      <c r="F153">
        <f t="shared" si="17"/>
        <v>42.355756426599058</v>
      </c>
    </row>
    <row r="154" spans="2:6" x14ac:dyDescent="0.25">
      <c r="B154">
        <v>137</v>
      </c>
      <c r="C154">
        <f t="shared" si="14"/>
        <v>1468.3668626550041</v>
      </c>
      <c r="D154">
        <f t="shared" si="15"/>
        <v>1414.2135623730951</v>
      </c>
      <c r="E154">
        <f t="shared" si="16"/>
        <v>77.076650140954612</v>
      </c>
      <c r="F154">
        <f t="shared" si="17"/>
        <v>42.321890706935591</v>
      </c>
    </row>
    <row r="155" spans="2:6" x14ac:dyDescent="0.25">
      <c r="B155">
        <v>138</v>
      </c>
      <c r="C155">
        <f t="shared" si="14"/>
        <v>1469.492069226405</v>
      </c>
      <c r="D155">
        <f t="shared" si="15"/>
        <v>1414.2135623730951</v>
      </c>
      <c r="E155">
        <f t="shared" si="16"/>
        <v>77.639253426655017</v>
      </c>
      <c r="F155">
        <f t="shared" si="17"/>
        <v>42.288040438500175</v>
      </c>
    </row>
    <row r="156" spans="2:6" x14ac:dyDescent="0.25">
      <c r="B156">
        <v>139</v>
      </c>
      <c r="C156">
        <f t="shared" si="14"/>
        <v>1470.6172757978056</v>
      </c>
      <c r="D156">
        <f t="shared" si="15"/>
        <v>1414.2135623730951</v>
      </c>
      <c r="E156">
        <f t="shared" si="16"/>
        <v>78.201856712355408</v>
      </c>
      <c r="F156">
        <f t="shared" si="17"/>
        <v>42.25420563433503</v>
      </c>
    </row>
    <row r="157" spans="2:6" x14ac:dyDescent="0.25">
      <c r="B157">
        <v>140</v>
      </c>
      <c r="C157">
        <f t="shared" si="14"/>
        <v>1471.7424823692065</v>
      </c>
      <c r="D157">
        <f t="shared" si="15"/>
        <v>1414.2135623730951</v>
      </c>
      <c r="E157">
        <f t="shared" si="16"/>
        <v>78.764459998055813</v>
      </c>
      <c r="F157">
        <f t="shared" si="17"/>
        <v>42.220386307427283</v>
      </c>
    </row>
    <row r="158" spans="2:6" x14ac:dyDescent="0.25">
      <c r="B158">
        <v>141</v>
      </c>
      <c r="C158">
        <f t="shared" si="14"/>
        <v>1472.8676889406072</v>
      </c>
      <c r="D158">
        <f t="shared" si="15"/>
        <v>1414.2135623730951</v>
      </c>
      <c r="E158">
        <f t="shared" si="16"/>
        <v>79.327063283756203</v>
      </c>
      <c r="F158">
        <f t="shared" si="17"/>
        <v>42.186582470709077</v>
      </c>
    </row>
    <row r="159" spans="2:6" x14ac:dyDescent="0.25">
      <c r="B159">
        <v>142</v>
      </c>
      <c r="C159">
        <f t="shared" si="14"/>
        <v>1473.9928955120081</v>
      </c>
      <c r="D159">
        <f t="shared" si="15"/>
        <v>1414.2135623730951</v>
      </c>
      <c r="E159">
        <f t="shared" si="16"/>
        <v>79.889666569456608</v>
      </c>
      <c r="F159">
        <f t="shared" si="17"/>
        <v>42.152794137057548</v>
      </c>
    </row>
    <row r="160" spans="2:6" x14ac:dyDescent="0.25">
      <c r="B160">
        <v>143</v>
      </c>
      <c r="C160">
        <f t="shared" si="14"/>
        <v>1475.1181020834088</v>
      </c>
      <c r="D160">
        <f t="shared" si="15"/>
        <v>1414.2135623730951</v>
      </c>
      <c r="E160">
        <f t="shared" si="16"/>
        <v>80.452269855156999</v>
      </c>
      <c r="F160">
        <f t="shared" si="17"/>
        <v>42.119021319294916</v>
      </c>
    </row>
    <row r="161" spans="2:6" x14ac:dyDescent="0.25">
      <c r="B161">
        <v>144</v>
      </c>
      <c r="C161">
        <f t="shared" si="14"/>
        <v>1476.2433086548097</v>
      </c>
      <c r="D161">
        <f t="shared" si="15"/>
        <v>1414.2135623730951</v>
      </c>
      <c r="E161">
        <f t="shared" si="16"/>
        <v>81.014873140857404</v>
      </c>
      <c r="F161">
        <f t="shared" si="17"/>
        <v>42.08526403018849</v>
      </c>
    </row>
    <row r="162" spans="2:6" x14ac:dyDescent="0.25">
      <c r="B162">
        <v>145</v>
      </c>
      <c r="C162">
        <f t="shared" si="14"/>
        <v>1477.3685152262105</v>
      </c>
      <c r="D162">
        <f t="shared" si="15"/>
        <v>1414.2135623730951</v>
      </c>
      <c r="E162">
        <f t="shared" si="16"/>
        <v>81.577476426557809</v>
      </c>
      <c r="F162">
        <f t="shared" si="17"/>
        <v>42.051522282450705</v>
      </c>
    </row>
    <row r="163" spans="2:6" x14ac:dyDescent="0.25">
      <c r="B163">
        <v>146</v>
      </c>
      <c r="C163">
        <f t="shared" si="14"/>
        <v>1478.4937217976112</v>
      </c>
      <c r="D163">
        <f t="shared" si="15"/>
        <v>1414.2135623730951</v>
      </c>
      <c r="E163">
        <f t="shared" si="16"/>
        <v>82.140079712258199</v>
      </c>
      <c r="F163">
        <f t="shared" si="17"/>
        <v>42.017796088739203</v>
      </c>
    </row>
    <row r="164" spans="2:6" x14ac:dyDescent="0.25">
      <c r="B164">
        <v>147</v>
      </c>
      <c r="C164">
        <f t="shared" si="14"/>
        <v>1479.6189283690121</v>
      </c>
      <c r="D164">
        <f t="shared" si="15"/>
        <v>1414.2135623730951</v>
      </c>
      <c r="E164">
        <f t="shared" si="16"/>
        <v>82.702682997958604</v>
      </c>
      <c r="F164">
        <f t="shared" si="17"/>
        <v>41.984085461656818</v>
      </c>
    </row>
    <row r="165" spans="2:6" x14ac:dyDescent="0.25">
      <c r="B165">
        <v>148</v>
      </c>
      <c r="C165">
        <f t="shared" si="14"/>
        <v>1480.7441349404128</v>
      </c>
      <c r="D165">
        <f t="shared" si="15"/>
        <v>1414.2135623730951</v>
      </c>
      <c r="E165">
        <f t="shared" si="16"/>
        <v>83.265286283658995</v>
      </c>
      <c r="F165">
        <f t="shared" si="17"/>
        <v>41.950390413751656</v>
      </c>
    </row>
    <row r="166" spans="2:6" x14ac:dyDescent="0.25">
      <c r="B166">
        <v>149</v>
      </c>
      <c r="C166">
        <f t="shared" si="14"/>
        <v>1481.8693415118137</v>
      </c>
      <c r="D166">
        <f t="shared" si="15"/>
        <v>1414.2135623730951</v>
      </c>
      <c r="E166">
        <f t="shared" si="16"/>
        <v>83.8278895693594</v>
      </c>
      <c r="F166">
        <f t="shared" si="17"/>
        <v>41.916710957517125</v>
      </c>
    </row>
    <row r="167" spans="2:6" x14ac:dyDescent="0.25">
      <c r="B167">
        <v>150</v>
      </c>
      <c r="C167">
        <f t="shared" si="14"/>
        <v>1482.9945480832143</v>
      </c>
      <c r="D167">
        <f t="shared" si="15"/>
        <v>1414.2135623730951</v>
      </c>
      <c r="E167">
        <f t="shared" si="16"/>
        <v>84.39049285505979</v>
      </c>
      <c r="F167">
        <f t="shared" si="17"/>
        <v>41.883047105391952</v>
      </c>
    </row>
    <row r="168" spans="2:6" x14ac:dyDescent="0.25">
      <c r="B168">
        <v>151</v>
      </c>
      <c r="C168">
        <f t="shared" si="14"/>
        <v>1484.1197546546152</v>
      </c>
      <c r="D168">
        <f t="shared" si="15"/>
        <v>1414.2135623730951</v>
      </c>
      <c r="E168">
        <f t="shared" si="16"/>
        <v>84.953096140760195</v>
      </c>
      <c r="F168">
        <f t="shared" si="17"/>
        <v>41.8493988697603</v>
      </c>
    </row>
    <row r="169" spans="2:6" x14ac:dyDescent="0.25">
      <c r="B169">
        <v>152</v>
      </c>
      <c r="C169">
        <f t="shared" si="14"/>
        <v>1485.2449612260161</v>
      </c>
      <c r="D169">
        <f t="shared" si="15"/>
        <v>1414.2135623730951</v>
      </c>
      <c r="E169">
        <f t="shared" si="16"/>
        <v>85.5156994264606</v>
      </c>
      <c r="F169">
        <f t="shared" si="17"/>
        <v>41.815766262951684</v>
      </c>
    </row>
    <row r="170" spans="2:6" x14ac:dyDescent="0.25">
      <c r="B170">
        <v>153</v>
      </c>
      <c r="C170">
        <f t="shared" si="14"/>
        <v>1486.3701677974168</v>
      </c>
      <c r="D170">
        <f t="shared" si="15"/>
        <v>1414.2135623730951</v>
      </c>
      <c r="E170">
        <f t="shared" si="16"/>
        <v>86.07830271216099</v>
      </c>
      <c r="F170">
        <f t="shared" si="17"/>
        <v>41.782149297241148</v>
      </c>
    </row>
    <row r="171" spans="2:6" x14ac:dyDescent="0.25">
      <c r="B171">
        <v>154</v>
      </c>
      <c r="C171">
        <f t="shared" si="14"/>
        <v>1487.4953743688177</v>
      </c>
      <c r="D171">
        <f t="shared" si="15"/>
        <v>1414.2135623730951</v>
      </c>
      <c r="E171">
        <f t="shared" si="16"/>
        <v>86.640905997861395</v>
      </c>
      <c r="F171">
        <f t="shared" si="17"/>
        <v>41.748547984849218</v>
      </c>
    </row>
    <row r="172" spans="2:6" x14ac:dyDescent="0.25">
      <c r="B172">
        <v>155</v>
      </c>
      <c r="C172">
        <f t="shared" si="14"/>
        <v>1488.6205809402184</v>
      </c>
      <c r="D172">
        <f t="shared" si="15"/>
        <v>1414.2135623730951</v>
      </c>
      <c r="E172">
        <f t="shared" si="16"/>
        <v>87.203509283561786</v>
      </c>
      <c r="F172">
        <f t="shared" si="17"/>
        <v>41.714962337941991</v>
      </c>
    </row>
    <row r="173" spans="2:6" x14ac:dyDescent="0.25">
      <c r="B173">
        <v>156</v>
      </c>
      <c r="C173">
        <f t="shared" si="14"/>
        <v>1489.7457875116193</v>
      </c>
      <c r="D173">
        <f t="shared" si="15"/>
        <v>1414.2135623730951</v>
      </c>
      <c r="E173">
        <f t="shared" si="16"/>
        <v>87.766112569262191</v>
      </c>
      <c r="F173">
        <f t="shared" si="17"/>
        <v>41.68139236863113</v>
      </c>
    </row>
    <row r="174" spans="2:6" x14ac:dyDescent="0.25">
      <c r="B174">
        <v>157</v>
      </c>
      <c r="C174">
        <f t="shared" si="14"/>
        <v>1490.8709940830199</v>
      </c>
      <c r="D174">
        <f t="shared" si="15"/>
        <v>1414.2135623730951</v>
      </c>
      <c r="E174">
        <f t="shared" si="16"/>
        <v>88.328715854962581</v>
      </c>
      <c r="F174">
        <f t="shared" si="17"/>
        <v>41.647838088973963</v>
      </c>
    </row>
    <row r="175" spans="2:6" x14ac:dyDescent="0.25">
      <c r="B175">
        <v>158</v>
      </c>
      <c r="C175">
        <f t="shared" si="14"/>
        <v>1491.9962006544208</v>
      </c>
      <c r="D175">
        <f t="shared" si="15"/>
        <v>1414.2135623730951</v>
      </c>
      <c r="E175">
        <f t="shared" si="16"/>
        <v>88.891319140662986</v>
      </c>
      <c r="F175">
        <f t="shared" si="17"/>
        <v>41.614299510973481</v>
      </c>
    </row>
    <row r="176" spans="2:6" x14ac:dyDescent="0.25">
      <c r="B176">
        <v>159</v>
      </c>
      <c r="C176">
        <f t="shared" si="14"/>
        <v>1493.1214072258217</v>
      </c>
      <c r="D176">
        <f t="shared" si="15"/>
        <v>1414.2135623730951</v>
      </c>
      <c r="E176">
        <f t="shared" si="16"/>
        <v>89.453922426363377</v>
      </c>
      <c r="F176">
        <f t="shared" si="17"/>
        <v>41.580776646578443</v>
      </c>
    </row>
    <row r="177" spans="2:6" x14ac:dyDescent="0.25">
      <c r="B177">
        <v>160</v>
      </c>
      <c r="C177">
        <f t="shared" ref="C177:C208" si="18">COS(PI()/180*_Theta)*_vyps*B177+_xShip+__xL</f>
        <v>1494.2466137972224</v>
      </c>
      <c r="D177">
        <f t="shared" ref="D177:D208" si="19">SIN(PI()/180*_Theta)*_vyps*B177+_yShip+_yL</f>
        <v>1414.2135623730951</v>
      </c>
      <c r="E177">
        <f t="shared" ref="E177:E208" si="20">B177*CONVERT(CONVERT(_vSub,"kn","m/sec"),"m","yd")</f>
        <v>90.016525712063782</v>
      </c>
      <c r="F177">
        <f t="shared" si="17"/>
        <v>41.547269507683339</v>
      </c>
    </row>
    <row r="178" spans="2:6" x14ac:dyDescent="0.25">
      <c r="B178">
        <v>161</v>
      </c>
      <c r="C178">
        <f t="shared" si="18"/>
        <v>1495.3718203686233</v>
      </c>
      <c r="D178">
        <f t="shared" si="19"/>
        <v>1414.2135623730951</v>
      </c>
      <c r="E178">
        <f t="shared" si="20"/>
        <v>90.579128997764187</v>
      </c>
      <c r="F178">
        <f t="shared" si="17"/>
        <v>41.513778106128498</v>
      </c>
    </row>
    <row r="179" spans="2:6" x14ac:dyDescent="0.25">
      <c r="B179">
        <v>162</v>
      </c>
      <c r="C179">
        <f t="shared" si="18"/>
        <v>1496.4970269400239</v>
      </c>
      <c r="D179">
        <f t="shared" si="19"/>
        <v>1414.2135623730951</v>
      </c>
      <c r="E179">
        <f t="shared" si="20"/>
        <v>91.141732283464577</v>
      </c>
      <c r="F179">
        <f t="shared" si="17"/>
        <v>41.480302453700112</v>
      </c>
    </row>
    <row r="180" spans="2:6" x14ac:dyDescent="0.25">
      <c r="B180">
        <v>163</v>
      </c>
      <c r="C180">
        <f t="shared" si="18"/>
        <v>1497.6222335114248</v>
      </c>
      <c r="D180">
        <f t="shared" si="19"/>
        <v>1414.2135623730951</v>
      </c>
      <c r="E180">
        <f t="shared" si="20"/>
        <v>91.704335569164982</v>
      </c>
      <c r="F180">
        <f t="shared" si="17"/>
        <v>41.446842562130279</v>
      </c>
    </row>
    <row r="181" spans="2:6" x14ac:dyDescent="0.25">
      <c r="B181">
        <v>164</v>
      </c>
      <c r="C181">
        <f t="shared" si="18"/>
        <v>1498.7474400828255</v>
      </c>
      <c r="D181">
        <f t="shared" si="19"/>
        <v>1414.2135623730951</v>
      </c>
      <c r="E181">
        <f t="shared" si="20"/>
        <v>92.266938854865373</v>
      </c>
      <c r="F181">
        <f t="shared" si="17"/>
        <v>41.413398443097023</v>
      </c>
    </row>
    <row r="182" spans="2:6" x14ac:dyDescent="0.25">
      <c r="B182">
        <v>165</v>
      </c>
      <c r="C182">
        <f t="shared" si="18"/>
        <v>1499.8726466542264</v>
      </c>
      <c r="D182">
        <f t="shared" si="19"/>
        <v>1414.2135623730951</v>
      </c>
      <c r="E182">
        <f t="shared" si="20"/>
        <v>92.829542140565778</v>
      </c>
      <c r="F182">
        <f t="shared" si="17"/>
        <v>41.379970108224434</v>
      </c>
    </row>
    <row r="183" spans="2:6" x14ac:dyDescent="0.25">
      <c r="B183">
        <v>166</v>
      </c>
      <c r="C183">
        <f t="shared" si="18"/>
        <v>1500.9978532256273</v>
      </c>
      <c r="D183">
        <f t="shared" si="19"/>
        <v>1414.2135623730951</v>
      </c>
      <c r="E183">
        <f t="shared" si="20"/>
        <v>93.392145426266168</v>
      </c>
      <c r="F183">
        <f t="shared" si="17"/>
        <v>41.346557569082591</v>
      </c>
    </row>
    <row r="184" spans="2:6" x14ac:dyDescent="0.25">
      <c r="B184">
        <v>167</v>
      </c>
      <c r="C184">
        <f t="shared" si="18"/>
        <v>1502.123059797028</v>
      </c>
      <c r="D184">
        <f t="shared" si="19"/>
        <v>1414.2135623730951</v>
      </c>
      <c r="E184">
        <f t="shared" si="20"/>
        <v>93.954748711966573</v>
      </c>
      <c r="F184">
        <f t="shared" si="17"/>
        <v>41.313160837187695</v>
      </c>
    </row>
    <row r="185" spans="2:6" x14ac:dyDescent="0.25">
      <c r="B185">
        <v>168</v>
      </c>
      <c r="C185">
        <f t="shared" si="18"/>
        <v>1503.2482663684289</v>
      </c>
      <c r="D185">
        <f t="shared" si="19"/>
        <v>1414.2135623730951</v>
      </c>
      <c r="E185">
        <f t="shared" si="20"/>
        <v>94.517351997666964</v>
      </c>
      <c r="F185">
        <f t="shared" si="17"/>
        <v>41.279779924002085</v>
      </c>
    </row>
    <row r="186" spans="2:6" x14ac:dyDescent="0.25">
      <c r="B186">
        <v>169</v>
      </c>
      <c r="C186">
        <f t="shared" si="18"/>
        <v>1504.3734729398295</v>
      </c>
      <c r="D186">
        <f t="shared" si="19"/>
        <v>1414.2135623730951</v>
      </c>
      <c r="E186">
        <f t="shared" si="20"/>
        <v>95.079955283367369</v>
      </c>
      <c r="F186">
        <f t="shared" si="17"/>
        <v>41.246414840934285</v>
      </c>
    </row>
    <row r="187" spans="2:6" x14ac:dyDescent="0.25">
      <c r="B187">
        <v>170</v>
      </c>
      <c r="C187">
        <f t="shared" si="18"/>
        <v>1505.4986795112304</v>
      </c>
      <c r="D187">
        <f t="shared" si="19"/>
        <v>1414.2135623730951</v>
      </c>
      <c r="E187">
        <f t="shared" si="20"/>
        <v>95.642558569067774</v>
      </c>
      <c r="F187">
        <f t="shared" si="17"/>
        <v>41.213065599339053</v>
      </c>
    </row>
    <row r="188" spans="2:6" x14ac:dyDescent="0.25">
      <c r="B188">
        <v>171</v>
      </c>
      <c r="C188">
        <f t="shared" si="18"/>
        <v>1506.6238860826311</v>
      </c>
      <c r="D188">
        <f t="shared" si="19"/>
        <v>1414.2135623730951</v>
      </c>
      <c r="E188">
        <f t="shared" si="20"/>
        <v>96.205161854768164</v>
      </c>
      <c r="F188">
        <f t="shared" si="17"/>
        <v>41.179732210517436</v>
      </c>
    </row>
    <row r="189" spans="2:6" x14ac:dyDescent="0.25">
      <c r="B189">
        <v>172</v>
      </c>
      <c r="C189">
        <f t="shared" si="18"/>
        <v>1507.749092654032</v>
      </c>
      <c r="D189">
        <f t="shared" si="19"/>
        <v>1414.2135623730951</v>
      </c>
      <c r="E189">
        <f t="shared" si="20"/>
        <v>96.767765140468569</v>
      </c>
      <c r="F189">
        <f t="shared" si="17"/>
        <v>41.14641468571682</v>
      </c>
    </row>
    <row r="190" spans="2:6" x14ac:dyDescent="0.25">
      <c r="B190">
        <v>173</v>
      </c>
      <c r="C190">
        <f t="shared" si="18"/>
        <v>1508.8742992254329</v>
      </c>
      <c r="D190">
        <f t="shared" si="19"/>
        <v>1414.2135623730951</v>
      </c>
      <c r="E190">
        <f t="shared" si="20"/>
        <v>97.33036842616896</v>
      </c>
      <c r="F190">
        <f t="shared" si="17"/>
        <v>41.113113036130969</v>
      </c>
    </row>
    <row r="191" spans="2:6" x14ac:dyDescent="0.25">
      <c r="B191">
        <v>174</v>
      </c>
      <c r="C191">
        <f t="shared" si="18"/>
        <v>1509.9995057968335</v>
      </c>
      <c r="D191">
        <f t="shared" si="19"/>
        <v>1414.2135623730951</v>
      </c>
      <c r="E191">
        <f t="shared" si="20"/>
        <v>97.892971711869365</v>
      </c>
      <c r="F191">
        <f t="shared" si="17"/>
        <v>41.079827272900076</v>
      </c>
    </row>
    <row r="192" spans="2:6" x14ac:dyDescent="0.25">
      <c r="B192">
        <v>175</v>
      </c>
      <c r="C192">
        <f t="shared" si="18"/>
        <v>1511.1247123682344</v>
      </c>
      <c r="D192">
        <f t="shared" si="19"/>
        <v>1414.2135623730951</v>
      </c>
      <c r="E192">
        <f t="shared" si="20"/>
        <v>98.455574997569755</v>
      </c>
      <c r="F192">
        <f t="shared" si="17"/>
        <v>41.046557407110832</v>
      </c>
    </row>
    <row r="193" spans="2:6" x14ac:dyDescent="0.25">
      <c r="B193">
        <v>176</v>
      </c>
      <c r="C193">
        <f t="shared" si="18"/>
        <v>1512.2499189396351</v>
      </c>
      <c r="D193">
        <f t="shared" si="19"/>
        <v>1414.2135623730951</v>
      </c>
      <c r="E193">
        <f t="shared" si="20"/>
        <v>99.01817828327016</v>
      </c>
      <c r="F193">
        <f t="shared" si="17"/>
        <v>41.013303449796418</v>
      </c>
    </row>
    <row r="194" spans="2:6" x14ac:dyDescent="0.25">
      <c r="B194">
        <v>177</v>
      </c>
      <c r="C194">
        <f t="shared" si="18"/>
        <v>1513.375125511036</v>
      </c>
      <c r="D194">
        <f t="shared" si="19"/>
        <v>1414.2135623730951</v>
      </c>
      <c r="E194">
        <f t="shared" si="20"/>
        <v>99.580781568970565</v>
      </c>
      <c r="F194">
        <f t="shared" si="17"/>
        <v>40.980065411936643</v>
      </c>
    </row>
    <row r="195" spans="2:6" x14ac:dyDescent="0.25">
      <c r="B195">
        <v>178</v>
      </c>
      <c r="C195">
        <f t="shared" si="18"/>
        <v>1514.5003320824367</v>
      </c>
      <c r="D195">
        <f t="shared" si="19"/>
        <v>1414.2135623730951</v>
      </c>
      <c r="E195">
        <f t="shared" si="20"/>
        <v>100.14338485467096</v>
      </c>
      <c r="F195">
        <f t="shared" si="17"/>
        <v>40.946843304457921</v>
      </c>
    </row>
    <row r="196" spans="2:6" x14ac:dyDescent="0.25">
      <c r="B196">
        <v>179</v>
      </c>
      <c r="C196">
        <f t="shared" si="18"/>
        <v>1515.6255386538376</v>
      </c>
      <c r="D196">
        <f t="shared" si="19"/>
        <v>1414.2135623730951</v>
      </c>
      <c r="E196">
        <f t="shared" si="20"/>
        <v>100.70598814037136</v>
      </c>
      <c r="F196">
        <f t="shared" si="17"/>
        <v>40.913637138233341</v>
      </c>
    </row>
    <row r="197" spans="2:6" x14ac:dyDescent="0.25">
      <c r="B197">
        <v>180</v>
      </c>
      <c r="C197">
        <f t="shared" si="18"/>
        <v>1516.7507452252385</v>
      </c>
      <c r="D197">
        <f t="shared" si="19"/>
        <v>1414.2135623730951</v>
      </c>
      <c r="E197">
        <f t="shared" si="20"/>
        <v>101.26859142607175</v>
      </c>
      <c r="F197">
        <f t="shared" si="17"/>
        <v>40.88044692408274</v>
      </c>
    </row>
    <row r="198" spans="2:6" x14ac:dyDescent="0.25">
      <c r="B198">
        <v>181</v>
      </c>
      <c r="C198">
        <f t="shared" si="18"/>
        <v>1517.8759517966391</v>
      </c>
      <c r="D198">
        <f t="shared" si="19"/>
        <v>1414.2135623730951</v>
      </c>
      <c r="E198">
        <f t="shared" si="20"/>
        <v>101.83119471177216</v>
      </c>
      <c r="F198">
        <f t="shared" si="17"/>
        <v>40.847272672772753</v>
      </c>
    </row>
    <row r="199" spans="2:6" x14ac:dyDescent="0.25">
      <c r="B199">
        <v>182</v>
      </c>
      <c r="C199">
        <f t="shared" si="18"/>
        <v>1519.00115836804</v>
      </c>
      <c r="D199">
        <f t="shared" si="19"/>
        <v>1414.2135623730951</v>
      </c>
      <c r="E199">
        <f t="shared" si="20"/>
        <v>102.39379799747255</v>
      </c>
      <c r="F199">
        <f t="shared" si="17"/>
        <v>40.814114395016794</v>
      </c>
    </row>
    <row r="200" spans="2:6" x14ac:dyDescent="0.25">
      <c r="B200">
        <v>183</v>
      </c>
      <c r="C200">
        <f t="shared" si="18"/>
        <v>1520.1263649394407</v>
      </c>
      <c r="D200">
        <f t="shared" si="19"/>
        <v>1414.2135623730951</v>
      </c>
      <c r="E200">
        <f t="shared" si="20"/>
        <v>102.95640128317295</v>
      </c>
      <c r="F200">
        <f t="shared" si="17"/>
        <v>40.780972101475236</v>
      </c>
    </row>
    <row r="201" spans="2:6" x14ac:dyDescent="0.25">
      <c r="B201">
        <v>184</v>
      </c>
      <c r="C201">
        <f t="shared" si="18"/>
        <v>1521.2515715108416</v>
      </c>
      <c r="D201">
        <f t="shared" si="19"/>
        <v>1414.2135623730951</v>
      </c>
      <c r="E201">
        <f t="shared" si="20"/>
        <v>103.51900456887336</v>
      </c>
      <c r="F201">
        <f t="shared" si="17"/>
        <v>40.747845802755329</v>
      </c>
    </row>
    <row r="202" spans="2:6" x14ac:dyDescent="0.25">
      <c r="B202">
        <v>185</v>
      </c>
      <c r="C202">
        <f t="shared" si="18"/>
        <v>1522.3767780822423</v>
      </c>
      <c r="D202">
        <f t="shared" si="19"/>
        <v>1414.2135623730951</v>
      </c>
      <c r="E202">
        <f t="shared" si="20"/>
        <v>104.08160785457375</v>
      </c>
      <c r="F202">
        <f t="shared" si="17"/>
        <v>40.714735509411348</v>
      </c>
    </row>
    <row r="203" spans="2:6" x14ac:dyDescent="0.25">
      <c r="B203">
        <v>186</v>
      </c>
      <c r="C203">
        <f t="shared" si="18"/>
        <v>1523.5019846536431</v>
      </c>
      <c r="D203">
        <f t="shared" si="19"/>
        <v>1414.2135623730951</v>
      </c>
      <c r="E203">
        <f t="shared" si="20"/>
        <v>104.64421114027415</v>
      </c>
      <c r="F203">
        <f t="shared" si="17"/>
        <v>40.68164123194461</v>
      </c>
    </row>
    <row r="204" spans="2:6" x14ac:dyDescent="0.25">
      <c r="B204">
        <v>187</v>
      </c>
      <c r="C204">
        <f t="shared" si="18"/>
        <v>1524.627191225044</v>
      </c>
      <c r="D204">
        <f t="shared" si="19"/>
        <v>1414.2135623730951</v>
      </c>
      <c r="E204">
        <f t="shared" si="20"/>
        <v>105.20681442597454</v>
      </c>
      <c r="F204">
        <f t="shared" si="17"/>
        <v>40.648562980803526</v>
      </c>
    </row>
    <row r="205" spans="2:6" x14ac:dyDescent="0.25">
      <c r="B205">
        <v>188</v>
      </c>
      <c r="C205">
        <f t="shared" si="18"/>
        <v>1525.7523977964447</v>
      </c>
      <c r="D205">
        <f t="shared" si="19"/>
        <v>1414.2135623730951</v>
      </c>
      <c r="E205">
        <f t="shared" si="20"/>
        <v>105.76941771167495</v>
      </c>
      <c r="F205">
        <f t="shared" si="17"/>
        <v>40.61550076638364</v>
      </c>
    </row>
    <row r="206" spans="2:6" x14ac:dyDescent="0.25">
      <c r="B206">
        <v>189</v>
      </c>
      <c r="C206">
        <f t="shared" si="18"/>
        <v>1526.8776043678456</v>
      </c>
      <c r="D206">
        <f t="shared" si="19"/>
        <v>1414.2135623730951</v>
      </c>
      <c r="E206">
        <f t="shared" si="20"/>
        <v>106.33202099737534</v>
      </c>
      <c r="F206">
        <f t="shared" si="17"/>
        <v>40.582454599027713</v>
      </c>
    </row>
    <row r="207" spans="2:6" x14ac:dyDescent="0.25">
      <c r="B207">
        <v>190</v>
      </c>
      <c r="C207">
        <f t="shared" si="18"/>
        <v>1528.0028109392463</v>
      </c>
      <c r="D207">
        <f t="shared" si="19"/>
        <v>1414.2135623730951</v>
      </c>
      <c r="E207">
        <f t="shared" si="20"/>
        <v>106.89462428307574</v>
      </c>
      <c r="F207">
        <f t="shared" si="17"/>
        <v>40.549424489025775</v>
      </c>
    </row>
    <row r="208" spans="2:6" x14ac:dyDescent="0.25">
      <c r="B208">
        <v>191</v>
      </c>
      <c r="C208">
        <f t="shared" si="18"/>
        <v>1529.1280175106472</v>
      </c>
      <c r="D208">
        <f t="shared" si="19"/>
        <v>1414.2135623730951</v>
      </c>
      <c r="E208">
        <f t="shared" si="20"/>
        <v>107.45722756877613</v>
      </c>
      <c r="F208">
        <f t="shared" si="17"/>
        <v>40.516410446615147</v>
      </c>
    </row>
    <row r="209" spans="2:6" x14ac:dyDescent="0.25">
      <c r="B209">
        <v>192</v>
      </c>
      <c r="C209">
        <f t="shared" ref="C209:C216" si="21">COS(PI()/180*_Theta)*_vyps*B209+_xShip+__xL</f>
        <v>1530.2532240820478</v>
      </c>
      <c r="D209">
        <f t="shared" ref="D209:D216" si="22">SIN(PI()/180*_Theta)*_vyps*B209+_yShip+_yL</f>
        <v>1414.2135623730951</v>
      </c>
      <c r="E209">
        <f t="shared" ref="E209:E216" si="23">B209*CONVERT(CONVERT(_vSub,"kn","m/sec"),"m","yd")</f>
        <v>108.01983085447654</v>
      </c>
      <c r="F209">
        <f t="shared" si="17"/>
        <v>40.48341248198053</v>
      </c>
    </row>
    <row r="210" spans="2:6" x14ac:dyDescent="0.25">
      <c r="B210">
        <v>193</v>
      </c>
      <c r="C210">
        <f t="shared" si="21"/>
        <v>1531.3784306534487</v>
      </c>
      <c r="D210">
        <f t="shared" si="22"/>
        <v>1414.2135623730951</v>
      </c>
      <c r="E210">
        <f t="shared" si="23"/>
        <v>108.58243414017694</v>
      </c>
      <c r="F210">
        <f t="shared" ref="F210:F216" si="24">ATAN2(C210,D210-E210)*180/PI()</f>
        <v>40.450430605254027</v>
      </c>
    </row>
    <row r="211" spans="2:6" x14ac:dyDescent="0.25">
      <c r="B211">
        <v>194</v>
      </c>
      <c r="C211">
        <f t="shared" si="21"/>
        <v>1532.5036372248496</v>
      </c>
      <c r="D211">
        <f t="shared" si="22"/>
        <v>1414.2135623730951</v>
      </c>
      <c r="E211">
        <f t="shared" si="23"/>
        <v>109.14503742587733</v>
      </c>
      <c r="F211">
        <f t="shared" si="24"/>
        <v>40.417464826515236</v>
      </c>
    </row>
    <row r="212" spans="2:6" x14ac:dyDescent="0.25">
      <c r="B212">
        <v>195</v>
      </c>
      <c r="C212">
        <f t="shared" si="21"/>
        <v>1533.6288437962503</v>
      </c>
      <c r="D212">
        <f t="shared" si="22"/>
        <v>1414.2135623730951</v>
      </c>
      <c r="E212">
        <f t="shared" si="23"/>
        <v>109.70764071157774</v>
      </c>
      <c r="F212">
        <f t="shared" si="24"/>
        <v>40.384515155791277</v>
      </c>
    </row>
    <row r="213" spans="2:6" x14ac:dyDescent="0.25">
      <c r="B213">
        <v>196</v>
      </c>
      <c r="C213">
        <f t="shared" si="21"/>
        <v>1534.7540503676512</v>
      </c>
      <c r="D213">
        <f t="shared" si="22"/>
        <v>1414.2135623730951</v>
      </c>
      <c r="E213">
        <f t="shared" si="23"/>
        <v>110.27024399727813</v>
      </c>
      <c r="F213">
        <f t="shared" si="24"/>
        <v>40.351581603056864</v>
      </c>
    </row>
    <row r="214" spans="2:6" x14ac:dyDescent="0.25">
      <c r="B214">
        <v>197</v>
      </c>
      <c r="C214">
        <f t="shared" si="21"/>
        <v>1535.8792569390519</v>
      </c>
      <c r="D214">
        <f t="shared" si="22"/>
        <v>1414.2135623730951</v>
      </c>
      <c r="E214">
        <f t="shared" si="23"/>
        <v>110.83284728297853</v>
      </c>
      <c r="F214">
        <f t="shared" si="24"/>
        <v>40.318664178234336</v>
      </c>
    </row>
    <row r="215" spans="2:6" x14ac:dyDescent="0.25">
      <c r="B215">
        <v>198</v>
      </c>
      <c r="C215">
        <f t="shared" si="21"/>
        <v>1537.0044635104528</v>
      </c>
      <c r="D215">
        <f t="shared" si="22"/>
        <v>1414.2135623730951</v>
      </c>
      <c r="E215">
        <f t="shared" si="23"/>
        <v>111.39545056867892</v>
      </c>
      <c r="F215">
        <f t="shared" si="24"/>
        <v>40.285762891193741</v>
      </c>
    </row>
    <row r="216" spans="2:6" x14ac:dyDescent="0.25">
      <c r="B216">
        <v>199</v>
      </c>
      <c r="C216">
        <f t="shared" si="21"/>
        <v>1538.1296700818534</v>
      </c>
      <c r="D216">
        <f t="shared" si="22"/>
        <v>1414.2135623730951</v>
      </c>
      <c r="E216">
        <f t="shared" si="23"/>
        <v>111.95805385437933</v>
      </c>
      <c r="F216">
        <f t="shared" si="24"/>
        <v>40.25287775175287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H13" sqref="H13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AA360"/>
  <sheetViews>
    <sheetView topLeftCell="A4" workbookViewId="0">
      <pane ySplit="5" topLeftCell="A354" activePane="bottomLeft" state="frozen"/>
      <selection activeCell="A4" sqref="A4"/>
      <selection pane="bottomLeft" activeCell="W363" sqref="W363"/>
    </sheetView>
  </sheetViews>
  <sheetFormatPr defaultRowHeight="13.2" x14ac:dyDescent="0.25"/>
  <cols>
    <col min="5" max="23" width="3.33203125" style="5" customWidth="1"/>
    <col min="24" max="26" width="3.33203125" customWidth="1"/>
  </cols>
  <sheetData>
    <row r="7" spans="4:25" ht="13.8" thickBot="1" x14ac:dyDescent="0.3"/>
    <row r="8" spans="4:25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23" t="s">
        <v>46</v>
      </c>
      <c r="W8" s="18" t="s">
        <v>19</v>
      </c>
    </row>
    <row r="9" spans="4:25" ht="13.8" thickTop="1" x14ac:dyDescent="0.25">
      <c r="D9" t="str" cm="1">
        <f t="array" aca="1" ref="D9:D360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Y9" cm="1">
        <f t="array" ref="Y9:Y360">_xlfn.BYROW(_xlfn.DROP(_xlnm.Print_Area,,1),_xleta.SUM)</f>
        <v>0</v>
      </c>
    </row>
    <row r="10" spans="4:25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Y10">
        <v>0</v>
      </c>
    </row>
    <row r="11" spans="4:25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Y11">
        <v>0</v>
      </c>
    </row>
    <row r="12" spans="4:25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Y12">
        <v>0</v>
      </c>
    </row>
    <row r="13" spans="4:25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Y13">
        <v>0</v>
      </c>
    </row>
    <row r="14" spans="4:25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Y14">
        <v>0</v>
      </c>
    </row>
    <row r="15" spans="4:25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Y15">
        <v>0</v>
      </c>
    </row>
    <row r="16" spans="4:25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Y16">
        <v>0</v>
      </c>
    </row>
    <row r="17" spans="4:25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Y17">
        <v>0</v>
      </c>
    </row>
    <row r="18" spans="4:25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Y18">
        <v>0</v>
      </c>
    </row>
    <row r="19" spans="4:25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Y19">
        <v>0</v>
      </c>
    </row>
    <row r="20" spans="4:25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Y20">
        <v>2</v>
      </c>
    </row>
    <row r="21" spans="4:25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Y21">
        <v>2</v>
      </c>
    </row>
    <row r="22" spans="4:25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Y22">
        <v>2</v>
      </c>
    </row>
    <row r="23" spans="4:25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Y23">
        <v>2</v>
      </c>
    </row>
    <row r="24" spans="4:25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Y24">
        <v>2</v>
      </c>
    </row>
    <row r="25" spans="4:25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Y25">
        <v>2</v>
      </c>
    </row>
    <row r="26" spans="4:25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Y26">
        <v>2</v>
      </c>
    </row>
    <row r="27" spans="4:25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Y27">
        <v>2</v>
      </c>
    </row>
    <row r="28" spans="4:25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Y28">
        <v>2</v>
      </c>
    </row>
    <row r="29" spans="4:25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Y29">
        <v>2</v>
      </c>
    </row>
    <row r="30" spans="4:25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Y30">
        <v>2</v>
      </c>
    </row>
    <row r="31" spans="4:25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Y31">
        <v>2</v>
      </c>
    </row>
    <row r="32" spans="4:25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Y32">
        <v>2</v>
      </c>
    </row>
    <row r="33" spans="4:25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Y33">
        <v>2</v>
      </c>
    </row>
    <row r="34" spans="4:25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Y34">
        <v>2</v>
      </c>
    </row>
    <row r="35" spans="4:25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Y35">
        <v>2</v>
      </c>
    </row>
    <row r="36" spans="4:25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Y36">
        <v>2</v>
      </c>
    </row>
    <row r="37" spans="4:25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Y37">
        <v>2</v>
      </c>
    </row>
    <row r="38" spans="4:25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Y38">
        <v>2</v>
      </c>
    </row>
    <row r="39" spans="4:25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Y39">
        <v>1</v>
      </c>
    </row>
    <row r="40" spans="4:25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Y40">
        <v>1</v>
      </c>
    </row>
    <row r="41" spans="4:25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Y41">
        <v>1</v>
      </c>
    </row>
    <row r="42" spans="4:25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Y42">
        <v>1</v>
      </c>
    </row>
    <row r="43" spans="4:25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Y43">
        <v>1</v>
      </c>
    </row>
    <row r="44" spans="4:25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Y44">
        <v>1</v>
      </c>
    </row>
    <row r="45" spans="4:25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Y45">
        <v>0</v>
      </c>
    </row>
    <row r="46" spans="4:25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Y46">
        <v>0</v>
      </c>
    </row>
    <row r="47" spans="4:25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Y47">
        <v>0</v>
      </c>
    </row>
    <row r="48" spans="4:25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Y48">
        <v>0</v>
      </c>
    </row>
    <row r="49" spans="4:25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Y49">
        <v>0</v>
      </c>
    </row>
    <row r="50" spans="4:25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Y50">
        <v>0</v>
      </c>
    </row>
    <row r="51" spans="4:25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Y51">
        <v>1</v>
      </c>
    </row>
    <row r="52" spans="4:25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Y52">
        <v>1</v>
      </c>
    </row>
    <row r="53" spans="4:25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Y53">
        <v>1</v>
      </c>
    </row>
    <row r="54" spans="4:25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Y54">
        <v>1</v>
      </c>
    </row>
    <row r="55" spans="4:25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Y55">
        <v>1</v>
      </c>
    </row>
    <row r="56" spans="4:25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Y56">
        <v>2</v>
      </c>
    </row>
    <row r="57" spans="4:25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Y57">
        <v>2</v>
      </c>
    </row>
    <row r="58" spans="4:25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Y58">
        <v>2</v>
      </c>
    </row>
    <row r="59" spans="4:25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Y59">
        <v>2</v>
      </c>
    </row>
    <row r="60" spans="4:25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Y60">
        <v>2</v>
      </c>
    </row>
    <row r="61" spans="4:25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Y61">
        <v>2</v>
      </c>
    </row>
    <row r="62" spans="4:25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Y62">
        <v>2</v>
      </c>
    </row>
    <row r="63" spans="4:25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Y63">
        <v>2</v>
      </c>
    </row>
    <row r="64" spans="4:25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Y64">
        <v>2</v>
      </c>
    </row>
    <row r="65" spans="4:25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Y65">
        <v>2</v>
      </c>
    </row>
    <row r="66" spans="4:25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Y66">
        <v>2</v>
      </c>
    </row>
    <row r="67" spans="4:25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Y67">
        <v>2</v>
      </c>
    </row>
    <row r="68" spans="4:25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Y68">
        <v>2</v>
      </c>
    </row>
    <row r="69" spans="4:25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Y69">
        <v>2</v>
      </c>
    </row>
    <row r="70" spans="4:25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Y70">
        <v>2</v>
      </c>
    </row>
    <row r="71" spans="4:25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Y71">
        <v>2</v>
      </c>
    </row>
    <row r="72" spans="4:25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Y72">
        <v>2</v>
      </c>
    </row>
    <row r="73" spans="4:25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Y73">
        <v>2</v>
      </c>
    </row>
    <row r="74" spans="4:25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Y74">
        <v>2</v>
      </c>
    </row>
    <row r="75" spans="4:25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Y75">
        <v>3</v>
      </c>
    </row>
    <row r="76" spans="4:25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Y76">
        <v>3</v>
      </c>
    </row>
    <row r="77" spans="4:25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1</v>
      </c>
      <c r="Y77">
        <v>4</v>
      </c>
    </row>
    <row r="78" spans="4:25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1</v>
      </c>
      <c r="Y78">
        <v>4</v>
      </c>
    </row>
    <row r="79" spans="4:25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1</v>
      </c>
      <c r="Y79">
        <v>3</v>
      </c>
    </row>
    <row r="80" spans="4:25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1</v>
      </c>
      <c r="Y80">
        <v>4</v>
      </c>
    </row>
    <row r="81" spans="4:25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1</v>
      </c>
      <c r="Y81">
        <v>3</v>
      </c>
    </row>
    <row r="82" spans="4:25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1</v>
      </c>
      <c r="Y82">
        <v>4</v>
      </c>
    </row>
    <row r="83" spans="4:25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1</v>
      </c>
      <c r="Y83">
        <v>4</v>
      </c>
    </row>
    <row r="84" spans="4:25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1</v>
      </c>
      <c r="Y84">
        <v>4</v>
      </c>
    </row>
    <row r="85" spans="4:25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1</v>
      </c>
      <c r="Y85">
        <v>3</v>
      </c>
    </row>
    <row r="86" spans="4:25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1</v>
      </c>
      <c r="Y86">
        <v>3</v>
      </c>
    </row>
    <row r="87" spans="4:25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1</v>
      </c>
      <c r="Y87">
        <v>3</v>
      </c>
    </row>
    <row r="88" spans="4:25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1</v>
      </c>
      <c r="Y88">
        <v>3</v>
      </c>
    </row>
    <row r="89" spans="4:25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1</v>
      </c>
      <c r="Y89">
        <v>3</v>
      </c>
    </row>
    <row r="90" spans="4:25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1</v>
      </c>
      <c r="Y90">
        <v>3</v>
      </c>
    </row>
    <row r="91" spans="4:25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Y91">
        <v>0</v>
      </c>
    </row>
    <row r="92" spans="4:25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Y92">
        <v>2</v>
      </c>
    </row>
    <row r="93" spans="4:25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Y93">
        <v>2</v>
      </c>
    </row>
    <row r="94" spans="4:25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Y94">
        <v>2</v>
      </c>
    </row>
    <row r="95" spans="4:25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Y95">
        <v>2</v>
      </c>
    </row>
    <row r="96" spans="4:25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Y96">
        <v>3</v>
      </c>
    </row>
    <row r="97" spans="4:25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Y97">
        <v>3</v>
      </c>
    </row>
    <row r="98" spans="4:25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Y98">
        <v>3</v>
      </c>
    </row>
    <row r="99" spans="4:25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Y99">
        <v>3</v>
      </c>
    </row>
    <row r="100" spans="4:25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Y100">
        <v>2</v>
      </c>
    </row>
    <row r="101" spans="4:25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Y101">
        <v>2</v>
      </c>
    </row>
    <row r="102" spans="4:25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Y102">
        <v>2</v>
      </c>
    </row>
    <row r="103" spans="4:25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Y103">
        <v>2</v>
      </c>
    </row>
    <row r="104" spans="4:25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Y104">
        <v>2</v>
      </c>
    </row>
    <row r="105" spans="4:25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Y105">
        <v>2</v>
      </c>
    </row>
    <row r="106" spans="4:25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Y106">
        <v>2</v>
      </c>
    </row>
    <row r="107" spans="4:25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Y107">
        <v>2</v>
      </c>
    </row>
    <row r="108" spans="4:25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Y108">
        <v>2</v>
      </c>
    </row>
    <row r="109" spans="4:25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Y109">
        <v>2</v>
      </c>
    </row>
    <row r="110" spans="4:25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Y110">
        <v>2</v>
      </c>
    </row>
    <row r="111" spans="4:25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Y111">
        <v>2</v>
      </c>
    </row>
    <row r="112" spans="4:25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Y112">
        <v>2</v>
      </c>
    </row>
    <row r="113" spans="4:25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Y113">
        <v>2</v>
      </c>
    </row>
    <row r="114" spans="4:25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Y114">
        <v>2</v>
      </c>
    </row>
    <row r="115" spans="4:25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Y115">
        <v>2</v>
      </c>
    </row>
    <row r="116" spans="4:25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Y116">
        <v>2</v>
      </c>
    </row>
    <row r="117" spans="4:25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Y117">
        <v>2</v>
      </c>
    </row>
    <row r="118" spans="4:25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Y118">
        <v>2</v>
      </c>
    </row>
    <row r="119" spans="4:25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Y119">
        <v>2</v>
      </c>
    </row>
    <row r="120" spans="4:25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Y120">
        <v>2</v>
      </c>
    </row>
    <row r="121" spans="4:25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Y121">
        <v>2</v>
      </c>
    </row>
    <row r="122" spans="4:25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Y122">
        <v>2</v>
      </c>
    </row>
    <row r="123" spans="4:25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Y123">
        <v>2</v>
      </c>
    </row>
    <row r="124" spans="4:25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Y124">
        <v>2</v>
      </c>
    </row>
    <row r="125" spans="4:25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Y125">
        <v>2</v>
      </c>
    </row>
    <row r="126" spans="4:25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Y126">
        <v>2</v>
      </c>
    </row>
    <row r="127" spans="4:25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Y127">
        <v>2</v>
      </c>
    </row>
    <row r="128" spans="4:25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Y128">
        <v>2</v>
      </c>
    </row>
    <row r="129" spans="4:25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Y129">
        <v>2</v>
      </c>
    </row>
    <row r="130" spans="4:25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Y130">
        <v>2</v>
      </c>
    </row>
    <row r="131" spans="4:25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Y131">
        <v>2</v>
      </c>
    </row>
    <row r="132" spans="4:25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Y132">
        <v>2</v>
      </c>
    </row>
    <row r="133" spans="4:25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Y133">
        <v>2</v>
      </c>
    </row>
    <row r="134" spans="4:25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Y134">
        <v>3</v>
      </c>
    </row>
    <row r="135" spans="4:25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Y135">
        <v>3</v>
      </c>
    </row>
    <row r="136" spans="4:25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Y136">
        <v>3</v>
      </c>
    </row>
    <row r="137" spans="4:25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Y137">
        <v>2</v>
      </c>
    </row>
    <row r="138" spans="4:25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Y138">
        <v>3</v>
      </c>
    </row>
    <row r="139" spans="4:25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Y139">
        <v>3</v>
      </c>
    </row>
    <row r="140" spans="4:25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Y140">
        <v>3</v>
      </c>
    </row>
    <row r="141" spans="4:25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Y141">
        <v>3</v>
      </c>
    </row>
    <row r="142" spans="4:25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Y142">
        <v>3</v>
      </c>
    </row>
    <row r="143" spans="4:25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Y143">
        <v>3</v>
      </c>
    </row>
    <row r="144" spans="4:25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Y144">
        <v>3</v>
      </c>
    </row>
    <row r="145" spans="4:25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Y145">
        <v>3</v>
      </c>
    </row>
    <row r="146" spans="4:25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Y146">
        <v>3</v>
      </c>
    </row>
    <row r="147" spans="4:25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Y147">
        <v>3</v>
      </c>
    </row>
    <row r="148" spans="4:25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Y148">
        <v>3</v>
      </c>
    </row>
    <row r="149" spans="4:25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Y149">
        <v>3</v>
      </c>
    </row>
    <row r="150" spans="4:25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Y150">
        <v>3</v>
      </c>
    </row>
    <row r="151" spans="4:25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Y151">
        <v>3</v>
      </c>
    </row>
    <row r="152" spans="4:25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Y152">
        <v>3</v>
      </c>
    </row>
    <row r="153" spans="4:25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Y153">
        <v>3</v>
      </c>
    </row>
    <row r="154" spans="4:25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Y154">
        <v>3</v>
      </c>
    </row>
    <row r="155" spans="4:25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Y155">
        <v>2</v>
      </c>
    </row>
    <row r="156" spans="4:25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Y156">
        <v>2</v>
      </c>
    </row>
    <row r="157" spans="4:25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Y157">
        <v>2</v>
      </c>
    </row>
    <row r="158" spans="4:25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Y158">
        <v>2</v>
      </c>
    </row>
    <row r="159" spans="4:25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Y159">
        <v>2</v>
      </c>
    </row>
    <row r="160" spans="4:25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Y160">
        <v>1</v>
      </c>
    </row>
    <row r="161" spans="4:27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Y161">
        <v>1</v>
      </c>
    </row>
    <row r="162" spans="4:27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Y162">
        <v>1</v>
      </c>
    </row>
    <row r="163" spans="4:27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Y163">
        <v>1</v>
      </c>
    </row>
    <row r="164" spans="4:27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Y164">
        <v>1</v>
      </c>
    </row>
    <row r="165" spans="4:27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Y165">
        <v>1</v>
      </c>
    </row>
    <row r="166" spans="4:27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Y166">
        <v>1</v>
      </c>
    </row>
    <row r="167" spans="4:27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Y167">
        <v>1</v>
      </c>
    </row>
    <row r="168" spans="4:27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Y168">
        <v>1</v>
      </c>
    </row>
    <row r="169" spans="4:27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Y169">
        <v>1</v>
      </c>
    </row>
    <row r="170" spans="4:27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Y170">
        <v>1</v>
      </c>
    </row>
    <row r="171" spans="4:27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Y171">
        <v>1</v>
      </c>
    </row>
    <row r="172" spans="4:27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Y172">
        <v>1</v>
      </c>
    </row>
    <row r="173" spans="4:27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Y173">
        <v>1</v>
      </c>
    </row>
    <row r="174" spans="4:27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Y174">
        <v>1</v>
      </c>
    </row>
    <row r="175" spans="4:27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Y175">
        <v>1</v>
      </c>
      <c r="AA175" t="s">
        <v>37</v>
      </c>
    </row>
    <row r="176" spans="4:27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Y176">
        <v>1</v>
      </c>
    </row>
    <row r="177" spans="4:25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Y177">
        <v>2</v>
      </c>
    </row>
    <row r="178" spans="4:25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Y178">
        <v>2</v>
      </c>
    </row>
    <row r="179" spans="4:25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Y179">
        <v>2</v>
      </c>
    </row>
    <row r="180" spans="4:25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Y180">
        <v>2</v>
      </c>
    </row>
    <row r="181" spans="4:25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Y181">
        <v>2</v>
      </c>
    </row>
    <row r="182" spans="4:25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Y182">
        <v>2</v>
      </c>
    </row>
    <row r="183" spans="4:25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Y183">
        <v>3</v>
      </c>
    </row>
    <row r="184" spans="4:25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Y184">
        <v>1</v>
      </c>
    </row>
    <row r="185" spans="4:25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Y185">
        <v>3</v>
      </c>
    </row>
    <row r="186" spans="4:25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Y186">
        <v>1</v>
      </c>
    </row>
    <row r="187" spans="4:25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Y187">
        <v>3</v>
      </c>
    </row>
    <row r="188" spans="4:25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Y188">
        <v>1</v>
      </c>
    </row>
    <row r="189" spans="4:25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Y189">
        <v>3</v>
      </c>
    </row>
    <row r="190" spans="4:25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Y190">
        <v>3</v>
      </c>
    </row>
    <row r="191" spans="4:25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Y191">
        <v>2</v>
      </c>
    </row>
    <row r="192" spans="4:25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Y192">
        <v>3</v>
      </c>
    </row>
    <row r="193" spans="4:25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Y193">
        <v>3</v>
      </c>
    </row>
    <row r="194" spans="4:25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Y194">
        <v>3</v>
      </c>
    </row>
    <row r="195" spans="4:25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Y195">
        <v>3</v>
      </c>
    </row>
    <row r="196" spans="4:25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Y196">
        <v>3</v>
      </c>
    </row>
    <row r="197" spans="4:25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Y197">
        <v>3</v>
      </c>
    </row>
    <row r="198" spans="4:25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Y198">
        <v>3</v>
      </c>
    </row>
    <row r="199" spans="4:25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Y199">
        <v>3</v>
      </c>
    </row>
    <row r="200" spans="4:25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Y200">
        <v>3</v>
      </c>
    </row>
    <row r="201" spans="4:25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Y201">
        <v>3</v>
      </c>
    </row>
    <row r="202" spans="4:25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Y202">
        <v>3</v>
      </c>
    </row>
    <row r="203" spans="4:25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Y203">
        <v>3</v>
      </c>
    </row>
    <row r="204" spans="4:25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Y204">
        <v>3</v>
      </c>
    </row>
    <row r="205" spans="4:25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Y205">
        <v>3</v>
      </c>
    </row>
    <row r="206" spans="4:25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Y206">
        <v>3</v>
      </c>
    </row>
    <row r="207" spans="4:25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Y207">
        <v>3</v>
      </c>
    </row>
    <row r="208" spans="4:25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Y208">
        <v>3</v>
      </c>
    </row>
    <row r="209" spans="4:25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Y209">
        <v>3</v>
      </c>
    </row>
    <row r="210" spans="4:25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Y210">
        <v>3</v>
      </c>
    </row>
    <row r="211" spans="4:25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Y211">
        <v>2</v>
      </c>
    </row>
    <row r="212" spans="4:25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Y212">
        <v>2</v>
      </c>
    </row>
    <row r="213" spans="4:25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Y213">
        <v>2</v>
      </c>
    </row>
    <row r="214" spans="4:25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Y214">
        <v>2</v>
      </c>
    </row>
    <row r="215" spans="4:25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Y215">
        <v>2</v>
      </c>
    </row>
    <row r="216" spans="4:25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Y216">
        <v>2</v>
      </c>
    </row>
    <row r="217" spans="4:25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Y217">
        <v>2</v>
      </c>
    </row>
    <row r="218" spans="4:25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Y218">
        <v>2</v>
      </c>
    </row>
    <row r="219" spans="4:25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Y219">
        <v>2</v>
      </c>
    </row>
    <row r="220" spans="4:25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Y220">
        <v>2</v>
      </c>
    </row>
    <row r="221" spans="4:25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Y221">
        <v>2</v>
      </c>
    </row>
    <row r="222" spans="4:25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Y222">
        <v>2</v>
      </c>
    </row>
    <row r="223" spans="4:25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Y223">
        <v>3</v>
      </c>
    </row>
    <row r="224" spans="4:25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Y224">
        <v>3</v>
      </c>
    </row>
    <row r="225" spans="4:25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Y225">
        <v>2</v>
      </c>
    </row>
    <row r="226" spans="4:25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Y226">
        <v>2</v>
      </c>
    </row>
    <row r="227" spans="4:25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Y227">
        <v>2</v>
      </c>
    </row>
    <row r="228" spans="4:25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Y228">
        <v>2</v>
      </c>
    </row>
    <row r="229" spans="4:25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Y229">
        <v>2</v>
      </c>
    </row>
    <row r="230" spans="4:25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Y230">
        <v>0</v>
      </c>
    </row>
    <row r="231" spans="4:25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Y231">
        <v>0</v>
      </c>
    </row>
    <row r="232" spans="4:25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Y232">
        <v>0</v>
      </c>
    </row>
    <row r="233" spans="4:25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Y233">
        <v>2</v>
      </c>
    </row>
    <row r="234" spans="4:25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Y234">
        <v>2</v>
      </c>
    </row>
    <row r="235" spans="4:25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Y235">
        <v>2</v>
      </c>
    </row>
    <row r="236" spans="4:25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Y236">
        <v>2</v>
      </c>
    </row>
    <row r="237" spans="4:25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Y237">
        <v>2</v>
      </c>
    </row>
    <row r="238" spans="4:25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Y238">
        <v>2</v>
      </c>
    </row>
    <row r="239" spans="4:25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Y239">
        <v>2</v>
      </c>
    </row>
    <row r="240" spans="4:25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Y240">
        <v>2</v>
      </c>
    </row>
    <row r="241" spans="4:25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Y241">
        <v>2</v>
      </c>
    </row>
    <row r="242" spans="4:25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Y242">
        <v>2</v>
      </c>
    </row>
    <row r="243" spans="4:25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Y243">
        <v>2</v>
      </c>
    </row>
    <row r="244" spans="4:25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Y244">
        <v>2</v>
      </c>
    </row>
    <row r="245" spans="4:25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Y245">
        <v>2</v>
      </c>
    </row>
    <row r="246" spans="4:25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Y246">
        <v>2</v>
      </c>
    </row>
    <row r="247" spans="4:25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Y247">
        <v>2</v>
      </c>
    </row>
    <row r="248" spans="4:25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Y248">
        <v>2</v>
      </c>
    </row>
    <row r="249" spans="4:25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Y249">
        <v>2</v>
      </c>
    </row>
    <row r="250" spans="4:25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Y250">
        <v>2</v>
      </c>
    </row>
    <row r="251" spans="4:25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Y251">
        <v>2</v>
      </c>
    </row>
    <row r="252" spans="4:25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Y252">
        <v>2</v>
      </c>
    </row>
    <row r="253" spans="4:25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Y253">
        <v>2</v>
      </c>
    </row>
    <row r="254" spans="4:25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Y254">
        <v>2</v>
      </c>
    </row>
    <row r="255" spans="4:25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Y255">
        <v>2</v>
      </c>
    </row>
    <row r="256" spans="4:25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Y256">
        <v>2</v>
      </c>
    </row>
    <row r="257" spans="4:25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Y257">
        <v>2</v>
      </c>
    </row>
    <row r="258" spans="4:25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Y258">
        <v>2</v>
      </c>
    </row>
    <row r="259" spans="4:25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Y259">
        <v>2</v>
      </c>
    </row>
    <row r="260" spans="4:25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Y260">
        <v>2</v>
      </c>
    </row>
    <row r="261" spans="4:25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Y261">
        <v>2</v>
      </c>
    </row>
    <row r="262" spans="4:25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Y262">
        <v>2</v>
      </c>
    </row>
    <row r="263" spans="4:25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Y263">
        <v>2</v>
      </c>
    </row>
    <row r="264" spans="4:25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Y264">
        <v>2</v>
      </c>
    </row>
    <row r="265" spans="4:25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Y265">
        <v>2</v>
      </c>
    </row>
    <row r="266" spans="4:25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Y266">
        <v>2</v>
      </c>
    </row>
    <row r="267" spans="4:25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Y267">
        <v>2</v>
      </c>
    </row>
    <row r="268" spans="4:25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Y268">
        <v>2</v>
      </c>
    </row>
    <row r="269" spans="4:25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Y269">
        <v>2</v>
      </c>
    </row>
    <row r="270" spans="4:25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Y270">
        <v>2</v>
      </c>
    </row>
    <row r="271" spans="4:25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Y271">
        <v>2</v>
      </c>
    </row>
    <row r="272" spans="4:25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Y272">
        <v>2</v>
      </c>
    </row>
    <row r="273" spans="4:25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Y273">
        <v>2</v>
      </c>
    </row>
    <row r="274" spans="4:25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Y274">
        <v>2</v>
      </c>
    </row>
    <row r="275" spans="4:25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Y275">
        <v>2</v>
      </c>
    </row>
    <row r="276" spans="4:25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Y276">
        <v>2</v>
      </c>
    </row>
    <row r="277" spans="4:25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Y277">
        <v>2</v>
      </c>
    </row>
    <row r="278" spans="4:25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Y278">
        <v>2</v>
      </c>
    </row>
    <row r="279" spans="4:25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Y279">
        <v>2</v>
      </c>
    </row>
    <row r="280" spans="4:25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Y280">
        <v>2</v>
      </c>
    </row>
    <row r="281" spans="4:25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Y281">
        <v>2</v>
      </c>
    </row>
    <row r="282" spans="4:25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Y282">
        <v>2</v>
      </c>
    </row>
    <row r="283" spans="4:25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Y283">
        <v>2</v>
      </c>
    </row>
    <row r="284" spans="4:25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Y284">
        <v>2</v>
      </c>
    </row>
    <row r="285" spans="4:25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Y285">
        <v>2</v>
      </c>
    </row>
    <row r="286" spans="4:25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Y286">
        <v>2</v>
      </c>
    </row>
    <row r="287" spans="4:25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Y287">
        <v>2</v>
      </c>
    </row>
    <row r="288" spans="4:25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Y288">
        <v>2</v>
      </c>
    </row>
    <row r="289" spans="4:25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Y289">
        <v>2</v>
      </c>
    </row>
    <row r="290" spans="4:25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Y290">
        <v>2</v>
      </c>
    </row>
    <row r="291" spans="4:25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Y291">
        <v>2</v>
      </c>
    </row>
    <row r="292" spans="4:25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Y292">
        <v>2</v>
      </c>
    </row>
    <row r="293" spans="4:25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Y293">
        <v>2</v>
      </c>
    </row>
    <row r="294" spans="4:25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Y294">
        <v>2</v>
      </c>
    </row>
    <row r="295" spans="4:25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Y295">
        <v>2</v>
      </c>
    </row>
    <row r="296" spans="4:25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Y296">
        <v>2</v>
      </c>
    </row>
    <row r="297" spans="4:25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Y297">
        <v>2</v>
      </c>
    </row>
    <row r="298" spans="4:25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Y298">
        <v>2</v>
      </c>
    </row>
    <row r="299" spans="4:25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Y299">
        <v>2</v>
      </c>
    </row>
    <row r="300" spans="4:25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Y300">
        <v>2</v>
      </c>
    </row>
    <row r="301" spans="4:25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Y301">
        <v>2</v>
      </c>
    </row>
    <row r="302" spans="4:25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Y302">
        <v>2</v>
      </c>
    </row>
    <row r="303" spans="4:25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Y303">
        <v>2</v>
      </c>
    </row>
    <row r="304" spans="4:25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Y304">
        <v>2</v>
      </c>
    </row>
    <row r="305" spans="4:25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Y305">
        <v>2</v>
      </c>
    </row>
    <row r="306" spans="4:25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Y306">
        <v>2</v>
      </c>
    </row>
    <row r="307" spans="4:25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Y307">
        <v>2</v>
      </c>
    </row>
    <row r="308" spans="4:25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Y308">
        <v>2</v>
      </c>
    </row>
    <row r="309" spans="4:25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Y309">
        <v>2</v>
      </c>
    </row>
    <row r="310" spans="4:25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Y310">
        <v>2</v>
      </c>
    </row>
    <row r="311" spans="4:25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Y311">
        <v>2</v>
      </c>
    </row>
    <row r="312" spans="4:25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Y312">
        <v>2</v>
      </c>
    </row>
    <row r="313" spans="4:25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Y313">
        <v>2</v>
      </c>
    </row>
    <row r="314" spans="4:25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Y314">
        <v>2</v>
      </c>
    </row>
    <row r="315" spans="4:25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Y315">
        <v>2</v>
      </c>
    </row>
    <row r="316" spans="4:25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Y316">
        <v>2</v>
      </c>
    </row>
    <row r="317" spans="4:25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Y317">
        <v>2</v>
      </c>
    </row>
    <row r="318" spans="4:25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Y318">
        <v>2</v>
      </c>
    </row>
    <row r="319" spans="4:25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Y319">
        <v>2</v>
      </c>
    </row>
    <row r="320" spans="4:25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Y320">
        <v>2</v>
      </c>
    </row>
    <row r="321" spans="4:25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Y321">
        <v>2</v>
      </c>
    </row>
    <row r="322" spans="4:25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Y322">
        <v>2</v>
      </c>
    </row>
    <row r="323" spans="4:25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Y323">
        <v>2</v>
      </c>
    </row>
    <row r="324" spans="4:25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Y324">
        <v>2</v>
      </c>
    </row>
    <row r="325" spans="4:25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Y325">
        <v>2</v>
      </c>
    </row>
    <row r="326" spans="4:25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Y326">
        <v>2</v>
      </c>
    </row>
    <row r="327" spans="4:25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Y327">
        <v>2</v>
      </c>
    </row>
    <row r="328" spans="4:25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Y328">
        <v>2</v>
      </c>
    </row>
    <row r="329" spans="4:25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Y329">
        <v>2</v>
      </c>
    </row>
    <row r="330" spans="4:25" x14ac:dyDescent="0.25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Y330">
        <v>2</v>
      </c>
    </row>
    <row r="331" spans="4:25" x14ac:dyDescent="0.25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Y331">
        <v>2</v>
      </c>
    </row>
    <row r="332" spans="4:25" x14ac:dyDescent="0.25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Y332">
        <v>2</v>
      </c>
    </row>
    <row r="333" spans="4:25" x14ac:dyDescent="0.25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Y333">
        <v>2</v>
      </c>
    </row>
    <row r="334" spans="4:25" x14ac:dyDescent="0.25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Y334">
        <v>3</v>
      </c>
    </row>
    <row r="335" spans="4:25" x14ac:dyDescent="0.25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Y335">
        <v>3</v>
      </c>
    </row>
    <row r="336" spans="4:25" x14ac:dyDescent="0.25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Y336">
        <v>3</v>
      </c>
    </row>
    <row r="337" spans="4:25" x14ac:dyDescent="0.25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Y337">
        <v>3</v>
      </c>
    </row>
    <row r="338" spans="4:25" x14ac:dyDescent="0.25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Y338">
        <v>3</v>
      </c>
    </row>
    <row r="339" spans="4:25" x14ac:dyDescent="0.25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Y339">
        <v>3</v>
      </c>
    </row>
    <row r="340" spans="4:25" x14ac:dyDescent="0.25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Y340">
        <v>3</v>
      </c>
    </row>
    <row r="341" spans="4:25" x14ac:dyDescent="0.25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Y341">
        <v>3</v>
      </c>
    </row>
    <row r="342" spans="4:25" x14ac:dyDescent="0.25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Y342">
        <v>3</v>
      </c>
    </row>
    <row r="343" spans="4:25" x14ac:dyDescent="0.25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Y343">
        <v>3</v>
      </c>
    </row>
    <row r="344" spans="4:25" x14ac:dyDescent="0.25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Y344">
        <v>3</v>
      </c>
    </row>
    <row r="345" spans="4:25" x14ac:dyDescent="0.25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Y345">
        <v>3</v>
      </c>
    </row>
    <row r="346" spans="4:25" x14ac:dyDescent="0.25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Y346">
        <v>3</v>
      </c>
    </row>
    <row r="347" spans="4:25" x14ac:dyDescent="0.25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Y347">
        <v>3</v>
      </c>
    </row>
    <row r="348" spans="4:25" x14ac:dyDescent="0.25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Y348">
        <v>3</v>
      </c>
    </row>
    <row r="349" spans="4:25" x14ac:dyDescent="0.25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Y349">
        <v>3</v>
      </c>
    </row>
    <row r="350" spans="4:25" x14ac:dyDescent="0.25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Y350">
        <v>3</v>
      </c>
    </row>
    <row r="351" spans="4:25" x14ac:dyDescent="0.25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Y351">
        <v>3</v>
      </c>
    </row>
    <row r="352" spans="4:25" x14ac:dyDescent="0.25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Y352">
        <v>3</v>
      </c>
    </row>
    <row r="353" spans="4:25" x14ac:dyDescent="0.25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Y353">
        <v>3</v>
      </c>
    </row>
    <row r="354" spans="4:25" x14ac:dyDescent="0.25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Y354">
        <v>3</v>
      </c>
    </row>
    <row r="355" spans="4:25" x14ac:dyDescent="0.25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Y355">
        <v>3</v>
      </c>
    </row>
    <row r="356" spans="4:25" x14ac:dyDescent="0.25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Y356">
        <v>3</v>
      </c>
    </row>
    <row r="357" spans="4:25" x14ac:dyDescent="0.25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Y357">
        <v>3</v>
      </c>
    </row>
    <row r="358" spans="4:25" x14ac:dyDescent="0.25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Y358">
        <v>3</v>
      </c>
    </row>
    <row r="359" spans="4:25" x14ac:dyDescent="0.25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Y359">
        <v>3</v>
      </c>
    </row>
    <row r="360" spans="4:25" x14ac:dyDescent="0.25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Y360">
        <v>3</v>
      </c>
    </row>
  </sheetData>
  <conditionalFormatting sqref="D9:W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3.2" x14ac:dyDescent="0.25"/>
  <sheetData>
    <row r="1" spans="1:3" x14ac:dyDescent="0.25">
      <c r="A1" s="27" t="s">
        <v>51</v>
      </c>
      <c r="B1" s="26" t="s">
        <v>50</v>
      </c>
      <c r="C1" s="26"/>
    </row>
    <row r="2" spans="1:3" x14ac:dyDescent="0.25">
      <c r="A2" s="27" t="s">
        <v>49</v>
      </c>
      <c r="B2" s="26"/>
      <c r="C2" s="26"/>
    </row>
    <row r="3" spans="1:3" x14ac:dyDescent="0.25">
      <c r="A3" s="27" t="s">
        <v>48</v>
      </c>
      <c r="B3" s="26" t="str" cm="1">
        <f t="array" aca="1" ref="B3" ca="1">HD_Date</f>
        <v>18-Dec-2025</v>
      </c>
      <c r="C3" s="26"/>
    </row>
    <row r="43" spans="4:12" x14ac:dyDescent="0.25">
      <c r="E43" t="s">
        <v>52</v>
      </c>
      <c r="F43" t="s">
        <v>52</v>
      </c>
      <c r="G43" t="s">
        <v>52</v>
      </c>
      <c r="H43" t="s">
        <v>53</v>
      </c>
    </row>
    <row r="44" spans="4:12" x14ac:dyDescent="0.25">
      <c r="D44" t="s">
        <v>52</v>
      </c>
      <c r="F44" t="s">
        <v>55</v>
      </c>
      <c r="G44" t="s">
        <v>55</v>
      </c>
      <c r="H44" t="s">
        <v>54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5">
      <c r="D45" t="s">
        <v>52</v>
      </c>
      <c r="E45" t="s">
        <v>55</v>
      </c>
      <c r="G45" t="s">
        <v>55</v>
      </c>
      <c r="H45" t="s">
        <v>54</v>
      </c>
      <c r="J45" t="str">
        <v>BB</v>
      </c>
      <c r="K45" t="str">
        <v>BR</v>
      </c>
      <c r="L45">
        <v>6</v>
      </c>
    </row>
    <row r="46" spans="4:12" x14ac:dyDescent="0.25">
      <c r="D46" t="s">
        <v>52</v>
      </c>
      <c r="E46" t="s">
        <v>55</v>
      </c>
      <c r="F46" t="s">
        <v>55</v>
      </c>
      <c r="H46" t="s">
        <v>54</v>
      </c>
      <c r="J46" t="str">
        <v>BB</v>
      </c>
      <c r="K46" t="str">
        <v>Total</v>
      </c>
      <c r="L46">
        <v>12</v>
      </c>
    </row>
    <row r="47" spans="4:12" x14ac:dyDescent="0.25">
      <c r="D47" t="s">
        <v>53</v>
      </c>
      <c r="E47" t="s">
        <v>54</v>
      </c>
      <c r="F47" t="s">
        <v>54</v>
      </c>
      <c r="G47" t="s">
        <v>54</v>
      </c>
      <c r="J47" t="str">
        <v>BB</v>
      </c>
    </row>
    <row r="48" spans="4:12" x14ac:dyDescent="0.25">
      <c r="J48" t="str">
        <v>BB</v>
      </c>
    </row>
    <row r="49" spans="4:18" x14ac:dyDescent="0.25">
      <c r="J49" t="str">
        <v>BB</v>
      </c>
    </row>
    <row r="50" spans="4:18" x14ac:dyDescent="0.25">
      <c r="J50" t="str">
        <v>BR</v>
      </c>
    </row>
    <row r="51" spans="4:18" x14ac:dyDescent="0.25">
      <c r="J51" t="str">
        <v>BR</v>
      </c>
    </row>
    <row r="52" spans="4:18" x14ac:dyDescent="0.25">
      <c r="J52" t="str">
        <v>BR</v>
      </c>
    </row>
    <row r="53" spans="4:18" x14ac:dyDescent="0.25">
      <c r="J53" t="str">
        <v>BR</v>
      </c>
    </row>
    <row r="54" spans="4:18" x14ac:dyDescent="0.25">
      <c r="J54" t="str">
        <v>BR</v>
      </c>
    </row>
    <row r="55" spans="4:18" x14ac:dyDescent="0.25">
      <c r="J55" t="str">
        <v>BR</v>
      </c>
    </row>
    <row r="58" spans="4:18" x14ac:dyDescent="0.25">
      <c r="E58" t="s">
        <v>52</v>
      </c>
      <c r="F58" t="s">
        <v>52</v>
      </c>
      <c r="G58" t="s">
        <v>53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57</v>
      </c>
    </row>
    <row r="59" spans="4:18" x14ac:dyDescent="0.25">
      <c r="D59" t="s">
        <v>52</v>
      </c>
      <c r="F59" t="s">
        <v>55</v>
      </c>
      <c r="G59" t="s">
        <v>54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58</v>
      </c>
    </row>
    <row r="60" spans="4:18" x14ac:dyDescent="0.25">
      <c r="D60" t="s">
        <v>52</v>
      </c>
      <c r="E60" t="s">
        <v>55</v>
      </c>
      <c r="G60" t="s">
        <v>54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56</v>
      </c>
    </row>
    <row r="61" spans="4:18" x14ac:dyDescent="0.25">
      <c r="D61" t="s">
        <v>52</v>
      </c>
      <c r="E61" t="s">
        <v>55</v>
      </c>
      <c r="F61" t="s">
        <v>55</v>
      </c>
      <c r="J61" t="str">
        <v>BB</v>
      </c>
      <c r="K61" t="str">
        <v>Total</v>
      </c>
      <c r="L61">
        <v>6</v>
      </c>
    </row>
    <row r="62" spans="4:18" x14ac:dyDescent="0.25">
      <c r="J62" t="str">
        <v>BB</v>
      </c>
    </row>
    <row r="63" spans="4:18" x14ac:dyDescent="0.25">
      <c r="J63" t="str">
        <v>BR</v>
      </c>
    </row>
    <row r="64" spans="4:18" x14ac:dyDescent="0.25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8"/>
  <sheetViews>
    <sheetView topLeftCell="A19" workbookViewId="0">
      <selection activeCell="J10" sqref="J10"/>
    </sheetView>
  </sheetViews>
  <sheetFormatPr defaultRowHeight="13.2" x14ac:dyDescent="0.25"/>
  <cols>
    <col min="2" max="2" width="7.88671875" customWidth="1"/>
    <col min="3" max="3" width="10.88671875" customWidth="1"/>
    <col min="4" max="4" width="8.88671875" customWidth="1"/>
    <col min="5" max="5" width="12.88671875" customWidth="1"/>
    <col min="6" max="6" width="5.88671875" customWidth="1"/>
  </cols>
  <sheetData>
    <row r="2" spans="2:17" x14ac:dyDescent="0.25">
      <c r="B2" t="s">
        <v>59</v>
      </c>
      <c r="C2" t="s">
        <v>60</v>
      </c>
      <c r="D2" t="s">
        <v>61</v>
      </c>
      <c r="E2" t="s">
        <v>62</v>
      </c>
      <c r="F2" t="s">
        <v>63</v>
      </c>
    </row>
    <row r="3" spans="2:17" x14ac:dyDescent="0.25">
      <c r="B3" t="s">
        <v>64</v>
      </c>
      <c r="C3" t="s">
        <v>70</v>
      </c>
      <c r="E3" t="s">
        <v>74</v>
      </c>
      <c r="H3">
        <f>Report!I3511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5">
      <c r="B4" t="s">
        <v>65</v>
      </c>
      <c r="C4" t="s">
        <v>71</v>
      </c>
      <c r="E4" t="s">
        <v>75</v>
      </c>
    </row>
    <row r="5" spans="2:17" x14ac:dyDescent="0.25">
      <c r="B5" t="s">
        <v>66</v>
      </c>
      <c r="E5" t="s">
        <v>76</v>
      </c>
    </row>
    <row r="6" spans="2:17" x14ac:dyDescent="0.25">
      <c r="B6" t="s">
        <v>67</v>
      </c>
      <c r="C6" t="s">
        <v>72</v>
      </c>
    </row>
    <row r="7" spans="2:17" x14ac:dyDescent="0.25">
      <c r="B7" t="s">
        <v>68</v>
      </c>
      <c r="E7" t="s">
        <v>74</v>
      </c>
    </row>
    <row r="8" spans="2:17" x14ac:dyDescent="0.25">
      <c r="B8" t="s">
        <v>69</v>
      </c>
      <c r="C8" t="s">
        <v>73</v>
      </c>
      <c r="E8" t="s">
        <v>77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Q3" sqref="Q3"/>
    </sheetView>
  </sheetViews>
  <sheetFormatPr defaultRowHeight="13.2" x14ac:dyDescent="0.25"/>
  <cols>
    <col min="11" max="11" width="11" bestFit="1" customWidth="1"/>
  </cols>
  <sheetData>
    <row r="1" spans="1:28" x14ac:dyDescent="0.25">
      <c r="A1" s="27" t="s">
        <v>51</v>
      </c>
      <c r="B1" s="26" t="s">
        <v>50</v>
      </c>
      <c r="C1" s="26"/>
      <c r="K1" t="s">
        <v>130</v>
      </c>
      <c r="L1" s="28" t="s">
        <v>131</v>
      </c>
    </row>
    <row r="2" spans="1:28" x14ac:dyDescent="0.25">
      <c r="A2" s="27" t="s">
        <v>49</v>
      </c>
      <c r="B2" s="26"/>
      <c r="C2" s="26"/>
      <c r="K2" t="s">
        <v>129</v>
      </c>
      <c r="L2" s="28" t="s">
        <v>131</v>
      </c>
      <c r="M2" t="s">
        <v>132</v>
      </c>
    </row>
    <row r="3" spans="1:28" x14ac:dyDescent="0.25">
      <c r="A3" s="27" t="s">
        <v>48</v>
      </c>
      <c r="B3" s="26" t="str" cm="1">
        <f t="array" aca="1" ref="B3" ca="1">HD_Date</f>
        <v>18-Dec-2025</v>
      </c>
      <c r="C3" s="26"/>
    </row>
    <row r="6" spans="1:28" x14ac:dyDescent="0.25">
      <c r="U6" t="s">
        <v>79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5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5">
      <c r="U8">
        <v>5</v>
      </c>
      <c r="V8" t="s">
        <v>80</v>
      </c>
      <c r="W8" t="s">
        <v>81</v>
      </c>
      <c r="X8" t="s">
        <v>82</v>
      </c>
      <c r="Y8" t="s">
        <v>83</v>
      </c>
      <c r="Z8" t="s">
        <v>84</v>
      </c>
      <c r="AA8" t="s">
        <v>85</v>
      </c>
      <c r="AB8" t="s">
        <v>86</v>
      </c>
    </row>
    <row r="9" spans="1:28" x14ac:dyDescent="0.25">
      <c r="U9">
        <v>10</v>
      </c>
      <c r="V9" t="s">
        <v>82</v>
      </c>
      <c r="W9" t="s">
        <v>87</v>
      </c>
      <c r="X9" t="s">
        <v>86</v>
      </c>
      <c r="Y9" t="s">
        <v>88</v>
      </c>
      <c r="Z9" t="s">
        <v>89</v>
      </c>
      <c r="AA9" t="s">
        <v>90</v>
      </c>
      <c r="AB9" t="s">
        <v>91</v>
      </c>
    </row>
    <row r="10" spans="1:28" x14ac:dyDescent="0.25">
      <c r="U10">
        <v>15</v>
      </c>
      <c r="V10" t="s">
        <v>92</v>
      </c>
      <c r="W10" t="s">
        <v>93</v>
      </c>
      <c r="X10" t="s">
        <v>94</v>
      </c>
      <c r="Y10" t="s">
        <v>95</v>
      </c>
      <c r="Z10" t="s">
        <v>96</v>
      </c>
      <c r="AA10" t="s">
        <v>97</v>
      </c>
      <c r="AB10" t="s">
        <v>98</v>
      </c>
    </row>
    <row r="11" spans="1:28" x14ac:dyDescent="0.25">
      <c r="U11">
        <v>20</v>
      </c>
      <c r="V11" t="s">
        <v>99</v>
      </c>
      <c r="W11" t="s">
        <v>100</v>
      </c>
      <c r="X11" t="s">
        <v>101</v>
      </c>
      <c r="Y11" t="s">
        <v>102</v>
      </c>
      <c r="Z11" t="s">
        <v>103</v>
      </c>
      <c r="AA11" t="s">
        <v>104</v>
      </c>
      <c r="AB11" t="s">
        <v>105</v>
      </c>
    </row>
    <row r="12" spans="1:28" x14ac:dyDescent="0.25">
      <c r="U12">
        <v>25</v>
      </c>
      <c r="V12" t="s">
        <v>106</v>
      </c>
      <c r="W12" t="s">
        <v>107</v>
      </c>
      <c r="X12" t="s">
        <v>108</v>
      </c>
      <c r="Y12" t="s">
        <v>109</v>
      </c>
      <c r="Z12" t="s">
        <v>110</v>
      </c>
      <c r="AA12" t="s">
        <v>111</v>
      </c>
      <c r="AB12" t="s">
        <v>112</v>
      </c>
    </row>
    <row r="13" spans="1:28" x14ac:dyDescent="0.25">
      <c r="U13">
        <v>30</v>
      </c>
      <c r="V13" t="s">
        <v>113</v>
      </c>
      <c r="W13" t="s">
        <v>114</v>
      </c>
      <c r="X13" t="s">
        <v>115</v>
      </c>
      <c r="Y13" t="s">
        <v>116</v>
      </c>
      <c r="Z13" t="s">
        <v>117</v>
      </c>
      <c r="AA13" t="s">
        <v>118</v>
      </c>
      <c r="AB13" t="s">
        <v>119</v>
      </c>
    </row>
    <row r="14" spans="1:28" x14ac:dyDescent="0.25">
      <c r="U14">
        <v>35</v>
      </c>
      <c r="V14" t="s">
        <v>107</v>
      </c>
      <c r="W14" t="s">
        <v>120</v>
      </c>
      <c r="X14" t="s">
        <v>110</v>
      </c>
      <c r="Y14">
        <v>3.5</v>
      </c>
      <c r="Z14" t="s">
        <v>121</v>
      </c>
      <c r="AA14" t="s">
        <v>122</v>
      </c>
      <c r="AB14">
        <v>5.6</v>
      </c>
    </row>
    <row r="15" spans="1:28" x14ac:dyDescent="0.25">
      <c r="U15">
        <v>40</v>
      </c>
      <c r="V15" t="s">
        <v>123</v>
      </c>
      <c r="W15" t="s">
        <v>124</v>
      </c>
      <c r="X15" t="s">
        <v>125</v>
      </c>
      <c r="Y15" t="s">
        <v>121</v>
      </c>
      <c r="Z15" t="s">
        <v>126</v>
      </c>
      <c r="AA15" t="s">
        <v>127</v>
      </c>
      <c r="AB15" t="s">
        <v>128</v>
      </c>
    </row>
    <row r="16" spans="1:28" x14ac:dyDescent="0.25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5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5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5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5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5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5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5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5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5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5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5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13</vt:i4>
      </vt:variant>
    </vt:vector>
  </HeadingPairs>
  <TitlesOfParts>
    <vt:vector size="20" baseType="lpstr">
      <vt:lpstr>Report</vt:lpstr>
      <vt:lpstr>ROBF</vt:lpstr>
      <vt:lpstr>PointTraining</vt:lpstr>
      <vt:lpstr>LongTermTraining</vt:lpstr>
      <vt:lpstr>Sheet1</vt:lpstr>
      <vt:lpstr>Sheet2</vt:lpstr>
      <vt:lpstr>SH3_Correction_Table</vt:lpstr>
      <vt:lpstr>__xL</vt:lpstr>
      <vt:lpstr>_AOB</vt:lpstr>
      <vt:lpstr>_B</vt:lpstr>
      <vt:lpstr>_L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2025-12-18T21:17:50Z</dcterms:modified>
</cp:coreProperties>
</file>