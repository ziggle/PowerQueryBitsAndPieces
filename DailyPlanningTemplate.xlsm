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78119CFE-F27D-413F-9709-D97E98F40DF3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LongTermTraining" sheetId="3" r:id="rId2"/>
    <sheet name="PointTraining" sheetId="4" r:id="rId3"/>
    <sheet name="RAOBF" sheetId="8" r:id="rId4"/>
    <sheet name="BP_Data" sheetId="9" r:id="rId5"/>
    <sheet name="Sheet1" sheetId="5" r:id="rId6"/>
    <sheet name="Sheet2" sheetId="6" r:id="rId7"/>
    <sheet name="SH3_Correction_Table" sheetId="7" r:id="rId8"/>
  </sheets>
  <definedNames>
    <definedName name="__xL">RAOBF!$C$12</definedName>
    <definedName name="_AOB">RAOBF!$C$1</definedName>
    <definedName name="_B">RAOBF!$C$2</definedName>
    <definedName name="_date">_xlfn.DROP(_xlfn._TRO_ALL(Report!$B:$B),12)</definedName>
    <definedName name="_xlnm._FilterDatabase" localSheetId="0" hidden="1">Report!$P$24:$P$60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>Report!$C$9:$L$9</definedName>
    <definedName name="_nYpSKnot">0.562603</definedName>
    <definedName name="_R">RAOBF!$C$3</definedName>
    <definedName name="_Theta">RAOBF!$C$10</definedName>
    <definedName name="_v">RAOBF!$C$5</definedName>
    <definedName name="_vSub">RAOBF!$C$6</definedName>
    <definedName name="_vyps">RAOBF!$C$13</definedName>
    <definedName name="_xleta.COS" hidden="1" xlm="1">#NAME?</definedName>
    <definedName name="_xleta.COUNTA" hidden="1" xlm="1">#NAME?</definedName>
    <definedName name="_xleta.SIN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1">_xlfn.DROP(_xlfn.TRIMRANGE(LongTermTraining!$D:$X),1)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6" i="8" l="1"/>
  <c r="C10" i="8"/>
  <c r="I25" i="8"/>
  <c r="I26" i="8" s="1"/>
  <c r="K27" i="8"/>
  <c r="I24" i="8"/>
  <c r="E17" i="8"/>
  <c r="H19" i="8"/>
  <c r="F3" i="8"/>
  <c r="F10" i="8"/>
  <c r="F2" i="8"/>
  <c r="F5" i="8"/>
  <c r="D6" i="9"/>
  <c r="C6" i="9"/>
  <c r="B6" i="9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Q9" i="1" a="1"/>
  <c r="Q9" i="1" s="1"/>
  <c r="Z9" i="3" a="1"/>
  <c r="D9" i="3" a="1"/>
  <c r="N10" i="1" a="1"/>
  <c r="B10" i="1" a="1"/>
  <c r="F8" i="8" l="1"/>
  <c r="C12" i="8"/>
  <c r="C11" i="8"/>
  <c r="J59" i="5"/>
  <c r="K59" i="5" a="1"/>
  <c r="J44" i="5"/>
  <c r="K44" i="5" a="1"/>
  <c r="D9" i="3"/>
  <c r="Z9" i="3"/>
  <c r="N10" i="1"/>
  <c r="M21" i="1" a="1"/>
  <c r="B10" i="1"/>
  <c r="C191" i="8" l="1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M21" i="1"/>
  <c r="P10" i="1" s="1" a="1"/>
  <c r="F17" i="8" l="1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P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<sst xmlns="http://schemas.openxmlformats.org/spreadsheetml/2006/main" count="210" uniqueCount="163">
  <si>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</si>
  <si>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</si>
  <si>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</si>
  <si>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</si>
  <si>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</si>
  <si>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</si>
  <si>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</si>
  <si>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</si>
  <si>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</si>
  <si>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</si>
  <si>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</si>
  <si>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</si>
  <si>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</si>
  <si>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</si>
  <si>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</si>
  <si>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</si>
  <si>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</si>
  <si>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</si>
  <si>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</si>
  <si>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</si>
  <si>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</si>
  <si>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</si>
  <si>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</si>
  <si>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</si>
  <si>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</si>
  <si>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</si>
  <si>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</si>
  <si>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</si>
  <si>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</si>
  <si>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</si>
  <si>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</si>
  <si>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</si>
  <si>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</si>
  <si>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</si>
  <si>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</si>
  <si>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</si>
  <si>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</si>
  <si>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</si>
  <si>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</si>
  <si>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</si>
  <si>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</si>
  <si>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</si>
  <si>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</si>
  <si>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</si>
  <si>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</si>
  <si>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</si>
  <si>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</si>
  <si>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</si>
  <si>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</si>
  <si>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</si>
  <si>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</si>
  <si>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</si>
  <si>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</si>
  <si>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</si>
  <si>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</si>
  <si>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</si>
  <si>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</si>
  <si>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</si>
  <si>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</si>
  <si>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</si>
  <si>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</si>
  <si>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</si>
  <si>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</si>
  <si>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</si>
  <si>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</si>
  <si>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</si>
  <si>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</si>
  <si>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</si>
  <si>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</si>
  <si>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</si>
  <si>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</si>
  <si>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</si>
  <si>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</si>
  <si>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</si>
  <si>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</si>
  <si>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</si>
  <si>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</si>
  <si>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</si>
  <si>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</si>
  <si>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</si>
  <si>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</si>
  <si>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</si>
  <si>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</si>
  <si>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</si>
  <si>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</si>
  <si>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</si>
  <si>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</si>
  <si>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</si>
  <si>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</si>
  <si>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</si>
  <si>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</si>
  <si>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</si>
  <si>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</si>
  <si>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</si>
  <si>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</si>
  <si>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</si>
  <si>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</si>
  <si>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</si>
  <si>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</si>
  <si>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</si>
  <si>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</si>
  <si>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</si>
  <si>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</si>
  <si>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</si>
  <si>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</si>
  <si>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</si>
  <si>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</si>
  <si>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</si>
  <si>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</si>
  <si>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</si>
  <si>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</si>
  <si>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</si>
  <si>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</si>
  <si>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</si>
  <si>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</si>
  <si>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</si>
  <si>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</si>
  <si>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</si>
  <si>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</si>
  <si>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</si>
  <si>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</si>
  <si>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</si>
  <si>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</si>
  <si>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</si>
  <si>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</si>
  <si>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</si>
  <si>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</si>
  <si>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</si>
  <si>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</si>
  <si>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</si>
  <si>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</si>
  <si>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</si>
  <si>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</si>
  <si>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</si>
  <si>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</si>
  <si>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</si>
  <si>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</si>
  <si>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</si>
  <si>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</si>
  <si>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</si>
  <si>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</si>
  <si>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</si>
  <si>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</si>
  <si>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</si>
  <si>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</si>
  <si>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</si>
  <si>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</si>
  <si>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</si>
  <si>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</si>
  <si>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</si>
  <si>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</si>
  <si>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</si>
  <si>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</si>
  <si>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</si>
  <si>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</si>
  <si>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</si>
  <si>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</si>
  <si>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</si>
  <si>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</si>
  <si>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</si>
  <si>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</si>
  <si>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BP</t>
  </si>
  <si>
    <t>Chemistry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</si>
</sst>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;;;\ @"/>
    <numFmt numFmtId="165" formatCode="0.00000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3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15" fontId="0" fillId="0" borderId="0" xfId="0" applyNumberFormat="1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56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55"/>
      <tableStyleElement type="headerRow" dxfId="54"/>
      <tableStyleElement type="totalRow" dxfId="53"/>
      <tableStyleElement type="firstColumnStripe" dxfId="52"/>
      <tableStyleElement type="firstHeaderCell" dxfId="51"/>
      <tableStyleElement type="firstSubtotalColumn" dxfId="50"/>
      <tableStyleElement type="firstSubtotalRow" dxfId="49"/>
      <tableStyleElement type="secondSubtotalRow" dxfId="48"/>
      <tableStyleElement type="firstRowSubheading" dxfId="47"/>
      <tableStyleElement type="secondRowSubheading" dxfId="46"/>
      <tableStyleElement type="pageFieldLabels" dxfId="45"/>
      <tableStyleElement type="pageFieldValues" dxfId="44"/>
    </tableStyle>
    <tableStyle name="Biegert Table Standard" pivot="0" count="7" xr9:uid="{95B43237-2845-4068-A415-A5A3E7804959}">
      <tableStyleElement type="wholeTable" dxfId="43"/>
      <tableStyleElement type="headerRow" dxfId="42"/>
      <tableStyleElement type="totalRow" dxfId="41"/>
      <tableStyleElement type="firstColumn" dxfId="40"/>
      <tableStyleElement type="lastColumn" dxfId="39"/>
      <tableStyleElement type="firstRowStripe" dxfId="38"/>
      <tableStyleElement type="firstColumnStripe" dxfId="37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23/09/relationships/Python" Target="python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291</xdr:row>
          <xdr:rowOff>127000</xdr:rowOff>
        </xdr:from>
        <xdr:to>
          <xdr:col>26</xdr:col>
          <xdr:colOff>0</xdr:colOff>
          <xdr:row>345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6" spid="_x0000_s916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5004562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310</xdr:row>
          <xdr:rowOff>138430</xdr:rowOff>
        </xdr:from>
        <xdr:to>
          <xdr:col>25</xdr:col>
          <xdr:colOff>226060</xdr:colOff>
          <xdr:row>364</xdr:row>
          <xdr:rowOff>15240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EA38C59D-649D-192D-9A34-4263BC6B39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9" spid="_x0000_s916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4572000" y="53242210"/>
              <a:ext cx="3594100" cy="892937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E370"/>
  <sheetViews>
    <sheetView tabSelected="1" workbookViewId="0">
      <pane ySplit="9" topLeftCell="A359" activePane="bottomLeft" state="frozen"/>
      <selection pane="bottomLeft" activeCell="N366" sqref="N366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64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64">_xlfn.BYROW(_xlfn.DROP(Banded,,1),_xleta.SUM)</f>
        <v>0</v>
      </c>
      <c r="P10" s="7" cm="1">
        <f t="array" aca="1" ref="P10:Z59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64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7</v>
      </c>
      <c r="R55" s="5">
        <f ca="1"/>
        <v>7</v>
      </c>
      <c r="S55" s="5">
        <f ca="1"/>
        <v>4</v>
      </c>
      <c r="T55" s="5">
        <f ca="1"/>
        <v>4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  <c r="Y55" s="5">
        <f ca="1"/>
        <v>7</v>
      </c>
      <c r="Z55">
        <f ca="1"/>
        <v>7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  <c r="P56" s="7">
        <f ca="1"/>
        <v>49</v>
      </c>
      <c r="Q56" s="5">
        <f ca="1"/>
        <v>7</v>
      </c>
      <c r="R56" s="5">
        <f ca="1"/>
        <v>7</v>
      </c>
      <c r="S56" s="5">
        <f ca="1"/>
        <v>3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  <c r="Y56" s="5">
        <f ca="1"/>
        <v>7</v>
      </c>
      <c r="Z56">
        <f ca="1"/>
        <v>7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  <c r="P57" s="7">
        <f ca="1"/>
        <v>50</v>
      </c>
      <c r="Q57" s="5">
        <f ca="1"/>
        <v>7</v>
      </c>
      <c r="R57" s="5">
        <f ca="1"/>
        <v>7</v>
      </c>
      <c r="S57" s="5">
        <f ca="1"/>
        <v>4</v>
      </c>
      <c r="T57" s="5">
        <f ca="1"/>
        <v>7</v>
      </c>
      <c r="U57" s="5">
        <f ca="1"/>
        <v>7</v>
      </c>
      <c r="V57" s="5">
        <f ca="1"/>
        <v>7</v>
      </c>
      <c r="W57" s="5">
        <f ca="1"/>
        <v>7</v>
      </c>
      <c r="X57" s="5">
        <f ca="1"/>
        <v>7</v>
      </c>
      <c r="Y57" s="5">
        <f ca="1"/>
        <v>7</v>
      </c>
      <c r="Z57">
        <f ca="1"/>
        <v>7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  <c r="P58" s="7">
        <f ca="1"/>
        <v>51</v>
      </c>
      <c r="Q58" s="5">
        <f ca="1"/>
        <v>7</v>
      </c>
      <c r="R58" s="5">
        <f ca="1"/>
        <v>7</v>
      </c>
      <c r="S58" s="5">
        <f ca="1"/>
        <v>4</v>
      </c>
      <c r="T58" s="5">
        <f ca="1"/>
        <v>7</v>
      </c>
      <c r="U58" s="5">
        <f ca="1"/>
        <v>7</v>
      </c>
      <c r="V58" s="5">
        <f ca="1"/>
        <v>7</v>
      </c>
      <c r="W58" s="5">
        <f ca="1"/>
        <v>7</v>
      </c>
      <c r="X58" s="5">
        <f ca="1"/>
        <v>7</v>
      </c>
      <c r="Y58" s="5">
        <f ca="1"/>
        <v>7</v>
      </c>
      <c r="Z58">
        <f ca="1"/>
        <v>7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  <c r="P59" s="7">
        <f ca="1"/>
        <v>52</v>
      </c>
      <c r="Q59" s="5">
        <f ca="1"/>
        <v>1</v>
      </c>
      <c r="R59" s="5">
        <f ca="1"/>
        <v>1</v>
      </c>
      <c r="S59" s="5">
        <f ca="1"/>
        <v>1</v>
      </c>
      <c r="T59" s="5">
        <f ca="1"/>
        <v>0</v>
      </c>
      <c r="U59" s="5">
        <f ca="1"/>
        <v>0</v>
      </c>
      <c r="V59" s="5">
        <f ca="1"/>
        <v>1</v>
      </c>
      <c r="W59" s="5">
        <f ca="1"/>
        <v>0</v>
      </c>
      <c r="X59" s="5">
        <f ca="1"/>
        <v>0</v>
      </c>
      <c r="Y59" s="5">
        <f ca="1"/>
        <v>0</v>
      </c>
      <c r="Z59">
        <f ca="1"/>
        <v>1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31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31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31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31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31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31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 s="16">
        <v>1</v>
      </c>
      <c r="M342">
        <f ca="1"/>
        <v>48</v>
      </c>
      <c r="N342">
        <v>9</v>
      </c>
    </row>
    <row r="343" spans="2:31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 s="16">
        <v>1</v>
      </c>
      <c r="M343">
        <f ca="1"/>
        <v>49</v>
      </c>
      <c r="N343">
        <v>10</v>
      </c>
    </row>
    <row r="344" spans="2:31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 s="16">
        <v>1</v>
      </c>
      <c r="M344">
        <f ca="1"/>
        <v>49</v>
      </c>
      <c r="N344">
        <v>10</v>
      </c>
    </row>
    <row r="345" spans="2:31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 s="16">
        <v>1</v>
      </c>
      <c r="M345">
        <f ca="1"/>
        <v>49</v>
      </c>
      <c r="N345">
        <v>9</v>
      </c>
    </row>
    <row r="346" spans="2:31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 s="16">
        <v>1</v>
      </c>
      <c r="M346">
        <f ca="1"/>
        <v>49</v>
      </c>
      <c r="N346">
        <v>9</v>
      </c>
    </row>
    <row r="347" spans="2:31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 s="16">
        <v>1</v>
      </c>
      <c r="M347">
        <f ca="1"/>
        <v>49</v>
      </c>
      <c r="N347">
        <v>9</v>
      </c>
    </row>
    <row r="348" spans="2:31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 s="16">
        <v>1</v>
      </c>
      <c r="M348">
        <f ca="1"/>
        <v>49</v>
      </c>
      <c r="N348">
        <v>10</v>
      </c>
    </row>
    <row r="349" spans="2:31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 s="16">
        <v>1</v>
      </c>
      <c r="M349">
        <f ca="1"/>
        <v>49</v>
      </c>
      <c r="N349">
        <v>9</v>
      </c>
    </row>
    <row r="350" spans="2:31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 s="16">
        <v>1</v>
      </c>
      <c r="M350">
        <f ca="1"/>
        <v>50</v>
      </c>
      <c r="N350">
        <v>10</v>
      </c>
    </row>
    <row r="351" spans="2:31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 s="16">
        <v>1</v>
      </c>
      <c r="M351">
        <f ca="1"/>
        <v>50</v>
      </c>
      <c r="N351">
        <v>9</v>
      </c>
      <c r="AE351" t="s">
        <v>78</v>
      </c>
    </row>
    <row r="352" spans="2:31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 s="16">
        <v>1</v>
      </c>
      <c r="M352">
        <f ca="1"/>
        <v>50</v>
      </c>
      <c r="N352">
        <v>10</v>
      </c>
    </row>
    <row r="353" spans="2:16" x14ac:dyDescent="0.25">
      <c r="B353" s="15" t="str">
        <f ca="1"/>
        <v>10-Dec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 s="16">
        <v>1</v>
      </c>
      <c r="M353">
        <f ca="1"/>
        <v>50</v>
      </c>
      <c r="N353">
        <v>9</v>
      </c>
    </row>
    <row r="354" spans="2:16" x14ac:dyDescent="0.25">
      <c r="B354" s="15" t="str">
        <f ca="1"/>
        <v>11-Dec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 s="16">
        <v>1</v>
      </c>
      <c r="M354">
        <f ca="1"/>
        <v>50</v>
      </c>
      <c r="N354">
        <v>10</v>
      </c>
    </row>
    <row r="355" spans="2:16" x14ac:dyDescent="0.25">
      <c r="B355" s="15" t="str">
        <f ca="1"/>
        <v>12-Dec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 s="16">
        <v>1</v>
      </c>
      <c r="M355">
        <f ca="1"/>
        <v>50</v>
      </c>
      <c r="N355">
        <v>9</v>
      </c>
    </row>
    <row r="356" spans="2:16" x14ac:dyDescent="0.25">
      <c r="B356" s="15" t="str">
        <f ca="1"/>
        <v>13-Dec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 s="16">
        <v>1</v>
      </c>
      <c r="M356">
        <f ca="1"/>
        <v>50</v>
      </c>
      <c r="N356">
        <v>10</v>
      </c>
    </row>
    <row r="357" spans="2:16" x14ac:dyDescent="0.25">
      <c r="B357" s="15" t="str">
        <f ca="1"/>
        <v>14-Dec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 s="16">
        <v>1</v>
      </c>
      <c r="M357">
        <f ca="1"/>
        <v>51</v>
      </c>
      <c r="N357">
        <v>9</v>
      </c>
    </row>
    <row r="358" spans="2:16" x14ac:dyDescent="0.25">
      <c r="B358" s="15" t="str">
        <f ca="1"/>
        <v>15-Dec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 s="16">
        <v>1</v>
      </c>
      <c r="M358">
        <f ca="1"/>
        <v>51</v>
      </c>
      <c r="N358">
        <v>10</v>
      </c>
    </row>
    <row r="359" spans="2:16" x14ac:dyDescent="0.25">
      <c r="B359" s="15" t="str">
        <f ca="1"/>
        <v>16-Dec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 s="16">
        <v>1</v>
      </c>
      <c r="M359">
        <f ca="1"/>
        <v>51</v>
      </c>
      <c r="N359">
        <v>9</v>
      </c>
    </row>
    <row r="360" spans="2:16" x14ac:dyDescent="0.25">
      <c r="B360" s="15" t="str">
        <f ca="1"/>
        <v>17-Dec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 s="16">
        <v>1</v>
      </c>
      <c r="M360">
        <f ca="1"/>
        <v>51</v>
      </c>
      <c r="N360">
        <v>10</v>
      </c>
    </row>
    <row r="361" spans="2:16" x14ac:dyDescent="0.25">
      <c r="B361" s="15" t="str">
        <f ca="1"/>
        <v>18-Dec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 s="16">
        <v>1</v>
      </c>
      <c r="M361">
        <f ca="1"/>
        <v>51</v>
      </c>
      <c r="N361">
        <v>10</v>
      </c>
    </row>
    <row r="362" spans="2:16" x14ac:dyDescent="0.25">
      <c r="B362" s="15" t="str">
        <f ca="1"/>
        <v>19-Dec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 s="16">
        <v>1</v>
      </c>
      <c r="M362">
        <f ca="1"/>
        <v>51</v>
      </c>
      <c r="N362">
        <v>9</v>
      </c>
    </row>
    <row r="363" spans="2:16" x14ac:dyDescent="0.25">
      <c r="B363" s="15" t="str">
        <f ca="1"/>
        <v>20-Dec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 s="16">
        <v>1</v>
      </c>
      <c r="M363">
        <f ca="1"/>
        <v>51</v>
      </c>
      <c r="N363">
        <v>10</v>
      </c>
    </row>
    <row r="364" spans="2:16" x14ac:dyDescent="0.25">
      <c r="B364" s="15" t="str">
        <f ca="1"/>
        <v>21-Dec</v>
      </c>
      <c r="C364" s="21">
        <v>1</v>
      </c>
      <c r="D364" s="17">
        <v>1</v>
      </c>
      <c r="E364" s="16">
        <v>1</v>
      </c>
      <c r="F364" s="16">
        <v>0</v>
      </c>
      <c r="G364" s="16">
        <v>0</v>
      </c>
      <c r="H364" s="16">
        <v>1</v>
      </c>
      <c r="I364" s="16">
        <v>0</v>
      </c>
      <c r="J364" s="16">
        <v>0</v>
      </c>
      <c r="K364" s="16">
        <v>0</v>
      </c>
      <c r="L364" s="16">
        <v>1</v>
      </c>
      <c r="M364">
        <f ca="1"/>
        <v>52</v>
      </c>
      <c r="N364">
        <v>5</v>
      </c>
    </row>
    <row r="367" spans="2:16" x14ac:dyDescent="0.25">
      <c r="P367" t="s">
        <v>35</v>
      </c>
    </row>
    <row r="368" spans="2:16" x14ac:dyDescent="0.25">
      <c r="P368" t="s">
        <v>36</v>
      </c>
    </row>
    <row r="369" spans="16:16" x14ac:dyDescent="0.25">
      <c r="P369" t="s">
        <v>40</v>
      </c>
    </row>
    <row r="370" spans="16:16" x14ac:dyDescent="0.25">
      <c r="P370" t="s">
        <v>47</v>
      </c>
    </row>
  </sheetData>
  <sortState xmlns:xlrd2="http://schemas.microsoft.com/office/spreadsheetml/2017/richdata2" ref="R24:R60">
    <sortCondition ref="R24:R60"/>
  </sortState>
  <conditionalFormatting sqref="O9">
    <cfRule type="expression" dxfId="17" priority="25" stopIfTrue="1">
      <formula>MOD(ROW(O9)-ROW($B$9),2)</formula>
    </cfRule>
  </conditionalFormatting>
  <conditionalFormatting sqref="P10:Z59">
    <cfRule type="expression" dxfId="16" priority="64">
      <formula>MOD(ROW(P10)-ROW($P$258),2)</formula>
    </cfRule>
  </conditionalFormatting>
  <conditionalFormatting sqref="P45">
    <cfRule type="expression" dxfId="15" priority="20">
      <formula>MOD(ROW(P45)-ROW($P$258),2)</formula>
    </cfRule>
  </conditionalFormatting>
  <conditionalFormatting sqref="P46:P52">
    <cfRule type="expression" dxfId="14" priority="19">
      <formula>MOD(ROW(P46)-ROW($P$258),2)</formula>
    </cfRule>
  </conditionalFormatting>
  <conditionalFormatting sqref="Q46:Z46">
    <cfRule type="expression" dxfId="13" priority="18">
      <formula>MOD(ROW(Q46)-ROW($P$258),2)</formula>
    </cfRule>
  </conditionalFormatting>
  <conditionalFormatting sqref="P48:Z48">
    <cfRule type="expression" dxfId="12" priority="17">
      <formula>MOD(ROW(P48)-ROW($P$258),2)</formula>
    </cfRule>
  </conditionalFormatting>
  <conditionalFormatting sqref="Q48:Z48">
    <cfRule type="expression" dxfId="11" priority="16">
      <formula>MOD(ROW(Q48)-ROW($P$258),2)</formula>
    </cfRule>
  </conditionalFormatting>
  <conditionalFormatting sqref="P49:Z49">
    <cfRule type="expression" dxfId="10" priority="14">
      <formula>MOD(ROW(P49)-ROW($P$258),2)</formula>
    </cfRule>
  </conditionalFormatting>
  <conditionalFormatting sqref="P50:Z50">
    <cfRule type="expression" dxfId="9" priority="13">
      <formula>MOD(ROW(P50)-ROW($P$258),2)</formula>
    </cfRule>
  </conditionalFormatting>
  <conditionalFormatting sqref="Q50:Z50">
    <cfRule type="expression" dxfId="8" priority="12">
      <formula>MOD(ROW(Q50)-ROW($P$258),2)</formula>
    </cfRule>
  </conditionalFormatting>
  <conditionalFormatting sqref="P51:Z51">
    <cfRule type="expression" dxfId="7" priority="10">
      <formula>MOD(ROW(P51)-ROW($P$258),2)</formula>
    </cfRule>
  </conditionalFormatting>
  <conditionalFormatting sqref="P52:Z52">
    <cfRule type="expression" dxfId="6" priority="9">
      <formula>MOD(ROW(P52)-ROW($P$258),2)</formula>
    </cfRule>
  </conditionalFormatting>
  <conditionalFormatting sqref="P52:Z52">
    <cfRule type="expression" dxfId="5" priority="8">
      <formula>MOD(ROW(P52)-ROW($P$258),2)</formula>
    </cfRule>
  </conditionalFormatting>
  <conditionalFormatting sqref="Q52:Z52">
    <cfRule type="expression" dxfId="4" priority="7">
      <formula>MOD(ROW(Q52)-ROW($P$258),2)</formula>
    </cfRule>
  </conditionalFormatting>
  <conditionalFormatting sqref="Q54:Z54">
    <cfRule type="expression" dxfId="3" priority="2">
      <formula>MOD(ROW(Q54)-ROW($P$258),2)</formula>
    </cfRule>
  </conditionalFormatting>
  <conditionalFormatting sqref="Q53:Z53">
    <cfRule type="expression" dxfId="2" priority="1">
      <formula>MOD(ROW(Q53)-ROW($P$258),2)</formula>
    </cfRule>
  </conditionalFormatting>
  <conditionalFormatting sqref="B10:L364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B363"/>
  <sheetViews>
    <sheetView topLeftCell="A4" workbookViewId="0">
      <pane ySplit="5" topLeftCell="A355" activePane="bottomLeft" state="frozen"/>
      <selection activeCell="A4" sqref="A4"/>
      <selection pane="bottomLeft" activeCell="X366" sqref="X366"/>
    </sheetView>
  </sheetViews>
  <sheetFormatPr defaultRowHeight="13.2" x14ac:dyDescent="0.25"/>
  <cols>
    <col min="5" max="24" width="3.33203125" style="5" customWidth="1"/>
    <col min="25" max="27" width="3.33203125" customWidth="1"/>
  </cols>
  <sheetData>
    <row r="7" spans="4:26" ht="13.8" thickBot="1" x14ac:dyDescent="0.3"/>
    <row r="8" spans="4:26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23" t="s">
        <v>162</v>
      </c>
      <c r="X8" s="18" t="s">
        <v>19</v>
      </c>
    </row>
    <row r="9" spans="4:26" ht="13.8" thickTop="1" x14ac:dyDescent="0.25">
      <c r="D9" t="str" cm="1">
        <f t="array" aca="1" ref="D9:D36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63">_xlfn.BYROW(_xlfn.DROP(_xlnm.Print_Area,,1),_xleta.SUM)</f>
        <v>0</v>
      </c>
    </row>
    <row r="10" spans="4:26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37</v>
      </c>
    </row>
    <row r="176" spans="4:28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5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5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5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5">
      <c r="D363" t="str">
        <f ca="1"/>
        <v>21-Dec</v>
      </c>
      <c r="Z363">
        <v>0</v>
      </c>
    </row>
  </sheetData>
  <conditionalFormatting sqref="D9:X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zoomScaleNormal="100" workbookViewId="0">
      <selection activeCell="H5" sqref="H5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133</v>
      </c>
      <c r="C1">
        <v>10</v>
      </c>
      <c r="D1" t="s">
        <v>137</v>
      </c>
    </row>
    <row r="2" spans="2:6" x14ac:dyDescent="0.25">
      <c r="B2" t="s">
        <v>134</v>
      </c>
      <c r="C2">
        <v>30</v>
      </c>
      <c r="D2" t="s">
        <v>137</v>
      </c>
      <c r="F2">
        <f>SIN(120*PI()/180)</f>
        <v>0.86602540378443871</v>
      </c>
    </row>
    <row r="3" spans="2:6" x14ac:dyDescent="0.25">
      <c r="B3" t="s">
        <v>135</v>
      </c>
      <c r="C3">
        <v>2000</v>
      </c>
      <c r="D3" t="s">
        <v>140</v>
      </c>
      <c r="F3">
        <f>ASIN(0.5626/2)*180/PI()</f>
        <v>16.337808095148048</v>
      </c>
    </row>
    <row r="4" spans="2:6" x14ac:dyDescent="0.25">
      <c r="B4" t="s">
        <v>136</v>
      </c>
      <c r="C4">
        <v>100</v>
      </c>
      <c r="D4" t="s">
        <v>140</v>
      </c>
    </row>
    <row r="5" spans="2:6" x14ac:dyDescent="0.25">
      <c r="B5" t="s">
        <v>138</v>
      </c>
      <c r="C5">
        <v>2</v>
      </c>
      <c r="D5" t="s">
        <v>139</v>
      </c>
      <c r="F5">
        <f>2*SIN(14.47*PI()/180)</f>
        <v>0.49974609767390904</v>
      </c>
    </row>
    <row r="6" spans="2:6" x14ac:dyDescent="0.25">
      <c r="B6" t="s">
        <v>152</v>
      </c>
      <c r="C6">
        <v>2</v>
      </c>
      <c r="D6" t="s">
        <v>139</v>
      </c>
    </row>
    <row r="8" spans="2:6" x14ac:dyDescent="0.25">
      <c r="B8" t="s">
        <v>144</v>
      </c>
      <c r="C8" s="29">
        <f>_R*SIN(_B*PI()/180)</f>
        <v>999.99999999999989</v>
      </c>
      <c r="D8" t="s">
        <v>140</v>
      </c>
      <c r="F8">
        <f>ATAN2(_xShip,_yShip)*180/PI()</f>
        <v>60.000000000000007</v>
      </c>
    </row>
    <row r="9" spans="2:6" x14ac:dyDescent="0.25">
      <c r="B9" t="s">
        <v>145</v>
      </c>
      <c r="C9" s="29">
        <f>_R*COS(_B*PI()/180)</f>
        <v>1732.0508075688774</v>
      </c>
      <c r="D9" t="s">
        <v>140</v>
      </c>
    </row>
    <row r="10" spans="2:6" x14ac:dyDescent="0.25">
      <c r="B10" t="s">
        <v>148</v>
      </c>
      <c r="C10">
        <f>(90-_B)-_AOB</f>
        <v>50</v>
      </c>
      <c r="D10" t="s">
        <v>149</v>
      </c>
      <c r="F10">
        <f>ASIN(0.5626/2)*180/PI()</f>
        <v>16.337808095148048</v>
      </c>
    </row>
    <row r="11" spans="2:6" x14ac:dyDescent="0.25">
      <c r="B11" t="s">
        <v>147</v>
      </c>
      <c r="C11">
        <f>-SIN(PI()/180*_Theta)*_L</f>
        <v>-76.604444311897808</v>
      </c>
    </row>
    <row r="12" spans="2:6" x14ac:dyDescent="0.25">
      <c r="B12" t="s">
        <v>146</v>
      </c>
      <c r="C12">
        <f>-COS(PI()/180*C10)*_L</f>
        <v>-64.278760968653941</v>
      </c>
      <c r="F12">
        <f>ATAN(C11/C12)*180/PI()</f>
        <v>49.999999999999993</v>
      </c>
    </row>
    <row r="13" spans="2:6" x14ac:dyDescent="0.25">
      <c r="B13" t="s">
        <v>150</v>
      </c>
      <c r="C13">
        <f>CONVERT(CONVERT(_v,"kn","m/sec"),"m","yd")</f>
        <v>1.1252065714007973</v>
      </c>
      <c r="D13" t="s">
        <v>151</v>
      </c>
    </row>
    <row r="16" spans="2:6" x14ac:dyDescent="0.25">
      <c r="B16" t="s">
        <v>141</v>
      </c>
      <c r="C16" t="s">
        <v>142</v>
      </c>
      <c r="D16" t="s">
        <v>143</v>
      </c>
      <c r="E16" t="s">
        <v>153</v>
      </c>
      <c r="F16" t="s">
        <v>154</v>
      </c>
    </row>
    <row r="17" spans="2:19" x14ac:dyDescent="0.25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5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1.1252065714007973</v>
      </c>
      <c r="F18" s="30">
        <f t="shared" ref="F18:F81" si="3">ATAN2(C18,D18-E18)*180/PI()</f>
        <v>60.500341977931626</v>
      </c>
    </row>
    <row r="19" spans="2:19" x14ac:dyDescent="0.25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2.2504131428015945</v>
      </c>
      <c r="F19" s="30">
        <f t="shared" si="3"/>
        <v>60.477472151812862</v>
      </c>
      <c r="H19">
        <f>_nYpSKnot</f>
        <v>0.56260299999999996</v>
      </c>
    </row>
    <row r="20" spans="2:19" x14ac:dyDescent="0.25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3.3756197142023918</v>
      </c>
      <c r="F20" s="30">
        <f t="shared" si="3"/>
        <v>60.454605387863651</v>
      </c>
      <c r="M20" t="s">
        <v>155</v>
      </c>
    </row>
    <row r="21" spans="2:19" x14ac:dyDescent="0.25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4.5008262856031891</v>
      </c>
      <c r="F21" s="30">
        <f t="shared" si="3"/>
        <v>60.431741692752084</v>
      </c>
    </row>
    <row r="22" spans="2:19" x14ac:dyDescent="0.25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5.6260328570039864</v>
      </c>
      <c r="F22" s="30">
        <f t="shared" si="3"/>
        <v>60.408881073140464</v>
      </c>
      <c r="I22" cm="1">
        <f t="array" ref="I22">_fInt(90-_B,F17:F216,_xlfn.ANCHORARRAY(B17))</f>
        <v>22.90893715907249</v>
      </c>
      <c r="M22">
        <f>_L*SIN(_AOB*PI()/180)/I22</f>
        <v>0.75799316424490459</v>
      </c>
      <c r="N22" t="s">
        <v>156</v>
      </c>
    </row>
    <row r="23" spans="2:19" x14ac:dyDescent="0.25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6.7512394284047836</v>
      </c>
      <c r="F23" s="30">
        <f t="shared" si="3"/>
        <v>60.386023535685453</v>
      </c>
      <c r="G23">
        <v>65.51903600418477</v>
      </c>
      <c r="M23">
        <f>M22*1.777</f>
        <v>1.3469538528631955</v>
      </c>
      <c r="N23" t="s">
        <v>139</v>
      </c>
      <c r="O23" t="s">
        <v>157</v>
      </c>
    </row>
    <row r="24" spans="2:19" x14ac:dyDescent="0.25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7.8764459998055809</v>
      </c>
      <c r="F24" s="30">
        <f t="shared" si="3"/>
        <v>60.363169087037953</v>
      </c>
      <c r="I24">
        <f>_L</f>
        <v>100</v>
      </c>
      <c r="M24">
        <f>M23/SIN(_AOB*PI()/180)</f>
        <v>7.7567980900251632</v>
      </c>
      <c r="N24" t="s">
        <v>139</v>
      </c>
      <c r="O24" t="s">
        <v>158</v>
      </c>
    </row>
    <row r="25" spans="2:19" x14ac:dyDescent="0.25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9.0016525712063782</v>
      </c>
      <c r="F25" s="30">
        <f t="shared" si="3"/>
        <v>60.34031773384315</v>
      </c>
      <c r="I25">
        <f>(_v+_vSub*SIN(_B*PI()/180)/SIN((_AOB)*PI()/180))*_nYpSKnot</f>
        <v>4.3651075501280578</v>
      </c>
    </row>
    <row r="26" spans="2:19" x14ac:dyDescent="0.25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10.126859142607175</v>
      </c>
      <c r="F26" s="30">
        <f t="shared" si="3"/>
        <v>60.317469482740506</v>
      </c>
      <c r="I26">
        <f>I24/I25</f>
        <v>22.908942987456594</v>
      </c>
      <c r="S26">
        <f>3*SIN(_B*PI()/180)/SIN(_AOB*PI()/180)</f>
        <v>8.6381557247154497</v>
      </c>
    </row>
    <row r="27" spans="2:19" x14ac:dyDescent="0.25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11.252065714007973</v>
      </c>
      <c r="F27" s="30">
        <f t="shared" si="3"/>
        <v>60.294624340363725</v>
      </c>
      <c r="J27">
        <v>1.6880493882943532</v>
      </c>
      <c r="K27">
        <f>I24/J27</f>
        <v>59.23997289027335</v>
      </c>
      <c r="M27" t="s">
        <v>159</v>
      </c>
    </row>
    <row r="28" spans="2:19" x14ac:dyDescent="0.25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12.37727228540877</v>
      </c>
      <c r="F28" s="30">
        <f t="shared" si="3"/>
        <v>60.271782313340751</v>
      </c>
      <c r="M28" t="s">
        <v>160</v>
      </c>
    </row>
    <row r="29" spans="2:19" x14ac:dyDescent="0.25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13.502478856809567</v>
      </c>
      <c r="F29" s="30">
        <f t="shared" si="3"/>
        <v>60.248943408293719</v>
      </c>
    </row>
    <row r="30" spans="2:19" x14ac:dyDescent="0.25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14.627685428210365</v>
      </c>
      <c r="F30" s="30">
        <f t="shared" si="3"/>
        <v>60.226107631839064</v>
      </c>
    </row>
    <row r="31" spans="2:19" x14ac:dyDescent="0.25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15.752891999611162</v>
      </c>
      <c r="F31" s="30">
        <f t="shared" si="3"/>
        <v>60.203274990587353</v>
      </c>
    </row>
    <row r="32" spans="2:19" x14ac:dyDescent="0.25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16.878098571011961</v>
      </c>
      <c r="F32" s="30">
        <f t="shared" si="3"/>
        <v>60.180445491143438</v>
      </c>
    </row>
    <row r="33" spans="2:6" x14ac:dyDescent="0.25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18.003305142412756</v>
      </c>
      <c r="F33" s="30">
        <f t="shared" si="3"/>
        <v>60.157619140106306</v>
      </c>
    </row>
    <row r="34" spans="2:6" x14ac:dyDescent="0.25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19.128511713813552</v>
      </c>
      <c r="F34" s="30">
        <f t="shared" si="3"/>
        <v>60.134795944069126</v>
      </c>
    </row>
    <row r="35" spans="2:6" x14ac:dyDescent="0.25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20.253718285214351</v>
      </c>
      <c r="F35" s="30">
        <f t="shared" si="3"/>
        <v>60.111975909619268</v>
      </c>
    </row>
    <row r="36" spans="2:6" x14ac:dyDescent="0.25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21.37892485661515</v>
      </c>
      <c r="F36" s="30">
        <f t="shared" si="3"/>
        <v>60.089159043338213</v>
      </c>
    </row>
    <row r="37" spans="2:6" x14ac:dyDescent="0.25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22.504131428015945</v>
      </c>
      <c r="F37" s="30">
        <f t="shared" si="3"/>
        <v>60.066345351801672</v>
      </c>
    </row>
    <row r="38" spans="2:6" x14ac:dyDescent="0.25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23.629337999416741</v>
      </c>
      <c r="F38" s="30">
        <f t="shared" si="3"/>
        <v>60.043534841579451</v>
      </c>
    </row>
    <row r="39" spans="2:6" x14ac:dyDescent="0.25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24.75454457081754</v>
      </c>
      <c r="F39" s="30">
        <f t="shared" si="3"/>
        <v>60.020727519235464</v>
      </c>
    </row>
    <row r="40" spans="2:6" x14ac:dyDescent="0.25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25.879751142218339</v>
      </c>
      <c r="F40" s="30">
        <f t="shared" si="3"/>
        <v>59.997923391327859</v>
      </c>
    </row>
    <row r="41" spans="2:6" x14ac:dyDescent="0.25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27.004957713619135</v>
      </c>
      <c r="F41" s="30">
        <f t="shared" si="3"/>
        <v>59.975122464408742</v>
      </c>
    </row>
    <row r="42" spans="2:6" x14ac:dyDescent="0.25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28.13016428501993</v>
      </c>
      <c r="F42" s="30">
        <f t="shared" si="3"/>
        <v>59.952324745024441</v>
      </c>
    </row>
    <row r="43" spans="2:6" x14ac:dyDescent="0.25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29.255370856420729</v>
      </c>
      <c r="F43" s="30">
        <f t="shared" si="3"/>
        <v>59.929530239715355</v>
      </c>
    </row>
    <row r="44" spans="2:6" x14ac:dyDescent="0.25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30.380577427821528</v>
      </c>
      <c r="F44" s="30">
        <f t="shared" si="3"/>
        <v>59.906738955015946</v>
      </c>
    </row>
    <row r="45" spans="2:6" x14ac:dyDescent="0.25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31.505783999222324</v>
      </c>
      <c r="F45" s="30">
        <f t="shared" si="3"/>
        <v>59.883950897454767</v>
      </c>
    </row>
    <row r="46" spans="2:6" x14ac:dyDescent="0.25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32.630990570623119</v>
      </c>
      <c r="F46" s="30">
        <f t="shared" si="3"/>
        <v>59.861166073554415</v>
      </c>
    </row>
    <row r="47" spans="2:6" x14ac:dyDescent="0.25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33.756197142023922</v>
      </c>
      <c r="F47" s="30">
        <f t="shared" si="3"/>
        <v>59.838384489831611</v>
      </c>
    </row>
    <row r="48" spans="2:6" x14ac:dyDescent="0.25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34.881403713424717</v>
      </c>
      <c r="F48" s="30">
        <f t="shared" si="3"/>
        <v>59.815606152797066</v>
      </c>
    </row>
    <row r="49" spans="2:6" x14ac:dyDescent="0.25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36.006610284825513</v>
      </c>
      <c r="F49" s="30">
        <f t="shared" si="3"/>
        <v>59.792831068955522</v>
      </c>
    </row>
    <row r="50" spans="2:6" x14ac:dyDescent="0.25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37.131816856226308</v>
      </c>
      <c r="F50" s="30">
        <f t="shared" si="3"/>
        <v>59.770059244805793</v>
      </c>
    </row>
    <row r="51" spans="2:6" x14ac:dyDescent="0.25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38.257023427627104</v>
      </c>
      <c r="F51" s="30">
        <f t="shared" si="3"/>
        <v>59.747290686840685</v>
      </c>
    </row>
    <row r="52" spans="2:6" x14ac:dyDescent="0.25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39.382229999027906</v>
      </c>
      <c r="F52" s="30">
        <f t="shared" si="3"/>
        <v>59.724525401547048</v>
      </c>
    </row>
    <row r="53" spans="2:6" x14ac:dyDescent="0.25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40.507436570428702</v>
      </c>
      <c r="F53" s="30">
        <f t="shared" si="3"/>
        <v>59.701763395405663</v>
      </c>
    </row>
    <row r="54" spans="2:6" x14ac:dyDescent="0.25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41.632643141829497</v>
      </c>
      <c r="F54" s="30">
        <f t="shared" si="3"/>
        <v>59.679004674891416</v>
      </c>
    </row>
    <row r="55" spans="2:6" x14ac:dyDescent="0.25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42.7578497132303</v>
      </c>
      <c r="F55" s="30">
        <f t="shared" si="3"/>
        <v>59.656249246473045</v>
      </c>
    </row>
    <row r="56" spans="2:6" x14ac:dyDescent="0.25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43.883056284631095</v>
      </c>
      <c r="F56" s="30">
        <f t="shared" si="3"/>
        <v>59.633497116613384</v>
      </c>
    </row>
    <row r="57" spans="2:6" x14ac:dyDescent="0.25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45.008262856031891</v>
      </c>
      <c r="F57" s="30">
        <f t="shared" si="3"/>
        <v>59.610748291769156</v>
      </c>
    </row>
    <row r="58" spans="2:6" x14ac:dyDescent="0.25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46.133469427432686</v>
      </c>
      <c r="F58" s="30">
        <f t="shared" si="3"/>
        <v>59.588002778391065</v>
      </c>
    </row>
    <row r="59" spans="2:6" x14ac:dyDescent="0.25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47.258675998833482</v>
      </c>
      <c r="F59" s="30">
        <f t="shared" si="3"/>
        <v>59.565260582923742</v>
      </c>
    </row>
    <row r="60" spans="2:6" x14ac:dyDescent="0.25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48.383882570234285</v>
      </c>
      <c r="F60" s="30">
        <f t="shared" si="3"/>
        <v>59.54252171180579</v>
      </c>
    </row>
    <row r="61" spans="2:6" x14ac:dyDescent="0.25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49.50908914163508</v>
      </c>
      <c r="F61" s="30">
        <f t="shared" si="3"/>
        <v>59.519786171469747</v>
      </c>
    </row>
    <row r="62" spans="2:6" x14ac:dyDescent="0.25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50.634295713035876</v>
      </c>
      <c r="F62" s="30">
        <f t="shared" si="3"/>
        <v>59.497053968341994</v>
      </c>
    </row>
    <row r="63" spans="2:6" x14ac:dyDescent="0.25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51.759502284436678</v>
      </c>
      <c r="F63" s="30">
        <f t="shared" si="3"/>
        <v>59.474325108842926</v>
      </c>
    </row>
    <row r="64" spans="2:6" x14ac:dyDescent="0.25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52.884708855837474</v>
      </c>
      <c r="F64" s="30">
        <f t="shared" si="3"/>
        <v>59.451599599386768</v>
      </c>
    </row>
    <row r="65" spans="2:6" x14ac:dyDescent="0.25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54.009915427238269</v>
      </c>
      <c r="F65" s="30">
        <f t="shared" si="3"/>
        <v>59.428877446381669</v>
      </c>
    </row>
    <row r="66" spans="2:6" x14ac:dyDescent="0.25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55.135121998639065</v>
      </c>
      <c r="F66" s="30">
        <f t="shared" si="3"/>
        <v>59.406158656229664</v>
      </c>
    </row>
    <row r="67" spans="2:6" x14ac:dyDescent="0.25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56.26032857003986</v>
      </c>
      <c r="F67" s="30">
        <f t="shared" si="3"/>
        <v>59.383443235326631</v>
      </c>
    </row>
    <row r="68" spans="2:6" x14ac:dyDescent="0.25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57.385535141440663</v>
      </c>
      <c r="F68" s="30">
        <f t="shared" si="3"/>
        <v>59.36073119006236</v>
      </c>
    </row>
    <row r="69" spans="2:6" x14ac:dyDescent="0.25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58.510741712841458</v>
      </c>
      <c r="F69" s="30">
        <f t="shared" si="3"/>
        <v>59.338022526820453</v>
      </c>
    </row>
    <row r="70" spans="2:6" x14ac:dyDescent="0.25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59.635948284242254</v>
      </c>
      <c r="F70" s="30">
        <f t="shared" si="3"/>
        <v>59.315317251978428</v>
      </c>
    </row>
    <row r="71" spans="2:6" x14ac:dyDescent="0.25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60.761154855643056</v>
      </c>
      <c r="F71" s="30">
        <f t="shared" si="3"/>
        <v>59.292615371907537</v>
      </c>
    </row>
    <row r="72" spans="2:6" x14ac:dyDescent="0.25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61.886361427043852</v>
      </c>
      <c r="F72" s="30">
        <f t="shared" si="3"/>
        <v>59.269916892972972</v>
      </c>
    </row>
    <row r="73" spans="2:6" x14ac:dyDescent="0.25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63.011567998444647</v>
      </c>
      <c r="F73" s="30">
        <f t="shared" si="3"/>
        <v>59.247221821533678</v>
      </c>
    </row>
    <row r="74" spans="2:6" x14ac:dyDescent="0.25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64.136774569845443</v>
      </c>
      <c r="F74" s="30">
        <f t="shared" si="3"/>
        <v>59.224530163942461</v>
      </c>
    </row>
    <row r="75" spans="2:6" x14ac:dyDescent="0.25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65.261981141246238</v>
      </c>
      <c r="F75" s="30">
        <f t="shared" si="3"/>
        <v>59.201841926545889</v>
      </c>
    </row>
    <row r="76" spans="2:6" x14ac:dyDescent="0.25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66.387187712647034</v>
      </c>
      <c r="F76" s="30">
        <f t="shared" si="3"/>
        <v>59.179157115684355</v>
      </c>
    </row>
    <row r="77" spans="2:6" x14ac:dyDescent="0.25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67.512394284047843</v>
      </c>
      <c r="F77" s="30">
        <f t="shared" si="3"/>
        <v>59.156475737692034</v>
      </c>
    </row>
    <row r="78" spans="2:6" x14ac:dyDescent="0.25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68.637600855448639</v>
      </c>
      <c r="F78" s="30">
        <f t="shared" si="3"/>
        <v>59.13379779889685</v>
      </c>
    </row>
    <row r="79" spans="2:6" x14ac:dyDescent="0.25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69.762807426849434</v>
      </c>
      <c r="F79" s="30">
        <f t="shared" si="3"/>
        <v>59.111123305620545</v>
      </c>
    </row>
    <row r="80" spans="2:6" x14ac:dyDescent="0.25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70.88801399825023</v>
      </c>
      <c r="F80" s="30">
        <f t="shared" si="3"/>
        <v>59.088452264178613</v>
      </c>
    </row>
    <row r="81" spans="2:6" x14ac:dyDescent="0.25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72.013220569651025</v>
      </c>
      <c r="F81" s="30">
        <f t="shared" si="3"/>
        <v>59.065784680880277</v>
      </c>
    </row>
    <row r="82" spans="2:6" x14ac:dyDescent="0.25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73.138427141051821</v>
      </c>
      <c r="F82" s="30">
        <f t="shared" ref="F82:F145" si="10">ATAN2(C82,D82-E82)*180/PI()</f>
        <v>59.043120562028527</v>
      </c>
    </row>
    <row r="83" spans="2:6" x14ac:dyDescent="0.25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74.263633712452616</v>
      </c>
      <c r="F83" s="30">
        <f t="shared" si="10"/>
        <v>59.020459913920092</v>
      </c>
    </row>
    <row r="84" spans="2:6" x14ac:dyDescent="0.25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75.388840283853412</v>
      </c>
      <c r="F84" s="30">
        <f t="shared" si="10"/>
        <v>58.997802742845401</v>
      </c>
    </row>
    <row r="85" spans="2:6" x14ac:dyDescent="0.25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76.514046855254207</v>
      </c>
      <c r="F85" s="30">
        <f t="shared" si="10"/>
        <v>58.975149055088622</v>
      </c>
    </row>
    <row r="86" spans="2:6" x14ac:dyDescent="0.25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77.639253426655017</v>
      </c>
      <c r="F86" s="30">
        <f t="shared" si="10"/>
        <v>58.952498856927654</v>
      </c>
    </row>
    <row r="87" spans="2:6" x14ac:dyDescent="0.25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78.764459998055813</v>
      </c>
      <c r="F87" s="30">
        <f t="shared" si="10"/>
        <v>58.929852154634077</v>
      </c>
    </row>
    <row r="88" spans="2:6" x14ac:dyDescent="0.25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79.889666569456608</v>
      </c>
      <c r="F88" s="30">
        <f t="shared" si="10"/>
        <v>58.907208954473148</v>
      </c>
    </row>
    <row r="89" spans="2:6" x14ac:dyDescent="0.25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81.014873140857404</v>
      </c>
      <c r="F89" s="30">
        <f t="shared" si="10"/>
        <v>58.884569262703856</v>
      </c>
    </row>
    <row r="90" spans="2:6" x14ac:dyDescent="0.25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82.140079712258199</v>
      </c>
      <c r="F90" s="30">
        <f t="shared" si="10"/>
        <v>58.861933085578841</v>
      </c>
    </row>
    <row r="91" spans="2:6" x14ac:dyDescent="0.25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83.265286283658995</v>
      </c>
      <c r="F91" s="30">
        <f t="shared" si="10"/>
        <v>58.839300429344405</v>
      </c>
    </row>
    <row r="92" spans="2:6" x14ac:dyDescent="0.25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84.39049285505979</v>
      </c>
      <c r="F92" s="30">
        <f t="shared" si="10"/>
        <v>58.816671300240543</v>
      </c>
    </row>
    <row r="93" spans="2:6" x14ac:dyDescent="0.25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85.5156994264606</v>
      </c>
      <c r="F93" s="30">
        <f t="shared" si="10"/>
        <v>58.79404570450086</v>
      </c>
    </row>
    <row r="94" spans="2:6" x14ac:dyDescent="0.25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86.640905997861395</v>
      </c>
      <c r="F94" s="30">
        <f t="shared" si="10"/>
        <v>58.771423648352638</v>
      </c>
    </row>
    <row r="95" spans="2:6" x14ac:dyDescent="0.25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87.766112569262191</v>
      </c>
      <c r="F95" s="30">
        <f t="shared" si="10"/>
        <v>58.748805138016792</v>
      </c>
    </row>
    <row r="96" spans="2:6" x14ac:dyDescent="0.25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88.891319140662986</v>
      </c>
      <c r="F96" s="30">
        <f t="shared" si="10"/>
        <v>58.726190179707871</v>
      </c>
    </row>
    <row r="97" spans="2:6" x14ac:dyDescent="0.25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90.016525712063782</v>
      </c>
      <c r="F97" s="30">
        <f t="shared" si="10"/>
        <v>58.703578779634036</v>
      </c>
    </row>
    <row r="98" spans="2:6" x14ac:dyDescent="0.25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91.141732283464577</v>
      </c>
      <c r="F98" s="30">
        <f t="shared" si="10"/>
        <v>58.680970943997039</v>
      </c>
    </row>
    <row r="99" spans="2:6" x14ac:dyDescent="0.25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92.266938854865373</v>
      </c>
      <c r="F99" s="30">
        <f t="shared" si="10"/>
        <v>58.658366678992316</v>
      </c>
    </row>
    <row r="100" spans="2:6" x14ac:dyDescent="0.25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93.392145426266168</v>
      </c>
      <c r="F100" s="30">
        <f t="shared" si="10"/>
        <v>58.635765990808778</v>
      </c>
    </row>
    <row r="101" spans="2:6" x14ac:dyDescent="0.25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94.517351997666964</v>
      </c>
      <c r="F101" s="30">
        <f t="shared" si="10"/>
        <v>58.61316888562903</v>
      </c>
    </row>
    <row r="102" spans="2:6" x14ac:dyDescent="0.25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95.642558569067774</v>
      </c>
      <c r="F102" s="30">
        <f t="shared" si="10"/>
        <v>58.590575369629221</v>
      </c>
    </row>
    <row r="103" spans="2:6" x14ac:dyDescent="0.25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96.767765140468569</v>
      </c>
      <c r="F103" s="30">
        <f t="shared" si="10"/>
        <v>58.567985448979066</v>
      </c>
    </row>
    <row r="104" spans="2:6" x14ac:dyDescent="0.25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97.892971711869365</v>
      </c>
      <c r="F104" s="30">
        <f t="shared" si="10"/>
        <v>58.545399129841847</v>
      </c>
    </row>
    <row r="105" spans="2:6" x14ac:dyDescent="0.25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99.01817828327016</v>
      </c>
      <c r="F105" s="30">
        <f t="shared" si="10"/>
        <v>58.522816418374411</v>
      </c>
    </row>
    <row r="106" spans="2:6" x14ac:dyDescent="0.25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100.14338485467096</v>
      </c>
      <c r="F106" s="30">
        <f t="shared" si="10"/>
        <v>58.50023732072718</v>
      </c>
    </row>
    <row r="107" spans="2:6" x14ac:dyDescent="0.25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101.26859142607175</v>
      </c>
      <c r="F107" s="30">
        <f t="shared" si="10"/>
        <v>58.477661843044054</v>
      </c>
    </row>
    <row r="108" spans="2:6" x14ac:dyDescent="0.25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102.39379799747255</v>
      </c>
      <c r="F108" s="30">
        <f t="shared" si="10"/>
        <v>58.455089991462515</v>
      </c>
    </row>
    <row r="109" spans="2:6" x14ac:dyDescent="0.25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103.51900456887336</v>
      </c>
      <c r="F109" s="30">
        <f t="shared" si="10"/>
        <v>58.432521772113574</v>
      </c>
    </row>
    <row r="110" spans="2:6" x14ac:dyDescent="0.25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104.64421114027415</v>
      </c>
      <c r="F110" s="30">
        <f t="shared" si="10"/>
        <v>58.409957191121727</v>
      </c>
    </row>
    <row r="111" spans="2:6" x14ac:dyDescent="0.25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105.76941771167495</v>
      </c>
      <c r="F111" s="30">
        <f t="shared" si="10"/>
        <v>58.387396254605015</v>
      </c>
    </row>
    <row r="112" spans="2:6" x14ac:dyDescent="0.25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106.89462428307574</v>
      </c>
      <c r="F112" s="30">
        <f t="shared" si="10"/>
        <v>58.364838968674974</v>
      </c>
    </row>
    <row r="113" spans="2:6" x14ac:dyDescent="0.25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108.01983085447654</v>
      </c>
      <c r="F113" s="30">
        <f t="shared" si="10"/>
        <v>58.342285339436607</v>
      </c>
    </row>
    <row r="114" spans="2:6" x14ac:dyDescent="0.25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109.14503742587733</v>
      </c>
      <c r="F114" s="30">
        <f t="shared" si="10"/>
        <v>58.31973537298844</v>
      </c>
    </row>
    <row r="115" spans="2:6" x14ac:dyDescent="0.25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110.27024399727813</v>
      </c>
      <c r="F115" s="30">
        <f t="shared" si="10"/>
        <v>58.297189075422487</v>
      </c>
    </row>
    <row r="116" spans="2:6" x14ac:dyDescent="0.25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111.39545056867892</v>
      </c>
      <c r="F116" s="30">
        <f t="shared" si="10"/>
        <v>58.274646452824179</v>
      </c>
    </row>
    <row r="117" spans="2:6" x14ac:dyDescent="0.25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112.52065714007972</v>
      </c>
      <c r="F117" s="30">
        <f t="shared" si="10"/>
        <v>58.252107511272463</v>
      </c>
    </row>
    <row r="118" spans="2:6" x14ac:dyDescent="0.25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113.64586371148053</v>
      </c>
      <c r="F118" s="30">
        <f t="shared" si="10"/>
        <v>58.229572256839759</v>
      </c>
    </row>
    <row r="119" spans="2:6" x14ac:dyDescent="0.25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114.77107028288133</v>
      </c>
      <c r="F119" s="30">
        <f t="shared" si="10"/>
        <v>58.207040695591857</v>
      </c>
    </row>
    <row r="120" spans="2:6" x14ac:dyDescent="0.25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115.89627685428212</v>
      </c>
      <c r="F120" s="30">
        <f t="shared" si="10"/>
        <v>58.184512833588073</v>
      </c>
    </row>
    <row r="121" spans="2:6" x14ac:dyDescent="0.25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117.02148342568292</v>
      </c>
      <c r="F121" s="30">
        <f t="shared" si="10"/>
        <v>58.16198867688113</v>
      </c>
    </row>
    <row r="122" spans="2:6" x14ac:dyDescent="0.25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118.14668999708371</v>
      </c>
      <c r="F122" s="30">
        <f t="shared" si="10"/>
        <v>58.139468231517149</v>
      </c>
    </row>
    <row r="123" spans="2:6" x14ac:dyDescent="0.25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119.27189656848451</v>
      </c>
      <c r="F123" s="30">
        <f t="shared" si="10"/>
        <v>58.116951503535731</v>
      </c>
    </row>
    <row r="124" spans="2:6" x14ac:dyDescent="0.25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120.3971031398853</v>
      </c>
      <c r="F124" s="30">
        <f t="shared" si="10"/>
        <v>58.094438498969822</v>
      </c>
    </row>
    <row r="125" spans="2:6" x14ac:dyDescent="0.25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121.52230971128611</v>
      </c>
      <c r="F125" s="30">
        <f t="shared" si="10"/>
        <v>58.071929223845842</v>
      </c>
    </row>
    <row r="126" spans="2:6" x14ac:dyDescent="0.25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122.64751628268691</v>
      </c>
      <c r="F126" s="30">
        <f t="shared" si="10"/>
        <v>58.049423684183552</v>
      </c>
    </row>
    <row r="127" spans="2:6" x14ac:dyDescent="0.25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123.7727228540877</v>
      </c>
      <c r="F127" s="30">
        <f t="shared" si="10"/>
        <v>58.02692188599616</v>
      </c>
    </row>
    <row r="128" spans="2:6" x14ac:dyDescent="0.25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124.8979294254885</v>
      </c>
      <c r="F128" s="30">
        <f t="shared" si="10"/>
        <v>58.004423835290183</v>
      </c>
    </row>
    <row r="129" spans="2:6" x14ac:dyDescent="0.25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126.02313599688929</v>
      </c>
      <c r="F129" s="30">
        <f t="shared" si="10"/>
        <v>57.981929538065593</v>
      </c>
    </row>
    <row r="130" spans="2:6" x14ac:dyDescent="0.25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127.14834256829009</v>
      </c>
      <c r="F130" s="30">
        <f t="shared" si="10"/>
        <v>57.959439000315705</v>
      </c>
    </row>
    <row r="131" spans="2:6" x14ac:dyDescent="0.25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128.27354913969089</v>
      </c>
      <c r="F131" s="30">
        <f t="shared" si="10"/>
        <v>57.936952228027153</v>
      </c>
    </row>
    <row r="132" spans="2:6" x14ac:dyDescent="0.25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129.3987557110917</v>
      </c>
      <c r="F132" s="30">
        <f t="shared" si="10"/>
        <v>57.914469227179993</v>
      </c>
    </row>
    <row r="133" spans="2:6" x14ac:dyDescent="0.25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130.52396228249248</v>
      </c>
      <c r="F133" s="30">
        <f t="shared" si="10"/>
        <v>57.891990003747601</v>
      </c>
    </row>
    <row r="134" spans="2:6" x14ac:dyDescent="0.25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131.64916885389329</v>
      </c>
      <c r="F134" s="30">
        <f t="shared" si="10"/>
        <v>57.86951456369669</v>
      </c>
    </row>
    <row r="135" spans="2:6" x14ac:dyDescent="0.25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132.77437542529407</v>
      </c>
      <c r="F135" s="30">
        <f t="shared" si="10"/>
        <v>57.847042912987305</v>
      </c>
    </row>
    <row r="136" spans="2:6" x14ac:dyDescent="0.25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133.89958199669488</v>
      </c>
      <c r="F136" s="30">
        <f t="shared" si="10"/>
        <v>57.824575057572815</v>
      </c>
    </row>
    <row r="137" spans="2:6" x14ac:dyDescent="0.25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135.02478856809569</v>
      </c>
      <c r="F137" s="30">
        <f t="shared" si="10"/>
        <v>57.802111003399951</v>
      </c>
    </row>
    <row r="138" spans="2:6" x14ac:dyDescent="0.25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136.14999513949647</v>
      </c>
      <c r="F138" s="30">
        <f t="shared" si="10"/>
        <v>57.779650756408664</v>
      </c>
    </row>
    <row r="139" spans="2:6" x14ac:dyDescent="0.25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137.27520171089728</v>
      </c>
      <c r="F139" s="30">
        <f t="shared" si="10"/>
        <v>57.757194322532364</v>
      </c>
    </row>
    <row r="140" spans="2:6" x14ac:dyDescent="0.25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138.40040828229806</v>
      </c>
      <c r="F140" s="30">
        <f t="shared" si="10"/>
        <v>57.734741707697573</v>
      </c>
    </row>
    <row r="141" spans="2:6" x14ac:dyDescent="0.25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139.52561485369887</v>
      </c>
      <c r="F141" s="30">
        <f t="shared" si="10"/>
        <v>57.712292917824279</v>
      </c>
    </row>
    <row r="142" spans="2:6" x14ac:dyDescent="0.25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140.65082142509965</v>
      </c>
      <c r="F142" s="30">
        <f t="shared" si="10"/>
        <v>57.689847958825645</v>
      </c>
    </row>
    <row r="143" spans="2:6" x14ac:dyDescent="0.25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141.77602799650046</v>
      </c>
      <c r="F143" s="30">
        <f t="shared" si="10"/>
        <v>57.667406836608123</v>
      </c>
    </row>
    <row r="144" spans="2:6" x14ac:dyDescent="0.25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142.90123456790124</v>
      </c>
      <c r="F144" s="30">
        <f t="shared" si="10"/>
        <v>57.644969557071505</v>
      </c>
    </row>
    <row r="145" spans="2:6" x14ac:dyDescent="0.25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144.02644113930205</v>
      </c>
      <c r="F145" s="30">
        <f t="shared" si="10"/>
        <v>57.622536126108777</v>
      </c>
    </row>
    <row r="146" spans="2:6" x14ac:dyDescent="0.25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145.15164771070286</v>
      </c>
      <c r="F146" s="30">
        <f t="shared" ref="F146:F209" si="17">ATAN2(C146,D146-E146)*180/PI()</f>
        <v>57.60010654960621</v>
      </c>
    </row>
    <row r="147" spans="2:6" x14ac:dyDescent="0.25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146.27685428210364</v>
      </c>
      <c r="F147" s="30">
        <f t="shared" si="17"/>
        <v>57.577680833443345</v>
      </c>
    </row>
    <row r="148" spans="2:6" x14ac:dyDescent="0.25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147.40206085350445</v>
      </c>
      <c r="F148" s="30">
        <f t="shared" si="17"/>
        <v>57.555258983492934</v>
      </c>
    </row>
    <row r="149" spans="2:6" x14ac:dyDescent="0.25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148.52726742490523</v>
      </c>
      <c r="F149" s="30">
        <f t="shared" si="17"/>
        <v>57.532841005621002</v>
      </c>
    </row>
    <row r="150" spans="2:6" x14ac:dyDescent="0.25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149.65247399630604</v>
      </c>
      <c r="F150" s="30">
        <f t="shared" si="17"/>
        <v>57.510426905686771</v>
      </c>
    </row>
    <row r="151" spans="2:6" x14ac:dyDescent="0.25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150.77768056770682</v>
      </c>
      <c r="F151" s="30">
        <f t="shared" si="17"/>
        <v>57.488016689542704</v>
      </c>
    </row>
    <row r="152" spans="2:6" x14ac:dyDescent="0.25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151.90288713910763</v>
      </c>
      <c r="F152" s="30">
        <f t="shared" si="17"/>
        <v>57.4656103630345</v>
      </c>
    </row>
    <row r="153" spans="2:6" x14ac:dyDescent="0.25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153.02809371050841</v>
      </c>
      <c r="F153" s="30">
        <f t="shared" si="17"/>
        <v>57.443207932001023</v>
      </c>
    </row>
    <row r="154" spans="2:6" x14ac:dyDescent="0.25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154.15330028190922</v>
      </c>
      <c r="F154" s="30">
        <f t="shared" si="17"/>
        <v>57.420809402274422</v>
      </c>
    </row>
    <row r="155" spans="2:6" x14ac:dyDescent="0.25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155.27850685331003</v>
      </c>
      <c r="F155" s="30">
        <f t="shared" si="17"/>
        <v>57.39841477967996</v>
      </c>
    </row>
    <row r="156" spans="2:6" x14ac:dyDescent="0.25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156.40371342471082</v>
      </c>
      <c r="F156" s="30">
        <f t="shared" si="17"/>
        <v>57.376024070036145</v>
      </c>
    </row>
    <row r="157" spans="2:6" x14ac:dyDescent="0.25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157.52891999611163</v>
      </c>
      <c r="F157" s="30">
        <f t="shared" si="17"/>
        <v>57.353637279154647</v>
      </c>
    </row>
    <row r="158" spans="2:6" x14ac:dyDescent="0.25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158.65412656751241</v>
      </c>
      <c r="F158" s="30">
        <f t="shared" si="17"/>
        <v>57.331254412840337</v>
      </c>
    </row>
    <row r="159" spans="2:6" x14ac:dyDescent="0.25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159.77933313891322</v>
      </c>
      <c r="F159" s="30">
        <f t="shared" si="17"/>
        <v>57.308875476891245</v>
      </c>
    </row>
    <row r="160" spans="2:6" x14ac:dyDescent="0.25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160.904539710314</v>
      </c>
      <c r="F160" s="30">
        <f t="shared" si="17"/>
        <v>57.286500477098556</v>
      </c>
    </row>
    <row r="161" spans="2:6" x14ac:dyDescent="0.25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162.02974628171481</v>
      </c>
      <c r="F161" s="30">
        <f t="shared" si="17"/>
        <v>57.26412941924665</v>
      </c>
    </row>
    <row r="162" spans="2:6" x14ac:dyDescent="0.25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163.15495285311562</v>
      </c>
      <c r="F162" s="30">
        <f t="shared" si="17"/>
        <v>57.241762309113014</v>
      </c>
    </row>
    <row r="163" spans="2:6" x14ac:dyDescent="0.25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164.2801594245164</v>
      </c>
      <c r="F163" s="30">
        <f t="shared" si="17"/>
        <v>57.219399152468355</v>
      </c>
    </row>
    <row r="164" spans="2:6" x14ac:dyDescent="0.25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165.40536599591721</v>
      </c>
      <c r="F164" s="30">
        <f t="shared" si="17"/>
        <v>57.197039955076427</v>
      </c>
    </row>
    <row r="165" spans="2:6" x14ac:dyDescent="0.25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166.53057256731799</v>
      </c>
      <c r="F165" s="30">
        <f t="shared" si="17"/>
        <v>57.174684722694217</v>
      </c>
    </row>
    <row r="166" spans="2:6" x14ac:dyDescent="0.25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167.6557791387188</v>
      </c>
      <c r="F166" s="30">
        <f t="shared" si="17"/>
        <v>57.152333461071755</v>
      </c>
    </row>
    <row r="167" spans="2:6" x14ac:dyDescent="0.25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168.78098571011958</v>
      </c>
      <c r="F167" s="30">
        <f t="shared" si="17"/>
        <v>57.129986175952261</v>
      </c>
    </row>
    <row r="168" spans="2:6" x14ac:dyDescent="0.25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169.90619228152039</v>
      </c>
      <c r="F168" s="30">
        <f t="shared" si="17"/>
        <v>57.107642873072045</v>
      </c>
    </row>
    <row r="169" spans="2:6" x14ac:dyDescent="0.25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171.0313988529212</v>
      </c>
      <c r="F169" s="30">
        <f t="shared" si="17"/>
        <v>57.085303558160511</v>
      </c>
    </row>
    <row r="170" spans="2:6" x14ac:dyDescent="0.25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172.15660542432198</v>
      </c>
      <c r="F170" s="30">
        <f t="shared" si="17"/>
        <v>57.062968236940208</v>
      </c>
    </row>
    <row r="171" spans="2:6" x14ac:dyDescent="0.25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173.28181199572279</v>
      </c>
      <c r="F171" s="30">
        <f t="shared" si="17"/>
        <v>57.040636915126733</v>
      </c>
    </row>
    <row r="172" spans="2:6" x14ac:dyDescent="0.25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174.40701856712357</v>
      </c>
      <c r="F172" s="30">
        <f t="shared" si="17"/>
        <v>57.018309598428843</v>
      </c>
    </row>
    <row r="173" spans="2:6" x14ac:dyDescent="0.25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175.53222513852438</v>
      </c>
      <c r="F173" s="30">
        <f t="shared" si="17"/>
        <v>56.995986292548302</v>
      </c>
    </row>
    <row r="174" spans="2:6" x14ac:dyDescent="0.25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176.65743170992516</v>
      </c>
      <c r="F174" s="30">
        <f t="shared" si="17"/>
        <v>56.973667003180033</v>
      </c>
    </row>
    <row r="175" spans="2:6" x14ac:dyDescent="0.25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177.78263828132597</v>
      </c>
      <c r="F175" s="30">
        <f t="shared" si="17"/>
        <v>56.951351736011972</v>
      </c>
    </row>
    <row r="176" spans="2:6" x14ac:dyDescent="0.25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178.90784485272675</v>
      </c>
      <c r="F176" s="30">
        <f t="shared" si="17"/>
        <v>56.92904049672515</v>
      </c>
    </row>
    <row r="177" spans="2:6" x14ac:dyDescent="0.25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180.03305142412756</v>
      </c>
      <c r="F177" s="30">
        <f t="shared" si="17"/>
        <v>56.906733290993685</v>
      </c>
    </row>
    <row r="178" spans="2:6" x14ac:dyDescent="0.25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181.15825799552837</v>
      </c>
      <c r="F178" s="30">
        <f t="shared" si="17"/>
        <v>56.884430124484695</v>
      </c>
    </row>
    <row r="179" spans="2:6" x14ac:dyDescent="0.25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182.28346456692915</v>
      </c>
      <c r="F179" s="30">
        <f t="shared" si="17"/>
        <v>56.862131002858412</v>
      </c>
    </row>
    <row r="180" spans="2:6" x14ac:dyDescent="0.25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183.40867113832996</v>
      </c>
      <c r="F180" s="30">
        <f t="shared" si="17"/>
        <v>56.839835931768071</v>
      </c>
    </row>
    <row r="181" spans="2:6" x14ac:dyDescent="0.25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184.53387770973075</v>
      </c>
      <c r="F181" s="30">
        <f t="shared" si="17"/>
        <v>56.817544916859966</v>
      </c>
    </row>
    <row r="182" spans="2:6" x14ac:dyDescent="0.25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185.65908428113156</v>
      </c>
      <c r="F182" s="30">
        <f t="shared" si="17"/>
        <v>56.795257963773402</v>
      </c>
    </row>
    <row r="183" spans="2:6" x14ac:dyDescent="0.25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186.78429085253234</v>
      </c>
      <c r="F183" s="30">
        <f t="shared" si="17"/>
        <v>56.772975078140732</v>
      </c>
    </row>
    <row r="184" spans="2:6" x14ac:dyDescent="0.25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187.90949742393315</v>
      </c>
      <c r="F184" s="30">
        <f t="shared" si="17"/>
        <v>56.750696265587358</v>
      </c>
    </row>
    <row r="185" spans="2:6" x14ac:dyDescent="0.25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189.03470399533393</v>
      </c>
      <c r="F185" s="30">
        <f t="shared" si="17"/>
        <v>56.728421531731627</v>
      </c>
    </row>
    <row r="186" spans="2:6" x14ac:dyDescent="0.25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190.15991056673474</v>
      </c>
      <c r="F186" s="30">
        <f t="shared" si="17"/>
        <v>56.706150882184993</v>
      </c>
    </row>
    <row r="187" spans="2:6" x14ac:dyDescent="0.25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191.28511713813555</v>
      </c>
      <c r="F187" s="30">
        <f t="shared" si="17"/>
        <v>56.683884322551819</v>
      </c>
    </row>
    <row r="188" spans="2:6" x14ac:dyDescent="0.25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192.41032370953633</v>
      </c>
      <c r="F188" s="30">
        <f t="shared" si="17"/>
        <v>56.66162185842952</v>
      </c>
    </row>
    <row r="189" spans="2:6" x14ac:dyDescent="0.25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193.53553028093714</v>
      </c>
      <c r="F189" s="30">
        <f t="shared" si="17"/>
        <v>56.639363495408517</v>
      </c>
    </row>
    <row r="190" spans="2:6" x14ac:dyDescent="0.25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194.66073685233792</v>
      </c>
      <c r="F190" s="30">
        <f t="shared" si="17"/>
        <v>56.617109239072185</v>
      </c>
    </row>
    <row r="191" spans="2:6" x14ac:dyDescent="0.25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195.78594342373873</v>
      </c>
      <c r="F191" s="30">
        <f t="shared" si="17"/>
        <v>56.594859094996906</v>
      </c>
    </row>
    <row r="192" spans="2:6" x14ac:dyDescent="0.25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196.91114999513951</v>
      </c>
      <c r="F192" s="30">
        <f t="shared" si="17"/>
        <v>56.572613068752027</v>
      </c>
    </row>
    <row r="193" spans="2:6" x14ac:dyDescent="0.25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198.03635656654032</v>
      </c>
      <c r="F193" s="30">
        <f t="shared" si="17"/>
        <v>56.550371165899882</v>
      </c>
    </row>
    <row r="194" spans="2:6" x14ac:dyDescent="0.25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199.16156313794113</v>
      </c>
      <c r="F194" s="30">
        <f t="shared" si="17"/>
        <v>56.528133391995766</v>
      </c>
    </row>
    <row r="195" spans="2:6" x14ac:dyDescent="0.25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200.28676970934191</v>
      </c>
      <c r="F195" s="30">
        <f t="shared" si="17"/>
        <v>56.505899752587901</v>
      </c>
    </row>
    <row r="196" spans="2:6" x14ac:dyDescent="0.25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201.41197628074272</v>
      </c>
      <c r="F196" s="30">
        <f t="shared" si="17"/>
        <v>56.483670253217547</v>
      </c>
    </row>
    <row r="197" spans="2:6" x14ac:dyDescent="0.25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202.5371828521435</v>
      </c>
      <c r="F197" s="30">
        <f t="shared" si="17"/>
        <v>56.461444899418829</v>
      </c>
    </row>
    <row r="198" spans="2:6" x14ac:dyDescent="0.25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203.66238942354431</v>
      </c>
      <c r="F198" s="30">
        <f t="shared" si="17"/>
        <v>56.439223696718877</v>
      </c>
    </row>
    <row r="199" spans="2:6" x14ac:dyDescent="0.25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204.78759599494509</v>
      </c>
      <c r="F199" s="30">
        <f t="shared" si="17"/>
        <v>56.417006650637717</v>
      </c>
    </row>
    <row r="200" spans="2:6" x14ac:dyDescent="0.25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205.9128025663459</v>
      </c>
      <c r="F200" s="30">
        <f t="shared" si="17"/>
        <v>56.394793766688359</v>
      </c>
    </row>
    <row r="201" spans="2:6" x14ac:dyDescent="0.25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207.03800913774671</v>
      </c>
      <c r="F201" s="30">
        <f t="shared" si="17"/>
        <v>56.372585050376699</v>
      </c>
    </row>
    <row r="202" spans="2:6" x14ac:dyDescent="0.25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208.16321570914749</v>
      </c>
      <c r="F202" s="30">
        <f t="shared" si="17"/>
        <v>56.350380507201571</v>
      </c>
    </row>
    <row r="203" spans="2:6" x14ac:dyDescent="0.25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209.2884222805483</v>
      </c>
      <c r="F203" s="30">
        <f t="shared" si="17"/>
        <v>56.328180142654737</v>
      </c>
    </row>
    <row r="204" spans="2:6" x14ac:dyDescent="0.25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210.41362885194908</v>
      </c>
      <c r="F204" s="30">
        <f t="shared" si="17"/>
        <v>56.305983962220886</v>
      </c>
    </row>
    <row r="205" spans="2:6" x14ac:dyDescent="0.25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211.53883542334989</v>
      </c>
      <c r="F205" s="30">
        <f t="shared" si="17"/>
        <v>56.283791971377582</v>
      </c>
    </row>
    <row r="206" spans="2:6" x14ac:dyDescent="0.25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212.66404199475068</v>
      </c>
      <c r="F206" s="30">
        <f t="shared" si="17"/>
        <v>56.261604175595309</v>
      </c>
    </row>
    <row r="207" spans="2:6" x14ac:dyDescent="0.25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213.78924856615149</v>
      </c>
      <c r="F207" s="30">
        <f t="shared" si="17"/>
        <v>56.239420580337466</v>
      </c>
    </row>
    <row r="208" spans="2:6" x14ac:dyDescent="0.25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214.91445513755227</v>
      </c>
      <c r="F208" s="30">
        <f t="shared" si="17"/>
        <v>56.217241191060324</v>
      </c>
    </row>
    <row r="209" spans="2:6" x14ac:dyDescent="0.25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216.03966170895308</v>
      </c>
      <c r="F209" s="30">
        <f t="shared" si="17"/>
        <v>56.195066013213044</v>
      </c>
    </row>
    <row r="210" spans="2:6" x14ac:dyDescent="0.25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217.16486828035389</v>
      </c>
      <c r="F210" s="30">
        <f t="shared" ref="F210:F216" si="24">ATAN2(C210,D210-E210)*180/PI()</f>
        <v>56.172895052237685</v>
      </c>
    </row>
    <row r="211" spans="2:6" x14ac:dyDescent="0.25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218.29007485175467</v>
      </c>
      <c r="F211" s="30">
        <f t="shared" si="24"/>
        <v>56.150728313569189</v>
      </c>
    </row>
    <row r="212" spans="2:6" x14ac:dyDescent="0.25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219.41528142315548</v>
      </c>
      <c r="F212" s="30">
        <f t="shared" si="24"/>
        <v>56.128565802635343</v>
      </c>
    </row>
    <row r="213" spans="2:6" x14ac:dyDescent="0.25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220.54048799455626</v>
      </c>
      <c r="F213" s="30">
        <f t="shared" si="24"/>
        <v>56.106407524856841</v>
      </c>
    </row>
    <row r="214" spans="2:6" x14ac:dyDescent="0.25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221.66569456595707</v>
      </c>
      <c r="F214" s="30">
        <f t="shared" si="24"/>
        <v>56.084253485647203</v>
      </c>
    </row>
    <row r="215" spans="2:6" x14ac:dyDescent="0.25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222.79090113735785</v>
      </c>
      <c r="F215" s="30">
        <f t="shared" si="24"/>
        <v>56.062103690412833</v>
      </c>
    </row>
    <row r="216" spans="2:6" x14ac:dyDescent="0.25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223.91610770875866</v>
      </c>
      <c r="F216" s="30">
        <f t="shared" si="24"/>
        <v>56.03995814455299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2:D6"/>
  <sheetViews>
    <sheetView workbookViewId="0">
      <selection activeCell="P27" sqref="P27"/>
    </sheetView>
  </sheetViews>
  <sheetFormatPr defaultRowHeight="13.2" x14ac:dyDescent="0.25"/>
  <cols>
    <col min="1" max="1" width="10" bestFit="1" customWidth="1"/>
  </cols>
  <sheetData>
    <row r="2" spans="1:4" x14ac:dyDescent="0.25">
      <c r="A2" s="31">
        <v>46009</v>
      </c>
    </row>
    <row r="3" spans="1:4" x14ac:dyDescent="0.25">
      <c r="A3" t="s">
        <v>161</v>
      </c>
      <c r="B3">
        <v>131</v>
      </c>
      <c r="C3">
        <v>74</v>
      </c>
      <c r="D3">
        <v>56</v>
      </c>
    </row>
    <row r="4" spans="1:4" x14ac:dyDescent="0.25">
      <c r="B4">
        <v>130</v>
      </c>
      <c r="C4">
        <v>82</v>
      </c>
      <c r="D4">
        <v>57</v>
      </c>
    </row>
    <row r="5" spans="1:4" x14ac:dyDescent="0.25">
      <c r="B5">
        <v>140</v>
      </c>
      <c r="C5">
        <v>77</v>
      </c>
      <c r="D5">
        <v>62</v>
      </c>
    </row>
    <row r="6" spans="1:4" x14ac:dyDescent="0.25">
      <c r="B6" s="29">
        <f>AVERAGE(B3:B5)</f>
        <v>133.66666666666666</v>
      </c>
      <c r="C6" s="29">
        <f>AVERAGE(C3:C5)</f>
        <v>77.666666666666671</v>
      </c>
      <c r="D6" s="29">
        <f>AVERAGE(D3:D5)</f>
        <v>58.333333333333336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51</v>
      </c>
      <c r="B1" s="26" t="s">
        <v>50</v>
      </c>
      <c r="C1" s="26"/>
    </row>
    <row r="2" spans="1:3" x14ac:dyDescent="0.25">
      <c r="A2" s="27" t="s">
        <v>49</v>
      </c>
      <c r="B2" s="26"/>
      <c r="C2" s="26"/>
    </row>
    <row r="3" spans="1:3" x14ac:dyDescent="0.25">
      <c r="A3" s="27" t="s">
        <v>48</v>
      </c>
      <c r="B3" s="26" t="str" cm="1">
        <f t="array" aca="1" ref="B3" ca="1">HD_Date</f>
        <v>21-Dec-2025</v>
      </c>
      <c r="C3" s="26"/>
    </row>
    <row r="43" spans="4:12" x14ac:dyDescent="0.25">
      <c r="E43" t="s">
        <v>52</v>
      </c>
      <c r="F43" t="s">
        <v>52</v>
      </c>
      <c r="G43" t="s">
        <v>52</v>
      </c>
      <c r="H43" t="s">
        <v>53</v>
      </c>
    </row>
    <row r="44" spans="4:12" x14ac:dyDescent="0.25">
      <c r="D44" t="s">
        <v>52</v>
      </c>
      <c r="F44" t="s">
        <v>55</v>
      </c>
      <c r="G44" t="s">
        <v>55</v>
      </c>
      <c r="H44" t="s">
        <v>54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52</v>
      </c>
      <c r="E45" t="s">
        <v>55</v>
      </c>
      <c r="G45" t="s">
        <v>55</v>
      </c>
      <c r="H45" t="s">
        <v>54</v>
      </c>
      <c r="J45" t="str">
        <v>BB</v>
      </c>
      <c r="K45" t="str">
        <v>BR</v>
      </c>
      <c r="L45">
        <v>6</v>
      </c>
    </row>
    <row r="46" spans="4:12" x14ac:dyDescent="0.25">
      <c r="D46" t="s">
        <v>52</v>
      </c>
      <c r="E46" t="s">
        <v>55</v>
      </c>
      <c r="F46" t="s">
        <v>55</v>
      </c>
      <c r="H46" t="s">
        <v>54</v>
      </c>
      <c r="J46" t="str">
        <v>BB</v>
      </c>
      <c r="K46" t="str">
        <v>Total</v>
      </c>
      <c r="L46">
        <v>12</v>
      </c>
    </row>
    <row r="47" spans="4:12" x14ac:dyDescent="0.25">
      <c r="D47" t="s">
        <v>53</v>
      </c>
      <c r="E47" t="s">
        <v>54</v>
      </c>
      <c r="F47" t="s">
        <v>54</v>
      </c>
      <c r="G47" t="s">
        <v>54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52</v>
      </c>
      <c r="F58" t="s">
        <v>52</v>
      </c>
      <c r="G58" t="s">
        <v>53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57</v>
      </c>
    </row>
    <row r="59" spans="4:18" x14ac:dyDescent="0.25">
      <c r="D59" t="s">
        <v>52</v>
      </c>
      <c r="F59" t="s">
        <v>55</v>
      </c>
      <c r="G59" t="s">
        <v>54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58</v>
      </c>
    </row>
    <row r="60" spans="4:18" x14ac:dyDescent="0.25">
      <c r="D60" t="s">
        <v>52</v>
      </c>
      <c r="E60" t="s">
        <v>55</v>
      </c>
      <c r="G60" t="s">
        <v>54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56</v>
      </c>
    </row>
    <row r="61" spans="4:18" x14ac:dyDescent="0.25">
      <c r="D61" t="s">
        <v>52</v>
      </c>
      <c r="E61" t="s">
        <v>55</v>
      </c>
      <c r="F61" t="s">
        <v>55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59</v>
      </c>
      <c r="C2" t="s">
        <v>60</v>
      </c>
      <c r="D2" t="s">
        <v>61</v>
      </c>
      <c r="E2" t="s">
        <v>62</v>
      </c>
      <c r="F2" t="s">
        <v>63</v>
      </c>
    </row>
    <row r="3" spans="2:17" x14ac:dyDescent="0.25">
      <c r="B3" t="s">
        <v>64</v>
      </c>
      <c r="C3" t="s">
        <v>70</v>
      </c>
      <c r="E3" t="s">
        <v>74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65</v>
      </c>
      <c r="C4" t="s">
        <v>71</v>
      </c>
      <c r="E4" t="s">
        <v>75</v>
      </c>
    </row>
    <row r="5" spans="2:17" x14ac:dyDescent="0.25">
      <c r="B5" t="s">
        <v>66</v>
      </c>
      <c r="E5" t="s">
        <v>76</v>
      </c>
    </row>
    <row r="6" spans="2:17" x14ac:dyDescent="0.25">
      <c r="B6" t="s">
        <v>67</v>
      </c>
      <c r="C6" t="s">
        <v>72</v>
      </c>
    </row>
    <row r="7" spans="2:17" x14ac:dyDescent="0.25">
      <c r="B7" t="s">
        <v>68</v>
      </c>
      <c r="E7" t="s">
        <v>74</v>
      </c>
    </row>
    <row r="8" spans="2:17" x14ac:dyDescent="0.25">
      <c r="B8" t="s">
        <v>69</v>
      </c>
      <c r="C8" t="s">
        <v>73</v>
      </c>
      <c r="E8" t="s">
        <v>77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Q3" sqref="Q3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51</v>
      </c>
      <c r="B1" s="26" t="s">
        <v>50</v>
      </c>
      <c r="C1" s="26"/>
      <c r="K1" t="s">
        <v>130</v>
      </c>
      <c r="L1" s="28" t="s">
        <v>131</v>
      </c>
    </row>
    <row r="2" spans="1:28" x14ac:dyDescent="0.25">
      <c r="A2" s="27" t="s">
        <v>49</v>
      </c>
      <c r="B2" s="26"/>
      <c r="C2" s="26"/>
      <c r="K2" t="s">
        <v>129</v>
      </c>
      <c r="L2" s="28" t="s">
        <v>131</v>
      </c>
      <c r="M2" t="s">
        <v>132</v>
      </c>
    </row>
    <row r="3" spans="1:28" x14ac:dyDescent="0.25">
      <c r="A3" s="27" t="s">
        <v>48</v>
      </c>
      <c r="B3" s="26" t="str" cm="1">
        <f t="array" aca="1" ref="B3" ca="1">HD_Date</f>
        <v>21-Dec-2025</v>
      </c>
      <c r="C3" s="26"/>
    </row>
    <row r="6" spans="1:28" x14ac:dyDescent="0.25">
      <c r="U6" t="s">
        <v>79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80</v>
      </c>
      <c r="W8" t="s">
        <v>81</v>
      </c>
      <c r="X8" t="s">
        <v>82</v>
      </c>
      <c r="Y8" t="s">
        <v>83</v>
      </c>
      <c r="Z8" t="s">
        <v>84</v>
      </c>
      <c r="AA8" t="s">
        <v>85</v>
      </c>
      <c r="AB8" t="s">
        <v>86</v>
      </c>
    </row>
    <row r="9" spans="1:28" x14ac:dyDescent="0.25">
      <c r="U9">
        <v>10</v>
      </c>
      <c r="V9" t="s">
        <v>82</v>
      </c>
      <c r="W9" t="s">
        <v>87</v>
      </c>
      <c r="X9" t="s">
        <v>86</v>
      </c>
      <c r="Y9" t="s">
        <v>88</v>
      </c>
      <c r="Z9" t="s">
        <v>89</v>
      </c>
      <c r="AA9" t="s">
        <v>90</v>
      </c>
      <c r="AB9" t="s">
        <v>91</v>
      </c>
    </row>
    <row r="10" spans="1:28" x14ac:dyDescent="0.25">
      <c r="U10">
        <v>15</v>
      </c>
      <c r="V10" t="s">
        <v>92</v>
      </c>
      <c r="W10" t="s">
        <v>93</v>
      </c>
      <c r="X10" t="s">
        <v>94</v>
      </c>
      <c r="Y10" t="s">
        <v>95</v>
      </c>
      <c r="Z10" t="s">
        <v>96</v>
      </c>
      <c r="AA10" t="s">
        <v>97</v>
      </c>
      <c r="AB10" t="s">
        <v>98</v>
      </c>
    </row>
    <row r="11" spans="1:28" x14ac:dyDescent="0.25">
      <c r="U11">
        <v>20</v>
      </c>
      <c r="V11" t="s">
        <v>99</v>
      </c>
      <c r="W11" t="s">
        <v>100</v>
      </c>
      <c r="X11" t="s">
        <v>101</v>
      </c>
      <c r="Y11" t="s">
        <v>102</v>
      </c>
      <c r="Z11" t="s">
        <v>103</v>
      </c>
      <c r="AA11" t="s">
        <v>104</v>
      </c>
      <c r="AB11" t="s">
        <v>105</v>
      </c>
    </row>
    <row r="12" spans="1:28" x14ac:dyDescent="0.25">
      <c r="U12">
        <v>25</v>
      </c>
      <c r="V12" t="s">
        <v>106</v>
      </c>
      <c r="W12" t="s">
        <v>107</v>
      </c>
      <c r="X12" t="s">
        <v>108</v>
      </c>
      <c r="Y12" t="s">
        <v>109</v>
      </c>
      <c r="Z12" t="s">
        <v>110</v>
      </c>
      <c r="AA12" t="s">
        <v>111</v>
      </c>
      <c r="AB12" t="s">
        <v>112</v>
      </c>
    </row>
    <row r="13" spans="1:28" x14ac:dyDescent="0.25">
      <c r="U13">
        <v>30</v>
      </c>
      <c r="V13" t="s">
        <v>113</v>
      </c>
      <c r="W13" t="s">
        <v>114</v>
      </c>
      <c r="X13" t="s">
        <v>115</v>
      </c>
      <c r="Y13" t="s">
        <v>116</v>
      </c>
      <c r="Z13" t="s">
        <v>117</v>
      </c>
      <c r="AA13" t="s">
        <v>118</v>
      </c>
      <c r="AB13" t="s">
        <v>119</v>
      </c>
    </row>
    <row r="14" spans="1:28" x14ac:dyDescent="0.25">
      <c r="U14">
        <v>35</v>
      </c>
      <c r="V14" t="s">
        <v>107</v>
      </c>
      <c r="W14" t="s">
        <v>120</v>
      </c>
      <c r="X14" t="s">
        <v>110</v>
      </c>
      <c r="Y14">
        <v>3.5</v>
      </c>
      <c r="Z14" t="s">
        <v>121</v>
      </c>
      <c r="AA14" t="s">
        <v>122</v>
      </c>
      <c r="AB14">
        <v>5.6</v>
      </c>
    </row>
    <row r="15" spans="1:28" x14ac:dyDescent="0.25">
      <c r="U15">
        <v>40</v>
      </c>
      <c r="V15" t="s">
        <v>123</v>
      </c>
      <c r="W15" t="s">
        <v>124</v>
      </c>
      <c r="X15" t="s">
        <v>125</v>
      </c>
      <c r="Y15" t="s">
        <v>121</v>
      </c>
      <c r="Z15" t="s">
        <v>126</v>
      </c>
      <c r="AA15" t="s">
        <v>127</v>
      </c>
      <c r="AB15" t="s">
        <v>128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</vt:i4>
      </vt:variant>
    </vt:vector>
  </HeadingPairs>
  <TitlesOfParts>
    <vt:vector size="21" baseType="lpstr">
      <vt:lpstr>Report</vt:lpstr>
      <vt:lpstr>LongTermTraining</vt:lpstr>
      <vt:lpstr>PointTraining</vt:lpstr>
      <vt:lpstr>RAOBF</vt:lpstr>
      <vt:lpstr>BP_Data</vt:lpstr>
      <vt:lpstr>Sheet1</vt:lpstr>
      <vt:lpstr>Sheet2</vt:lpstr>
      <vt:lpstr>SH3_Correction_Table</vt:lpstr>
      <vt:lpstr>__xL</vt:lpstr>
      <vt:lpstr>_AOB</vt:lpstr>
      <vt:lpstr>_B</vt:lpstr>
      <vt:lpstr>_L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2025-12-21T19:32:36Z</dcterms:modified>
</cp:coreProperties>
</file>