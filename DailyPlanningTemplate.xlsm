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0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911782E8-7445-40AC-B7AF-9451E1EB827D}" xr6:coauthVersionLast="47" xr6:coauthVersionMax="47" xr10:uidLastSave="{00000000-0000-0000-0000-000000000000}"/>
  <bookViews>
    <workbookView xWindow="-120" yWindow="-120" windowWidth="29040" windowHeight="15720" activeTab="1" xr2:uid="{AD5FE48E-9CE6-4EDE-8F69-E8FD3B4EAF42}"/>
  </bookViews>
  <sheets>
    <sheet name="2025" sheetId="1" r:id="rId1"/>
    <sheet name="2026" sheetId="11" r:id="rId2"/>
    <sheet name="LongTermTraining" sheetId="3" r:id="rId3"/>
    <sheet name="Sheet5" sheetId="13" r:id="rId4"/>
    <sheet name="Sheet4" sheetId="12" r:id="rId5"/>
    <sheet name="PointTraining" sheetId="4" r:id="rId6"/>
    <sheet name="RAOBF" sheetId="8" r:id="rId7"/>
    <sheet name="BP_Data" sheetId="9" r:id="rId8"/>
    <sheet name="Sheet1" sheetId="5" r:id="rId9"/>
    <sheet name="Sheet2" sheetId="6" r:id="rId10"/>
    <sheet name="Sheet3" sheetId="10" r:id="rId11"/>
    <sheet name="SH3_Correction_Table" sheetId="7" r:id="rId12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7" hidden="1">BP_Data!$A$3:$M$3</definedName>
    <definedName name="_xlnm._FilterDatabase" localSheetId="10" hidden="1">Sheet3!$B$5:$E$16</definedName>
    <definedName name="_xlnm._FilterDatabase" localSheetId="4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13" l="1"/>
  <c r="I18" i="13" a="1"/>
  <c r="I18" i="13" s="1"/>
  <c r="H18" i="13" a="1"/>
  <c r="H18" i="13" s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<sst xmlns="http://schemas.openxmlformats.org/spreadsheetml/2006/main" count="698" uniqueCount="601">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</sst>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8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5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23/09/relationships/Python" Target="pyth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727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</xdr:row>
          <xdr:rowOff>114431</xdr:rowOff>
        </xdr:from>
        <xdr:to>
          <xdr:col>24</xdr:col>
          <xdr:colOff>1</xdr:colOff>
          <xdr:row>51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3C74648-5700-10B2-4DFC-87C29FCAF27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2" spid="_x0000_s160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6768793"/>
              <a:ext cx="2377966" cy="30058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43" activePane="bottomLeft" state="frozen"/>
      <selection pane="bottomLeft" activeCell="Z47" sqref="Z47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51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51" ca="1">_xlfn.BYROW(_xlfn.TAKE(Banded,,1),_xleta.WEEKNUM)</f>
        <v>1</v>
      </c>
      <c r="M5" cm="1">
        <f t="array" ref="M5:M51">_xlfn.BYROW(_xlfn.DROP(Banded,,1),_xleta.SUM)</f>
        <v>7</v>
      </c>
      <c r="O5" s="38" cm="1">
        <f t="array" aca="1" ref="O5:X12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2</v>
      </c>
      <c r="Q12" s="5">
        <f ca="1"/>
        <v>2</v>
      </c>
      <c r="R12" s="5">
        <f ca="1"/>
        <v>1</v>
      </c>
      <c r="S12" s="5">
        <f ca="1"/>
        <v>1</v>
      </c>
      <c r="T12" s="5">
        <f ca="1"/>
        <v>2</v>
      </c>
      <c r="U12" s="5">
        <f ca="1"/>
        <v>2</v>
      </c>
      <c r="V12" s="5">
        <f ca="1"/>
        <v>2</v>
      </c>
      <c r="W12" s="5">
        <f ca="1"/>
        <v>2</v>
      </c>
      <c r="X12" s="5">
        <f ca="1"/>
        <v>2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0</v>
      </c>
      <c r="F51" s="5">
        <v>0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7</v>
      </c>
      <c r="O51" s="38"/>
    </row>
    <row r="52" spans="2:15" x14ac:dyDescent="0.2">
      <c r="B52" s="41"/>
      <c r="C52" s="5"/>
      <c r="D52" s="5"/>
      <c r="E52" s="5"/>
      <c r="F52" s="5"/>
      <c r="G52" s="5"/>
      <c r="H52" s="5"/>
      <c r="I52" s="5"/>
      <c r="J52" s="5"/>
      <c r="K52" s="5"/>
      <c r="O52" s="38"/>
    </row>
    <row r="53" spans="2:15" x14ac:dyDescent="0.2">
      <c r="B53" s="41"/>
      <c r="C53" s="5"/>
      <c r="D53" s="5"/>
      <c r="E53" s="5"/>
      <c r="F53" s="5"/>
      <c r="G53" s="5"/>
      <c r="H53" s="5"/>
      <c r="I53" s="5"/>
      <c r="J53" s="5"/>
      <c r="K53" s="5"/>
      <c r="O53" s="38"/>
    </row>
    <row r="54" spans="2:15" x14ac:dyDescent="0.2">
      <c r="B54" s="41"/>
      <c r="C54" s="5"/>
      <c r="D54" s="5"/>
      <c r="E54" s="5"/>
      <c r="F54" s="5"/>
      <c r="G54" s="5"/>
      <c r="H54" s="5"/>
      <c r="I54" s="5"/>
      <c r="J54" s="5"/>
      <c r="K54" s="5"/>
      <c r="O54" s="38"/>
    </row>
    <row r="55" spans="2:15" x14ac:dyDescent="0.2">
      <c r="B55" s="41"/>
      <c r="C55" s="5"/>
      <c r="D55" s="5"/>
      <c r="E55" s="5"/>
      <c r="F55" s="5"/>
      <c r="G55" s="5"/>
      <c r="H55" s="5"/>
      <c r="I55" s="5"/>
      <c r="J55" s="5"/>
      <c r="K55" s="5"/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23" priority="4">
      <formula>AND(LEN($O5)&gt;0,MOD(ROW(O5)-ROW($O$4),2))</formula>
    </cfRule>
  </conditionalFormatting>
  <conditionalFormatting sqref="O5:O95">
    <cfRule type="expression" dxfId="22" priority="3">
      <formula>LEN(O5)=0</formula>
    </cfRule>
  </conditionalFormatting>
  <conditionalFormatting sqref="B5:K369">
    <cfRule type="expression" dxfId="21" priority="1" stopIfTrue="1">
      <formula>LEN($B5)=0</formula>
    </cfRule>
    <cfRule type="expression" dxfId="20" priority="2" stopIfTrue="1">
      <formula>(LEN($B5)&gt;0)*(MOD(ROW(B5)-ROW(B$4),2)=0)</formula>
    </cfRule>
    <cfRule type="expression" dxfId="19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20"/>
  <sheetViews>
    <sheetView topLeftCell="A4" workbookViewId="0">
      <pane ySplit="5" topLeftCell="A410" activePane="bottomLeft" state="frozen"/>
      <selection activeCell="A4" sqref="A4"/>
      <selection pane="bottomLeft" activeCell="Y423" sqref="Y423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2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20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0</v>
      </c>
      <c r="X420" s="5">
        <v>1</v>
      </c>
      <c r="Y420" s="5">
        <v>0</v>
      </c>
      <c r="AA420">
        <v>1</v>
      </c>
    </row>
  </sheetData>
  <conditionalFormatting sqref="D9:Y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dimension ref="C4:I22"/>
  <sheetViews>
    <sheetView topLeftCell="A4" workbookViewId="0">
      <selection activeCell="D18" sqref="D18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16-Feb-2026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16-Feb-2026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15</vt:i4>
      </vt:variant>
    </vt:vector>
  </HeadingPairs>
  <TitlesOfParts>
    <vt:vector size="27" baseType="lpstr">
      <vt:lpstr>2025</vt:lpstr>
      <vt:lpstr>2026</vt:lpstr>
      <vt:lpstr>LongTermTraining</vt:lpstr>
      <vt:lpstr>Sheet5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2026-02-16T19:27:19Z</dcterms:modified>
</cp:coreProperties>
</file>