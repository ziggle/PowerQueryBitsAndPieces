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674250B-DC39-496E-969E-AAC94E11BE38}" xr6:coauthVersionLast="47" xr6:coauthVersionMax="47" xr10:uidLastSave="{00000000-0000-0000-0000-000000000000}"/>
  <bookViews>
    <workbookView xWindow="-108" yWindow="-108" windowWidth="23256" windowHeight="12456" activeTab="3" xr2:uid="{AD5FE48E-9CE6-4EDE-8F69-E8FD3B4EAF42}"/>
  </bookViews>
  <sheets>
    <sheet name="Report" sheetId="1" r:id="rId1"/>
    <sheet name="Sheet3" sheetId="8" r:id="rId2"/>
    <sheet name="PointTraining" sheetId="4" r:id="rId3"/>
    <sheet name="LongTermTraining" sheetId="3" r:id="rId4"/>
    <sheet name="Sheet1" sheetId="5" r:id="rId5"/>
    <sheet name="Sheet2" sheetId="6" r:id="rId6"/>
    <sheet name="SH3_Correction_Table" sheetId="7" r:id="rId7"/>
  </sheets>
  <definedNames>
    <definedName name="__xL">Sheet3!$C$12</definedName>
    <definedName name="_AOB">Sheet3!$C$1</definedName>
    <definedName name="_B">Sheet3!$C$2</definedName>
    <definedName name="_date">_xlfn.DROP(_xlfn._TRO_ALL(Report!$B:$B),12)</definedName>
    <definedName name="_xlnm._FilterDatabase" localSheetId="0" hidden="1">Report!$P$24:$P$60</definedName>
    <definedName name="_L">Sheet3!$C$4</definedName>
    <definedName name="_nHd">Report!$C$9:$L$9</definedName>
    <definedName name="_R">Sheet3!$C$3</definedName>
    <definedName name="_Theta">Sheet3!$C$10</definedName>
    <definedName name="_v">Sheet3!$C$5</definedName>
    <definedName name="_vSub">Sheet3!$C$6</definedName>
    <definedName name="_vyps">Sheet3!$C$13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eta.TAN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_xShip">Sheet3!$C$8</definedName>
    <definedName name="_yL">Sheet3!$C$11</definedName>
    <definedName name="_yShip">Sheet3!$C$9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8" l="1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C9" i="8"/>
  <c r="C8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C12" i="8" l="1"/>
  <c r="C99" i="8"/>
  <c r="C101" i="8"/>
  <c r="C84" i="8"/>
  <c r="C88" i="8"/>
  <c r="C90" i="8"/>
  <c r="C148" i="8"/>
  <c r="C179" i="8"/>
  <c r="C193" i="8"/>
  <c r="C204" i="8"/>
  <c r="C213" i="8"/>
  <c r="C61" i="8"/>
  <c r="C94" i="8"/>
  <c r="C140" i="8"/>
  <c r="C142" i="8"/>
  <c r="C149" i="8"/>
  <c r="C181" i="8"/>
  <c r="C189" i="8"/>
  <c r="C105" i="8"/>
  <c r="C212" i="8"/>
  <c r="C11" i="8"/>
  <c r="C216" i="8"/>
  <c r="C191" i="8"/>
  <c r="C211" i="8"/>
  <c r="C194" i="8"/>
  <c r="C208" i="8"/>
  <c r="C210" i="8"/>
  <c r="J59" i="5"/>
  <c r="K59" i="5" a="1"/>
  <c r="J44" i="5"/>
  <c r="K44" i="5" a="1"/>
  <c r="D9" i="3"/>
  <c r="Y9" i="3"/>
  <c r="N10" i="1"/>
  <c r="M21" i="1" a="1"/>
  <c r="B10" i="1"/>
  <c r="C93" i="8" l="1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F191" i="8" s="1"/>
  <c r="D200" i="8"/>
  <c r="D210" i="8"/>
  <c r="F210" i="8" s="1"/>
  <c r="D214" i="8"/>
  <c r="D206" i="8"/>
  <c r="D215" i="8"/>
  <c r="D216" i="8"/>
  <c r="D202" i="8"/>
  <c r="D203" i="8"/>
  <c r="D188" i="8"/>
  <c r="F206" i="8"/>
  <c r="F216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F140" i="8" s="1"/>
  <c r="D147" i="8"/>
  <c r="D212" i="8"/>
  <c r="F212" i="8" s="1"/>
  <c r="D17" i="8"/>
  <c r="C50" i="8"/>
  <c r="C51" i="8"/>
  <c r="C52" i="8"/>
  <c r="C53" i="8"/>
  <c r="C58" i="8"/>
  <c r="C60" i="8"/>
  <c r="C215" i="8"/>
  <c r="F215" i="8" s="1"/>
  <c r="C62" i="8"/>
  <c r="C63" i="8"/>
  <c r="C152" i="8"/>
  <c r="C185" i="8"/>
  <c r="D60" i="8"/>
  <c r="D94" i="8"/>
  <c r="F94" i="8" s="1"/>
  <c r="D96" i="8"/>
  <c r="D99" i="8"/>
  <c r="F99" i="8" s="1"/>
  <c r="D102" i="8"/>
  <c r="D105" i="8"/>
  <c r="F105" i="8" s="1"/>
  <c r="D62" i="8"/>
  <c r="D63" i="8"/>
  <c r="D64" i="8"/>
  <c r="D65" i="8"/>
  <c r="D207" i="8"/>
  <c r="F207" i="8" s="1"/>
  <c r="D66" i="8"/>
  <c r="C18" i="8"/>
  <c r="C40" i="8"/>
  <c r="C19" i="8"/>
  <c r="F19" i="8" s="1"/>
  <c r="C116" i="8"/>
  <c r="C20" i="8"/>
  <c r="C41" i="8"/>
  <c r="C21" i="8"/>
  <c r="F21" i="8" s="1"/>
  <c r="C117" i="8"/>
  <c r="C22" i="8"/>
  <c r="F22" i="8" s="1"/>
  <c r="C42" i="8"/>
  <c r="C23" i="8"/>
  <c r="F23" i="8" s="1"/>
  <c r="C118" i="8"/>
  <c r="C24" i="8"/>
  <c r="F24" i="8" s="1"/>
  <c r="C46" i="8"/>
  <c r="C25" i="8"/>
  <c r="F25" i="8" s="1"/>
  <c r="C119" i="8"/>
  <c r="C26" i="8"/>
  <c r="F26" i="8" s="1"/>
  <c r="C47" i="8"/>
  <c r="F47" i="8" s="1"/>
  <c r="C27" i="8"/>
  <c r="C28" i="8"/>
  <c r="F28" i="8" s="1"/>
  <c r="C120" i="8"/>
  <c r="F120" i="8" s="1"/>
  <c r="C29" i="8"/>
  <c r="F29" i="8" s="1"/>
  <c r="C48" i="8"/>
  <c r="F48" i="8" s="1"/>
  <c r="C30" i="8"/>
  <c r="C121" i="8"/>
  <c r="C49" i="8"/>
  <c r="C122" i="8"/>
  <c r="C34" i="8"/>
  <c r="C35" i="8"/>
  <c r="C36" i="8"/>
  <c r="C37" i="8"/>
  <c r="C38" i="8"/>
  <c r="F38" i="8" s="1"/>
  <c r="C54" i="8"/>
  <c r="F54" i="8" s="1"/>
  <c r="C123" i="8"/>
  <c r="C43" i="8"/>
  <c r="F43" i="8" s="1"/>
  <c r="C124" i="8"/>
  <c r="C153" i="8"/>
  <c r="C44" i="8"/>
  <c r="C45" i="8"/>
  <c r="C154" i="8"/>
  <c r="F154" i="8" s="1"/>
  <c r="C156" i="8"/>
  <c r="C161" i="8"/>
  <c r="F161" i="8" s="1"/>
  <c r="C125" i="8"/>
  <c r="C126" i="8"/>
  <c r="C127" i="8"/>
  <c r="C128" i="8"/>
  <c r="C129" i="8"/>
  <c r="C67" i="8"/>
  <c r="F67" i="8" s="1"/>
  <c r="C130" i="8"/>
  <c r="C68" i="8"/>
  <c r="F68" i="8" s="1"/>
  <c r="C131" i="8"/>
  <c r="C69" i="8"/>
  <c r="F69" i="8" s="1"/>
  <c r="C132" i="8"/>
  <c r="C70" i="8"/>
  <c r="F70" i="8" s="1"/>
  <c r="C133" i="8"/>
  <c r="C71" i="8"/>
  <c r="F71" i="8" s="1"/>
  <c r="C134" i="8"/>
  <c r="F134" i="8" s="1"/>
  <c r="C72" i="8"/>
  <c r="F72" i="8" s="1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F96" i="8" s="1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F100" i="8" s="1"/>
  <c r="D136" i="8"/>
  <c r="D142" i="8"/>
  <c r="F142" i="8" s="1"/>
  <c r="D179" i="8"/>
  <c r="F179" i="8" s="1"/>
  <c r="D208" i="8"/>
  <c r="F208" i="8" s="1"/>
  <c r="D154" i="8"/>
  <c r="D155" i="8"/>
  <c r="D157" i="8"/>
  <c r="D159" i="8"/>
  <c r="D40" i="8"/>
  <c r="D92" i="8"/>
  <c r="F92" i="8" s="1"/>
  <c r="D205" i="8"/>
  <c r="D90" i="8"/>
  <c r="F90" i="8" s="1"/>
  <c r="D81" i="8"/>
  <c r="D83" i="8"/>
  <c r="D88" i="8"/>
  <c r="F88" i="8" s="1"/>
  <c r="D91" i="8"/>
  <c r="F91" i="8" s="1"/>
  <c r="D103" i="8"/>
  <c r="D138" i="8"/>
  <c r="D181" i="8"/>
  <c r="F181" i="8" s="1"/>
  <c r="D106" i="8"/>
  <c r="F106" i="8" s="1"/>
  <c r="D107" i="8"/>
  <c r="D108" i="8"/>
  <c r="D109" i="8"/>
  <c r="D161" i="8"/>
  <c r="D174" i="8"/>
  <c r="D93" i="8"/>
  <c r="F93" i="8" s="1"/>
  <c r="D180" i="8"/>
  <c r="F180" i="8" s="1"/>
  <c r="D87" i="8"/>
  <c r="F87" i="8" s="1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F143" i="8" s="1"/>
  <c r="D170" i="8"/>
  <c r="D146" i="8"/>
  <c r="D171" i="8"/>
  <c r="D148" i="8"/>
  <c r="F148" i="8" s="1"/>
  <c r="D172" i="8"/>
  <c r="D128" i="8"/>
  <c r="D173" i="8"/>
  <c r="D175" i="8"/>
  <c r="D82" i="8"/>
  <c r="D134" i="8"/>
  <c r="D185" i="8"/>
  <c r="D61" i="8"/>
  <c r="F61" i="8" s="1"/>
  <c r="D152" i="8"/>
  <c r="D211" i="8"/>
  <c r="F211" i="8" s="1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F213" i="8" s="1"/>
  <c r="D86" i="8"/>
  <c r="D85" i="8"/>
  <c r="F85" i="8" s="1"/>
  <c r="D97" i="8"/>
  <c r="F97" i="8" s="1"/>
  <c r="D183" i="8"/>
  <c r="D84" i="8"/>
  <c r="F84" i="8" s="1"/>
  <c r="D104" i="8"/>
  <c r="F104" i="8" s="1"/>
  <c r="D95" i="8"/>
  <c r="F95" i="8" s="1"/>
  <c r="D137" i="8"/>
  <c r="D139" i="8"/>
  <c r="F139" i="8" s="1"/>
  <c r="D141" i="8"/>
  <c r="D184" i="8"/>
  <c r="D186" i="8"/>
  <c r="F186" i="8" s="1"/>
  <c r="D149" i="8"/>
  <c r="F149" i="8" s="1"/>
  <c r="D176" i="8"/>
  <c r="D158" i="8"/>
  <c r="D201" i="8"/>
  <c r="D189" i="8"/>
  <c r="F189" i="8" s="1"/>
  <c r="D190" i="8"/>
  <c r="D192" i="8"/>
  <c r="D194" i="8"/>
  <c r="F194" i="8" s="1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F177" i="8" s="1"/>
  <c r="D167" i="8"/>
  <c r="D127" i="8"/>
  <c r="D49" i="8"/>
  <c r="D50" i="8"/>
  <c r="D51" i="8"/>
  <c r="D168" i="8"/>
  <c r="D150" i="8"/>
  <c r="F150" i="8" s="1"/>
  <c r="D53" i="8"/>
  <c r="D98" i="8"/>
  <c r="D145" i="8"/>
  <c r="F145" i="8" s="1"/>
  <c r="D193" i="8"/>
  <c r="F193" i="8" s="1"/>
  <c r="D89" i="8"/>
  <c r="F89" i="8" s="1"/>
  <c r="D52" i="8"/>
  <c r="D57" i="8"/>
  <c r="F57" i="8" s="1"/>
  <c r="D144" i="8"/>
  <c r="D101" i="8"/>
  <c r="F101" i="8" s="1"/>
  <c r="D204" i="8"/>
  <c r="F204" i="8" s="1"/>
  <c r="F12" i="8"/>
  <c r="K59" i="5"/>
  <c r="K44" i="5"/>
  <c r="M21" i="1"/>
  <c r="P10" i="1" s="1" a="1"/>
  <c r="F50" i="8" l="1"/>
  <c r="F53" i="8"/>
  <c r="F45" i="8"/>
  <c r="F51" i="8"/>
  <c r="F60" i="8"/>
  <c r="F102" i="8"/>
  <c r="F65" i="8"/>
  <c r="F66" i="8"/>
  <c r="F18" i="8"/>
  <c r="F40" i="8"/>
  <c r="F116" i="8"/>
  <c r="F127" i="8"/>
  <c r="F136" i="8"/>
  <c r="F74" i="8"/>
  <c r="F75" i="8"/>
  <c r="F76" i="8"/>
  <c r="F182" i="8"/>
  <c r="F77" i="8"/>
  <c r="F155" i="8"/>
  <c r="F78" i="8"/>
  <c r="F79" i="8"/>
  <c r="F174" i="8"/>
  <c r="F80" i="8"/>
  <c r="F17" i="8"/>
  <c r="F147" i="8"/>
  <c r="F184" i="8"/>
  <c r="F107" i="8"/>
  <c r="F108" i="8"/>
  <c r="F109" i="8"/>
  <c r="F166" i="8"/>
  <c r="F167" i="8"/>
  <c r="F168" i="8"/>
  <c r="F169" i="8"/>
  <c r="F175" i="8"/>
  <c r="F170" i="8"/>
  <c r="F171" i="8"/>
  <c r="F172" i="8"/>
  <c r="F173" i="8"/>
  <c r="F146" i="8"/>
  <c r="F202" i="8"/>
  <c r="F110" i="8"/>
  <c r="F214" i="8"/>
  <c r="F200" i="8"/>
  <c r="F135" i="8"/>
  <c r="F137" i="8"/>
  <c r="F157" i="8"/>
  <c r="F159" i="8"/>
  <c r="F188" i="8"/>
  <c r="F203" i="8"/>
  <c r="F56" i="8"/>
  <c r="F111" i="8"/>
  <c r="F31" i="8"/>
  <c r="F112" i="8"/>
  <c r="F32" i="8"/>
  <c r="F113" i="8"/>
  <c r="F114" i="8"/>
  <c r="F39" i="8"/>
  <c r="F115" i="8"/>
  <c r="F59" i="8"/>
  <c r="F55" i="8"/>
  <c r="F129" i="8"/>
  <c r="F131" i="8"/>
  <c r="F162" i="8"/>
  <c r="F62" i="8"/>
  <c r="F63" i="8"/>
  <c r="F152" i="8"/>
  <c r="F185" i="8"/>
  <c r="F64" i="8"/>
  <c r="F156" i="8"/>
  <c r="F132" i="8"/>
  <c r="F20" i="8"/>
  <c r="F41" i="8"/>
  <c r="F117" i="8"/>
  <c r="F42" i="8"/>
  <c r="F118" i="8"/>
  <c r="F46" i="8"/>
  <c r="F119" i="8"/>
  <c r="F27" i="8"/>
  <c r="F30" i="8"/>
  <c r="F121" i="8"/>
  <c r="F49" i="8"/>
  <c r="F122" i="8"/>
  <c r="F34" i="8"/>
  <c r="F35" i="8"/>
  <c r="F36" i="8"/>
  <c r="F37" i="8"/>
  <c r="F123" i="8"/>
  <c r="F124" i="8"/>
  <c r="F153" i="8"/>
  <c r="F126" i="8"/>
  <c r="F130" i="8"/>
  <c r="F73" i="8"/>
  <c r="F160" i="8"/>
  <c r="F138" i="8"/>
  <c r="F141" i="8"/>
  <c r="F178" i="8"/>
  <c r="F158" i="8"/>
  <c r="F190" i="8"/>
  <c r="F151" i="8"/>
  <c r="F163" i="8"/>
  <c r="F164" i="8"/>
  <c r="F187" i="8"/>
  <c r="F165" i="8"/>
  <c r="F81" i="8"/>
  <c r="F192" i="8"/>
  <c r="F82" i="8"/>
  <c r="F205" i="8"/>
  <c r="F86" i="8"/>
  <c r="F195" i="8"/>
  <c r="F98" i="8"/>
  <c r="F196" i="8"/>
  <c r="F197" i="8"/>
  <c r="F176" i="8"/>
  <c r="F198" i="8"/>
  <c r="F201" i="8"/>
  <c r="F199" i="8"/>
  <c r="F144" i="8"/>
  <c r="F183" i="8"/>
  <c r="F209" i="8"/>
  <c r="F33" i="8"/>
  <c r="F83" i="8"/>
  <c r="F103" i="8"/>
  <c r="F52" i="8"/>
  <c r="F58" i="8"/>
  <c r="F44" i="8"/>
  <c r="F125" i="8"/>
  <c r="F128" i="8"/>
  <c r="F133" i="8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<sst xmlns="http://schemas.openxmlformats.org/spreadsheetml/2006/main" count="200" uniqueCount="155">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</sst>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Sheet3!$C$17:$C$216</c:f>
              <c:numCache>
                <c:formatCode>General</c:formatCode>
                <c:ptCount val="200"/>
                <c:pt idx="0">
                  <c:v>913.39745962155587</c:v>
                </c:pt>
                <c:pt idx="1">
                  <c:v>914.37191709689409</c:v>
                </c:pt>
                <c:pt idx="2">
                  <c:v>915.34637457223243</c:v>
                </c:pt>
                <c:pt idx="3">
                  <c:v>916.32083204757066</c:v>
                </c:pt>
                <c:pt idx="4">
                  <c:v>917.295289522909</c:v>
                </c:pt>
                <c:pt idx="5">
                  <c:v>918.26974699824723</c:v>
                </c:pt>
                <c:pt idx="6">
                  <c:v>919.24420447358557</c:v>
                </c:pt>
                <c:pt idx="7">
                  <c:v>920.2186619489238</c:v>
                </c:pt>
                <c:pt idx="8">
                  <c:v>921.19311942426214</c:v>
                </c:pt>
                <c:pt idx="9">
                  <c:v>922.16757689960036</c:v>
                </c:pt>
                <c:pt idx="10">
                  <c:v>923.1420343749387</c:v>
                </c:pt>
                <c:pt idx="11">
                  <c:v>924.11649185027693</c:v>
                </c:pt>
                <c:pt idx="12">
                  <c:v>925.09094932561527</c:v>
                </c:pt>
                <c:pt idx="13">
                  <c:v>926.0654068009535</c:v>
                </c:pt>
                <c:pt idx="14">
                  <c:v>927.03986427629172</c:v>
                </c:pt>
                <c:pt idx="15">
                  <c:v>928.01432175163006</c:v>
                </c:pt>
                <c:pt idx="16">
                  <c:v>928.98877922696829</c:v>
                </c:pt>
                <c:pt idx="17">
                  <c:v>929.96323670230663</c:v>
                </c:pt>
                <c:pt idx="18">
                  <c:v>930.93769417764486</c:v>
                </c:pt>
                <c:pt idx="19">
                  <c:v>931.9121516529832</c:v>
                </c:pt>
                <c:pt idx="20">
                  <c:v>932.88660912832142</c:v>
                </c:pt>
                <c:pt idx="21">
                  <c:v>933.86106660365976</c:v>
                </c:pt>
                <c:pt idx="22">
                  <c:v>934.83552407899799</c:v>
                </c:pt>
                <c:pt idx="23">
                  <c:v>935.80998155433633</c:v>
                </c:pt>
                <c:pt idx="24">
                  <c:v>936.78443902967456</c:v>
                </c:pt>
                <c:pt idx="25">
                  <c:v>937.75889650501279</c:v>
                </c:pt>
                <c:pt idx="26">
                  <c:v>938.73335398035113</c:v>
                </c:pt>
                <c:pt idx="27">
                  <c:v>939.70781145568947</c:v>
                </c:pt>
                <c:pt idx="28">
                  <c:v>940.68226893102758</c:v>
                </c:pt>
                <c:pt idx="29">
                  <c:v>941.65672640636592</c:v>
                </c:pt>
                <c:pt idx="30">
                  <c:v>942.63118388170426</c:v>
                </c:pt>
                <c:pt idx="31">
                  <c:v>943.6056413570426</c:v>
                </c:pt>
                <c:pt idx="32">
                  <c:v>944.58009883238071</c:v>
                </c:pt>
                <c:pt idx="33">
                  <c:v>945.55455630771905</c:v>
                </c:pt>
                <c:pt idx="34">
                  <c:v>946.52901378305739</c:v>
                </c:pt>
                <c:pt idx="35">
                  <c:v>947.50347125839573</c:v>
                </c:pt>
                <c:pt idx="36">
                  <c:v>948.47792873373385</c:v>
                </c:pt>
                <c:pt idx="37">
                  <c:v>949.45238620907219</c:v>
                </c:pt>
                <c:pt idx="38">
                  <c:v>950.42684368441053</c:v>
                </c:pt>
                <c:pt idx="39">
                  <c:v>951.40130115974887</c:v>
                </c:pt>
                <c:pt idx="40">
                  <c:v>952.37575863508698</c:v>
                </c:pt>
                <c:pt idx="41">
                  <c:v>953.35021611042532</c:v>
                </c:pt>
                <c:pt idx="42">
                  <c:v>954.32467358576366</c:v>
                </c:pt>
                <c:pt idx="43">
                  <c:v>955.29913106110178</c:v>
                </c:pt>
                <c:pt idx="44">
                  <c:v>956.27358853644012</c:v>
                </c:pt>
                <c:pt idx="45">
                  <c:v>957.24804601177846</c:v>
                </c:pt>
                <c:pt idx="46">
                  <c:v>958.2225034871168</c:v>
                </c:pt>
                <c:pt idx="47">
                  <c:v>959.19696096245491</c:v>
                </c:pt>
                <c:pt idx="48">
                  <c:v>960.17141843779325</c:v>
                </c:pt>
                <c:pt idx="49">
                  <c:v>961.14587591313159</c:v>
                </c:pt>
                <c:pt idx="50">
                  <c:v>962.12033338846993</c:v>
                </c:pt>
                <c:pt idx="51">
                  <c:v>963.09479086380804</c:v>
                </c:pt>
                <c:pt idx="52">
                  <c:v>964.06924833914638</c:v>
                </c:pt>
                <c:pt idx="53">
                  <c:v>965.04370581448472</c:v>
                </c:pt>
                <c:pt idx="54">
                  <c:v>966.01816328982284</c:v>
                </c:pt>
                <c:pt idx="55">
                  <c:v>966.99262076516118</c:v>
                </c:pt>
                <c:pt idx="56">
                  <c:v>967.96707824049952</c:v>
                </c:pt>
                <c:pt idx="57">
                  <c:v>968.94153571583786</c:v>
                </c:pt>
                <c:pt idx="58">
                  <c:v>969.91599319117597</c:v>
                </c:pt>
                <c:pt idx="59">
                  <c:v>970.89045066651431</c:v>
                </c:pt>
                <c:pt idx="60">
                  <c:v>971.86490814185265</c:v>
                </c:pt>
                <c:pt idx="61">
                  <c:v>972.83936561719099</c:v>
                </c:pt>
                <c:pt idx="62">
                  <c:v>973.81382309252911</c:v>
                </c:pt>
                <c:pt idx="63">
                  <c:v>974.78828056786745</c:v>
                </c:pt>
                <c:pt idx="64">
                  <c:v>975.76273804320579</c:v>
                </c:pt>
                <c:pt idx="65">
                  <c:v>976.73719551854413</c:v>
                </c:pt>
                <c:pt idx="66">
                  <c:v>977.71165299388224</c:v>
                </c:pt>
                <c:pt idx="67">
                  <c:v>978.68611046922058</c:v>
                </c:pt>
                <c:pt idx="68">
                  <c:v>979.66056794455892</c:v>
                </c:pt>
                <c:pt idx="69">
                  <c:v>980.63502541989726</c:v>
                </c:pt>
                <c:pt idx="70">
                  <c:v>981.60948289523537</c:v>
                </c:pt>
                <c:pt idx="71">
                  <c:v>982.58394037057371</c:v>
                </c:pt>
                <c:pt idx="72">
                  <c:v>983.55839784591205</c:v>
                </c:pt>
                <c:pt idx="73">
                  <c:v>984.53285532125017</c:v>
                </c:pt>
                <c:pt idx="74">
                  <c:v>985.50731279658851</c:v>
                </c:pt>
                <c:pt idx="75">
                  <c:v>986.48177027192685</c:v>
                </c:pt>
                <c:pt idx="76">
                  <c:v>987.45622774726519</c:v>
                </c:pt>
                <c:pt idx="77">
                  <c:v>988.4306852226033</c:v>
                </c:pt>
                <c:pt idx="78">
                  <c:v>989.40514269794164</c:v>
                </c:pt>
                <c:pt idx="79">
                  <c:v>990.37960017327998</c:v>
                </c:pt>
                <c:pt idx="80">
                  <c:v>991.35405764861832</c:v>
                </c:pt>
                <c:pt idx="81">
                  <c:v>992.32851512395644</c:v>
                </c:pt>
                <c:pt idx="82">
                  <c:v>993.30297259929478</c:v>
                </c:pt>
                <c:pt idx="83">
                  <c:v>994.27743007463312</c:v>
                </c:pt>
                <c:pt idx="84">
                  <c:v>995.25188754997123</c:v>
                </c:pt>
                <c:pt idx="85">
                  <c:v>996.22634502530957</c:v>
                </c:pt>
                <c:pt idx="86">
                  <c:v>997.20080250064791</c:v>
                </c:pt>
                <c:pt idx="87">
                  <c:v>998.17525997598625</c:v>
                </c:pt>
                <c:pt idx="88">
                  <c:v>999.14971745132436</c:v>
                </c:pt>
                <c:pt idx="89">
                  <c:v>1000.1241749266627</c:v>
                </c:pt>
                <c:pt idx="90">
                  <c:v>1001.098632402001</c:v>
                </c:pt>
                <c:pt idx="91">
                  <c:v>1002.0730898773394</c:v>
                </c:pt>
                <c:pt idx="92">
                  <c:v>1003.0475473526775</c:v>
                </c:pt>
                <c:pt idx="93">
                  <c:v>1004.0220048280158</c:v>
                </c:pt>
                <c:pt idx="94">
                  <c:v>1004.9964623033542</c:v>
                </c:pt>
                <c:pt idx="95">
                  <c:v>1005.9709197786923</c:v>
                </c:pt>
                <c:pt idx="96">
                  <c:v>1006.9453772540306</c:v>
                </c:pt>
                <c:pt idx="97">
                  <c:v>1007.919834729369</c:v>
                </c:pt>
                <c:pt idx="98">
                  <c:v>1008.8942922047073</c:v>
                </c:pt>
                <c:pt idx="99">
                  <c:v>1009.8687496800454</c:v>
                </c:pt>
                <c:pt idx="100">
                  <c:v>1010.8432071553838</c:v>
                </c:pt>
                <c:pt idx="101">
                  <c:v>1011.8176646307221</c:v>
                </c:pt>
                <c:pt idx="102">
                  <c:v>1012.7921221060604</c:v>
                </c:pt>
                <c:pt idx="103">
                  <c:v>1013.7665795813986</c:v>
                </c:pt>
                <c:pt idx="104">
                  <c:v>1014.7410370567369</c:v>
                </c:pt>
                <c:pt idx="105">
                  <c:v>1015.7154945320752</c:v>
                </c:pt>
                <c:pt idx="106">
                  <c:v>1016.6899520074136</c:v>
                </c:pt>
                <c:pt idx="107">
                  <c:v>1017.6644094827517</c:v>
                </c:pt>
                <c:pt idx="108">
                  <c:v>1018.63886695809</c:v>
                </c:pt>
                <c:pt idx="109">
                  <c:v>1019.6133244334284</c:v>
                </c:pt>
                <c:pt idx="110">
                  <c:v>1020.5877819087665</c:v>
                </c:pt>
                <c:pt idx="111">
                  <c:v>1021.5622393841048</c:v>
                </c:pt>
                <c:pt idx="112">
                  <c:v>1022.5366968594432</c:v>
                </c:pt>
                <c:pt idx="113">
                  <c:v>1023.5111543347815</c:v>
                </c:pt>
                <c:pt idx="114">
                  <c:v>1024.4856118101197</c:v>
                </c:pt>
                <c:pt idx="115">
                  <c:v>1025.4600692854581</c:v>
                </c:pt>
                <c:pt idx="116">
                  <c:v>1026.4345267607964</c:v>
                </c:pt>
                <c:pt idx="117">
                  <c:v>1027.4089842361348</c:v>
                </c:pt>
                <c:pt idx="118">
                  <c:v>1028.3834417114729</c:v>
                </c:pt>
                <c:pt idx="119">
                  <c:v>1029.3578991868112</c:v>
                </c:pt>
                <c:pt idx="120">
                  <c:v>1030.3323566621496</c:v>
                </c:pt>
                <c:pt idx="121">
                  <c:v>1031.3068141374879</c:v>
                </c:pt>
                <c:pt idx="122">
                  <c:v>1032.281271612826</c:v>
                </c:pt>
                <c:pt idx="123">
                  <c:v>1033.2557290881643</c:v>
                </c:pt>
                <c:pt idx="124">
                  <c:v>1034.2301865635027</c:v>
                </c:pt>
                <c:pt idx="125">
                  <c:v>1035.2046440388408</c:v>
                </c:pt>
                <c:pt idx="126">
                  <c:v>1036.1791015141791</c:v>
                </c:pt>
                <c:pt idx="127">
                  <c:v>1037.1535589895175</c:v>
                </c:pt>
                <c:pt idx="128">
                  <c:v>1038.1280164648558</c:v>
                </c:pt>
                <c:pt idx="129">
                  <c:v>1039.1024739401939</c:v>
                </c:pt>
                <c:pt idx="130">
                  <c:v>1040.0769314155323</c:v>
                </c:pt>
                <c:pt idx="131">
                  <c:v>1041.0513888908706</c:v>
                </c:pt>
                <c:pt idx="132">
                  <c:v>1042.025846366209</c:v>
                </c:pt>
                <c:pt idx="133">
                  <c:v>1043.0003038415471</c:v>
                </c:pt>
                <c:pt idx="134">
                  <c:v>1043.9747613168854</c:v>
                </c:pt>
                <c:pt idx="135">
                  <c:v>1044.9492187922237</c:v>
                </c:pt>
                <c:pt idx="136">
                  <c:v>1045.9236762675619</c:v>
                </c:pt>
                <c:pt idx="137">
                  <c:v>1046.8981337429002</c:v>
                </c:pt>
                <c:pt idx="138">
                  <c:v>1047.8725912182385</c:v>
                </c:pt>
                <c:pt idx="139">
                  <c:v>1048.8470486935769</c:v>
                </c:pt>
                <c:pt idx="140">
                  <c:v>1049.821506168915</c:v>
                </c:pt>
                <c:pt idx="141">
                  <c:v>1050.7959636442533</c:v>
                </c:pt>
                <c:pt idx="142">
                  <c:v>1051.7704211195917</c:v>
                </c:pt>
                <c:pt idx="143">
                  <c:v>1052.74487859493</c:v>
                </c:pt>
                <c:pt idx="144">
                  <c:v>1053.7193360702681</c:v>
                </c:pt>
                <c:pt idx="145">
                  <c:v>1054.6937935456065</c:v>
                </c:pt>
                <c:pt idx="146">
                  <c:v>1055.6682510209448</c:v>
                </c:pt>
                <c:pt idx="147">
                  <c:v>1056.6427084962829</c:v>
                </c:pt>
                <c:pt idx="148">
                  <c:v>1057.6171659716213</c:v>
                </c:pt>
                <c:pt idx="149">
                  <c:v>1058.5916234469596</c:v>
                </c:pt>
                <c:pt idx="150">
                  <c:v>1059.5660809222979</c:v>
                </c:pt>
                <c:pt idx="151">
                  <c:v>1060.5405383976363</c:v>
                </c:pt>
                <c:pt idx="152">
                  <c:v>1061.5149958729744</c:v>
                </c:pt>
                <c:pt idx="153">
                  <c:v>1062.4894533483127</c:v>
                </c:pt>
                <c:pt idx="154">
                  <c:v>1063.4639108236511</c:v>
                </c:pt>
                <c:pt idx="155">
                  <c:v>1064.4383682989892</c:v>
                </c:pt>
                <c:pt idx="156">
                  <c:v>1065.4128257743275</c:v>
                </c:pt>
                <c:pt idx="157">
                  <c:v>1066.3872832496659</c:v>
                </c:pt>
                <c:pt idx="158">
                  <c:v>1067.3617407250042</c:v>
                </c:pt>
                <c:pt idx="159">
                  <c:v>1068.3361982003423</c:v>
                </c:pt>
                <c:pt idx="160">
                  <c:v>1069.3106556756807</c:v>
                </c:pt>
                <c:pt idx="161">
                  <c:v>1070.285113151019</c:v>
                </c:pt>
                <c:pt idx="162">
                  <c:v>1071.2595706263573</c:v>
                </c:pt>
                <c:pt idx="163">
                  <c:v>1072.2340281016955</c:v>
                </c:pt>
                <c:pt idx="164">
                  <c:v>1073.2084855770338</c:v>
                </c:pt>
                <c:pt idx="165">
                  <c:v>1074.1829430523721</c:v>
                </c:pt>
                <c:pt idx="166">
                  <c:v>1075.1574005277103</c:v>
                </c:pt>
                <c:pt idx="167">
                  <c:v>1076.1318580030486</c:v>
                </c:pt>
                <c:pt idx="168">
                  <c:v>1077.1063154783869</c:v>
                </c:pt>
                <c:pt idx="169">
                  <c:v>1078.0807729537253</c:v>
                </c:pt>
                <c:pt idx="170">
                  <c:v>1079.0552304290634</c:v>
                </c:pt>
                <c:pt idx="171">
                  <c:v>1080.0296879044017</c:v>
                </c:pt>
                <c:pt idx="172">
                  <c:v>1081.0041453797401</c:v>
                </c:pt>
                <c:pt idx="173">
                  <c:v>1081.9786028550784</c:v>
                </c:pt>
                <c:pt idx="174">
                  <c:v>1082.9530603304165</c:v>
                </c:pt>
                <c:pt idx="175">
                  <c:v>1083.9275178057549</c:v>
                </c:pt>
                <c:pt idx="176">
                  <c:v>1084.9019752810932</c:v>
                </c:pt>
                <c:pt idx="177">
                  <c:v>1085.8764327564313</c:v>
                </c:pt>
                <c:pt idx="178">
                  <c:v>1086.8508902317697</c:v>
                </c:pt>
                <c:pt idx="179">
                  <c:v>1087.825347707108</c:v>
                </c:pt>
                <c:pt idx="180">
                  <c:v>1088.7998051824463</c:v>
                </c:pt>
                <c:pt idx="181">
                  <c:v>1089.7742626577844</c:v>
                </c:pt>
                <c:pt idx="182">
                  <c:v>1090.7487201331228</c:v>
                </c:pt>
                <c:pt idx="183">
                  <c:v>1091.7231776084611</c:v>
                </c:pt>
                <c:pt idx="184">
                  <c:v>1092.6976350837995</c:v>
                </c:pt>
                <c:pt idx="185">
                  <c:v>1093.6720925591376</c:v>
                </c:pt>
                <c:pt idx="186">
                  <c:v>1094.6465500344759</c:v>
                </c:pt>
                <c:pt idx="187">
                  <c:v>1095.6210075098143</c:v>
                </c:pt>
                <c:pt idx="188">
                  <c:v>1096.5954649851524</c:v>
                </c:pt>
                <c:pt idx="189">
                  <c:v>1097.5699224604907</c:v>
                </c:pt>
                <c:pt idx="190">
                  <c:v>1098.5443799358291</c:v>
                </c:pt>
                <c:pt idx="191">
                  <c:v>1099.5188374111674</c:v>
                </c:pt>
                <c:pt idx="192">
                  <c:v>1100.4932948865057</c:v>
                </c:pt>
                <c:pt idx="193">
                  <c:v>1101.4677523618438</c:v>
                </c:pt>
                <c:pt idx="194">
                  <c:v>1102.4422098371822</c:v>
                </c:pt>
                <c:pt idx="195">
                  <c:v>1103.4166673125205</c:v>
                </c:pt>
                <c:pt idx="196">
                  <c:v>1104.3911247878586</c:v>
                </c:pt>
                <c:pt idx="197">
                  <c:v>1105.365582263197</c:v>
                </c:pt>
                <c:pt idx="198">
                  <c:v>1106.3400397385353</c:v>
                </c:pt>
                <c:pt idx="199">
                  <c:v>1107.3144972138734</c:v>
                </c:pt>
              </c:numCache>
            </c:numRef>
          </c:xVal>
          <c:yVal>
            <c:numRef>
              <c:f>Sheet3!$D$17:$D$216</c:f>
              <c:numCache>
                <c:formatCode>General</c:formatCode>
                <c:ptCount val="200"/>
                <c:pt idx="0">
                  <c:v>1682.0508075688774</c:v>
                </c:pt>
                <c:pt idx="1">
                  <c:v>1682.6134108545778</c:v>
                </c:pt>
                <c:pt idx="2">
                  <c:v>1683.1760141402783</c:v>
                </c:pt>
                <c:pt idx="3">
                  <c:v>1683.7386174259786</c:v>
                </c:pt>
                <c:pt idx="4">
                  <c:v>1684.301220711679</c:v>
                </c:pt>
                <c:pt idx="5">
                  <c:v>1684.8638239973793</c:v>
                </c:pt>
                <c:pt idx="6">
                  <c:v>1685.4264272830799</c:v>
                </c:pt>
                <c:pt idx="7">
                  <c:v>1685.9890305687802</c:v>
                </c:pt>
                <c:pt idx="8">
                  <c:v>1686.5516338544805</c:v>
                </c:pt>
                <c:pt idx="9">
                  <c:v>1687.1142371401811</c:v>
                </c:pt>
                <c:pt idx="10">
                  <c:v>1687.6768404258814</c:v>
                </c:pt>
                <c:pt idx="11">
                  <c:v>1688.2394437115818</c:v>
                </c:pt>
                <c:pt idx="12">
                  <c:v>1688.8020469972821</c:v>
                </c:pt>
                <c:pt idx="13">
                  <c:v>1689.3646502829827</c:v>
                </c:pt>
                <c:pt idx="14">
                  <c:v>1689.927253568683</c:v>
                </c:pt>
                <c:pt idx="15">
                  <c:v>1690.4898568543833</c:v>
                </c:pt>
                <c:pt idx="16">
                  <c:v>1691.0524601400839</c:v>
                </c:pt>
                <c:pt idx="17">
                  <c:v>1691.6150634257842</c:v>
                </c:pt>
                <c:pt idx="18">
                  <c:v>1692.1776667114846</c:v>
                </c:pt>
                <c:pt idx="19">
                  <c:v>1692.7402699971849</c:v>
                </c:pt>
                <c:pt idx="20">
                  <c:v>1693.3028732828855</c:v>
                </c:pt>
                <c:pt idx="21">
                  <c:v>1693.8654765685858</c:v>
                </c:pt>
                <c:pt idx="22">
                  <c:v>1694.4280798542861</c:v>
                </c:pt>
                <c:pt idx="23">
                  <c:v>1694.9906831399867</c:v>
                </c:pt>
                <c:pt idx="24">
                  <c:v>1695.553286425687</c:v>
                </c:pt>
                <c:pt idx="25">
                  <c:v>1696.1158897113874</c:v>
                </c:pt>
                <c:pt idx="26">
                  <c:v>1696.6784929970877</c:v>
                </c:pt>
                <c:pt idx="27">
                  <c:v>1697.2410962827882</c:v>
                </c:pt>
                <c:pt idx="28">
                  <c:v>1697.8036995684886</c:v>
                </c:pt>
                <c:pt idx="29">
                  <c:v>1698.3663028541889</c:v>
                </c:pt>
                <c:pt idx="30">
                  <c:v>1698.9289061398895</c:v>
                </c:pt>
                <c:pt idx="31">
                  <c:v>1699.4915094255898</c:v>
                </c:pt>
                <c:pt idx="32">
                  <c:v>1700.0541127112901</c:v>
                </c:pt>
                <c:pt idx="33">
                  <c:v>1700.6167159969905</c:v>
                </c:pt>
                <c:pt idx="34">
                  <c:v>1701.179319282691</c:v>
                </c:pt>
                <c:pt idx="35">
                  <c:v>1701.7419225683914</c:v>
                </c:pt>
                <c:pt idx="36">
                  <c:v>1702.3045258540917</c:v>
                </c:pt>
                <c:pt idx="37">
                  <c:v>1702.8671291397923</c:v>
                </c:pt>
                <c:pt idx="38">
                  <c:v>1703.4297324254926</c:v>
                </c:pt>
                <c:pt idx="39">
                  <c:v>1703.9923357111929</c:v>
                </c:pt>
                <c:pt idx="40">
                  <c:v>1704.5549389968933</c:v>
                </c:pt>
                <c:pt idx="41">
                  <c:v>1705.1175422825938</c:v>
                </c:pt>
                <c:pt idx="42">
                  <c:v>1705.6801455682942</c:v>
                </c:pt>
                <c:pt idx="43">
                  <c:v>1706.2427488539945</c:v>
                </c:pt>
                <c:pt idx="44">
                  <c:v>1706.8053521396951</c:v>
                </c:pt>
                <c:pt idx="45">
                  <c:v>1707.3679554253954</c:v>
                </c:pt>
                <c:pt idx="46">
                  <c:v>1707.9305587110957</c:v>
                </c:pt>
                <c:pt idx="47">
                  <c:v>1708.4931619967961</c:v>
                </c:pt>
                <c:pt idx="48">
                  <c:v>1709.0557652824966</c:v>
                </c:pt>
                <c:pt idx="49">
                  <c:v>1709.618368568197</c:v>
                </c:pt>
                <c:pt idx="50">
                  <c:v>1710.1809718538973</c:v>
                </c:pt>
                <c:pt idx="51">
                  <c:v>1710.7435751395979</c:v>
                </c:pt>
                <c:pt idx="52">
                  <c:v>1711.3061784252982</c:v>
                </c:pt>
                <c:pt idx="53">
                  <c:v>1711.8687817109985</c:v>
                </c:pt>
                <c:pt idx="54">
                  <c:v>1712.4313849966989</c:v>
                </c:pt>
                <c:pt idx="55">
                  <c:v>1712.9939882823994</c:v>
                </c:pt>
                <c:pt idx="56">
                  <c:v>1713.5565915680997</c:v>
                </c:pt>
                <c:pt idx="57">
                  <c:v>1714.1191948538001</c:v>
                </c:pt>
                <c:pt idx="58">
                  <c:v>1714.6817981395006</c:v>
                </c:pt>
                <c:pt idx="59">
                  <c:v>1715.244401425201</c:v>
                </c:pt>
                <c:pt idx="60">
                  <c:v>1715.8070047109013</c:v>
                </c:pt>
                <c:pt idx="61">
                  <c:v>1716.3696079966016</c:v>
                </c:pt>
                <c:pt idx="62">
                  <c:v>1716.9322112823022</c:v>
                </c:pt>
                <c:pt idx="63">
                  <c:v>1717.4948145680025</c:v>
                </c:pt>
                <c:pt idx="64">
                  <c:v>1718.0574178537029</c:v>
                </c:pt>
                <c:pt idx="65">
                  <c:v>1718.6200211394034</c:v>
                </c:pt>
                <c:pt idx="66">
                  <c:v>1719.1826244251038</c:v>
                </c:pt>
                <c:pt idx="67">
                  <c:v>1719.7452277108041</c:v>
                </c:pt>
                <c:pt idx="68">
                  <c:v>1720.3078309965044</c:v>
                </c:pt>
                <c:pt idx="69">
                  <c:v>1720.870434282205</c:v>
                </c:pt>
                <c:pt idx="70">
                  <c:v>1721.4330375679053</c:v>
                </c:pt>
                <c:pt idx="71">
                  <c:v>1721.9956408536057</c:v>
                </c:pt>
                <c:pt idx="72">
                  <c:v>1722.5582441393062</c:v>
                </c:pt>
                <c:pt idx="73">
                  <c:v>1723.1208474250066</c:v>
                </c:pt>
                <c:pt idx="74">
                  <c:v>1723.6834507107069</c:v>
                </c:pt>
                <c:pt idx="75">
                  <c:v>1724.2460539964072</c:v>
                </c:pt>
                <c:pt idx="76">
                  <c:v>1724.8086572821078</c:v>
                </c:pt>
                <c:pt idx="77">
                  <c:v>1725.3712605678081</c:v>
                </c:pt>
                <c:pt idx="78">
                  <c:v>1725.9338638535085</c:v>
                </c:pt>
                <c:pt idx="79">
                  <c:v>1726.496467139209</c:v>
                </c:pt>
                <c:pt idx="80">
                  <c:v>1727.0590704249094</c:v>
                </c:pt>
                <c:pt idx="81">
                  <c:v>1727.6216737106097</c:v>
                </c:pt>
                <c:pt idx="82">
                  <c:v>1728.18427699631</c:v>
                </c:pt>
                <c:pt idx="83">
                  <c:v>1728.7468802820106</c:v>
                </c:pt>
                <c:pt idx="84">
                  <c:v>1729.3094835677109</c:v>
                </c:pt>
                <c:pt idx="85">
                  <c:v>1729.8720868534112</c:v>
                </c:pt>
                <c:pt idx="86">
                  <c:v>1730.4346901391116</c:v>
                </c:pt>
                <c:pt idx="87">
                  <c:v>1730.9972934248121</c:v>
                </c:pt>
                <c:pt idx="88">
                  <c:v>1731.5598967105125</c:v>
                </c:pt>
                <c:pt idx="89">
                  <c:v>1732.1224999962128</c:v>
                </c:pt>
                <c:pt idx="90">
                  <c:v>1732.6851032819134</c:v>
                </c:pt>
                <c:pt idx="91">
                  <c:v>1733.2477065676137</c:v>
                </c:pt>
                <c:pt idx="92">
                  <c:v>1733.810309853314</c:v>
                </c:pt>
                <c:pt idx="93">
                  <c:v>1734.3729131390144</c:v>
                </c:pt>
                <c:pt idx="94">
                  <c:v>1734.9355164247149</c:v>
                </c:pt>
                <c:pt idx="95">
                  <c:v>1735.4981197104153</c:v>
                </c:pt>
                <c:pt idx="96">
                  <c:v>1736.0607229961156</c:v>
                </c:pt>
                <c:pt idx="97">
                  <c:v>1736.6233262818162</c:v>
                </c:pt>
                <c:pt idx="98">
                  <c:v>1737.1859295675165</c:v>
                </c:pt>
                <c:pt idx="99">
                  <c:v>1737.7485328532168</c:v>
                </c:pt>
                <c:pt idx="100">
                  <c:v>1738.3111361389172</c:v>
                </c:pt>
                <c:pt idx="101">
                  <c:v>1738.8737394246177</c:v>
                </c:pt>
                <c:pt idx="102">
                  <c:v>1739.4363427103181</c:v>
                </c:pt>
                <c:pt idx="103">
                  <c:v>1739.9989459960184</c:v>
                </c:pt>
                <c:pt idx="104">
                  <c:v>1740.561549281719</c:v>
                </c:pt>
                <c:pt idx="105">
                  <c:v>1741.1241525674193</c:v>
                </c:pt>
                <c:pt idx="106">
                  <c:v>1741.6867558531196</c:v>
                </c:pt>
                <c:pt idx="107">
                  <c:v>1742.24935913882</c:v>
                </c:pt>
                <c:pt idx="108">
                  <c:v>1742.8119624245205</c:v>
                </c:pt>
                <c:pt idx="109">
                  <c:v>1743.3745657102208</c:v>
                </c:pt>
                <c:pt idx="110">
                  <c:v>1743.9371689959212</c:v>
                </c:pt>
                <c:pt idx="111">
                  <c:v>1744.4997722816217</c:v>
                </c:pt>
                <c:pt idx="112">
                  <c:v>1745.0623755673221</c:v>
                </c:pt>
                <c:pt idx="113">
                  <c:v>1745.6249788530224</c:v>
                </c:pt>
                <c:pt idx="114">
                  <c:v>1746.1875821387227</c:v>
                </c:pt>
                <c:pt idx="115">
                  <c:v>1746.7501854244233</c:v>
                </c:pt>
                <c:pt idx="116">
                  <c:v>1747.3127887101236</c:v>
                </c:pt>
                <c:pt idx="117">
                  <c:v>1747.875391995824</c:v>
                </c:pt>
                <c:pt idx="118">
                  <c:v>1748.4379952815245</c:v>
                </c:pt>
                <c:pt idx="119">
                  <c:v>1749.0005985672249</c:v>
                </c:pt>
                <c:pt idx="120">
                  <c:v>1749.5632018529252</c:v>
                </c:pt>
                <c:pt idx="121">
                  <c:v>1750.1258051386255</c:v>
                </c:pt>
                <c:pt idx="122">
                  <c:v>1750.6884084243261</c:v>
                </c:pt>
                <c:pt idx="123">
                  <c:v>1751.2510117100264</c:v>
                </c:pt>
                <c:pt idx="124">
                  <c:v>1751.8136149957268</c:v>
                </c:pt>
                <c:pt idx="125">
                  <c:v>1752.3762182814273</c:v>
                </c:pt>
                <c:pt idx="126">
                  <c:v>1752.9388215671277</c:v>
                </c:pt>
                <c:pt idx="127">
                  <c:v>1753.501424852828</c:v>
                </c:pt>
                <c:pt idx="128">
                  <c:v>1754.0640281385283</c:v>
                </c:pt>
                <c:pt idx="129">
                  <c:v>1754.6266314242289</c:v>
                </c:pt>
                <c:pt idx="130">
                  <c:v>1755.1892347099292</c:v>
                </c:pt>
                <c:pt idx="131">
                  <c:v>1755.7518379956296</c:v>
                </c:pt>
                <c:pt idx="132">
                  <c:v>1756.3144412813301</c:v>
                </c:pt>
                <c:pt idx="133">
                  <c:v>1756.8770445670305</c:v>
                </c:pt>
                <c:pt idx="134">
                  <c:v>1757.4396478527308</c:v>
                </c:pt>
                <c:pt idx="135">
                  <c:v>1758.0022511384311</c:v>
                </c:pt>
                <c:pt idx="136">
                  <c:v>1758.5648544241317</c:v>
                </c:pt>
                <c:pt idx="137">
                  <c:v>1759.127457709832</c:v>
                </c:pt>
                <c:pt idx="138">
                  <c:v>1759.6900609955323</c:v>
                </c:pt>
                <c:pt idx="139">
                  <c:v>1760.2526642812329</c:v>
                </c:pt>
                <c:pt idx="140">
                  <c:v>1760.8152675669332</c:v>
                </c:pt>
                <c:pt idx="141">
                  <c:v>1761.3778708526336</c:v>
                </c:pt>
                <c:pt idx="142">
                  <c:v>1761.9404741383339</c:v>
                </c:pt>
                <c:pt idx="143">
                  <c:v>1762.5030774240345</c:v>
                </c:pt>
                <c:pt idx="144">
                  <c:v>1763.0656807097348</c:v>
                </c:pt>
                <c:pt idx="145">
                  <c:v>1763.6282839954351</c:v>
                </c:pt>
                <c:pt idx="146">
                  <c:v>1764.1908872811357</c:v>
                </c:pt>
                <c:pt idx="147">
                  <c:v>1764.753490566836</c:v>
                </c:pt>
                <c:pt idx="148">
                  <c:v>1765.3160938525364</c:v>
                </c:pt>
                <c:pt idx="149">
                  <c:v>1765.8786971382367</c:v>
                </c:pt>
                <c:pt idx="150">
                  <c:v>1766.4413004239373</c:v>
                </c:pt>
                <c:pt idx="151">
                  <c:v>1767.0039037096376</c:v>
                </c:pt>
                <c:pt idx="152">
                  <c:v>1767.5665069953379</c:v>
                </c:pt>
                <c:pt idx="153">
                  <c:v>1768.1291102810385</c:v>
                </c:pt>
                <c:pt idx="154">
                  <c:v>1768.6917135667388</c:v>
                </c:pt>
                <c:pt idx="155">
                  <c:v>1769.2543168524392</c:v>
                </c:pt>
                <c:pt idx="156">
                  <c:v>1769.8169201381395</c:v>
                </c:pt>
                <c:pt idx="157">
                  <c:v>1770.3795234238401</c:v>
                </c:pt>
                <c:pt idx="158">
                  <c:v>1770.9421267095404</c:v>
                </c:pt>
                <c:pt idx="159">
                  <c:v>1771.5047299952407</c:v>
                </c:pt>
                <c:pt idx="160">
                  <c:v>1772.0673332809413</c:v>
                </c:pt>
                <c:pt idx="161">
                  <c:v>1772.6299365666416</c:v>
                </c:pt>
                <c:pt idx="162">
                  <c:v>1773.192539852342</c:v>
                </c:pt>
                <c:pt idx="163">
                  <c:v>1773.7551431380423</c:v>
                </c:pt>
                <c:pt idx="164">
                  <c:v>1774.3177464237428</c:v>
                </c:pt>
                <c:pt idx="165">
                  <c:v>1774.8803497094432</c:v>
                </c:pt>
                <c:pt idx="166">
                  <c:v>1775.4429529951435</c:v>
                </c:pt>
                <c:pt idx="167">
                  <c:v>1776.0055562808441</c:v>
                </c:pt>
                <c:pt idx="168">
                  <c:v>1776.5681595665444</c:v>
                </c:pt>
                <c:pt idx="169">
                  <c:v>1777.1307628522447</c:v>
                </c:pt>
                <c:pt idx="170">
                  <c:v>1777.6933661379451</c:v>
                </c:pt>
                <c:pt idx="171">
                  <c:v>1778.2559694236456</c:v>
                </c:pt>
                <c:pt idx="172">
                  <c:v>1778.818572709346</c:v>
                </c:pt>
                <c:pt idx="173">
                  <c:v>1779.3811759950463</c:v>
                </c:pt>
                <c:pt idx="174">
                  <c:v>1779.9437792807469</c:v>
                </c:pt>
                <c:pt idx="175">
                  <c:v>1780.5063825664472</c:v>
                </c:pt>
                <c:pt idx="176">
                  <c:v>1781.0689858521475</c:v>
                </c:pt>
                <c:pt idx="177">
                  <c:v>1781.6315891378479</c:v>
                </c:pt>
                <c:pt idx="178">
                  <c:v>1782.1941924235484</c:v>
                </c:pt>
                <c:pt idx="179">
                  <c:v>1782.7567957092488</c:v>
                </c:pt>
                <c:pt idx="180">
                  <c:v>1783.3193989949491</c:v>
                </c:pt>
                <c:pt idx="181">
                  <c:v>1783.8820022806494</c:v>
                </c:pt>
                <c:pt idx="182">
                  <c:v>1784.44460556635</c:v>
                </c:pt>
                <c:pt idx="183">
                  <c:v>1785.0072088520503</c:v>
                </c:pt>
                <c:pt idx="184">
                  <c:v>1785.5698121377507</c:v>
                </c:pt>
                <c:pt idx="185">
                  <c:v>1786.1324154234512</c:v>
                </c:pt>
                <c:pt idx="186">
                  <c:v>1786.6950187091516</c:v>
                </c:pt>
                <c:pt idx="187">
                  <c:v>1787.2576219948519</c:v>
                </c:pt>
                <c:pt idx="188">
                  <c:v>1787.8202252805522</c:v>
                </c:pt>
                <c:pt idx="189">
                  <c:v>1788.3828285662528</c:v>
                </c:pt>
                <c:pt idx="190">
                  <c:v>1788.9454318519531</c:v>
                </c:pt>
                <c:pt idx="191">
                  <c:v>1789.5080351376535</c:v>
                </c:pt>
                <c:pt idx="192">
                  <c:v>1790.070638423354</c:v>
                </c:pt>
                <c:pt idx="193">
                  <c:v>1790.6332417090543</c:v>
                </c:pt>
                <c:pt idx="194">
                  <c:v>1791.1958449947547</c:v>
                </c:pt>
                <c:pt idx="195">
                  <c:v>1791.758448280455</c:v>
                </c:pt>
                <c:pt idx="196">
                  <c:v>1792.3210515661556</c:v>
                </c:pt>
                <c:pt idx="197">
                  <c:v>1792.8836548518559</c:v>
                </c:pt>
                <c:pt idx="198">
                  <c:v>1793.4462581375562</c:v>
                </c:pt>
                <c:pt idx="199">
                  <c:v>1794.0088614232568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305</xdr:row>
          <xdr:rowOff>123190</xdr:rowOff>
        </xdr:from>
        <xdr:to>
          <xdr:col>25</xdr:col>
          <xdr:colOff>226060</xdr:colOff>
          <xdr:row>359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89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1647090"/>
              <a:ext cx="3591560" cy="87922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5"/>
  <sheetViews>
    <sheetView workbookViewId="0">
      <pane ySplit="9" topLeftCell="A352" activePane="bottomLeft" state="frozen"/>
      <selection pane="bottomLeft" activeCell="I362" sqref="I36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9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3</v>
      </c>
      <c r="R58" s="5">
        <f ca="1"/>
        <v>3</v>
      </c>
      <c r="S58" s="5">
        <f ca="1"/>
        <v>1</v>
      </c>
      <c r="T58" s="5">
        <f ca="1"/>
        <v>3</v>
      </c>
      <c r="U58" s="5">
        <f ca="1"/>
        <v>3</v>
      </c>
      <c r="V58" s="5">
        <f ca="1"/>
        <v>3</v>
      </c>
      <c r="W58" s="5">
        <f ca="1"/>
        <v>3</v>
      </c>
      <c r="X58" s="5">
        <f ca="1"/>
        <v>3</v>
      </c>
      <c r="Y58" s="5">
        <f ca="1"/>
        <v>3</v>
      </c>
      <c r="Z58">
        <f ca="1"/>
        <v>3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2" spans="2:16" x14ac:dyDescent="0.25">
      <c r="P362" t="s">
        <v>35</v>
      </c>
    </row>
    <row r="363" spans="2:16" x14ac:dyDescent="0.25">
      <c r="P363" t="s">
        <v>36</v>
      </c>
    </row>
    <row r="364" spans="2:16" x14ac:dyDescent="0.25">
      <c r="P364" t="s">
        <v>40</v>
      </c>
    </row>
    <row r="365" spans="2:16" x14ac:dyDescent="0.25">
      <c r="P365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9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J216"/>
  <sheetViews>
    <sheetView topLeftCell="A88" workbookViewId="0">
      <selection activeCell="H105" sqref="H105"/>
    </sheetView>
  </sheetViews>
  <sheetFormatPr defaultRowHeight="13.2" x14ac:dyDescent="0.25"/>
  <sheetData>
    <row r="1" spans="2:6" x14ac:dyDescent="0.25">
      <c r="B1" t="s">
        <v>133</v>
      </c>
      <c r="C1">
        <v>90</v>
      </c>
      <c r="D1" t="s">
        <v>137</v>
      </c>
    </row>
    <row r="2" spans="2:6" x14ac:dyDescent="0.25">
      <c r="B2" t="s">
        <v>134</v>
      </c>
      <c r="C2">
        <v>30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_R*COS(PI()/2-_B*PI()/180)</f>
        <v>999.99999999999977</v>
      </c>
      <c r="D8" t="s">
        <v>140</v>
      </c>
    </row>
    <row r="9" spans="2:6" x14ac:dyDescent="0.25">
      <c r="B9" t="s">
        <v>145</v>
      </c>
      <c r="C9" s="29">
        <f>_R*SIN(PI()/2-_B*PI()/180)</f>
        <v>1732.0508075688774</v>
      </c>
      <c r="D9" t="s">
        <v>140</v>
      </c>
    </row>
    <row r="10" spans="2:6" x14ac:dyDescent="0.25">
      <c r="B10" t="s">
        <v>148</v>
      </c>
      <c r="C10">
        <f>(_B+_AOB)-90</f>
        <v>30</v>
      </c>
      <c r="D10" t="s">
        <v>149</v>
      </c>
    </row>
    <row r="11" spans="2:6" x14ac:dyDescent="0.25">
      <c r="B11" t="s">
        <v>147</v>
      </c>
      <c r="C11">
        <f>-SIN(PI()/180*_Theta)*_L</f>
        <v>-49.999999999999993</v>
      </c>
    </row>
    <row r="12" spans="2:6" x14ac:dyDescent="0.25">
      <c r="B12" t="s">
        <v>146</v>
      </c>
      <c r="C12">
        <f>-COS(PI()/180*C10)*_L</f>
        <v>-86.602540378443877</v>
      </c>
      <c r="F12">
        <f>ATAN(C11/C12)*180/PI()</f>
        <v>29.999999999999996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0" x14ac:dyDescent="0.25">
      <c r="B17" cm="1">
        <f t="array" ref="B17:B216">_xlfn.SEQUENCE(200,1,0,1)</f>
        <v>0</v>
      </c>
      <c r="C17">
        <f>COS(PI()/180*_Theta)*_vyps*B17+_xShip+__xL</f>
        <v>913.39745962155587</v>
      </c>
      <c r="D17">
        <f>SIN(PI()/180*_Theta)*_vyps*B17+_yShip+_yL</f>
        <v>1682.0508075688774</v>
      </c>
      <c r="E17">
        <f>B17*CONVERT(CONVERT(_vSub,"kn","m/sec"),"m","yd")</f>
        <v>0</v>
      </c>
      <c r="F17">
        <f>ATAN2(C17,D17-E17)*180/PI()</f>
        <v>61.496885630374898</v>
      </c>
    </row>
    <row r="18" spans="2:10" x14ac:dyDescent="0.25">
      <c r="B18">
        <v>1</v>
      </c>
      <c r="C18">
        <f>COS(PI()/180*_Theta)*_vyps*B18+_xShip+__xL</f>
        <v>914.37191709689409</v>
      </c>
      <c r="D18">
        <f>SIN(PI()/180*_Theta)*_vyps*B18+_yShip+_yL</f>
        <v>1682.6134108545778</v>
      </c>
      <c r="E18">
        <f>B18*CONVERT(CONVERT(_vSub,"kn","m/sec"),"m","yd")</f>
        <v>0</v>
      </c>
      <c r="F18">
        <f t="shared" ref="F18:F81" si="0">ATAN2(C18,D18-E18)*180/PI()</f>
        <v>61.479297065907282</v>
      </c>
    </row>
    <row r="19" spans="2:10" x14ac:dyDescent="0.25">
      <c r="B19">
        <v>2</v>
      </c>
      <c r="C19">
        <f>COS(PI()/180*_Theta)*_vyps*B19+_xShip+__xL</f>
        <v>915.34637457223243</v>
      </c>
      <c r="D19">
        <f>SIN(PI()/180*_Theta)*_vyps*B19+_yShip+_yL</f>
        <v>1683.1760141402783</v>
      </c>
      <c r="E19">
        <f>B19*CONVERT(CONVERT(_vSub,"kn","m/sec"),"m","yd")</f>
        <v>0</v>
      </c>
      <c r="F19">
        <f t="shared" si="0"/>
        <v>61.461726119816056</v>
      </c>
    </row>
    <row r="20" spans="2:10" x14ac:dyDescent="0.25">
      <c r="B20">
        <v>3</v>
      </c>
      <c r="C20">
        <f>COS(PI()/180*_Theta)*_vyps*B20+_xShip+__xL</f>
        <v>916.32083204757066</v>
      </c>
      <c r="D20">
        <f>SIN(PI()/180*_Theta)*_vyps*B20+_yShip+_yL</f>
        <v>1683.7386174259786</v>
      </c>
      <c r="E20">
        <f>B20*CONVERT(CONVERT(_vSub,"kn","m/sec"),"m","yd")</f>
        <v>0</v>
      </c>
      <c r="F20">
        <f t="shared" si="0"/>
        <v>61.444172768942146</v>
      </c>
      <c r="J20">
        <f>100/1.125</f>
        <v>88.888888888888886</v>
      </c>
    </row>
    <row r="21" spans="2:10" x14ac:dyDescent="0.25">
      <c r="B21">
        <v>4</v>
      </c>
      <c r="C21">
        <f>COS(PI()/180*_Theta)*_vyps*B21+_xShip+__xL</f>
        <v>917.295289522909</v>
      </c>
      <c r="D21">
        <f>SIN(PI()/180*_Theta)*_vyps*B21+_yShip+_yL</f>
        <v>1684.301220711679</v>
      </c>
      <c r="E21">
        <f>B21*CONVERT(CONVERT(_vSub,"kn","m/sec"),"m","yd")</f>
        <v>0</v>
      </c>
      <c r="F21">
        <f t="shared" si="0"/>
        <v>61.426636990159622</v>
      </c>
    </row>
    <row r="22" spans="2:10" x14ac:dyDescent="0.25">
      <c r="B22">
        <v>5</v>
      </c>
      <c r="C22">
        <f>COS(PI()/180*_Theta)*_vyps*B22+_xShip+__xL</f>
        <v>918.26974699824723</v>
      </c>
      <c r="D22">
        <f>SIN(PI()/180*_Theta)*_vyps*B22+_yShip+_yL</f>
        <v>1684.8638239973793</v>
      </c>
      <c r="E22">
        <f>B22*CONVERT(CONVERT(_vSub,"kn","m/sec"),"m","yd")</f>
        <v>0</v>
      </c>
      <c r="F22">
        <f t="shared" si="0"/>
        <v>61.409118760375669</v>
      </c>
    </row>
    <row r="23" spans="2:10" x14ac:dyDescent="0.25">
      <c r="B23">
        <v>6</v>
      </c>
      <c r="C23">
        <f>COS(PI()/180*_Theta)*_vyps*B23+_xShip+__xL</f>
        <v>919.24420447358557</v>
      </c>
      <c r="D23">
        <f>SIN(PI()/180*_Theta)*_vyps*B23+_yShip+_yL</f>
        <v>1685.4264272830799</v>
      </c>
      <c r="E23">
        <f>B23*CONVERT(CONVERT(_vSub,"kn","m/sec"),"m","yd")</f>
        <v>0</v>
      </c>
      <c r="F23">
        <f t="shared" si="0"/>
        <v>61.391618056530525</v>
      </c>
    </row>
    <row r="24" spans="2:10" x14ac:dyDescent="0.25">
      <c r="B24">
        <v>7</v>
      </c>
      <c r="C24">
        <f>COS(PI()/180*_Theta)*_vyps*B24+_xShip+__xL</f>
        <v>920.2186619489238</v>
      </c>
      <c r="D24">
        <f>SIN(PI()/180*_Theta)*_vyps*B24+_yShip+_yL</f>
        <v>1685.9890305687802</v>
      </c>
      <c r="E24">
        <f>B24*CONVERT(CONVERT(_vSub,"kn","m/sec"),"m","yd")</f>
        <v>0</v>
      </c>
      <c r="F24">
        <f t="shared" si="0"/>
        <v>61.374134855597497</v>
      </c>
    </row>
    <row r="25" spans="2:10" x14ac:dyDescent="0.25">
      <c r="B25">
        <v>8</v>
      </c>
      <c r="C25">
        <f>COS(PI()/180*_Theta)*_vyps*B25+_xShip+__xL</f>
        <v>921.19311942426214</v>
      </c>
      <c r="D25">
        <f>SIN(PI()/180*_Theta)*_vyps*B25+_yShip+_yL</f>
        <v>1686.5516338544805</v>
      </c>
      <c r="E25">
        <f>B25*CONVERT(CONVERT(_vSub,"kn","m/sec"),"m","yd")</f>
        <v>0</v>
      </c>
      <c r="F25">
        <f t="shared" si="0"/>
        <v>61.356669134582866</v>
      </c>
    </row>
    <row r="26" spans="2:10" x14ac:dyDescent="0.25">
      <c r="B26">
        <v>9</v>
      </c>
      <c r="C26">
        <f>COS(PI()/180*_Theta)*_vyps*B26+_xShip+__xL</f>
        <v>922.16757689960036</v>
      </c>
      <c r="D26">
        <f>SIN(PI()/180*_Theta)*_vyps*B26+_yShip+_yL</f>
        <v>1687.1142371401811</v>
      </c>
      <c r="E26">
        <f>B26*CONVERT(CONVERT(_vSub,"kn","m/sec"),"m","yd")</f>
        <v>0</v>
      </c>
      <c r="F26">
        <f t="shared" si="0"/>
        <v>61.339220870525871</v>
      </c>
    </row>
    <row r="27" spans="2:10" x14ac:dyDescent="0.25">
      <c r="B27">
        <v>10</v>
      </c>
      <c r="C27">
        <f>COS(PI()/180*_Theta)*_vyps*B27+_xShip+__xL</f>
        <v>923.1420343749387</v>
      </c>
      <c r="D27">
        <f>SIN(PI()/180*_Theta)*_vyps*B27+_yShip+_yL</f>
        <v>1687.6768404258814</v>
      </c>
      <c r="E27">
        <f>B27*CONVERT(CONVERT(_vSub,"kn","m/sec"),"m","yd")</f>
        <v>0</v>
      </c>
      <c r="F27">
        <f t="shared" si="0"/>
        <v>61.321790040498698</v>
      </c>
    </row>
    <row r="28" spans="2:10" x14ac:dyDescent="0.25">
      <c r="B28">
        <v>11</v>
      </c>
      <c r="C28">
        <f>COS(PI()/180*_Theta)*_vyps*B28+_xShip+__xL</f>
        <v>924.11649185027693</v>
      </c>
      <c r="D28">
        <f>SIN(PI()/180*_Theta)*_vyps*B28+_yShip+_yL</f>
        <v>1688.2394437115818</v>
      </c>
      <c r="E28">
        <f>B28*CONVERT(CONVERT(_vSub,"kn","m/sec"),"m","yd")</f>
        <v>0</v>
      </c>
      <c r="F28">
        <f t="shared" si="0"/>
        <v>61.304376621606401</v>
      </c>
    </row>
    <row r="29" spans="2:10" x14ac:dyDescent="0.25">
      <c r="B29">
        <v>12</v>
      </c>
      <c r="C29">
        <f>COS(PI()/180*_Theta)*_vyps*B29+_xShip+__xL</f>
        <v>925.09094932561527</v>
      </c>
      <c r="D29">
        <f>SIN(PI()/180*_Theta)*_vyps*B29+_yShip+_yL</f>
        <v>1688.8020469972821</v>
      </c>
      <c r="E29">
        <f>B29*CONVERT(CONVERT(_vSub,"kn","m/sec"),"m","yd")</f>
        <v>0</v>
      </c>
      <c r="F29">
        <f t="shared" si="0"/>
        <v>61.2869805909869</v>
      </c>
    </row>
    <row r="30" spans="2:10" x14ac:dyDescent="0.25">
      <c r="B30">
        <v>13</v>
      </c>
      <c r="C30">
        <f>COS(PI()/180*_Theta)*_vyps*B30+_xShip+__xL</f>
        <v>926.0654068009535</v>
      </c>
      <c r="D30">
        <f>SIN(PI()/180*_Theta)*_vyps*B30+_yShip+_yL</f>
        <v>1689.3646502829827</v>
      </c>
      <c r="E30">
        <f>B30*CONVERT(CONVERT(_vSub,"kn","m/sec"),"m","yd")</f>
        <v>0</v>
      </c>
      <c r="F30">
        <f t="shared" si="0"/>
        <v>61.269601925810903</v>
      </c>
    </row>
    <row r="31" spans="2:10" x14ac:dyDescent="0.25">
      <c r="B31">
        <v>14</v>
      </c>
      <c r="C31">
        <f>COS(PI()/180*_Theta)*_vyps*B31+_xShip+__xL</f>
        <v>927.03986427629172</v>
      </c>
      <c r="D31">
        <f>SIN(PI()/180*_Theta)*_vyps*B31+_yShip+_yL</f>
        <v>1689.927253568683</v>
      </c>
      <c r="E31">
        <f>B31*CONVERT(CONVERT(_vSub,"kn","m/sec"),"m","yd")</f>
        <v>0</v>
      </c>
      <c r="F31">
        <f t="shared" si="0"/>
        <v>61.252240603281912</v>
      </c>
    </row>
    <row r="32" spans="2:10" x14ac:dyDescent="0.25">
      <c r="B32">
        <v>15</v>
      </c>
      <c r="C32">
        <f>COS(PI()/180*_Theta)*_vyps*B32+_xShip+__xL</f>
        <v>928.01432175163006</v>
      </c>
      <c r="D32">
        <f>SIN(PI()/180*_Theta)*_vyps*B32+_yShip+_yL</f>
        <v>1690.4898568543833</v>
      </c>
      <c r="E32">
        <f>B32*CONVERT(CONVERT(_vSub,"kn","m/sec"),"m","yd")</f>
        <v>0</v>
      </c>
      <c r="F32">
        <f t="shared" si="0"/>
        <v>61.234896600636148</v>
      </c>
    </row>
    <row r="33" spans="2:6" x14ac:dyDescent="0.25">
      <c r="B33">
        <v>16</v>
      </c>
      <c r="C33">
        <f>COS(PI()/180*_Theta)*_vyps*B33+_xShip+__xL</f>
        <v>928.98877922696829</v>
      </c>
      <c r="D33">
        <f>SIN(PI()/180*_Theta)*_vyps*B33+_yShip+_yL</f>
        <v>1691.0524601400839</v>
      </c>
      <c r="E33">
        <f>B33*CONVERT(CONVERT(_vSub,"kn","m/sec"),"m","yd")</f>
        <v>0</v>
      </c>
      <c r="F33">
        <f t="shared" si="0"/>
        <v>61.217569895142582</v>
      </c>
    </row>
    <row r="34" spans="2:6" x14ac:dyDescent="0.25">
      <c r="B34">
        <v>17</v>
      </c>
      <c r="C34">
        <f>COS(PI()/180*_Theta)*_vyps*B34+_xShip+__xL</f>
        <v>929.96323670230663</v>
      </c>
      <c r="D34">
        <f>SIN(PI()/180*_Theta)*_vyps*B34+_yShip+_yL</f>
        <v>1691.6150634257842</v>
      </c>
      <c r="E34">
        <f>B34*CONVERT(CONVERT(_vSub,"kn","m/sec"),"m","yd")</f>
        <v>0</v>
      </c>
      <c r="F34">
        <f t="shared" si="0"/>
        <v>61.200260464102755</v>
      </c>
    </row>
    <row r="35" spans="2:6" x14ac:dyDescent="0.25">
      <c r="B35">
        <v>18</v>
      </c>
      <c r="C35">
        <f>COS(PI()/180*_Theta)*_vyps*B35+_xShip+__xL</f>
        <v>930.93769417764486</v>
      </c>
      <c r="D35">
        <f>SIN(PI()/180*_Theta)*_vyps*B35+_yShip+_yL</f>
        <v>1692.1776667114846</v>
      </c>
      <c r="E35">
        <f>B35*CONVERT(CONVERT(_vSub,"kn","m/sec"),"m","yd")</f>
        <v>0</v>
      </c>
      <c r="F35">
        <f t="shared" si="0"/>
        <v>61.182968284850922</v>
      </c>
    </row>
    <row r="36" spans="2:6" x14ac:dyDescent="0.25">
      <c r="B36">
        <v>19</v>
      </c>
      <c r="C36">
        <f>COS(PI()/180*_Theta)*_vyps*B36+_xShip+__xL</f>
        <v>931.9121516529832</v>
      </c>
      <c r="D36">
        <f>SIN(PI()/180*_Theta)*_vyps*B36+_yShip+_yL</f>
        <v>1692.7402699971849</v>
      </c>
      <c r="E36">
        <f>B36*CONVERT(CONVERT(_vSub,"kn","m/sec"),"m","yd")</f>
        <v>0</v>
      </c>
      <c r="F36">
        <f t="shared" si="0"/>
        <v>61.165693334753875</v>
      </c>
    </row>
    <row r="37" spans="2:6" x14ac:dyDescent="0.25">
      <c r="B37">
        <v>20</v>
      </c>
      <c r="C37">
        <f>COS(PI()/180*_Theta)*_vyps*B37+_xShip+__xL</f>
        <v>932.88660912832142</v>
      </c>
      <c r="D37">
        <f>SIN(PI()/180*_Theta)*_vyps*B37+_yShip+_yL</f>
        <v>1693.3028732828855</v>
      </c>
      <c r="E37">
        <f>B37*CONVERT(CONVERT(_vSub,"kn","m/sec"),"m","yd")</f>
        <v>0</v>
      </c>
      <c r="F37">
        <f t="shared" si="0"/>
        <v>61.148435591210998</v>
      </c>
    </row>
    <row r="38" spans="2:6" x14ac:dyDescent="0.25">
      <c r="B38">
        <v>21</v>
      </c>
      <c r="C38">
        <f>COS(PI()/180*_Theta)*_vyps*B38+_xShip+__xL</f>
        <v>933.86106660365976</v>
      </c>
      <c r="D38">
        <f>SIN(PI()/180*_Theta)*_vyps*B38+_yShip+_yL</f>
        <v>1693.8654765685858</v>
      </c>
      <c r="E38">
        <f>B38*CONVERT(CONVERT(_vSub,"kn","m/sec"),"m","yd")</f>
        <v>0</v>
      </c>
      <c r="F38">
        <f t="shared" si="0"/>
        <v>61.131195031654116</v>
      </c>
    </row>
    <row r="39" spans="2:6" x14ac:dyDescent="0.25">
      <c r="B39">
        <v>22</v>
      </c>
      <c r="C39">
        <f>COS(PI()/180*_Theta)*_vyps*B39+_xShip+__xL</f>
        <v>934.83552407899799</v>
      </c>
      <c r="D39">
        <f>SIN(PI()/180*_Theta)*_vyps*B39+_yShip+_yL</f>
        <v>1694.4280798542861</v>
      </c>
      <c r="E39">
        <f>B39*CONVERT(CONVERT(_vSub,"kn","m/sec"),"m","yd")</f>
        <v>0</v>
      </c>
      <c r="F39">
        <f t="shared" si="0"/>
        <v>61.113971633547585</v>
      </c>
    </row>
    <row r="40" spans="2:6" x14ac:dyDescent="0.25">
      <c r="B40">
        <v>23</v>
      </c>
      <c r="C40">
        <f>COS(PI()/180*_Theta)*_vyps*B40+_xShip+__xL</f>
        <v>935.80998155433633</v>
      </c>
      <c r="D40">
        <f>SIN(PI()/180*_Theta)*_vyps*B40+_yShip+_yL</f>
        <v>1694.9906831399867</v>
      </c>
      <c r="E40">
        <f>B40*CONVERT(CONVERT(_vSub,"kn","m/sec"),"m","yd")</f>
        <v>0</v>
      </c>
      <c r="F40">
        <f t="shared" si="0"/>
        <v>61.096765374388177</v>
      </c>
    </row>
    <row r="41" spans="2:6" x14ac:dyDescent="0.25">
      <c r="B41">
        <v>24</v>
      </c>
      <c r="C41">
        <f>COS(PI()/180*_Theta)*_vyps*B41+_xShip+__xL</f>
        <v>936.78443902967456</v>
      </c>
      <c r="D41">
        <f>SIN(PI()/180*_Theta)*_vyps*B41+_yShip+_yL</f>
        <v>1695.553286425687</v>
      </c>
      <c r="E41">
        <f>B41*CONVERT(CONVERT(_vSub,"kn","m/sec"),"m","yd")</f>
        <v>0</v>
      </c>
      <c r="F41">
        <f t="shared" si="0"/>
        <v>61.079576231705076</v>
      </c>
    </row>
    <row r="42" spans="2:6" x14ac:dyDescent="0.25">
      <c r="B42">
        <v>25</v>
      </c>
      <c r="C42">
        <f>COS(PI()/180*_Theta)*_vyps*B42+_xShip+__xL</f>
        <v>937.75889650501279</v>
      </c>
      <c r="D42">
        <f>SIN(PI()/180*_Theta)*_vyps*B42+_yShip+_yL</f>
        <v>1696.1158897113874</v>
      </c>
      <c r="E42">
        <f>B42*CONVERT(CONVERT(_vSub,"kn","m/sec"),"m","yd")</f>
        <v>0</v>
      </c>
      <c r="F42">
        <f t="shared" si="0"/>
        <v>61.062404183059819</v>
      </c>
    </row>
    <row r="43" spans="2:6" x14ac:dyDescent="0.25">
      <c r="B43">
        <v>26</v>
      </c>
      <c r="C43">
        <f>COS(PI()/180*_Theta)*_vyps*B43+_xShip+__xL</f>
        <v>938.73335398035113</v>
      </c>
      <c r="D43">
        <f>SIN(PI()/180*_Theta)*_vyps*B43+_yShip+_yL</f>
        <v>1696.6784929970877</v>
      </c>
      <c r="E43">
        <f>B43*CONVERT(CONVERT(_vSub,"kn","m/sec"),"m","yd")</f>
        <v>0</v>
      </c>
      <c r="F43">
        <f t="shared" si="0"/>
        <v>61.04524920604625</v>
      </c>
    </row>
    <row r="44" spans="2:6" x14ac:dyDescent="0.25">
      <c r="B44">
        <v>27</v>
      </c>
      <c r="C44">
        <f>COS(PI()/180*_Theta)*_vyps*B44+_xShip+__xL</f>
        <v>939.70781145568947</v>
      </c>
      <c r="D44">
        <f>SIN(PI()/180*_Theta)*_vyps*B44+_yShip+_yL</f>
        <v>1697.2410962827882</v>
      </c>
      <c r="E44">
        <f>B44*CONVERT(CONVERT(_vSub,"kn","m/sec"),"m","yd")</f>
        <v>0</v>
      </c>
      <c r="F44">
        <f t="shared" si="0"/>
        <v>61.028111278290538</v>
      </c>
    </row>
    <row r="45" spans="2:6" x14ac:dyDescent="0.25">
      <c r="B45">
        <v>28</v>
      </c>
      <c r="C45">
        <f>COS(PI()/180*_Theta)*_vyps*B45+_xShip+__xL</f>
        <v>940.68226893102758</v>
      </c>
      <c r="D45">
        <f>SIN(PI()/180*_Theta)*_vyps*B45+_yShip+_yL</f>
        <v>1697.8036995684886</v>
      </c>
      <c r="E45">
        <f>B45*CONVERT(CONVERT(_vSub,"kn","m/sec"),"m","yd")</f>
        <v>0</v>
      </c>
      <c r="F45">
        <f t="shared" si="0"/>
        <v>61.010990377451044</v>
      </c>
    </row>
    <row r="46" spans="2:6" x14ac:dyDescent="0.25">
      <c r="B46">
        <v>29</v>
      </c>
      <c r="C46">
        <f>COS(PI()/180*_Theta)*_vyps*B46+_xShip+__xL</f>
        <v>941.65672640636592</v>
      </c>
      <c r="D46">
        <f>SIN(PI()/180*_Theta)*_vyps*B46+_yShip+_yL</f>
        <v>1698.3663028541889</v>
      </c>
      <c r="E46">
        <f>B46*CONVERT(CONVERT(_vSub,"kn","m/sec"),"m","yd")</f>
        <v>0</v>
      </c>
      <c r="F46">
        <f t="shared" si="0"/>
        <v>60.993886481218375</v>
      </c>
    </row>
    <row r="47" spans="2:6" x14ac:dyDescent="0.25">
      <c r="B47">
        <v>30</v>
      </c>
      <c r="C47">
        <f>COS(PI()/180*_Theta)*_vyps*B47+_xShip+__xL</f>
        <v>942.63118388170426</v>
      </c>
      <c r="D47">
        <f>SIN(PI()/180*_Theta)*_vyps*B47+_yShip+_yL</f>
        <v>1698.9289061398895</v>
      </c>
      <c r="E47">
        <f>B47*CONVERT(CONVERT(_vSub,"kn","m/sec"),"m","yd")</f>
        <v>0</v>
      </c>
      <c r="F47">
        <f t="shared" si="0"/>
        <v>60.976799567315311</v>
      </c>
    </row>
    <row r="48" spans="2:6" x14ac:dyDescent="0.25">
      <c r="B48">
        <v>31</v>
      </c>
      <c r="C48">
        <f>COS(PI()/180*_Theta)*_vyps*B48+_xShip+__xL</f>
        <v>943.6056413570426</v>
      </c>
      <c r="D48">
        <f>SIN(PI()/180*_Theta)*_vyps*B48+_yShip+_yL</f>
        <v>1699.4915094255898</v>
      </c>
      <c r="E48">
        <f>B48*CONVERT(CONVERT(_vSub,"kn","m/sec"),"m","yd")</f>
        <v>0</v>
      </c>
      <c r="F48">
        <f t="shared" si="0"/>
        <v>60.959729613496734</v>
      </c>
    </row>
    <row r="49" spans="2:6" x14ac:dyDescent="0.25">
      <c r="B49">
        <v>32</v>
      </c>
      <c r="C49">
        <f>COS(PI()/180*_Theta)*_vyps*B49+_xShip+__xL</f>
        <v>944.58009883238071</v>
      </c>
      <c r="D49">
        <f>SIN(PI()/180*_Theta)*_vyps*B49+_yShip+_yL</f>
        <v>1700.0541127112901</v>
      </c>
      <c r="E49">
        <f>B49*CONVERT(CONVERT(_vSub,"kn","m/sec"),"m","yd")</f>
        <v>0</v>
      </c>
      <c r="F49">
        <f t="shared" si="0"/>
        <v>60.942676597549642</v>
      </c>
    </row>
    <row r="50" spans="2:6" x14ac:dyDescent="0.25">
      <c r="B50">
        <v>33</v>
      </c>
      <c r="C50">
        <f>COS(PI()/180*_Theta)*_vyps*B50+_xShip+__xL</f>
        <v>945.55455630771905</v>
      </c>
      <c r="D50">
        <f>SIN(PI()/180*_Theta)*_vyps*B50+_yShip+_yL</f>
        <v>1700.6167159969905</v>
      </c>
      <c r="E50">
        <f>B50*CONVERT(CONVERT(_vSub,"kn","m/sec"),"m","yd")</f>
        <v>0</v>
      </c>
      <c r="F50">
        <f t="shared" si="0"/>
        <v>60.925640497293124</v>
      </c>
    </row>
    <row r="51" spans="2:6" x14ac:dyDescent="0.25">
      <c r="B51">
        <v>34</v>
      </c>
      <c r="C51">
        <f>COS(PI()/180*_Theta)*_vyps*B51+_xShip+__xL</f>
        <v>946.52901378305739</v>
      </c>
      <c r="D51">
        <f>SIN(PI()/180*_Theta)*_vyps*B51+_yShip+_yL</f>
        <v>1701.179319282691</v>
      </c>
      <c r="E51">
        <f>B51*CONVERT(CONVERT(_vSub,"kn","m/sec"),"m","yd")</f>
        <v>0</v>
      </c>
      <c r="F51">
        <f t="shared" si="0"/>
        <v>60.908621290578203</v>
      </c>
    </row>
    <row r="52" spans="2:6" x14ac:dyDescent="0.25">
      <c r="B52">
        <v>35</v>
      </c>
      <c r="C52">
        <f>COS(PI()/180*_Theta)*_vyps*B52+_xShip+__xL</f>
        <v>947.50347125839573</v>
      </c>
      <c r="D52">
        <f>SIN(PI()/180*_Theta)*_vyps*B52+_yShip+_yL</f>
        <v>1701.7419225683914</v>
      </c>
      <c r="E52">
        <f>B52*CONVERT(CONVERT(_vSub,"kn","m/sec"),"m","yd")</f>
        <v>0</v>
      </c>
      <c r="F52">
        <f t="shared" si="0"/>
        <v>60.891618955287974</v>
      </c>
    </row>
    <row r="53" spans="2:6" x14ac:dyDescent="0.25">
      <c r="B53">
        <v>36</v>
      </c>
      <c r="C53">
        <f>COS(PI()/180*_Theta)*_vyps*B53+_xShip+__xL</f>
        <v>948.47792873373385</v>
      </c>
      <c r="D53">
        <f>SIN(PI()/180*_Theta)*_vyps*B53+_yShip+_yL</f>
        <v>1702.3045258540917</v>
      </c>
      <c r="E53">
        <f>B53*CONVERT(CONVERT(_vSub,"kn","m/sec"),"m","yd")</f>
        <v>0</v>
      </c>
      <c r="F53">
        <f t="shared" si="0"/>
        <v>60.874633469337411</v>
      </c>
    </row>
    <row r="54" spans="2:6" x14ac:dyDescent="0.25">
      <c r="B54">
        <v>37</v>
      </c>
      <c r="C54">
        <f>COS(PI()/180*_Theta)*_vyps*B54+_xShip+__xL</f>
        <v>949.45238620907219</v>
      </c>
      <c r="D54">
        <f>SIN(PI()/180*_Theta)*_vyps*B54+_yShip+_yL</f>
        <v>1702.8671291397923</v>
      </c>
      <c r="E54">
        <f>B54*CONVERT(CONVERT(_vSub,"kn","m/sec"),"m","yd")</f>
        <v>0</v>
      </c>
      <c r="F54">
        <f t="shared" si="0"/>
        <v>60.857664810673427</v>
      </c>
    </row>
    <row r="55" spans="2:6" x14ac:dyDescent="0.25">
      <c r="B55">
        <v>38</v>
      </c>
      <c r="C55">
        <f>COS(PI()/180*_Theta)*_vyps*B55+_xShip+__xL</f>
        <v>950.42684368441053</v>
      </c>
      <c r="D55">
        <f>SIN(PI()/180*_Theta)*_vyps*B55+_yShip+_yL</f>
        <v>1703.4297324254926</v>
      </c>
      <c r="E55">
        <f>B55*CONVERT(CONVERT(_vSub,"kn","m/sec"),"m","yd")</f>
        <v>0</v>
      </c>
      <c r="F55">
        <f t="shared" si="0"/>
        <v>60.840712957274768</v>
      </c>
    </row>
    <row r="56" spans="2:6" x14ac:dyDescent="0.25">
      <c r="B56">
        <v>39</v>
      </c>
      <c r="C56">
        <f>COS(PI()/180*_Theta)*_vyps*B56+_xShip+__xL</f>
        <v>951.40130115974887</v>
      </c>
      <c r="D56">
        <f>SIN(PI()/180*_Theta)*_vyps*B56+_yShip+_yL</f>
        <v>1703.9923357111929</v>
      </c>
      <c r="E56">
        <f>B56*CONVERT(CONVERT(_vSub,"kn","m/sec"),"m","yd")</f>
        <v>0</v>
      </c>
      <c r="F56">
        <f t="shared" si="0"/>
        <v>60.823777887152048</v>
      </c>
    </row>
    <row r="57" spans="2:6" x14ac:dyDescent="0.25">
      <c r="B57">
        <v>40</v>
      </c>
      <c r="C57">
        <f>COS(PI()/180*_Theta)*_vyps*B57+_xShip+__xL</f>
        <v>952.37575863508698</v>
      </c>
      <c r="D57">
        <f>SIN(PI()/180*_Theta)*_vyps*B57+_yShip+_yL</f>
        <v>1704.5549389968933</v>
      </c>
      <c r="E57">
        <f>B57*CONVERT(CONVERT(_vSub,"kn","m/sec"),"m","yd")</f>
        <v>0</v>
      </c>
      <c r="F57">
        <f t="shared" si="0"/>
        <v>60.806859578347648</v>
      </c>
    </row>
    <row r="58" spans="2:6" x14ac:dyDescent="0.25">
      <c r="B58">
        <v>41</v>
      </c>
      <c r="C58">
        <f>COS(PI()/180*_Theta)*_vyps*B58+_xShip+__xL</f>
        <v>953.35021611042532</v>
      </c>
      <c r="D58">
        <f>SIN(PI()/180*_Theta)*_vyps*B58+_yShip+_yL</f>
        <v>1705.1175422825938</v>
      </c>
      <c r="E58">
        <f>B58*CONVERT(CONVERT(_vSub,"kn","m/sec"),"m","yd")</f>
        <v>0</v>
      </c>
      <c r="F58">
        <f t="shared" si="0"/>
        <v>60.789958008935727</v>
      </c>
    </row>
    <row r="59" spans="2:6" x14ac:dyDescent="0.25">
      <c r="B59">
        <v>42</v>
      </c>
      <c r="C59">
        <f>COS(PI()/180*_Theta)*_vyps*B59+_xShip+__xL</f>
        <v>954.32467358576366</v>
      </c>
      <c r="D59">
        <f>SIN(PI()/180*_Theta)*_vyps*B59+_yShip+_yL</f>
        <v>1705.6801455682942</v>
      </c>
      <c r="E59">
        <f>B59*CONVERT(CONVERT(_vSub,"kn","m/sec"),"m","yd")</f>
        <v>0</v>
      </c>
      <c r="F59">
        <f t="shared" si="0"/>
        <v>60.77307315702209</v>
      </c>
    </row>
    <row r="60" spans="2:6" x14ac:dyDescent="0.25">
      <c r="B60">
        <v>43</v>
      </c>
      <c r="C60">
        <f>COS(PI()/180*_Theta)*_vyps*B60+_xShip+__xL</f>
        <v>955.29913106110178</v>
      </c>
      <c r="D60">
        <f>SIN(PI()/180*_Theta)*_vyps*B60+_yShip+_yL</f>
        <v>1706.2427488539945</v>
      </c>
      <c r="E60">
        <f>B60*CONVERT(CONVERT(_vSub,"kn","m/sec"),"m","yd")</f>
        <v>0</v>
      </c>
      <c r="F60">
        <f t="shared" si="0"/>
        <v>60.756205000744288</v>
      </c>
    </row>
    <row r="61" spans="2:6" x14ac:dyDescent="0.25">
      <c r="B61">
        <v>44</v>
      </c>
      <c r="C61">
        <f>COS(PI()/180*_Theta)*_vyps*B61+_xShip+__xL</f>
        <v>956.27358853644012</v>
      </c>
      <c r="D61">
        <f>SIN(PI()/180*_Theta)*_vyps*B61+_yShip+_yL</f>
        <v>1706.8053521396951</v>
      </c>
      <c r="E61">
        <f>B61*CONVERT(CONVERT(_vSub,"kn","m/sec"),"m","yd")</f>
        <v>0</v>
      </c>
      <c r="F61">
        <f t="shared" si="0"/>
        <v>60.7393535182715</v>
      </c>
    </row>
    <row r="62" spans="2:6" x14ac:dyDescent="0.25">
      <c r="B62">
        <v>45</v>
      </c>
      <c r="C62">
        <f>COS(PI()/180*_Theta)*_vyps*B62+_xShip+__xL</f>
        <v>957.24804601177846</v>
      </c>
      <c r="D62">
        <f>SIN(PI()/180*_Theta)*_vyps*B62+_yShip+_yL</f>
        <v>1707.3679554253954</v>
      </c>
      <c r="E62">
        <f>B62*CONVERT(CONVERT(_vSub,"kn","m/sec"),"m","yd")</f>
        <v>0</v>
      </c>
      <c r="F62">
        <f t="shared" si="0"/>
        <v>60.722518687804452</v>
      </c>
    </row>
    <row r="63" spans="2:6" x14ac:dyDescent="0.25">
      <c r="B63">
        <v>46</v>
      </c>
      <c r="C63">
        <f>COS(PI()/180*_Theta)*_vyps*B63+_xShip+__xL</f>
        <v>958.2225034871168</v>
      </c>
      <c r="D63">
        <f>SIN(PI()/180*_Theta)*_vyps*B63+_yShip+_yL</f>
        <v>1707.9305587110957</v>
      </c>
      <c r="E63">
        <f>B63*CONVERT(CONVERT(_vSub,"kn","m/sec"),"m","yd")</f>
        <v>0</v>
      </c>
      <c r="F63">
        <f t="shared" si="0"/>
        <v>60.705700487575477</v>
      </c>
    </row>
    <row r="64" spans="2:6" x14ac:dyDescent="0.25">
      <c r="B64">
        <v>47</v>
      </c>
      <c r="C64">
        <f>COS(PI()/180*_Theta)*_vyps*B64+_xShip+__xL</f>
        <v>959.19696096245491</v>
      </c>
      <c r="D64">
        <f>SIN(PI()/180*_Theta)*_vyps*B64+_yShip+_yL</f>
        <v>1708.4931619967961</v>
      </c>
      <c r="E64">
        <f>B64*CONVERT(CONVERT(_vSub,"kn","m/sec"),"m","yd")</f>
        <v>0</v>
      </c>
      <c r="F64">
        <f t="shared" si="0"/>
        <v>60.688898895848439</v>
      </c>
    </row>
    <row r="65" spans="2:6" x14ac:dyDescent="0.25">
      <c r="B65">
        <v>48</v>
      </c>
      <c r="C65">
        <f>COS(PI()/180*_Theta)*_vyps*B65+_xShip+__xL</f>
        <v>960.17141843779325</v>
      </c>
      <c r="D65">
        <f>SIN(PI()/180*_Theta)*_vyps*B65+_yShip+_yL</f>
        <v>1709.0557652824966</v>
      </c>
      <c r="E65">
        <f>B65*CONVERT(CONVERT(_vSub,"kn","m/sec"),"m","yd")</f>
        <v>0</v>
      </c>
      <c r="F65">
        <f t="shared" si="0"/>
        <v>60.672113890918645</v>
      </c>
    </row>
    <row r="66" spans="2:6" x14ac:dyDescent="0.25">
      <c r="B66">
        <v>49</v>
      </c>
      <c r="C66">
        <f>COS(PI()/180*_Theta)*_vyps*B66+_xShip+__xL</f>
        <v>961.14587591313159</v>
      </c>
      <c r="D66">
        <f>SIN(PI()/180*_Theta)*_vyps*B66+_yShip+_yL</f>
        <v>1709.618368568197</v>
      </c>
      <c r="E66">
        <f>B66*CONVERT(CONVERT(_vSub,"kn","m/sec"),"m","yd")</f>
        <v>0</v>
      </c>
      <c r="F66">
        <f t="shared" si="0"/>
        <v>60.655345451112872</v>
      </c>
    </row>
    <row r="67" spans="2:6" x14ac:dyDescent="0.25">
      <c r="B67">
        <v>50</v>
      </c>
      <c r="C67">
        <f>COS(PI()/180*_Theta)*_vyps*B67+_xShip+__xL</f>
        <v>962.12033338846993</v>
      </c>
      <c r="D67">
        <f>SIN(PI()/180*_Theta)*_vyps*B67+_yShip+_yL</f>
        <v>1710.1809718538973</v>
      </c>
      <c r="E67">
        <f>B67*CONVERT(CONVERT(_vSub,"kn","m/sec"),"m","yd")</f>
        <v>0</v>
      </c>
      <c r="F67">
        <f t="shared" si="0"/>
        <v>60.63859355478931</v>
      </c>
    </row>
    <row r="68" spans="2:6" x14ac:dyDescent="0.25">
      <c r="B68">
        <v>51</v>
      </c>
      <c r="C68">
        <f>COS(PI()/180*_Theta)*_vyps*B68+_xShip+__xL</f>
        <v>963.09479086380804</v>
      </c>
      <c r="D68">
        <f>SIN(PI()/180*_Theta)*_vyps*B68+_yShip+_yL</f>
        <v>1710.7435751395979</v>
      </c>
      <c r="E68">
        <f>B68*CONVERT(CONVERT(_vSub,"kn","m/sec"),"m","yd")</f>
        <v>0</v>
      </c>
      <c r="F68">
        <f t="shared" si="0"/>
        <v>60.62185818033749</v>
      </c>
    </row>
    <row r="69" spans="2:6" x14ac:dyDescent="0.25">
      <c r="B69">
        <v>52</v>
      </c>
      <c r="C69">
        <f>COS(PI()/180*_Theta)*_vyps*B69+_xShip+__xL</f>
        <v>964.06924833914638</v>
      </c>
      <c r="D69">
        <f>SIN(PI()/180*_Theta)*_vyps*B69+_yShip+_yL</f>
        <v>1711.3061784252982</v>
      </c>
      <c r="E69">
        <f>B69*CONVERT(CONVERT(_vSub,"kn","m/sec"),"m","yd")</f>
        <v>0</v>
      </c>
      <c r="F69">
        <f t="shared" si="0"/>
        <v>60.605139306178287</v>
      </c>
    </row>
    <row r="70" spans="2:6" x14ac:dyDescent="0.25">
      <c r="B70">
        <v>53</v>
      </c>
      <c r="C70">
        <f>COS(PI()/180*_Theta)*_vyps*B70+_xShip+__xL</f>
        <v>965.04370581448472</v>
      </c>
      <c r="D70">
        <f>SIN(PI()/180*_Theta)*_vyps*B70+_yShip+_yL</f>
        <v>1711.8687817109985</v>
      </c>
      <c r="E70">
        <f>B70*CONVERT(CONVERT(_vSub,"kn","m/sec"),"m","yd")</f>
        <v>0</v>
      </c>
      <c r="F70">
        <f t="shared" si="0"/>
        <v>60.588436910763882</v>
      </c>
    </row>
    <row r="71" spans="2:6" x14ac:dyDescent="0.25">
      <c r="B71">
        <v>54</v>
      </c>
      <c r="C71">
        <f>COS(PI()/180*_Theta)*_vyps*B71+_xShip+__xL</f>
        <v>966.01816328982284</v>
      </c>
      <c r="D71">
        <f>SIN(PI()/180*_Theta)*_vyps*B71+_yShip+_yL</f>
        <v>1712.4313849966989</v>
      </c>
      <c r="E71">
        <f>B71*CONVERT(CONVERT(_vSub,"kn","m/sec"),"m","yd")</f>
        <v>0</v>
      </c>
      <c r="F71">
        <f t="shared" si="0"/>
        <v>60.571750972577696</v>
      </c>
    </row>
    <row r="72" spans="2:6" x14ac:dyDescent="0.25">
      <c r="B72">
        <v>55</v>
      </c>
      <c r="C72">
        <f>COS(PI()/180*_Theta)*_vyps*B72+_xShip+__xL</f>
        <v>966.99262076516118</v>
      </c>
      <c r="D72">
        <f>SIN(PI()/180*_Theta)*_vyps*B72+_yShip+_yL</f>
        <v>1712.9939882823994</v>
      </c>
      <c r="E72">
        <f>B72*CONVERT(CONVERT(_vSub,"kn","m/sec"),"m","yd")</f>
        <v>0</v>
      </c>
      <c r="F72">
        <f t="shared" si="0"/>
        <v>60.555081470134354</v>
      </c>
    </row>
    <row r="73" spans="2:6" x14ac:dyDescent="0.25">
      <c r="B73">
        <v>56</v>
      </c>
      <c r="C73">
        <f>COS(PI()/180*_Theta)*_vyps*B73+_xShip+__xL</f>
        <v>967.96707824049952</v>
      </c>
      <c r="D73">
        <f>SIN(PI()/180*_Theta)*_vyps*B73+_yShip+_yL</f>
        <v>1713.5565915680997</v>
      </c>
      <c r="E73">
        <f>B73*CONVERT(CONVERT(_vSub,"kn","m/sec"),"m","yd")</f>
        <v>0</v>
      </c>
      <c r="F73">
        <f t="shared" si="0"/>
        <v>60.538428381979671</v>
      </c>
    </row>
    <row r="74" spans="2:6" x14ac:dyDescent="0.25">
      <c r="B74">
        <v>57</v>
      </c>
      <c r="C74">
        <f>COS(PI()/180*_Theta)*_vyps*B74+_xShip+__xL</f>
        <v>968.94153571583786</v>
      </c>
      <c r="D74">
        <f>SIN(PI()/180*_Theta)*_vyps*B74+_yShip+_yL</f>
        <v>1714.1191948538001</v>
      </c>
      <c r="E74">
        <f>B74*CONVERT(CONVERT(_vSub,"kn","m/sec"),"m","yd")</f>
        <v>0</v>
      </c>
      <c r="F74">
        <f t="shared" si="0"/>
        <v>60.521791686690612</v>
      </c>
    </row>
    <row r="75" spans="2:6" x14ac:dyDescent="0.25">
      <c r="B75">
        <v>58</v>
      </c>
      <c r="C75">
        <f>COS(PI()/180*_Theta)*_vyps*B75+_xShip+__xL</f>
        <v>969.91599319117597</v>
      </c>
      <c r="D75">
        <f>SIN(PI()/180*_Theta)*_vyps*B75+_yShip+_yL</f>
        <v>1714.6817981395006</v>
      </c>
      <c r="E75">
        <f>B75*CONVERT(CONVERT(_vSub,"kn","m/sec"),"m","yd")</f>
        <v>0</v>
      </c>
      <c r="F75">
        <f t="shared" si="0"/>
        <v>60.505171362875203</v>
      </c>
    </row>
    <row r="76" spans="2:6" x14ac:dyDescent="0.25">
      <c r="B76">
        <v>59</v>
      </c>
      <c r="C76">
        <f>COS(PI()/180*_Theta)*_vyps*B76+_xShip+__xL</f>
        <v>970.89045066651431</v>
      </c>
      <c r="D76">
        <f>SIN(PI()/180*_Theta)*_vyps*B76+_yShip+_yL</f>
        <v>1715.244401425201</v>
      </c>
      <c r="E76">
        <f>B76*CONVERT(CONVERT(_vSub,"kn","m/sec"),"m","yd")</f>
        <v>0</v>
      </c>
      <c r="F76">
        <f t="shared" si="0"/>
        <v>60.488567389172566</v>
      </c>
    </row>
    <row r="77" spans="2:6" x14ac:dyDescent="0.25">
      <c r="B77">
        <v>60</v>
      </c>
      <c r="C77">
        <f>COS(PI()/180*_Theta)*_vyps*B77+_xShip+__xL</f>
        <v>971.86490814185265</v>
      </c>
      <c r="D77">
        <f>SIN(PI()/180*_Theta)*_vyps*B77+_yShip+_yL</f>
        <v>1715.8070047109013</v>
      </c>
      <c r="E77">
        <f>B77*CONVERT(CONVERT(_vSub,"kn","m/sec"),"m","yd")</f>
        <v>0</v>
      </c>
      <c r="F77">
        <f t="shared" si="0"/>
        <v>60.471979744252828</v>
      </c>
    </row>
    <row r="78" spans="2:6" x14ac:dyDescent="0.25">
      <c r="B78">
        <v>61</v>
      </c>
      <c r="C78">
        <f>COS(PI()/180*_Theta)*_vyps*B78+_xShip+__xL</f>
        <v>972.83936561719099</v>
      </c>
      <c r="D78">
        <f>SIN(PI()/180*_Theta)*_vyps*B78+_yShip+_yL</f>
        <v>1716.3696079966016</v>
      </c>
      <c r="E78">
        <f>B78*CONVERT(CONVERT(_vSub,"kn","m/sec"),"m","yd")</f>
        <v>0</v>
      </c>
      <c r="F78">
        <f t="shared" si="0"/>
        <v>60.455408406817099</v>
      </c>
    </row>
    <row r="79" spans="2:6" x14ac:dyDescent="0.25">
      <c r="B79">
        <v>62</v>
      </c>
      <c r="C79">
        <f>COS(PI()/180*_Theta)*_vyps*B79+_xShip+__xL</f>
        <v>973.81382309252911</v>
      </c>
      <c r="D79">
        <f>SIN(PI()/180*_Theta)*_vyps*B79+_yShip+_yL</f>
        <v>1716.9322112823022</v>
      </c>
      <c r="E79">
        <f>B79*CONVERT(CONVERT(_vSub,"kn","m/sec"),"m","yd")</f>
        <v>0</v>
      </c>
      <c r="F79">
        <f t="shared" si="0"/>
        <v>60.438853355597452</v>
      </c>
    </row>
    <row r="80" spans="2:6" x14ac:dyDescent="0.25">
      <c r="B80">
        <v>63</v>
      </c>
      <c r="C80">
        <f>COS(PI()/180*_Theta)*_vyps*B80+_xShip+__xL</f>
        <v>974.78828056786745</v>
      </c>
      <c r="D80">
        <f>SIN(PI()/180*_Theta)*_vyps*B80+_yShip+_yL</f>
        <v>1717.4948145680025</v>
      </c>
      <c r="E80">
        <f>B80*CONVERT(CONVERT(_vSub,"kn","m/sec"),"m","yd")</f>
        <v>0</v>
      </c>
      <c r="F80">
        <f t="shared" si="0"/>
        <v>60.422314569356836</v>
      </c>
    </row>
    <row r="81" spans="2:6" x14ac:dyDescent="0.25">
      <c r="B81">
        <v>64</v>
      </c>
      <c r="C81">
        <f>COS(PI()/180*_Theta)*_vyps*B81+_xShip+__xL</f>
        <v>975.76273804320579</v>
      </c>
      <c r="D81">
        <f>SIN(PI()/180*_Theta)*_vyps*B81+_yShip+_yL</f>
        <v>1718.0574178537029</v>
      </c>
      <c r="E81">
        <f>B81*CONVERT(CONVERT(_vSub,"kn","m/sec"),"m","yd")</f>
        <v>0</v>
      </c>
      <c r="F81">
        <f t="shared" si="0"/>
        <v>60.405792026889074</v>
      </c>
    </row>
    <row r="82" spans="2:6" x14ac:dyDescent="0.25">
      <c r="B82">
        <v>65</v>
      </c>
      <c r="C82">
        <f>COS(PI()/180*_Theta)*_vyps*B82+_xShip+__xL</f>
        <v>976.73719551854413</v>
      </c>
      <c r="D82">
        <f>SIN(PI()/180*_Theta)*_vyps*B82+_yShip+_yL</f>
        <v>1718.6200211394034</v>
      </c>
      <c r="E82">
        <f>B82*CONVERT(CONVERT(_vSub,"kn","m/sec"),"m","yd")</f>
        <v>0</v>
      </c>
      <c r="F82">
        <f t="shared" ref="F82:F145" si="1">ATAN2(C82,D82-E82)*180/PI()</f>
        <v>60.389285707018864</v>
      </c>
    </row>
    <row r="83" spans="2:6" x14ac:dyDescent="0.25">
      <c r="B83">
        <v>66</v>
      </c>
      <c r="C83">
        <f>COS(PI()/180*_Theta)*_vyps*B83+_xShip+__xL</f>
        <v>977.71165299388224</v>
      </c>
      <c r="D83">
        <f>SIN(PI()/180*_Theta)*_vyps*B83+_yShip+_yL</f>
        <v>1719.1826244251038</v>
      </c>
      <c r="E83">
        <f>B83*CONVERT(CONVERT(_vSub,"kn","m/sec"),"m","yd")</f>
        <v>0</v>
      </c>
      <c r="F83">
        <f t="shared" si="1"/>
        <v>60.372795588601626</v>
      </c>
    </row>
    <row r="84" spans="2:6" x14ac:dyDescent="0.25">
      <c r="B84">
        <v>67</v>
      </c>
      <c r="C84">
        <f>COS(PI()/180*_Theta)*_vyps*B84+_xShip+__xL</f>
        <v>978.68611046922058</v>
      </c>
      <c r="D84">
        <f>SIN(PI()/180*_Theta)*_vyps*B84+_yShip+_yL</f>
        <v>1719.7452277108041</v>
      </c>
      <c r="E84">
        <f>B84*CONVERT(CONVERT(_vSub,"kn","m/sec"),"m","yd")</f>
        <v>0</v>
      </c>
      <c r="F84">
        <f t="shared" si="1"/>
        <v>60.356321650523562</v>
      </c>
    </row>
    <row r="85" spans="2:6" x14ac:dyDescent="0.25">
      <c r="B85">
        <v>68</v>
      </c>
      <c r="C85">
        <f>COS(PI()/180*_Theta)*_vyps*B85+_xShip+__xL</f>
        <v>979.66056794455892</v>
      </c>
      <c r="D85">
        <f>SIN(PI()/180*_Theta)*_vyps*B85+_yShip+_yL</f>
        <v>1720.3078309965044</v>
      </c>
      <c r="E85">
        <f>B85*CONVERT(CONVERT(_vSub,"kn","m/sec"),"m","yd")</f>
        <v>0</v>
      </c>
      <c r="F85">
        <f t="shared" si="1"/>
        <v>60.339863871701596</v>
      </c>
    </row>
    <row r="86" spans="2:6" x14ac:dyDescent="0.25">
      <c r="B86">
        <v>69</v>
      </c>
      <c r="C86">
        <f>COS(PI()/180*_Theta)*_vyps*B86+_xShip+__xL</f>
        <v>980.63502541989726</v>
      </c>
      <c r="D86">
        <f>SIN(PI()/180*_Theta)*_vyps*B86+_yShip+_yL</f>
        <v>1720.870434282205</v>
      </c>
      <c r="E86">
        <f>B86*CONVERT(CONVERT(_vSub,"kn","m/sec"),"m","yd")</f>
        <v>0</v>
      </c>
      <c r="F86">
        <f t="shared" si="1"/>
        <v>60.32342223108332</v>
      </c>
    </row>
    <row r="87" spans="2:6" x14ac:dyDescent="0.25">
      <c r="B87">
        <v>70</v>
      </c>
      <c r="C87">
        <f>COS(PI()/180*_Theta)*_vyps*B87+_xShip+__xL</f>
        <v>981.60948289523537</v>
      </c>
      <c r="D87">
        <f>SIN(PI()/180*_Theta)*_vyps*B87+_yShip+_yL</f>
        <v>1721.4330375679053</v>
      </c>
      <c r="E87">
        <f>B87*CONVERT(CONVERT(_vSub,"kn","m/sec"),"m","yd")</f>
        <v>0</v>
      </c>
      <c r="F87">
        <f t="shared" si="1"/>
        <v>60.306996707646945</v>
      </c>
    </row>
    <row r="88" spans="2:6" x14ac:dyDescent="0.25">
      <c r="B88">
        <v>71</v>
      </c>
      <c r="C88">
        <f>COS(PI()/180*_Theta)*_vyps*B88+_xShip+__xL</f>
        <v>982.58394037057371</v>
      </c>
      <c r="D88">
        <f>SIN(PI()/180*_Theta)*_vyps*B88+_yShip+_yL</f>
        <v>1721.9956408536057</v>
      </c>
      <c r="E88">
        <f>B88*CONVERT(CONVERT(_vSub,"kn","m/sec"),"m","yd")</f>
        <v>0</v>
      </c>
      <c r="F88">
        <f t="shared" si="1"/>
        <v>60.290587280401326</v>
      </c>
    </row>
    <row r="89" spans="2:6" x14ac:dyDescent="0.25">
      <c r="B89">
        <v>72</v>
      </c>
      <c r="C89">
        <f>COS(PI()/180*_Theta)*_vyps*B89+_xShip+__xL</f>
        <v>983.55839784591205</v>
      </c>
      <c r="D89">
        <f>SIN(PI()/180*_Theta)*_vyps*B89+_yShip+_yL</f>
        <v>1722.5582441393062</v>
      </c>
      <c r="E89">
        <f>B89*CONVERT(CONVERT(_vSub,"kn","m/sec"),"m","yd")</f>
        <v>0</v>
      </c>
      <c r="F89">
        <f t="shared" si="1"/>
        <v>60.274193928385799</v>
      </c>
    </row>
    <row r="90" spans="2:6" x14ac:dyDescent="0.25">
      <c r="B90">
        <v>73</v>
      </c>
      <c r="C90">
        <f>COS(PI()/180*_Theta)*_vyps*B90+_xShip+__xL</f>
        <v>984.53285532125017</v>
      </c>
      <c r="D90">
        <f>SIN(PI()/180*_Theta)*_vyps*B90+_yShip+_yL</f>
        <v>1723.1208474250066</v>
      </c>
      <c r="E90">
        <f>B90*CONVERT(CONVERT(_vSub,"kn","m/sec"),"m","yd")</f>
        <v>0</v>
      </c>
      <c r="F90">
        <f t="shared" si="1"/>
        <v>60.257816630670284</v>
      </c>
    </row>
    <row r="91" spans="2:6" x14ac:dyDescent="0.25">
      <c r="B91">
        <v>74</v>
      </c>
      <c r="C91">
        <f>COS(PI()/180*_Theta)*_vyps*B91+_xShip+__xL</f>
        <v>985.50731279658851</v>
      </c>
      <c r="D91">
        <f>SIN(PI()/180*_Theta)*_vyps*B91+_yShip+_yL</f>
        <v>1723.6834507107069</v>
      </c>
      <c r="E91">
        <f>B91*CONVERT(CONVERT(_vSub,"kn","m/sec"),"m","yd")</f>
        <v>0</v>
      </c>
      <c r="F91">
        <f t="shared" si="1"/>
        <v>60.241455366355183</v>
      </c>
    </row>
    <row r="92" spans="2:6" x14ac:dyDescent="0.25">
      <c r="B92">
        <v>75</v>
      </c>
      <c r="C92">
        <f>COS(PI()/180*_Theta)*_vyps*B92+_xShip+__xL</f>
        <v>986.48177027192685</v>
      </c>
      <c r="D92">
        <f>SIN(PI()/180*_Theta)*_vyps*B92+_yShip+_yL</f>
        <v>1724.2460539964072</v>
      </c>
      <c r="E92">
        <f>B92*CONVERT(CONVERT(_vSub,"kn","m/sec"),"m","yd")</f>
        <v>0</v>
      </c>
      <c r="F92">
        <f t="shared" si="1"/>
        <v>60.225110114571272</v>
      </c>
    </row>
    <row r="93" spans="2:6" x14ac:dyDescent="0.25">
      <c r="B93">
        <v>76</v>
      </c>
      <c r="C93">
        <f>COS(PI()/180*_Theta)*_vyps*B93+_xShip+__xL</f>
        <v>987.45622774726519</v>
      </c>
      <c r="D93">
        <f>SIN(PI()/180*_Theta)*_vyps*B93+_yShip+_yL</f>
        <v>1724.8086572821078</v>
      </c>
      <c r="E93">
        <f>B93*CONVERT(CONVERT(_vSub,"kn","m/sec"),"m","yd")</f>
        <v>0</v>
      </c>
      <c r="F93">
        <f t="shared" si="1"/>
        <v>60.208780854479826</v>
      </c>
    </row>
    <row r="94" spans="2:6" x14ac:dyDescent="0.25">
      <c r="B94">
        <v>77</v>
      </c>
      <c r="C94">
        <f>COS(PI()/180*_Theta)*_vyps*B94+_xShip+__xL</f>
        <v>988.4306852226033</v>
      </c>
      <c r="D94">
        <f>SIN(PI()/180*_Theta)*_vyps*B94+_yShip+_yL</f>
        <v>1725.3712605678081</v>
      </c>
      <c r="E94">
        <f>B94*CONVERT(CONVERT(_vSub,"kn","m/sec"),"m","yd")</f>
        <v>0</v>
      </c>
      <c r="F94">
        <f t="shared" si="1"/>
        <v>60.192467565272402</v>
      </c>
    </row>
    <row r="95" spans="2:6" x14ac:dyDescent="0.25">
      <c r="B95">
        <v>78</v>
      </c>
      <c r="C95">
        <f>COS(PI()/180*_Theta)*_vyps*B95+_xShip+__xL</f>
        <v>989.40514269794164</v>
      </c>
      <c r="D95">
        <f>SIN(PI()/180*_Theta)*_vyps*B95+_yShip+_yL</f>
        <v>1725.9338638535085</v>
      </c>
      <c r="E95">
        <f>B95*CONVERT(CONVERT(_vSub,"kn","m/sec"),"m","yd")</f>
        <v>0</v>
      </c>
      <c r="F95">
        <f t="shared" si="1"/>
        <v>60.176170226170946</v>
      </c>
    </row>
    <row r="96" spans="2:6" x14ac:dyDescent="0.25">
      <c r="B96">
        <v>79</v>
      </c>
      <c r="C96">
        <f>COS(PI()/180*_Theta)*_vyps*B96+_xShip+__xL</f>
        <v>990.37960017327998</v>
      </c>
      <c r="D96">
        <f>SIN(PI()/180*_Theta)*_vyps*B96+_yShip+_yL</f>
        <v>1726.496467139209</v>
      </c>
      <c r="E96">
        <f>B96*CONVERT(CONVERT(_vSub,"kn","m/sec"),"m","yd")</f>
        <v>0</v>
      </c>
      <c r="F96">
        <f t="shared" si="1"/>
        <v>60.159888816427625</v>
      </c>
    </row>
    <row r="97" spans="2:6" x14ac:dyDescent="0.25">
      <c r="B97">
        <v>80</v>
      </c>
      <c r="C97">
        <f>COS(PI()/180*_Theta)*_vyps*B97+_xShip+__xL</f>
        <v>991.35405764861832</v>
      </c>
      <c r="D97">
        <f>SIN(PI()/180*_Theta)*_vyps*B97+_yShip+_yL</f>
        <v>1727.0590704249094</v>
      </c>
      <c r="E97">
        <f>B97*CONVERT(CONVERT(_vSub,"kn","m/sec"),"m","yd")</f>
        <v>0</v>
      </c>
      <c r="F97">
        <f t="shared" si="1"/>
        <v>60.143623315324909</v>
      </c>
    </row>
    <row r="98" spans="2:6" x14ac:dyDescent="0.25">
      <c r="B98">
        <v>81</v>
      </c>
      <c r="C98">
        <f>COS(PI()/180*_Theta)*_vyps*B98+_xShip+__xL</f>
        <v>992.32851512395644</v>
      </c>
      <c r="D98">
        <f>SIN(PI()/180*_Theta)*_vyps*B98+_yShip+_yL</f>
        <v>1727.6216737106097</v>
      </c>
      <c r="E98">
        <f>B98*CONVERT(CONVERT(_vSub,"kn","m/sec"),"m","yd")</f>
        <v>0</v>
      </c>
      <c r="F98">
        <f t="shared" si="1"/>
        <v>60.127373702175476</v>
      </c>
    </row>
    <row r="99" spans="2:6" x14ac:dyDescent="0.25">
      <c r="B99">
        <v>82</v>
      </c>
      <c r="C99">
        <f>COS(PI()/180*_Theta)*_vyps*B99+_xShip+__xL</f>
        <v>993.30297259929478</v>
      </c>
      <c r="D99">
        <f>SIN(PI()/180*_Theta)*_vyps*B99+_yShip+_yL</f>
        <v>1728.18427699631</v>
      </c>
      <c r="E99">
        <f>B99*CONVERT(CONVERT(_vSub,"kn","m/sec"),"m","yd")</f>
        <v>0</v>
      </c>
      <c r="F99">
        <f t="shared" si="1"/>
        <v>60.111139956322155</v>
      </c>
    </row>
    <row r="100" spans="2:6" x14ac:dyDescent="0.25">
      <c r="B100">
        <v>83</v>
      </c>
      <c r="C100">
        <f>COS(PI()/180*_Theta)*_vyps*B100+_xShip+__xL</f>
        <v>994.27743007463312</v>
      </c>
      <c r="D100">
        <f>SIN(PI()/180*_Theta)*_vyps*B100+_yShip+_yL</f>
        <v>1728.7468802820106</v>
      </c>
      <c r="E100">
        <f>B100*CONVERT(CONVERT(_vSub,"kn","m/sec"),"m","yd")</f>
        <v>0</v>
      </c>
      <c r="F100">
        <f t="shared" si="1"/>
        <v>60.094922057137886</v>
      </c>
    </row>
    <row r="101" spans="2:6" x14ac:dyDescent="0.25">
      <c r="B101">
        <v>84</v>
      </c>
      <c r="C101">
        <f>COS(PI()/180*_Theta)*_vyps*B101+_xShip+__xL</f>
        <v>995.25188754997123</v>
      </c>
      <c r="D101">
        <f>SIN(PI()/180*_Theta)*_vyps*B101+_yShip+_yL</f>
        <v>1729.3094835677109</v>
      </c>
      <c r="E101">
        <f>B101*CONVERT(CONVERT(_vSub,"kn","m/sec"),"m","yd")</f>
        <v>0</v>
      </c>
      <c r="F101">
        <f t="shared" si="1"/>
        <v>60.078719984025753</v>
      </c>
    </row>
    <row r="102" spans="2:6" x14ac:dyDescent="0.25">
      <c r="B102">
        <v>85</v>
      </c>
      <c r="C102">
        <f>COS(PI()/180*_Theta)*_vyps*B102+_xShip+__xL</f>
        <v>996.22634502530957</v>
      </c>
      <c r="D102">
        <f>SIN(PI()/180*_Theta)*_vyps*B102+_yShip+_yL</f>
        <v>1729.8720868534112</v>
      </c>
      <c r="E102">
        <f>B102*CONVERT(CONVERT(_vSub,"kn","m/sec"),"m","yd")</f>
        <v>0</v>
      </c>
      <c r="F102">
        <f t="shared" si="1"/>
        <v>60.062533716418869</v>
      </c>
    </row>
    <row r="103" spans="2:6" x14ac:dyDescent="0.25">
      <c r="B103">
        <v>86</v>
      </c>
      <c r="C103">
        <f>COS(PI()/180*_Theta)*_vyps*B103+_xShip+__xL</f>
        <v>997.20080250064791</v>
      </c>
      <c r="D103">
        <f>SIN(PI()/180*_Theta)*_vyps*B103+_yShip+_yL</f>
        <v>1730.4346901391116</v>
      </c>
      <c r="E103">
        <f>B103*CONVERT(CONVERT(_vSub,"kn","m/sec"),"m","yd")</f>
        <v>0</v>
      </c>
      <c r="F103">
        <f t="shared" si="1"/>
        <v>60.046363233780347</v>
      </c>
    </row>
    <row r="104" spans="2:6" x14ac:dyDescent="0.25">
      <c r="B104">
        <v>87</v>
      </c>
      <c r="C104">
        <f>COS(PI()/180*_Theta)*_vyps*B104+_xShip+__xL</f>
        <v>998.17525997598625</v>
      </c>
      <c r="D104">
        <f>SIN(PI()/180*_Theta)*_vyps*B104+_yShip+_yL</f>
        <v>1730.9972934248121</v>
      </c>
      <c r="E104">
        <f>B104*CONVERT(CONVERT(_vSub,"kn","m/sec"),"m","yd")</f>
        <v>0</v>
      </c>
      <c r="F104">
        <f t="shared" si="1"/>
        <v>60.03020851560332</v>
      </c>
    </row>
    <row r="105" spans="2:6" x14ac:dyDescent="0.25">
      <c r="B105">
        <v>88</v>
      </c>
      <c r="C105">
        <f>COS(PI()/180*_Theta)*_vyps*B105+_xShip+__xL</f>
        <v>999.14971745132436</v>
      </c>
      <c r="D105">
        <f>SIN(PI()/180*_Theta)*_vyps*B105+_yShip+_yL</f>
        <v>1731.5598967105125</v>
      </c>
      <c r="E105">
        <f>B105*CONVERT(CONVERT(_vSub,"kn","m/sec"),"m","yd")</f>
        <v>0</v>
      </c>
      <c r="F105">
        <f t="shared" si="1"/>
        <v>60.014069541410827</v>
      </c>
    </row>
    <row r="106" spans="2:6" x14ac:dyDescent="0.25">
      <c r="B106">
        <v>89</v>
      </c>
      <c r="C106">
        <f>COS(PI()/180*_Theta)*_vyps*B106+_xShip+__xL</f>
        <v>1000.1241749266627</v>
      </c>
      <c r="D106">
        <f>SIN(PI()/180*_Theta)*_vyps*B106+_yShip+_yL</f>
        <v>1732.1224999962128</v>
      </c>
      <c r="E106">
        <f>B106*CONVERT(CONVERT(_vSub,"kn","m/sec"),"m","yd")</f>
        <v>0</v>
      </c>
      <c r="F106">
        <f t="shared" si="1"/>
        <v>59.997946290755806</v>
      </c>
    </row>
    <row r="107" spans="2:6" x14ac:dyDescent="0.25">
      <c r="B107">
        <v>90</v>
      </c>
      <c r="C107">
        <f>COS(PI()/180*_Theta)*_vyps*B107+_xShip+__xL</f>
        <v>1001.098632402001</v>
      </c>
      <c r="D107">
        <f>SIN(PI()/180*_Theta)*_vyps*B107+_yShip+_yL</f>
        <v>1732.6851032819134</v>
      </c>
      <c r="E107">
        <f>B107*CONVERT(CONVERT(_vSub,"kn","m/sec"),"m","yd")</f>
        <v>0</v>
      </c>
      <c r="F107">
        <f t="shared" si="1"/>
        <v>59.981838743221068</v>
      </c>
    </row>
    <row r="108" spans="2:6" x14ac:dyDescent="0.25">
      <c r="B108">
        <v>91</v>
      </c>
      <c r="C108">
        <f>COS(PI()/180*_Theta)*_vyps*B108+_xShip+__xL</f>
        <v>1002.0730898773394</v>
      </c>
      <c r="D108">
        <f>SIN(PI()/180*_Theta)*_vyps*B108+_yShip+_yL</f>
        <v>1733.2477065676137</v>
      </c>
      <c r="E108">
        <f>B108*CONVERT(CONVERT(_vSub,"kn","m/sec"),"m","yd")</f>
        <v>0</v>
      </c>
      <c r="F108">
        <f t="shared" si="1"/>
        <v>59.965746878419225</v>
      </c>
    </row>
    <row r="109" spans="2:6" x14ac:dyDescent="0.25">
      <c r="B109">
        <v>92</v>
      </c>
      <c r="C109">
        <f>COS(PI()/180*_Theta)*_vyps*B109+_xShip+__xL</f>
        <v>1003.0475473526775</v>
      </c>
      <c r="D109">
        <f>SIN(PI()/180*_Theta)*_vyps*B109+_yShip+_yL</f>
        <v>1733.810309853314</v>
      </c>
      <c r="E109">
        <f>B109*CONVERT(CONVERT(_vSub,"kn","m/sec"),"m","yd")</f>
        <v>0</v>
      </c>
      <c r="F109">
        <f t="shared" si="1"/>
        <v>59.949670675992728</v>
      </c>
    </row>
    <row r="110" spans="2:6" x14ac:dyDescent="0.25">
      <c r="B110">
        <v>93</v>
      </c>
      <c r="C110">
        <f>COS(PI()/180*_Theta)*_vyps*B110+_xShip+__xL</f>
        <v>1004.0220048280158</v>
      </c>
      <c r="D110">
        <f>SIN(PI()/180*_Theta)*_vyps*B110+_yShip+_yL</f>
        <v>1734.3729131390144</v>
      </c>
      <c r="E110">
        <f>B110*CONVERT(CONVERT(_vSub,"kn","m/sec"),"m","yd")</f>
        <v>0</v>
      </c>
      <c r="F110">
        <f t="shared" si="1"/>
        <v>59.93361011561371</v>
      </c>
    </row>
    <row r="111" spans="2:6" x14ac:dyDescent="0.25">
      <c r="B111">
        <v>94</v>
      </c>
      <c r="C111">
        <f>COS(PI()/180*_Theta)*_vyps*B111+_xShip+__xL</f>
        <v>1004.9964623033542</v>
      </c>
      <c r="D111">
        <f>SIN(PI()/180*_Theta)*_vyps*B111+_yShip+_yL</f>
        <v>1734.9355164247149</v>
      </c>
      <c r="E111">
        <f>B111*CONVERT(CONVERT(_vSub,"kn","m/sec"),"m","yd")</f>
        <v>0</v>
      </c>
      <c r="F111">
        <f t="shared" si="1"/>
        <v>59.917565176984041</v>
      </c>
    </row>
    <row r="112" spans="2:6" x14ac:dyDescent="0.25">
      <c r="B112">
        <v>95</v>
      </c>
      <c r="C112">
        <f>COS(PI()/180*_Theta)*_vyps*B112+_xShip+__xL</f>
        <v>1005.9709197786923</v>
      </c>
      <c r="D112">
        <f>SIN(PI()/180*_Theta)*_vyps*B112+_yShip+_yL</f>
        <v>1735.4981197104153</v>
      </c>
      <c r="E112">
        <f>B112*CONVERT(CONVERT(_vSub,"kn","m/sec"),"m","yd")</f>
        <v>0</v>
      </c>
      <c r="F112">
        <f t="shared" si="1"/>
        <v>59.901535839835255</v>
      </c>
    </row>
    <row r="113" spans="2:6" x14ac:dyDescent="0.25">
      <c r="B113">
        <v>96</v>
      </c>
      <c r="C113">
        <f>COS(PI()/180*_Theta)*_vyps*B113+_xShip+__xL</f>
        <v>1006.9453772540306</v>
      </c>
      <c r="D113">
        <f>SIN(PI()/180*_Theta)*_vyps*B113+_yShip+_yL</f>
        <v>1736.0607229961156</v>
      </c>
      <c r="E113">
        <f>B113*CONVERT(CONVERT(_vSub,"kn","m/sec"),"m","yd")</f>
        <v>0</v>
      </c>
      <c r="F113">
        <f t="shared" si="1"/>
        <v>59.8855220839285</v>
      </c>
    </row>
    <row r="114" spans="2:6" x14ac:dyDescent="0.25">
      <c r="B114">
        <v>97</v>
      </c>
      <c r="C114">
        <f>COS(PI()/180*_Theta)*_vyps*B114+_xShip+__xL</f>
        <v>1007.919834729369</v>
      </c>
      <c r="D114">
        <f>SIN(PI()/180*_Theta)*_vyps*B114+_yShip+_yL</f>
        <v>1736.6233262818162</v>
      </c>
      <c r="E114">
        <f>B114*CONVERT(CONVERT(_vSub,"kn","m/sec"),"m","yd")</f>
        <v>0</v>
      </c>
      <c r="F114">
        <f t="shared" si="1"/>
        <v>59.869523889054541</v>
      </c>
    </row>
    <row r="115" spans="2:6" x14ac:dyDescent="0.25">
      <c r="B115">
        <v>98</v>
      </c>
      <c r="C115">
        <f>COS(PI()/180*_Theta)*_vyps*B115+_xShip+__xL</f>
        <v>1008.8942922047073</v>
      </c>
      <c r="D115">
        <f>SIN(PI()/180*_Theta)*_vyps*B115+_yShip+_yL</f>
        <v>1737.1859295675165</v>
      </c>
      <c r="E115">
        <f>B115*CONVERT(CONVERT(_vSub,"kn","m/sec"),"m","yd")</f>
        <v>0</v>
      </c>
      <c r="F115">
        <f t="shared" si="1"/>
        <v>59.853541235033674</v>
      </c>
    </row>
    <row r="116" spans="2:6" x14ac:dyDescent="0.25">
      <c r="B116">
        <v>99</v>
      </c>
      <c r="C116">
        <f>COS(PI()/180*_Theta)*_vyps*B116+_xShip+__xL</f>
        <v>1009.8687496800454</v>
      </c>
      <c r="D116">
        <f>SIN(PI()/180*_Theta)*_vyps*B116+_yShip+_yL</f>
        <v>1737.7485328532168</v>
      </c>
      <c r="E116">
        <f>B116*CONVERT(CONVERT(_vSub,"kn","m/sec"),"m","yd")</f>
        <v>0</v>
      </c>
      <c r="F116">
        <f t="shared" si="1"/>
        <v>59.83757410171571</v>
      </c>
    </row>
    <row r="117" spans="2:6" x14ac:dyDescent="0.25">
      <c r="B117">
        <v>100</v>
      </c>
      <c r="C117">
        <f>COS(PI()/180*_Theta)*_vyps*B117+_xShip+__xL</f>
        <v>1010.8432071553838</v>
      </c>
      <c r="D117">
        <f>SIN(PI()/180*_Theta)*_vyps*B117+_yShip+_yL</f>
        <v>1738.3111361389172</v>
      </c>
      <c r="E117">
        <f>B117*CONVERT(CONVERT(_vSub,"kn","m/sec"),"m","yd")</f>
        <v>0</v>
      </c>
      <c r="F117">
        <f t="shared" si="1"/>
        <v>59.821622468979932</v>
      </c>
    </row>
    <row r="118" spans="2:6" x14ac:dyDescent="0.25">
      <c r="B118">
        <v>101</v>
      </c>
      <c r="C118">
        <f>COS(PI()/180*_Theta)*_vyps*B118+_xShip+__xL</f>
        <v>1011.8176646307221</v>
      </c>
      <c r="D118">
        <f>SIN(PI()/180*_Theta)*_vyps*B118+_yShip+_yL</f>
        <v>1738.8737394246177</v>
      </c>
      <c r="E118">
        <f>B118*CONVERT(CONVERT(_vSub,"kn","m/sec"),"m","yd")</f>
        <v>0</v>
      </c>
      <c r="F118">
        <f t="shared" si="1"/>
        <v>59.805686316735077</v>
      </c>
    </row>
    <row r="119" spans="2:6" x14ac:dyDescent="0.25">
      <c r="B119">
        <v>102</v>
      </c>
      <c r="C119">
        <f>COS(PI()/180*_Theta)*_vyps*B119+_xShip+__xL</f>
        <v>1012.7921221060604</v>
      </c>
      <c r="D119">
        <f>SIN(PI()/180*_Theta)*_vyps*B119+_yShip+_yL</f>
        <v>1739.4363427103181</v>
      </c>
      <c r="E119">
        <f>B119*CONVERT(CONVERT(_vSub,"kn","m/sec"),"m","yd")</f>
        <v>0</v>
      </c>
      <c r="F119">
        <f t="shared" si="1"/>
        <v>59.789765624919241</v>
      </c>
    </row>
    <row r="120" spans="2:6" x14ac:dyDescent="0.25">
      <c r="B120">
        <v>103</v>
      </c>
      <c r="C120">
        <f>COS(PI()/180*_Theta)*_vyps*B120+_xShip+__xL</f>
        <v>1013.7665795813986</v>
      </c>
      <c r="D120">
        <f>SIN(PI()/180*_Theta)*_vyps*B120+_yShip+_yL</f>
        <v>1739.9989459960184</v>
      </c>
      <c r="E120">
        <f>B120*CONVERT(CONVERT(_vSub,"kn","m/sec"),"m","yd")</f>
        <v>0</v>
      </c>
      <c r="F120">
        <f t="shared" si="1"/>
        <v>59.773860373499936</v>
      </c>
    </row>
    <row r="121" spans="2:6" x14ac:dyDescent="0.25">
      <c r="B121">
        <v>104</v>
      </c>
      <c r="C121">
        <f>COS(PI()/180*_Theta)*_vyps*B121+_xShip+__xL</f>
        <v>1014.7410370567369</v>
      </c>
      <c r="D121">
        <f>SIN(PI()/180*_Theta)*_vyps*B121+_yShip+_yL</f>
        <v>1740.561549281719</v>
      </c>
      <c r="E121">
        <f>B121*CONVERT(CONVERT(_vSub,"kn","m/sec"),"m","yd")</f>
        <v>0</v>
      </c>
      <c r="F121">
        <f t="shared" si="1"/>
        <v>59.757970542473913</v>
      </c>
    </row>
    <row r="122" spans="2:6" x14ac:dyDescent="0.25">
      <c r="B122">
        <v>105</v>
      </c>
      <c r="C122">
        <f>COS(PI()/180*_Theta)*_vyps*B122+_xShip+__xL</f>
        <v>1015.7154945320752</v>
      </c>
      <c r="D122">
        <f>SIN(PI()/180*_Theta)*_vyps*B122+_yShip+_yL</f>
        <v>1741.1241525674193</v>
      </c>
      <c r="E122">
        <f>B122*CONVERT(CONVERT(_vSub,"kn","m/sec"),"m","yd")</f>
        <v>0</v>
      </c>
      <c r="F122">
        <f t="shared" si="1"/>
        <v>59.742096111867276</v>
      </c>
    </row>
    <row r="123" spans="2:6" x14ac:dyDescent="0.25">
      <c r="B123">
        <v>106</v>
      </c>
      <c r="C123">
        <f>COS(PI()/180*_Theta)*_vyps*B123+_xShip+__xL</f>
        <v>1016.6899520074136</v>
      </c>
      <c r="D123">
        <f>SIN(PI()/180*_Theta)*_vyps*B123+_yShip+_yL</f>
        <v>1741.6867558531196</v>
      </c>
      <c r="E123">
        <f>B123*CONVERT(CONVERT(_vSub,"kn","m/sec"),"m","yd")</f>
        <v>0</v>
      </c>
      <c r="F123">
        <f t="shared" si="1"/>
        <v>59.726237061735326</v>
      </c>
    </row>
    <row r="124" spans="2:6" x14ac:dyDescent="0.25">
      <c r="B124">
        <v>107</v>
      </c>
      <c r="C124">
        <f>COS(PI()/180*_Theta)*_vyps*B124+_xShip+__xL</f>
        <v>1017.6644094827517</v>
      </c>
      <c r="D124">
        <f>SIN(PI()/180*_Theta)*_vyps*B124+_yShip+_yL</f>
        <v>1742.24935913882</v>
      </c>
      <c r="E124">
        <f>B124*CONVERT(CONVERT(_vSub,"kn","m/sec"),"m","yd")</f>
        <v>0</v>
      </c>
      <c r="F124">
        <f t="shared" si="1"/>
        <v>59.710393372162571</v>
      </c>
    </row>
    <row r="125" spans="2:6" x14ac:dyDescent="0.25">
      <c r="B125">
        <v>108</v>
      </c>
      <c r="C125">
        <f>COS(PI()/180*_Theta)*_vyps*B125+_xShip+__xL</f>
        <v>1018.63886695809</v>
      </c>
      <c r="D125">
        <f>SIN(PI()/180*_Theta)*_vyps*B125+_yShip+_yL</f>
        <v>1742.8119624245205</v>
      </c>
      <c r="E125">
        <f>B125*CONVERT(CONVERT(_vSub,"kn","m/sec"),"m","yd")</f>
        <v>0</v>
      </c>
      <c r="F125">
        <f t="shared" si="1"/>
        <v>59.694565023262719</v>
      </c>
    </row>
    <row r="126" spans="2:6" x14ac:dyDescent="0.25">
      <c r="B126">
        <v>109</v>
      </c>
      <c r="C126">
        <f>COS(PI()/180*_Theta)*_vyps*B126+_xShip+__xL</f>
        <v>1019.6133244334284</v>
      </c>
      <c r="D126">
        <f>SIN(PI()/180*_Theta)*_vyps*B126+_yShip+_yL</f>
        <v>1743.3745657102208</v>
      </c>
      <c r="E126">
        <f>B126*CONVERT(CONVERT(_vSub,"kn","m/sec"),"m","yd")</f>
        <v>0</v>
      </c>
      <c r="F126">
        <f t="shared" si="1"/>
        <v>59.678751995178558</v>
      </c>
    </row>
    <row r="127" spans="2:6" x14ac:dyDescent="0.25">
      <c r="B127">
        <v>110</v>
      </c>
      <c r="C127">
        <f>COS(PI()/180*_Theta)*_vyps*B127+_xShip+__xL</f>
        <v>1020.5877819087665</v>
      </c>
      <c r="D127">
        <f>SIN(PI()/180*_Theta)*_vyps*B127+_yShip+_yL</f>
        <v>1743.9371689959212</v>
      </c>
      <c r="E127">
        <f>B127*CONVERT(CONVERT(_vSub,"kn","m/sec"),"m","yd")</f>
        <v>0</v>
      </c>
      <c r="F127">
        <f t="shared" si="1"/>
        <v>59.66295426808199</v>
      </c>
    </row>
    <row r="128" spans="2:6" x14ac:dyDescent="0.25">
      <c r="B128">
        <v>111</v>
      </c>
      <c r="C128">
        <f>COS(PI()/180*_Theta)*_vyps*B128+_xShip+__xL</f>
        <v>1021.5622393841048</v>
      </c>
      <c r="D128">
        <f>SIN(PI()/180*_Theta)*_vyps*B128+_yShip+_yL</f>
        <v>1744.4997722816217</v>
      </c>
      <c r="E128">
        <f>B128*CONVERT(CONVERT(_vSub,"kn","m/sec"),"m","yd")</f>
        <v>0</v>
      </c>
      <c r="F128">
        <f t="shared" si="1"/>
        <v>59.647171822173959</v>
      </c>
    </row>
    <row r="129" spans="2:6" x14ac:dyDescent="0.25">
      <c r="B129">
        <v>112</v>
      </c>
      <c r="C129">
        <f>COS(PI()/180*_Theta)*_vyps*B129+_xShip+__xL</f>
        <v>1022.5366968594432</v>
      </c>
      <c r="D129">
        <f>SIN(PI()/180*_Theta)*_vyps*B129+_yShip+_yL</f>
        <v>1745.0623755673221</v>
      </c>
      <c r="E129">
        <f>B129*CONVERT(CONVERT(_vSub,"kn","m/sec"),"m","yd")</f>
        <v>0</v>
      </c>
      <c r="F129">
        <f t="shared" si="1"/>
        <v>59.63140463768439</v>
      </c>
    </row>
    <row r="130" spans="2:6" x14ac:dyDescent="0.25">
      <c r="B130">
        <v>113</v>
      </c>
      <c r="C130">
        <f>COS(PI()/180*_Theta)*_vyps*B130+_xShip+__xL</f>
        <v>1023.5111543347815</v>
      </c>
      <c r="D130">
        <f>SIN(PI()/180*_Theta)*_vyps*B130+_yShip+_yL</f>
        <v>1745.6249788530224</v>
      </c>
      <c r="E130">
        <f>B130*CONVERT(CONVERT(_vSub,"kn","m/sec"),"m","yd")</f>
        <v>0</v>
      </c>
      <c r="F130">
        <f t="shared" si="1"/>
        <v>59.615652694872232</v>
      </c>
    </row>
    <row r="131" spans="2:6" x14ac:dyDescent="0.25">
      <c r="B131">
        <v>114</v>
      </c>
      <c r="C131">
        <f>COS(PI()/180*_Theta)*_vyps*B131+_xShip+__xL</f>
        <v>1024.4856118101197</v>
      </c>
      <c r="D131">
        <f>SIN(PI()/180*_Theta)*_vyps*B131+_yShip+_yL</f>
        <v>1746.1875821387227</v>
      </c>
      <c r="E131">
        <f>B131*CONVERT(CONVERT(_vSub,"kn","m/sec"),"m","yd")</f>
        <v>0</v>
      </c>
      <c r="F131">
        <f t="shared" si="1"/>
        <v>59.599915974025329</v>
      </c>
    </row>
    <row r="132" spans="2:6" x14ac:dyDescent="0.25">
      <c r="B132">
        <v>115</v>
      </c>
      <c r="C132">
        <f>COS(PI()/180*_Theta)*_vyps*B132+_xShip+__xL</f>
        <v>1025.4600692854581</v>
      </c>
      <c r="D132">
        <f>SIN(PI()/180*_Theta)*_vyps*B132+_yShip+_yL</f>
        <v>1746.7501854244233</v>
      </c>
      <c r="E132">
        <f>B132*CONVERT(CONVERT(_vSub,"kn","m/sec"),"m","yd")</f>
        <v>0</v>
      </c>
      <c r="F132">
        <f t="shared" si="1"/>
        <v>59.58419445546042</v>
      </c>
    </row>
    <row r="133" spans="2:6" x14ac:dyDescent="0.25">
      <c r="B133">
        <v>116</v>
      </c>
      <c r="C133">
        <f>COS(PI()/180*_Theta)*_vyps*B133+_xShip+__xL</f>
        <v>1026.4345267607964</v>
      </c>
      <c r="D133">
        <f>SIN(PI()/180*_Theta)*_vyps*B133+_yShip+_yL</f>
        <v>1747.3127887101236</v>
      </c>
      <c r="E133">
        <f>B133*CONVERT(CONVERT(_vSub,"kn","m/sec"),"m","yd")</f>
        <v>0</v>
      </c>
      <c r="F133">
        <f t="shared" si="1"/>
        <v>59.568488119523103</v>
      </c>
    </row>
    <row r="134" spans="2:6" x14ac:dyDescent="0.25">
      <c r="B134">
        <v>117</v>
      </c>
      <c r="C134">
        <f>COS(PI()/180*_Theta)*_vyps*B134+_xShip+__xL</f>
        <v>1027.4089842361348</v>
      </c>
      <c r="D134">
        <f>SIN(PI()/180*_Theta)*_vyps*B134+_yShip+_yL</f>
        <v>1747.875391995824</v>
      </c>
      <c r="E134">
        <f>B134*CONVERT(CONVERT(_vSub,"kn","m/sec"),"m","yd")</f>
        <v>0</v>
      </c>
      <c r="F134">
        <f t="shared" si="1"/>
        <v>59.552796946587812</v>
      </c>
    </row>
    <row r="135" spans="2:6" x14ac:dyDescent="0.25">
      <c r="B135">
        <v>118</v>
      </c>
      <c r="C135">
        <f>COS(PI()/180*_Theta)*_vyps*B135+_xShip+__xL</f>
        <v>1028.3834417114729</v>
      </c>
      <c r="D135">
        <f>SIN(PI()/180*_Theta)*_vyps*B135+_yShip+_yL</f>
        <v>1748.4379952815245</v>
      </c>
      <c r="E135">
        <f>B135*CONVERT(CONVERT(_vSub,"kn","m/sec"),"m","yd")</f>
        <v>0</v>
      </c>
      <c r="F135">
        <f t="shared" si="1"/>
        <v>59.53712091705772</v>
      </c>
    </row>
    <row r="136" spans="2:6" x14ac:dyDescent="0.25">
      <c r="B136">
        <v>119</v>
      </c>
      <c r="C136">
        <f>COS(PI()/180*_Theta)*_vyps*B136+_xShip+__xL</f>
        <v>1029.3578991868112</v>
      </c>
      <c r="D136">
        <f>SIN(PI()/180*_Theta)*_vyps*B136+_yShip+_yL</f>
        <v>1749.0005985672249</v>
      </c>
      <c r="E136">
        <f>B136*CONVERT(CONVERT(_vSub,"kn","m/sec"),"m","yd")</f>
        <v>0</v>
      </c>
      <c r="F136">
        <f t="shared" si="1"/>
        <v>59.521460011364773</v>
      </c>
    </row>
    <row r="137" spans="2:6" x14ac:dyDescent="0.25">
      <c r="B137">
        <v>120</v>
      </c>
      <c r="C137">
        <f>COS(PI()/180*_Theta)*_vyps*B137+_xShip+__xL</f>
        <v>1030.3323566621496</v>
      </c>
      <c r="D137">
        <f>SIN(PI()/180*_Theta)*_vyps*B137+_yShip+_yL</f>
        <v>1749.5632018529252</v>
      </c>
      <c r="E137">
        <f>B137*CONVERT(CONVERT(_vSub,"kn","m/sec"),"m","yd")</f>
        <v>0</v>
      </c>
      <c r="F137">
        <f t="shared" si="1"/>
        <v>59.505814209969571</v>
      </c>
    </row>
    <row r="138" spans="2:6" x14ac:dyDescent="0.25">
      <c r="B138">
        <v>121</v>
      </c>
      <c r="C138">
        <f>COS(PI()/180*_Theta)*_vyps*B138+_xShip+__xL</f>
        <v>1031.3068141374879</v>
      </c>
      <c r="D138">
        <f>SIN(PI()/180*_Theta)*_vyps*B138+_yShip+_yL</f>
        <v>1750.1258051386255</v>
      </c>
      <c r="E138">
        <f>B138*CONVERT(CONVERT(_vSub,"kn","m/sec"),"m","yd")</f>
        <v>0</v>
      </c>
      <c r="F138">
        <f t="shared" si="1"/>
        <v>59.490183493361442</v>
      </c>
    </row>
    <row r="139" spans="2:6" x14ac:dyDescent="0.25">
      <c r="B139">
        <v>122</v>
      </c>
      <c r="C139">
        <f>COS(PI()/180*_Theta)*_vyps*B139+_xShip+__xL</f>
        <v>1032.281271612826</v>
      </c>
      <c r="D139">
        <f>SIN(PI()/180*_Theta)*_vyps*B139+_yShip+_yL</f>
        <v>1750.6884084243261</v>
      </c>
      <c r="E139">
        <f>B139*CONVERT(CONVERT(_vSub,"kn","m/sec"),"m","yd")</f>
        <v>0</v>
      </c>
      <c r="F139">
        <f t="shared" si="1"/>
        <v>59.474567842058299</v>
      </c>
    </row>
    <row r="140" spans="2:6" x14ac:dyDescent="0.25">
      <c r="B140">
        <v>123</v>
      </c>
      <c r="C140">
        <f>COS(PI()/180*_Theta)*_vyps*B140+_xShip+__xL</f>
        <v>1033.2557290881643</v>
      </c>
      <c r="D140">
        <f>SIN(PI()/180*_Theta)*_vyps*B140+_yShip+_yL</f>
        <v>1751.2510117100264</v>
      </c>
      <c r="E140">
        <f>B140*CONVERT(CONVERT(_vSub,"kn","m/sec"),"m","yd")</f>
        <v>0</v>
      </c>
      <c r="F140">
        <f t="shared" si="1"/>
        <v>59.458967236606604</v>
      </c>
    </row>
    <row r="141" spans="2:6" x14ac:dyDescent="0.25">
      <c r="B141">
        <v>124</v>
      </c>
      <c r="C141">
        <f>COS(PI()/180*_Theta)*_vyps*B141+_xShip+__xL</f>
        <v>1034.2301865635027</v>
      </c>
      <c r="D141">
        <f>SIN(PI()/180*_Theta)*_vyps*B141+_yShip+_yL</f>
        <v>1751.8136149957268</v>
      </c>
      <c r="E141">
        <f>B141*CONVERT(CONVERT(_vSub,"kn","m/sec"),"m","yd")</f>
        <v>0</v>
      </c>
      <c r="F141">
        <f t="shared" si="1"/>
        <v>59.443381657581448</v>
      </c>
    </row>
    <row r="142" spans="2:6" x14ac:dyDescent="0.25">
      <c r="B142">
        <v>125</v>
      </c>
      <c r="C142">
        <f>COS(PI()/180*_Theta)*_vyps*B142+_xShip+__xL</f>
        <v>1035.2046440388408</v>
      </c>
      <c r="D142">
        <f>SIN(PI()/180*_Theta)*_vyps*B142+_yShip+_yL</f>
        <v>1752.3762182814273</v>
      </c>
      <c r="E142">
        <f>B142*CONVERT(CONVERT(_vSub,"kn","m/sec"),"m","yd")</f>
        <v>0</v>
      </c>
      <c r="F142">
        <f t="shared" si="1"/>
        <v>59.427811085586356</v>
      </c>
    </row>
    <row r="143" spans="2:6" x14ac:dyDescent="0.25">
      <c r="B143">
        <v>126</v>
      </c>
      <c r="C143">
        <f>COS(PI()/180*_Theta)*_vyps*B143+_xShip+__xL</f>
        <v>1036.1791015141791</v>
      </c>
      <c r="D143">
        <f>SIN(PI()/180*_Theta)*_vyps*B143+_yShip+_yL</f>
        <v>1752.9388215671277</v>
      </c>
      <c r="E143">
        <f>B143*CONVERT(CONVERT(_vSub,"kn","m/sec"),"m","yd")</f>
        <v>0</v>
      </c>
      <c r="F143">
        <f t="shared" si="1"/>
        <v>59.412255501253362</v>
      </c>
    </row>
    <row r="144" spans="2:6" x14ac:dyDescent="0.25">
      <c r="B144">
        <v>127</v>
      </c>
      <c r="C144">
        <f>COS(PI()/180*_Theta)*_vyps*B144+_xShip+__xL</f>
        <v>1037.1535589895175</v>
      </c>
      <c r="D144">
        <f>SIN(PI()/180*_Theta)*_vyps*B144+_yShip+_yL</f>
        <v>1753.501424852828</v>
      </c>
      <c r="E144">
        <f>B144*CONVERT(CONVERT(_vSub,"kn","m/sec"),"m","yd")</f>
        <v>0</v>
      </c>
      <c r="F144">
        <f t="shared" si="1"/>
        <v>59.396714885242901</v>
      </c>
    </row>
    <row r="145" spans="2:6" x14ac:dyDescent="0.25">
      <c r="B145">
        <v>128</v>
      </c>
      <c r="C145">
        <f>COS(PI()/180*_Theta)*_vyps*B145+_xShip+__xL</f>
        <v>1038.1280164648558</v>
      </c>
      <c r="D145">
        <f>SIN(PI()/180*_Theta)*_vyps*B145+_yShip+_yL</f>
        <v>1754.0640281385283</v>
      </c>
      <c r="E145">
        <f>B145*CONVERT(CONVERT(_vSub,"kn","m/sec"),"m","yd")</f>
        <v>0</v>
      </c>
      <c r="F145">
        <f t="shared" si="1"/>
        <v>59.381189218243811</v>
      </c>
    </row>
    <row r="146" spans="2:6" x14ac:dyDescent="0.25">
      <c r="B146">
        <v>129</v>
      </c>
      <c r="C146">
        <f>COS(PI()/180*_Theta)*_vyps*B146+_xShip+__xL</f>
        <v>1039.1024739401939</v>
      </c>
      <c r="D146">
        <f>SIN(PI()/180*_Theta)*_vyps*B146+_yShip+_yL</f>
        <v>1754.6266314242289</v>
      </c>
      <c r="E146">
        <f>B146*CONVERT(CONVERT(_vSub,"kn","m/sec"),"m","yd")</f>
        <v>0</v>
      </c>
      <c r="F146">
        <f t="shared" ref="F146:F209" si="2">ATAN2(C146,D146-E146)*180/PI()</f>
        <v>59.365678480973301</v>
      </c>
    </row>
    <row r="147" spans="2:6" x14ac:dyDescent="0.25">
      <c r="B147">
        <v>130</v>
      </c>
      <c r="C147">
        <f>COS(PI()/180*_Theta)*_vyps*B147+_xShip+__xL</f>
        <v>1040.0769314155323</v>
      </c>
      <c r="D147">
        <f>SIN(PI()/180*_Theta)*_vyps*B147+_yShip+_yL</f>
        <v>1755.1892347099292</v>
      </c>
      <c r="E147">
        <f>B147*CONVERT(CONVERT(_vSub,"kn","m/sec"),"m","yd")</f>
        <v>0</v>
      </c>
      <c r="F147">
        <f t="shared" si="2"/>
        <v>59.350182654176884</v>
      </c>
    </row>
    <row r="148" spans="2:6" x14ac:dyDescent="0.25">
      <c r="B148">
        <v>131</v>
      </c>
      <c r="C148">
        <f>COS(PI()/180*_Theta)*_vyps*B148+_xShip+__xL</f>
        <v>1041.0513888908706</v>
      </c>
      <c r="D148">
        <f>SIN(PI()/180*_Theta)*_vyps*B148+_yShip+_yL</f>
        <v>1755.7518379956296</v>
      </c>
      <c r="E148">
        <f>B148*CONVERT(CONVERT(_vSub,"kn","m/sec"),"m","yd")</f>
        <v>0</v>
      </c>
      <c r="F148">
        <f t="shared" si="2"/>
        <v>59.334701718628345</v>
      </c>
    </row>
    <row r="149" spans="2:6" x14ac:dyDescent="0.25">
      <c r="B149">
        <v>132</v>
      </c>
      <c r="C149">
        <f>COS(PI()/180*_Theta)*_vyps*B149+_xShip+__xL</f>
        <v>1042.025846366209</v>
      </c>
      <c r="D149">
        <f>SIN(PI()/180*_Theta)*_vyps*B149+_yShip+_yL</f>
        <v>1756.3144412813301</v>
      </c>
      <c r="E149">
        <f>B149*CONVERT(CONVERT(_vSub,"kn","m/sec"),"m","yd")</f>
        <v>0</v>
      </c>
      <c r="F149">
        <f t="shared" si="2"/>
        <v>59.319235655129674</v>
      </c>
    </row>
    <row r="150" spans="2:6" x14ac:dyDescent="0.25">
      <c r="B150">
        <v>133</v>
      </c>
      <c r="C150">
        <f>COS(PI()/180*_Theta)*_vyps*B150+_xShip+__xL</f>
        <v>1043.0003038415471</v>
      </c>
      <c r="D150">
        <f>SIN(PI()/180*_Theta)*_vyps*B150+_yShip+_yL</f>
        <v>1756.8770445670305</v>
      </c>
      <c r="E150">
        <f>B150*CONVERT(CONVERT(_vSub,"kn","m/sec"),"m","yd")</f>
        <v>0</v>
      </c>
      <c r="F150">
        <f t="shared" si="2"/>
        <v>59.30378444451113</v>
      </c>
    </row>
    <row r="151" spans="2:6" x14ac:dyDescent="0.25">
      <c r="B151">
        <v>134</v>
      </c>
      <c r="C151">
        <f>COS(PI()/180*_Theta)*_vyps*B151+_xShip+__xL</f>
        <v>1043.9747613168854</v>
      </c>
      <c r="D151">
        <f>SIN(PI()/180*_Theta)*_vyps*B151+_yShip+_yL</f>
        <v>1757.4396478527308</v>
      </c>
      <c r="E151">
        <f>B151*CONVERT(CONVERT(_vSub,"kn","m/sec"),"m","yd")</f>
        <v>0</v>
      </c>
      <c r="F151">
        <f t="shared" si="2"/>
        <v>59.288348067631084</v>
      </c>
    </row>
    <row r="152" spans="2:6" x14ac:dyDescent="0.25">
      <c r="B152">
        <v>135</v>
      </c>
      <c r="C152">
        <f>COS(PI()/180*_Theta)*_vyps*B152+_xShip+__xL</f>
        <v>1044.9492187922237</v>
      </c>
      <c r="D152">
        <f>SIN(PI()/180*_Theta)*_vyps*B152+_yShip+_yL</f>
        <v>1758.0022511384311</v>
      </c>
      <c r="E152">
        <f>B152*CONVERT(CONVERT(_vSub,"kn","m/sec"),"m","yd")</f>
        <v>0</v>
      </c>
      <c r="F152">
        <f t="shared" si="2"/>
        <v>59.272926505376027</v>
      </c>
    </row>
    <row r="153" spans="2:6" x14ac:dyDescent="0.25">
      <c r="B153">
        <v>136</v>
      </c>
      <c r="C153">
        <f>COS(PI()/180*_Theta)*_vyps*B153+_xShip+__xL</f>
        <v>1045.9236762675619</v>
      </c>
      <c r="D153">
        <f>SIN(PI()/180*_Theta)*_vyps*B153+_yShip+_yL</f>
        <v>1758.5648544241317</v>
      </c>
      <c r="E153">
        <f>B153*CONVERT(CONVERT(_vSub,"kn","m/sec"),"m","yd")</f>
        <v>0</v>
      </c>
      <c r="F153">
        <f t="shared" si="2"/>
        <v>59.257519738660562</v>
      </c>
    </row>
    <row r="154" spans="2:6" x14ac:dyDescent="0.25">
      <c r="B154">
        <v>137</v>
      </c>
      <c r="C154">
        <f>COS(PI()/180*_Theta)*_vyps*B154+_xShip+__xL</f>
        <v>1046.8981337429002</v>
      </c>
      <c r="D154">
        <f>SIN(PI()/180*_Theta)*_vyps*B154+_yShip+_yL</f>
        <v>1759.127457709832</v>
      </c>
      <c r="E154">
        <f>B154*CONVERT(CONVERT(_vSub,"kn","m/sec"),"m","yd")</f>
        <v>0</v>
      </c>
      <c r="F154">
        <f t="shared" si="2"/>
        <v>59.242127748427308</v>
      </c>
    </row>
    <row r="155" spans="2:6" x14ac:dyDescent="0.25">
      <c r="B155">
        <v>138</v>
      </c>
      <c r="C155">
        <f>COS(PI()/180*_Theta)*_vyps*B155+_xShip+__xL</f>
        <v>1047.8725912182385</v>
      </c>
      <c r="D155">
        <f>SIN(PI()/180*_Theta)*_vyps*B155+_yShip+_yL</f>
        <v>1759.6900609955323</v>
      </c>
      <c r="E155">
        <f>B155*CONVERT(CONVERT(_vSub,"kn","m/sec"),"m","yd")</f>
        <v>0</v>
      </c>
      <c r="F155">
        <f t="shared" si="2"/>
        <v>59.226750515646899</v>
      </c>
    </row>
    <row r="156" spans="2:6" x14ac:dyDescent="0.25">
      <c r="B156">
        <v>139</v>
      </c>
      <c r="C156">
        <f>COS(PI()/180*_Theta)*_vyps*B156+_xShip+__xL</f>
        <v>1048.8470486935769</v>
      </c>
      <c r="D156">
        <f>SIN(PI()/180*_Theta)*_vyps*B156+_yShip+_yL</f>
        <v>1760.2526642812329</v>
      </c>
      <c r="E156">
        <f>B156*CONVERT(CONVERT(_vSub,"kn","m/sec"),"m","yd")</f>
        <v>0</v>
      </c>
      <c r="F156">
        <f t="shared" si="2"/>
        <v>59.211388021317973</v>
      </c>
    </row>
    <row r="157" spans="2:6" x14ac:dyDescent="0.25">
      <c r="B157">
        <v>140</v>
      </c>
      <c r="C157">
        <f>COS(PI()/180*_Theta)*_vyps*B157+_xShip+__xL</f>
        <v>1049.821506168915</v>
      </c>
      <c r="D157">
        <f>SIN(PI()/180*_Theta)*_vyps*B157+_yShip+_yL</f>
        <v>1760.8152675669332</v>
      </c>
      <c r="E157">
        <f>B157*CONVERT(CONVERT(_vSub,"kn","m/sec"),"m","yd")</f>
        <v>0</v>
      </c>
      <c r="F157">
        <f t="shared" si="2"/>
        <v>59.196040246467035</v>
      </c>
    </row>
    <row r="158" spans="2:6" x14ac:dyDescent="0.25">
      <c r="B158">
        <v>141</v>
      </c>
      <c r="C158">
        <f>COS(PI()/180*_Theta)*_vyps*B158+_xShip+__xL</f>
        <v>1050.7959636442533</v>
      </c>
      <c r="D158">
        <f>SIN(PI()/180*_Theta)*_vyps*B158+_yShip+_yL</f>
        <v>1761.3778708526336</v>
      </c>
      <c r="E158">
        <f>B158*CONVERT(CONVERT(_vSub,"kn","m/sec"),"m","yd")</f>
        <v>0</v>
      </c>
      <c r="F158">
        <f t="shared" si="2"/>
        <v>59.18070717214853</v>
      </c>
    </row>
    <row r="159" spans="2:6" x14ac:dyDescent="0.25">
      <c r="B159">
        <v>142</v>
      </c>
      <c r="C159">
        <f>COS(PI()/180*_Theta)*_vyps*B159+_xShip+__xL</f>
        <v>1051.7704211195917</v>
      </c>
      <c r="D159">
        <f>SIN(PI()/180*_Theta)*_vyps*B159+_yShip+_yL</f>
        <v>1761.9404741383339</v>
      </c>
      <c r="E159">
        <f>B159*CONVERT(CONVERT(_vSub,"kn","m/sec"),"m","yd")</f>
        <v>0</v>
      </c>
      <c r="F159">
        <f t="shared" si="2"/>
        <v>59.16538877944474</v>
      </c>
    </row>
    <row r="160" spans="2:6" x14ac:dyDescent="0.25">
      <c r="B160">
        <v>143</v>
      </c>
      <c r="C160">
        <f>COS(PI()/180*_Theta)*_vyps*B160+_xShip+__xL</f>
        <v>1052.74487859493</v>
      </c>
      <c r="D160">
        <f>SIN(PI()/180*_Theta)*_vyps*B160+_yShip+_yL</f>
        <v>1762.5030774240345</v>
      </c>
      <c r="E160">
        <f>B160*CONVERT(CONVERT(_vSub,"kn","m/sec"),"m","yd")</f>
        <v>0</v>
      </c>
      <c r="F160">
        <f t="shared" si="2"/>
        <v>59.150085049465766</v>
      </c>
    </row>
    <row r="161" spans="2:6" x14ac:dyDescent="0.25">
      <c r="B161">
        <v>144</v>
      </c>
      <c r="C161">
        <f>COS(PI()/180*_Theta)*_vyps*B161+_xShip+__xL</f>
        <v>1053.7193360702681</v>
      </c>
      <c r="D161">
        <f>SIN(PI()/180*_Theta)*_vyps*B161+_yShip+_yL</f>
        <v>1763.0656807097348</v>
      </c>
      <c r="E161">
        <f>B161*CONVERT(CONVERT(_vSub,"kn","m/sec"),"m","yd")</f>
        <v>0</v>
      </c>
      <c r="F161">
        <f t="shared" si="2"/>
        <v>59.134795963349482</v>
      </c>
    </row>
    <row r="162" spans="2:6" x14ac:dyDescent="0.25">
      <c r="B162">
        <v>145</v>
      </c>
      <c r="C162">
        <f>COS(PI()/180*_Theta)*_vyps*B162+_xShip+__xL</f>
        <v>1054.6937935456065</v>
      </c>
      <c r="D162">
        <f>SIN(PI()/180*_Theta)*_vyps*B162+_yShip+_yL</f>
        <v>1763.6282839954351</v>
      </c>
      <c r="E162">
        <f>B162*CONVERT(CONVERT(_vSub,"kn","m/sec"),"m","yd")</f>
        <v>0</v>
      </c>
      <c r="F162">
        <f t="shared" si="2"/>
        <v>59.119521502261478</v>
      </c>
    </row>
    <row r="163" spans="2:6" x14ac:dyDescent="0.25">
      <c r="B163">
        <v>146</v>
      </c>
      <c r="C163">
        <f>COS(PI()/180*_Theta)*_vyps*B163+_xShip+__xL</f>
        <v>1055.6682510209448</v>
      </c>
      <c r="D163">
        <f>SIN(PI()/180*_Theta)*_vyps*B163+_yShip+_yL</f>
        <v>1764.1908872811357</v>
      </c>
      <c r="E163">
        <f>B163*CONVERT(CONVERT(_vSub,"kn","m/sec"),"m","yd")</f>
        <v>0</v>
      </c>
      <c r="F163">
        <f t="shared" si="2"/>
        <v>59.104261647395113</v>
      </c>
    </row>
    <row r="164" spans="2:6" x14ac:dyDescent="0.25">
      <c r="B164">
        <v>147</v>
      </c>
      <c r="C164">
        <f>COS(PI()/180*_Theta)*_vyps*B164+_xShip+__xL</f>
        <v>1056.6427084962829</v>
      </c>
      <c r="D164">
        <f>SIN(PI()/180*_Theta)*_vyps*B164+_yShip+_yL</f>
        <v>1764.753490566836</v>
      </c>
      <c r="E164">
        <f>B164*CONVERT(CONVERT(_vSub,"kn","m/sec"),"m","yd")</f>
        <v>0</v>
      </c>
      <c r="F164">
        <f t="shared" si="2"/>
        <v>59.089016379971326</v>
      </c>
    </row>
    <row r="165" spans="2:6" x14ac:dyDescent="0.25">
      <c r="B165">
        <v>148</v>
      </c>
      <c r="C165">
        <f>COS(PI()/180*_Theta)*_vyps*B165+_xShip+__xL</f>
        <v>1057.6171659716213</v>
      </c>
      <c r="D165">
        <f>SIN(PI()/180*_Theta)*_vyps*B165+_yShip+_yL</f>
        <v>1765.3160938525364</v>
      </c>
      <c r="E165">
        <f>B165*CONVERT(CONVERT(_vSub,"kn","m/sec"),"m","yd")</f>
        <v>0</v>
      </c>
      <c r="F165">
        <f t="shared" si="2"/>
        <v>59.073785681238732</v>
      </c>
    </row>
    <row r="166" spans="2:6" x14ac:dyDescent="0.25">
      <c r="B166">
        <v>149</v>
      </c>
      <c r="C166">
        <f>COS(PI()/180*_Theta)*_vyps*B166+_xShip+__xL</f>
        <v>1058.5916234469596</v>
      </c>
      <c r="D166">
        <f>SIN(PI()/180*_Theta)*_vyps*B166+_yShip+_yL</f>
        <v>1765.8786971382367</v>
      </c>
      <c r="E166">
        <f>B166*CONVERT(CONVERT(_vSub,"kn","m/sec"),"m","yd")</f>
        <v>0</v>
      </c>
      <c r="F166">
        <f t="shared" si="2"/>
        <v>59.058569532473491</v>
      </c>
    </row>
    <row r="167" spans="2:6" x14ac:dyDescent="0.25">
      <c r="B167">
        <v>150</v>
      </c>
      <c r="C167">
        <f>COS(PI()/180*_Theta)*_vyps*B167+_xShip+__xL</f>
        <v>1059.5660809222979</v>
      </c>
      <c r="D167">
        <f>SIN(PI()/180*_Theta)*_vyps*B167+_yShip+_yL</f>
        <v>1766.4413004239373</v>
      </c>
      <c r="E167">
        <f>B167*CONVERT(CONVERT(_vSub,"kn","m/sec"),"m","yd")</f>
        <v>0</v>
      </c>
      <c r="F167">
        <f t="shared" si="2"/>
        <v>59.04336791497937</v>
      </c>
    </row>
    <row r="168" spans="2:6" x14ac:dyDescent="0.25">
      <c r="B168">
        <v>151</v>
      </c>
      <c r="C168">
        <f>COS(PI()/180*_Theta)*_vyps*B168+_xShip+__xL</f>
        <v>1060.5405383976363</v>
      </c>
      <c r="D168">
        <f>SIN(PI()/180*_Theta)*_vyps*B168+_yShip+_yL</f>
        <v>1767.0039037096376</v>
      </c>
      <c r="E168">
        <f>B168*CONVERT(CONVERT(_vSub,"kn","m/sec"),"m","yd")</f>
        <v>0</v>
      </c>
      <c r="F168">
        <f t="shared" si="2"/>
        <v>59.028180810087605</v>
      </c>
    </row>
    <row r="169" spans="2:6" x14ac:dyDescent="0.25">
      <c r="B169">
        <v>152</v>
      </c>
      <c r="C169">
        <f>COS(PI()/180*_Theta)*_vyps*B169+_xShip+__xL</f>
        <v>1061.5149958729744</v>
      </c>
      <c r="D169">
        <f>SIN(PI()/180*_Theta)*_vyps*B169+_yShip+_yL</f>
        <v>1767.5665069953379</v>
      </c>
      <c r="E169">
        <f>B169*CONVERT(CONVERT(_vSub,"kn","m/sec"),"m","yd")</f>
        <v>0</v>
      </c>
      <c r="F169">
        <f t="shared" si="2"/>
        <v>59.013008199156886</v>
      </c>
    </row>
    <row r="170" spans="2:6" x14ac:dyDescent="0.25">
      <c r="B170">
        <v>153</v>
      </c>
      <c r="C170">
        <f>COS(PI()/180*_Theta)*_vyps*B170+_xShip+__xL</f>
        <v>1062.4894533483127</v>
      </c>
      <c r="D170">
        <f>SIN(PI()/180*_Theta)*_vyps*B170+_yShip+_yL</f>
        <v>1768.1291102810385</v>
      </c>
      <c r="E170">
        <f>B170*CONVERT(CONVERT(_vSub,"kn","m/sec"),"m","yd")</f>
        <v>0</v>
      </c>
      <c r="F170">
        <f t="shared" si="2"/>
        <v>58.997850063573381</v>
      </c>
    </row>
    <row r="171" spans="2:6" x14ac:dyDescent="0.25">
      <c r="B171">
        <v>154</v>
      </c>
      <c r="C171">
        <f>COS(PI()/180*_Theta)*_vyps*B171+_xShip+__xL</f>
        <v>1063.4639108236511</v>
      </c>
      <c r="D171">
        <f>SIN(PI()/180*_Theta)*_vyps*B171+_yShip+_yL</f>
        <v>1768.6917135667388</v>
      </c>
      <c r="E171">
        <f>B171*CONVERT(CONVERT(_vSub,"kn","m/sec"),"m","yd")</f>
        <v>0</v>
      </c>
      <c r="F171">
        <f t="shared" si="2"/>
        <v>58.9827063847506</v>
      </c>
    </row>
    <row r="172" spans="2:6" x14ac:dyDescent="0.25">
      <c r="B172">
        <v>155</v>
      </c>
      <c r="C172">
        <f>COS(PI()/180*_Theta)*_vyps*B172+_xShip+__xL</f>
        <v>1064.4383682989892</v>
      </c>
      <c r="D172">
        <f>SIN(PI()/180*_Theta)*_vyps*B172+_yShip+_yL</f>
        <v>1769.2543168524392</v>
      </c>
      <c r="E172">
        <f>B172*CONVERT(CONVERT(_vSub,"kn","m/sec"),"m","yd")</f>
        <v>0</v>
      </c>
      <c r="F172">
        <f t="shared" si="2"/>
        <v>58.967577144129471</v>
      </c>
    </row>
    <row r="173" spans="2:6" x14ac:dyDescent="0.25">
      <c r="B173">
        <v>156</v>
      </c>
      <c r="C173">
        <f>COS(PI()/180*_Theta)*_vyps*B173+_xShip+__xL</f>
        <v>1065.4128257743275</v>
      </c>
      <c r="D173">
        <f>SIN(PI()/180*_Theta)*_vyps*B173+_yShip+_yL</f>
        <v>1769.8169201381395</v>
      </c>
      <c r="E173">
        <f>B173*CONVERT(CONVERT(_vSub,"kn","m/sec"),"m","yd")</f>
        <v>0</v>
      </c>
      <c r="F173">
        <f t="shared" si="2"/>
        <v>58.95246232317821</v>
      </c>
    </row>
    <row r="174" spans="2:6" x14ac:dyDescent="0.25">
      <c r="B174">
        <v>157</v>
      </c>
      <c r="C174">
        <f>COS(PI()/180*_Theta)*_vyps*B174+_xShip+__xL</f>
        <v>1066.3872832496659</v>
      </c>
      <c r="D174">
        <f>SIN(PI()/180*_Theta)*_vyps*B174+_yShip+_yL</f>
        <v>1770.3795234238401</v>
      </c>
      <c r="E174">
        <f>B174*CONVERT(CONVERT(_vSub,"kn","m/sec"),"m","yd")</f>
        <v>0</v>
      </c>
      <c r="F174">
        <f t="shared" si="2"/>
        <v>58.937361903392279</v>
      </c>
    </row>
    <row r="175" spans="2:6" x14ac:dyDescent="0.25">
      <c r="B175">
        <v>158</v>
      </c>
      <c r="C175">
        <f>COS(PI()/180*_Theta)*_vyps*B175+_xShip+__xL</f>
        <v>1067.3617407250042</v>
      </c>
      <c r="D175">
        <f>SIN(PI()/180*_Theta)*_vyps*B175+_yShip+_yL</f>
        <v>1770.9421267095404</v>
      </c>
      <c r="E175">
        <f>B175*CONVERT(CONVERT(_vSub,"kn","m/sec"),"m","yd")</f>
        <v>0</v>
      </c>
      <c r="F175">
        <f t="shared" si="2"/>
        <v>58.922275866294441</v>
      </c>
    </row>
    <row r="176" spans="2:6" x14ac:dyDescent="0.25">
      <c r="B176">
        <v>159</v>
      </c>
      <c r="C176">
        <f>COS(PI()/180*_Theta)*_vyps*B176+_xShip+__xL</f>
        <v>1068.3361982003423</v>
      </c>
      <c r="D176">
        <f>SIN(PI()/180*_Theta)*_vyps*B176+_yShip+_yL</f>
        <v>1771.5047299952407</v>
      </c>
      <c r="E176">
        <f>B176*CONVERT(CONVERT(_vSub,"kn","m/sec"),"m","yd")</f>
        <v>0</v>
      </c>
      <c r="F176">
        <f t="shared" si="2"/>
        <v>58.907204193434652</v>
      </c>
    </row>
    <row r="177" spans="2:6" x14ac:dyDescent="0.25">
      <c r="B177">
        <v>160</v>
      </c>
      <c r="C177">
        <f>COS(PI()/180*_Theta)*_vyps*B177+_xShip+__xL</f>
        <v>1069.3106556756807</v>
      </c>
      <c r="D177">
        <f>SIN(PI()/180*_Theta)*_vyps*B177+_yShip+_yL</f>
        <v>1772.0673332809413</v>
      </c>
      <c r="E177">
        <f>B177*CONVERT(CONVERT(_vSub,"kn","m/sec"),"m","yd")</f>
        <v>0</v>
      </c>
      <c r="F177">
        <f t="shared" si="2"/>
        <v>58.892146866389993</v>
      </c>
    </row>
    <row r="178" spans="2:6" x14ac:dyDescent="0.25">
      <c r="B178">
        <v>161</v>
      </c>
      <c r="C178">
        <f>COS(PI()/180*_Theta)*_vyps*B178+_xShip+__xL</f>
        <v>1070.285113151019</v>
      </c>
      <c r="D178">
        <f>SIN(PI()/180*_Theta)*_vyps*B178+_yShip+_yL</f>
        <v>1772.6299365666416</v>
      </c>
      <c r="E178">
        <f>B178*CONVERT(CONVERT(_vSub,"kn","m/sec"),"m","yd")</f>
        <v>0</v>
      </c>
      <c r="F178">
        <f t="shared" si="2"/>
        <v>58.877103866764699</v>
      </c>
    </row>
    <row r="179" spans="2:6" x14ac:dyDescent="0.25">
      <c r="B179">
        <v>162</v>
      </c>
      <c r="C179">
        <f>COS(PI()/180*_Theta)*_vyps*B179+_xShip+__xL</f>
        <v>1071.2595706263573</v>
      </c>
      <c r="D179">
        <f>SIN(PI()/180*_Theta)*_vyps*B179+_yShip+_yL</f>
        <v>1773.192539852342</v>
      </c>
      <c r="E179">
        <f>B179*CONVERT(CONVERT(_vSub,"kn","m/sec"),"m","yd")</f>
        <v>0</v>
      </c>
      <c r="F179">
        <f t="shared" si="2"/>
        <v>58.86207517619011</v>
      </c>
    </row>
    <row r="180" spans="2:6" x14ac:dyDescent="0.25">
      <c r="B180">
        <v>163</v>
      </c>
      <c r="C180">
        <f>COS(PI()/180*_Theta)*_vyps*B180+_xShip+__xL</f>
        <v>1072.2340281016955</v>
      </c>
      <c r="D180">
        <f>SIN(PI()/180*_Theta)*_vyps*B180+_yShip+_yL</f>
        <v>1773.7551431380423</v>
      </c>
      <c r="E180">
        <f>B180*CONVERT(CONVERT(_vSub,"kn","m/sec"),"m","yd")</f>
        <v>0</v>
      </c>
      <c r="F180">
        <f t="shared" si="2"/>
        <v>58.847060776324618</v>
      </c>
    </row>
    <row r="181" spans="2:6" x14ac:dyDescent="0.25">
      <c r="B181">
        <v>164</v>
      </c>
      <c r="C181">
        <f>COS(PI()/180*_Theta)*_vyps*B181+_xShip+__xL</f>
        <v>1073.2084855770338</v>
      </c>
      <c r="D181">
        <f>SIN(PI()/180*_Theta)*_vyps*B181+_yShip+_yL</f>
        <v>1774.3177464237428</v>
      </c>
      <c r="E181">
        <f>B181*CONVERT(CONVERT(_vSub,"kn","m/sec"),"m","yd")</f>
        <v>0</v>
      </c>
      <c r="F181">
        <f t="shared" si="2"/>
        <v>58.832060648853592</v>
      </c>
    </row>
    <row r="182" spans="2:6" x14ac:dyDescent="0.25">
      <c r="B182">
        <v>165</v>
      </c>
      <c r="C182">
        <f>COS(PI()/180*_Theta)*_vyps*B182+_xShip+__xL</f>
        <v>1074.1829430523721</v>
      </c>
      <c r="D182">
        <f>SIN(PI()/180*_Theta)*_vyps*B182+_yShip+_yL</f>
        <v>1774.8803497094432</v>
      </c>
      <c r="E182">
        <f>B182*CONVERT(CONVERT(_vSub,"kn","m/sec"),"m","yd")</f>
        <v>0</v>
      </c>
      <c r="F182">
        <f t="shared" si="2"/>
        <v>58.817074775489417</v>
      </c>
    </row>
    <row r="183" spans="2:6" x14ac:dyDescent="0.25">
      <c r="B183">
        <v>166</v>
      </c>
      <c r="C183">
        <f>COS(PI()/180*_Theta)*_vyps*B183+_xShip+__xL</f>
        <v>1075.1574005277103</v>
      </c>
      <c r="D183">
        <f>SIN(PI()/180*_Theta)*_vyps*B183+_yShip+_yL</f>
        <v>1775.4429529951435</v>
      </c>
      <c r="E183">
        <f>B183*CONVERT(CONVERT(_vSub,"kn","m/sec"),"m","yd")</f>
        <v>0</v>
      </c>
      <c r="F183">
        <f t="shared" si="2"/>
        <v>58.802103137971407</v>
      </c>
    </row>
    <row r="184" spans="2:6" x14ac:dyDescent="0.25">
      <c r="B184">
        <v>167</v>
      </c>
      <c r="C184">
        <f>COS(PI()/180*_Theta)*_vyps*B184+_xShip+__xL</f>
        <v>1076.1318580030486</v>
      </c>
      <c r="D184">
        <f>SIN(PI()/180*_Theta)*_vyps*B184+_yShip+_yL</f>
        <v>1776.0055562808441</v>
      </c>
      <c r="E184">
        <f>B184*CONVERT(CONVERT(_vSub,"kn","m/sec"),"m","yd")</f>
        <v>0</v>
      </c>
      <c r="F184">
        <f t="shared" si="2"/>
        <v>58.787145718065752</v>
      </c>
    </row>
    <row r="185" spans="2:6" x14ac:dyDescent="0.25">
      <c r="B185">
        <v>168</v>
      </c>
      <c r="C185">
        <f>COS(PI()/180*_Theta)*_vyps*B185+_xShip+__xL</f>
        <v>1077.1063154783869</v>
      </c>
      <c r="D185">
        <f>SIN(PI()/180*_Theta)*_vyps*B185+_yShip+_yL</f>
        <v>1776.5681595665444</v>
      </c>
      <c r="E185">
        <f>B185*CONVERT(CONVERT(_vSub,"kn","m/sec"),"m","yd")</f>
        <v>0</v>
      </c>
      <c r="F185">
        <f t="shared" si="2"/>
        <v>58.772202497565559</v>
      </c>
    </row>
    <row r="186" spans="2:6" x14ac:dyDescent="0.25">
      <c r="B186">
        <v>169</v>
      </c>
      <c r="C186">
        <f>COS(PI()/180*_Theta)*_vyps*B186+_xShip+__xL</f>
        <v>1078.0807729537253</v>
      </c>
      <c r="D186">
        <f>SIN(PI()/180*_Theta)*_vyps*B186+_yShip+_yL</f>
        <v>1777.1307628522447</v>
      </c>
      <c r="E186">
        <f>B186*CONVERT(CONVERT(_vSub,"kn","m/sec"),"m","yd")</f>
        <v>0</v>
      </c>
      <c r="F186">
        <f t="shared" si="2"/>
        <v>58.757273458290676</v>
      </c>
    </row>
    <row r="187" spans="2:6" x14ac:dyDescent="0.25">
      <c r="B187">
        <v>170</v>
      </c>
      <c r="C187">
        <f>COS(PI()/180*_Theta)*_vyps*B187+_xShip+__xL</f>
        <v>1079.0552304290634</v>
      </c>
      <c r="D187">
        <f>SIN(PI()/180*_Theta)*_vyps*B187+_yShip+_yL</f>
        <v>1777.6933661379451</v>
      </c>
      <c r="E187">
        <f>B187*CONVERT(CONVERT(_vSub,"kn","m/sec"),"m","yd")</f>
        <v>0</v>
      </c>
      <c r="F187">
        <f t="shared" si="2"/>
        <v>58.742358582087853</v>
      </c>
    </row>
    <row r="188" spans="2:6" x14ac:dyDescent="0.25">
      <c r="B188">
        <v>171</v>
      </c>
      <c r="C188">
        <f>COS(PI()/180*_Theta)*_vyps*B188+_xShip+__xL</f>
        <v>1080.0296879044017</v>
      </c>
      <c r="D188">
        <f>SIN(PI()/180*_Theta)*_vyps*B188+_yShip+_yL</f>
        <v>1778.2559694236456</v>
      </c>
      <c r="E188">
        <f>B188*CONVERT(CONVERT(_vSub,"kn","m/sec"),"m","yd")</f>
        <v>0</v>
      </c>
      <c r="F188">
        <f t="shared" si="2"/>
        <v>58.727457850830469</v>
      </c>
    </row>
    <row r="189" spans="2:6" x14ac:dyDescent="0.25">
      <c r="B189">
        <v>172</v>
      </c>
      <c r="C189">
        <f>COS(PI()/180*_Theta)*_vyps*B189+_xShip+__xL</f>
        <v>1081.0041453797401</v>
      </c>
      <c r="D189">
        <f>SIN(PI()/180*_Theta)*_vyps*B189+_yShip+_yL</f>
        <v>1778.818572709346</v>
      </c>
      <c r="E189">
        <f>B189*CONVERT(CONVERT(_vSub,"kn","m/sec"),"m","yd")</f>
        <v>0</v>
      </c>
      <c r="F189">
        <f t="shared" si="2"/>
        <v>58.712571246418705</v>
      </c>
    </row>
    <row r="190" spans="2:6" x14ac:dyDescent="0.25">
      <c r="B190">
        <v>173</v>
      </c>
      <c r="C190">
        <f>COS(PI()/180*_Theta)*_vyps*B190+_xShip+__xL</f>
        <v>1081.9786028550784</v>
      </c>
      <c r="D190">
        <f>SIN(PI()/180*_Theta)*_vyps*B190+_yShip+_yL</f>
        <v>1779.3811759950463</v>
      </c>
      <c r="E190">
        <f>B190*CONVERT(CONVERT(_vSub,"kn","m/sec"),"m","yd")</f>
        <v>0</v>
      </c>
      <c r="F190">
        <f t="shared" si="2"/>
        <v>58.697698750779352</v>
      </c>
    </row>
    <row r="191" spans="2:6" x14ac:dyDescent="0.25">
      <c r="B191">
        <v>174</v>
      </c>
      <c r="C191">
        <f>COS(PI()/180*_Theta)*_vyps*B191+_xShip+__xL</f>
        <v>1082.9530603304165</v>
      </c>
      <c r="D191">
        <f>SIN(PI()/180*_Theta)*_vyps*B191+_yShip+_yL</f>
        <v>1779.9437792807469</v>
      </c>
      <c r="E191">
        <f>B191*CONVERT(CONVERT(_vSub,"kn","m/sec"),"m","yd")</f>
        <v>0</v>
      </c>
      <c r="F191">
        <f t="shared" si="2"/>
        <v>58.682840345865912</v>
      </c>
    </row>
    <row r="192" spans="2:6" x14ac:dyDescent="0.25">
      <c r="B192">
        <v>175</v>
      </c>
      <c r="C192">
        <f>COS(PI()/180*_Theta)*_vyps*B192+_xShip+__xL</f>
        <v>1083.9275178057549</v>
      </c>
      <c r="D192">
        <f>SIN(PI()/180*_Theta)*_vyps*B192+_yShip+_yL</f>
        <v>1780.5063825664472</v>
      </c>
      <c r="E192">
        <f>B192*CONVERT(CONVERT(_vSub,"kn","m/sec"),"m","yd")</f>
        <v>0</v>
      </c>
      <c r="F192">
        <f t="shared" si="2"/>
        <v>58.66799601365841</v>
      </c>
    </row>
    <row r="193" spans="2:6" x14ac:dyDescent="0.25">
      <c r="B193">
        <v>176</v>
      </c>
      <c r="C193">
        <f>COS(PI()/180*_Theta)*_vyps*B193+_xShip+__xL</f>
        <v>1084.9019752810932</v>
      </c>
      <c r="D193">
        <f>SIN(PI()/180*_Theta)*_vyps*B193+_yShip+_yL</f>
        <v>1781.0689858521475</v>
      </c>
      <c r="E193">
        <f>B193*CONVERT(CONVERT(_vSub,"kn","m/sec"),"m","yd")</f>
        <v>0</v>
      </c>
      <c r="F193">
        <f t="shared" si="2"/>
        <v>58.653165736163473</v>
      </c>
    </row>
    <row r="194" spans="2:6" x14ac:dyDescent="0.25">
      <c r="B194">
        <v>177</v>
      </c>
      <c r="C194">
        <f>COS(PI()/180*_Theta)*_vyps*B194+_xShip+__xL</f>
        <v>1085.8764327564313</v>
      </c>
      <c r="D194">
        <f>SIN(PI()/180*_Theta)*_vyps*B194+_yShip+_yL</f>
        <v>1781.6315891378479</v>
      </c>
      <c r="E194">
        <f>B194*CONVERT(CONVERT(_vSub,"kn","m/sec"),"m","yd")</f>
        <v>0</v>
      </c>
      <c r="F194">
        <f t="shared" si="2"/>
        <v>58.638349495414253</v>
      </c>
    </row>
    <row r="195" spans="2:6" x14ac:dyDescent="0.25">
      <c r="B195">
        <v>178</v>
      </c>
      <c r="C195">
        <f>COS(PI()/180*_Theta)*_vyps*B195+_xShip+__xL</f>
        <v>1086.8508902317697</v>
      </c>
      <c r="D195">
        <f>SIN(PI()/180*_Theta)*_vyps*B195+_yShip+_yL</f>
        <v>1782.1941924235484</v>
      </c>
      <c r="E195">
        <f>B195*CONVERT(CONVERT(_vSub,"kn","m/sec"),"m","yd")</f>
        <v>0</v>
      </c>
      <c r="F195">
        <f t="shared" si="2"/>
        <v>58.623547273470351</v>
      </c>
    </row>
    <row r="196" spans="2:6" x14ac:dyDescent="0.25">
      <c r="B196">
        <v>179</v>
      </c>
      <c r="C196">
        <f>COS(PI()/180*_Theta)*_vyps*B196+_xShip+__xL</f>
        <v>1087.825347707108</v>
      </c>
      <c r="D196">
        <f>SIN(PI()/180*_Theta)*_vyps*B196+_yShip+_yL</f>
        <v>1782.7567957092488</v>
      </c>
      <c r="E196">
        <f>B196*CONVERT(CONVERT(_vSub,"kn","m/sec"),"m","yd")</f>
        <v>0</v>
      </c>
      <c r="F196">
        <f t="shared" si="2"/>
        <v>58.608759052417852</v>
      </c>
    </row>
    <row r="197" spans="2:6" x14ac:dyDescent="0.25">
      <c r="B197">
        <v>180</v>
      </c>
      <c r="C197">
        <f>COS(PI()/180*_Theta)*_vyps*B197+_xShip+__xL</f>
        <v>1088.7998051824463</v>
      </c>
      <c r="D197">
        <f>SIN(PI()/180*_Theta)*_vyps*B197+_yShip+_yL</f>
        <v>1783.3193989949491</v>
      </c>
      <c r="E197">
        <f>B197*CONVERT(CONVERT(_vSub,"kn","m/sec"),"m","yd")</f>
        <v>0</v>
      </c>
      <c r="F197">
        <f t="shared" si="2"/>
        <v>58.593984814369257</v>
      </c>
    </row>
    <row r="198" spans="2:6" x14ac:dyDescent="0.25">
      <c r="B198">
        <v>181</v>
      </c>
      <c r="C198">
        <f>COS(PI()/180*_Theta)*_vyps*B198+_xShip+__xL</f>
        <v>1089.7742626577844</v>
      </c>
      <c r="D198">
        <f>SIN(PI()/180*_Theta)*_vyps*B198+_yShip+_yL</f>
        <v>1783.8820022806494</v>
      </c>
      <c r="E198">
        <f>B198*CONVERT(CONVERT(_vSub,"kn","m/sec"),"m","yd")</f>
        <v>0</v>
      </c>
      <c r="F198">
        <f t="shared" si="2"/>
        <v>58.579224541463411</v>
      </c>
    </row>
    <row r="199" spans="2:6" x14ac:dyDescent="0.25">
      <c r="B199">
        <v>182</v>
      </c>
      <c r="C199">
        <f>COS(PI()/180*_Theta)*_vyps*B199+_xShip+__xL</f>
        <v>1090.7487201331228</v>
      </c>
      <c r="D199">
        <f>SIN(PI()/180*_Theta)*_vyps*B199+_yShip+_yL</f>
        <v>1784.44460556635</v>
      </c>
      <c r="E199">
        <f>B199*CONVERT(CONVERT(_vSub,"kn","m/sec"),"m","yd")</f>
        <v>0</v>
      </c>
      <c r="F199">
        <f t="shared" si="2"/>
        <v>58.564478215865527</v>
      </c>
    </row>
    <row r="200" spans="2:6" x14ac:dyDescent="0.25">
      <c r="B200">
        <v>183</v>
      </c>
      <c r="C200">
        <f>COS(PI()/180*_Theta)*_vyps*B200+_xShip+__xL</f>
        <v>1091.7231776084611</v>
      </c>
      <c r="D200">
        <f>SIN(PI()/180*_Theta)*_vyps*B200+_yShip+_yL</f>
        <v>1785.0072088520503</v>
      </c>
      <c r="E200">
        <f>B200*CONVERT(CONVERT(_vSub,"kn","m/sec"),"m","yd")</f>
        <v>0</v>
      </c>
      <c r="F200">
        <f t="shared" si="2"/>
        <v>58.549745819767061</v>
      </c>
    </row>
    <row r="201" spans="2:6" x14ac:dyDescent="0.25">
      <c r="B201">
        <v>184</v>
      </c>
      <c r="C201">
        <f>COS(PI()/180*_Theta)*_vyps*B201+_xShip+__xL</f>
        <v>1092.6976350837995</v>
      </c>
      <c r="D201">
        <f>SIN(PI()/180*_Theta)*_vyps*B201+_yShip+_yL</f>
        <v>1785.5698121377507</v>
      </c>
      <c r="E201">
        <f>B201*CONVERT(CONVERT(_vSub,"kn","m/sec"),"m","yd")</f>
        <v>0</v>
      </c>
      <c r="F201">
        <f t="shared" si="2"/>
        <v>58.535027335385792</v>
      </c>
    </row>
    <row r="202" spans="2:6" x14ac:dyDescent="0.25">
      <c r="B202">
        <v>185</v>
      </c>
      <c r="C202">
        <f>COS(PI()/180*_Theta)*_vyps*B202+_xShip+__xL</f>
        <v>1093.6720925591376</v>
      </c>
      <c r="D202">
        <f>SIN(PI()/180*_Theta)*_vyps*B202+_yShip+_yL</f>
        <v>1786.1324154234512</v>
      </c>
      <c r="E202">
        <f>B202*CONVERT(CONVERT(_vSub,"kn","m/sec"),"m","yd")</f>
        <v>0</v>
      </c>
      <c r="F202">
        <f t="shared" si="2"/>
        <v>58.520322744965696</v>
      </c>
    </row>
    <row r="203" spans="2:6" x14ac:dyDescent="0.25">
      <c r="B203">
        <v>186</v>
      </c>
      <c r="C203">
        <f>COS(PI()/180*_Theta)*_vyps*B203+_xShip+__xL</f>
        <v>1094.6465500344759</v>
      </c>
      <c r="D203">
        <f>SIN(PI()/180*_Theta)*_vyps*B203+_yShip+_yL</f>
        <v>1786.6950187091516</v>
      </c>
      <c r="E203">
        <f>B203*CONVERT(CONVERT(_vSub,"kn","m/sec"),"m","yd")</f>
        <v>0</v>
      </c>
      <c r="F203">
        <f t="shared" si="2"/>
        <v>58.505632030776916</v>
      </c>
    </row>
    <row r="204" spans="2:6" x14ac:dyDescent="0.25">
      <c r="B204">
        <v>187</v>
      </c>
      <c r="C204">
        <f>COS(PI()/180*_Theta)*_vyps*B204+_xShip+__xL</f>
        <v>1095.6210075098143</v>
      </c>
      <c r="D204">
        <f>SIN(PI()/180*_Theta)*_vyps*B204+_yShip+_yL</f>
        <v>1787.2576219948519</v>
      </c>
      <c r="E204">
        <f>B204*CONVERT(CONVERT(_vSub,"kn","m/sec"),"m","yd")</f>
        <v>0</v>
      </c>
      <c r="F204">
        <f t="shared" si="2"/>
        <v>58.490955175115808</v>
      </c>
    </row>
    <row r="205" spans="2:6" x14ac:dyDescent="0.25">
      <c r="B205">
        <v>188</v>
      </c>
      <c r="C205">
        <f>COS(PI()/180*_Theta)*_vyps*B205+_xShip+__xL</f>
        <v>1096.5954649851524</v>
      </c>
      <c r="D205">
        <f>SIN(PI()/180*_Theta)*_vyps*B205+_yShip+_yL</f>
        <v>1787.8202252805522</v>
      </c>
      <c r="E205">
        <f>B205*CONVERT(CONVERT(_vSub,"kn","m/sec"),"m","yd")</f>
        <v>0</v>
      </c>
      <c r="F205">
        <f t="shared" si="2"/>
        <v>58.476292160304752</v>
      </c>
    </row>
    <row r="206" spans="2:6" x14ac:dyDescent="0.25">
      <c r="B206">
        <v>189</v>
      </c>
      <c r="C206">
        <f>COS(PI()/180*_Theta)*_vyps*B206+_xShip+__xL</f>
        <v>1097.5699224604907</v>
      </c>
      <c r="D206">
        <f>SIN(PI()/180*_Theta)*_vyps*B206+_yShip+_yL</f>
        <v>1788.3828285662528</v>
      </c>
      <c r="E206">
        <f>B206*CONVERT(CONVERT(_vSub,"kn","m/sec"),"m","yd")</f>
        <v>0</v>
      </c>
      <c r="F206">
        <f t="shared" si="2"/>
        <v>58.461642968692246</v>
      </c>
    </row>
    <row r="207" spans="2:6" x14ac:dyDescent="0.25">
      <c r="B207">
        <v>190</v>
      </c>
      <c r="C207">
        <f>COS(PI()/180*_Theta)*_vyps*B207+_xShip+__xL</f>
        <v>1098.5443799358291</v>
      </c>
      <c r="D207">
        <f>SIN(PI()/180*_Theta)*_vyps*B207+_yShip+_yL</f>
        <v>1788.9454318519531</v>
      </c>
      <c r="E207">
        <f>B207*CONVERT(CONVERT(_vSub,"kn","m/sec"),"m","yd")</f>
        <v>0</v>
      </c>
      <c r="F207">
        <f t="shared" si="2"/>
        <v>58.44700758265283</v>
      </c>
    </row>
    <row r="208" spans="2:6" x14ac:dyDescent="0.25">
      <c r="B208">
        <v>191</v>
      </c>
      <c r="C208">
        <f>COS(PI()/180*_Theta)*_vyps*B208+_xShip+__xL</f>
        <v>1099.5188374111674</v>
      </c>
      <c r="D208">
        <f>SIN(PI()/180*_Theta)*_vyps*B208+_yShip+_yL</f>
        <v>1789.5080351376535</v>
      </c>
      <c r="E208">
        <f>B208*CONVERT(CONVERT(_vSub,"kn","m/sec"),"m","yd")</f>
        <v>0</v>
      </c>
      <c r="F208">
        <f t="shared" si="2"/>
        <v>58.432385984587036</v>
      </c>
    </row>
    <row r="209" spans="2:6" x14ac:dyDescent="0.25">
      <c r="B209">
        <v>192</v>
      </c>
      <c r="C209">
        <f>COS(PI()/180*_Theta)*_vyps*B209+_xShip+__xL</f>
        <v>1100.4932948865057</v>
      </c>
      <c r="D209">
        <f>SIN(PI()/180*_Theta)*_vyps*B209+_yShip+_yL</f>
        <v>1790.070638423354</v>
      </c>
      <c r="E209">
        <f>B209*CONVERT(CONVERT(_vSub,"kn","m/sec"),"m","yd")</f>
        <v>0</v>
      </c>
      <c r="F209">
        <f t="shared" si="2"/>
        <v>58.417778156921351</v>
      </c>
    </row>
    <row r="210" spans="2:6" x14ac:dyDescent="0.25">
      <c r="B210">
        <v>193</v>
      </c>
      <c r="C210">
        <f>COS(PI()/180*_Theta)*_vyps*B210+_xShip+__xL</f>
        <v>1101.4677523618438</v>
      </c>
      <c r="D210">
        <f>SIN(PI()/180*_Theta)*_vyps*B210+_yShip+_yL</f>
        <v>1790.6332417090543</v>
      </c>
      <c r="E210">
        <f>B210*CONVERT(CONVERT(_vSub,"kn","m/sec"),"m","yd")</f>
        <v>0</v>
      </c>
      <c r="F210">
        <f t="shared" ref="F210:F216" si="3">ATAN2(C210,D210-E210)*180/PI()</f>
        <v>58.403184082108211</v>
      </c>
    </row>
    <row r="211" spans="2:6" x14ac:dyDescent="0.25">
      <c r="B211">
        <v>194</v>
      </c>
      <c r="C211">
        <f>COS(PI()/180*_Theta)*_vyps*B211+_xShip+__xL</f>
        <v>1102.4422098371822</v>
      </c>
      <c r="D211">
        <f>SIN(PI()/180*_Theta)*_vyps*B211+_yShip+_yL</f>
        <v>1791.1958449947547</v>
      </c>
      <c r="E211">
        <f>B211*CONVERT(CONVERT(_vSub,"kn","m/sec"),"m","yd")</f>
        <v>0</v>
      </c>
      <c r="F211">
        <f t="shared" si="3"/>
        <v>58.388603742625904</v>
      </c>
    </row>
    <row r="212" spans="2:6" x14ac:dyDescent="0.25">
      <c r="B212">
        <v>195</v>
      </c>
      <c r="C212">
        <f>COS(PI()/180*_Theta)*_vyps*B212+_xShip+__xL</f>
        <v>1103.4166673125205</v>
      </c>
      <c r="D212">
        <f>SIN(PI()/180*_Theta)*_vyps*B212+_yShip+_yL</f>
        <v>1791.758448280455</v>
      </c>
      <c r="E212">
        <f>B212*CONVERT(CONVERT(_vSub,"kn","m/sec"),"m","yd")</f>
        <v>0</v>
      </c>
      <c r="F212">
        <f t="shared" si="3"/>
        <v>58.374037120978556</v>
      </c>
    </row>
    <row r="213" spans="2:6" x14ac:dyDescent="0.25">
      <c r="B213">
        <v>196</v>
      </c>
      <c r="C213">
        <f>COS(PI()/180*_Theta)*_vyps*B213+_xShip+__xL</f>
        <v>1104.3911247878586</v>
      </c>
      <c r="D213">
        <f>SIN(PI()/180*_Theta)*_vyps*B213+_yShip+_yL</f>
        <v>1792.3210515661556</v>
      </c>
      <c r="E213">
        <f>B213*CONVERT(CONVERT(_vSub,"kn","m/sec"),"m","yd")</f>
        <v>0</v>
      </c>
      <c r="F213">
        <f t="shared" si="3"/>
        <v>58.359484199696197</v>
      </c>
    </row>
    <row r="214" spans="2:6" x14ac:dyDescent="0.25">
      <c r="B214">
        <v>197</v>
      </c>
      <c r="C214">
        <f>COS(PI()/180*_Theta)*_vyps*B214+_xShip+__xL</f>
        <v>1105.365582263197</v>
      </c>
      <c r="D214">
        <f>SIN(PI()/180*_Theta)*_vyps*B214+_yShip+_yL</f>
        <v>1792.8836548518559</v>
      </c>
      <c r="E214">
        <f>B214*CONVERT(CONVERT(_vSub,"kn","m/sec"),"m","yd")</f>
        <v>0</v>
      </c>
      <c r="F214">
        <f t="shared" si="3"/>
        <v>58.344944961334519</v>
      </c>
    </row>
    <row r="215" spans="2:6" x14ac:dyDescent="0.25">
      <c r="B215">
        <v>198</v>
      </c>
      <c r="C215">
        <f>COS(PI()/180*_Theta)*_vyps*B215+_xShip+__xL</f>
        <v>1106.3400397385353</v>
      </c>
      <c r="D215">
        <f>SIN(PI()/180*_Theta)*_vyps*B215+_yShip+_yL</f>
        <v>1793.4462581375562</v>
      </c>
      <c r="E215">
        <f>B215*CONVERT(CONVERT(_vSub,"kn","m/sec"),"m","yd")</f>
        <v>0</v>
      </c>
      <c r="F215">
        <f t="shared" si="3"/>
        <v>58.330419388475015</v>
      </c>
    </row>
    <row r="216" spans="2:6" x14ac:dyDescent="0.25">
      <c r="B216">
        <v>199</v>
      </c>
      <c r="C216">
        <f>COS(PI()/180*_Theta)*_vyps*B216+_xShip+__xL</f>
        <v>1107.3144972138734</v>
      </c>
      <c r="D216">
        <f>SIN(PI()/180*_Theta)*_vyps*B216+_yShip+_yL</f>
        <v>1794.0088614232568</v>
      </c>
      <c r="E216">
        <f>B216*CONVERT(CONVERT(_vSub,"kn","m/sec"),"m","yd")</f>
        <v>0</v>
      </c>
      <c r="F216">
        <f t="shared" si="3"/>
        <v>58.315907463724898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8"/>
  <sheetViews>
    <sheetView tabSelected="1" topLeftCell="A4" workbookViewId="0">
      <pane ySplit="5" topLeftCell="A354" activePane="bottomLeft" state="frozen"/>
      <selection activeCell="A4" sqref="A4"/>
      <selection pane="bottomLeft" activeCell="V368" sqref="V36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8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16-Dec-2025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16-Dec-2025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Report</vt:lpstr>
      <vt:lpstr>Sheet3</vt:lpstr>
      <vt:lpstr>PointTraining</vt:lpstr>
      <vt:lpstr>LongTermTraining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2025-12-17T02:03:07Z</dcterms:modified>
</cp:coreProperties>
</file>