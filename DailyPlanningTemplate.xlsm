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09C044F-AA49-420F-80CC-C42F4F4DC2F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6" i="8" l="1"/>
  <c r="C10" i="8"/>
  <c r="I25" i="8"/>
  <c r="I26" i="8" s="1"/>
  <c r="K27" i="8"/>
  <c r="I24" i="8"/>
  <c r="E17" i="8"/>
  <c r="H19" i="8"/>
  <c r="F3" i="8"/>
  <c r="F10" i="8"/>
  <c r="F2" i="8"/>
  <c r="F5" i="8"/>
  <c r="D6" i="9"/>
  <c r="C6" i="9"/>
  <c r="B6" i="9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<sst xmlns="http://schemas.openxmlformats.org/spreadsheetml/2006/main" count="208" uniqueCount="161">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</sst>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5"/>
      <tableStyleElement type="headerRow" dxfId="54"/>
      <tableStyleElement type="totalRow" dxfId="53"/>
      <tableStyleElement type="firstColumnStripe" dxfId="52"/>
      <tableStyleElement type="firstHeaderCell" dxfId="51"/>
      <tableStyleElement type="firstSubtotalColumn" dxfId="50"/>
      <tableStyleElement type="firstSubtotalRow" dxfId="49"/>
      <tableStyleElement type="secondSubtotalRow" dxfId="48"/>
      <tableStyleElement type="firstRowSubheading" dxfId="47"/>
      <tableStyleElement type="secondRowSubheading" dxfId="46"/>
      <tableStyleElement type="pageFieldLabels" dxfId="45"/>
      <tableStyleElement type="pageFieldValues" dxfId="44"/>
    </tableStyle>
    <tableStyle name="Biegert Table Standard" pivot="0" count="7" xr9:uid="{95B43237-2845-4068-A415-A5A3E7804959}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firstRowStripe" dxfId="38"/>
      <tableStyleElement type="firstColumnStripe" dxfId="3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314</xdr:row>
          <xdr:rowOff>0</xdr:rowOff>
        </xdr:from>
        <xdr:to>
          <xdr:col>24</xdr:col>
          <xdr:colOff>7620</xdr:colOff>
          <xdr:row>364</xdr:row>
          <xdr:rowOff>15240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91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3751480"/>
              <a:ext cx="337566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0"/>
  <sheetViews>
    <sheetView tabSelected="1" workbookViewId="0">
      <pane ySplit="9" topLeftCell="A362" activePane="bottomLeft" state="frozen"/>
      <selection pane="bottomLeft" activeCell="G367" sqref="G36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4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1</v>
      </c>
      <c r="Q59" s="5">
        <f ca="1"/>
        <v>1</v>
      </c>
      <c r="R59" s="5">
        <f ca="1"/>
        <v>1</v>
      </c>
      <c r="S59" s="5">
        <f ca="1"/>
        <v>1</v>
      </c>
      <c r="T59" s="5">
        <f ca="1"/>
        <v>1</v>
      </c>
      <c r="U59" s="5">
        <f ca="1"/>
        <v>1</v>
      </c>
      <c r="V59" s="5">
        <f ca="1"/>
        <v>1</v>
      </c>
      <c r="W59" s="5">
        <f ca="1"/>
        <v>1</v>
      </c>
      <c r="X59" s="5">
        <f ca="1"/>
        <v>1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5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5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5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5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5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5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5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5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5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5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5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5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7" spans="2:15" x14ac:dyDescent="0.25">
      <c r="O367" t="s">
        <v>34</v>
      </c>
    </row>
    <row r="368" spans="2:15" x14ac:dyDescent="0.25">
      <c r="O368" t="s">
        <v>35</v>
      </c>
    </row>
    <row r="369" spans="15:15" x14ac:dyDescent="0.25">
      <c r="O369" t="s">
        <v>39</v>
      </c>
    </row>
    <row r="370" spans="15:15" x14ac:dyDescent="0.25">
      <c r="O370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7" priority="25" stopIfTrue="1">
      <formula>MOD(ROW(N9)-ROW($B$9),2)</formula>
    </cfRule>
  </conditionalFormatting>
  <conditionalFormatting sqref="O10:X59">
    <cfRule type="expression" dxfId="16" priority="64">
      <formula>MOD(ROW(O10)-ROW($O$258),2)</formula>
    </cfRule>
  </conditionalFormatting>
  <conditionalFormatting sqref="O45">
    <cfRule type="expression" dxfId="15" priority="20">
      <formula>MOD(ROW(O45)-ROW($O$258),2)</formula>
    </cfRule>
  </conditionalFormatting>
  <conditionalFormatting sqref="O46:O52">
    <cfRule type="expression" dxfId="14" priority="19">
      <formula>MOD(ROW(O46)-ROW($O$258),2)</formula>
    </cfRule>
  </conditionalFormatting>
  <conditionalFormatting sqref="P46:X46">
    <cfRule type="expression" dxfId="13" priority="18">
      <formula>MOD(ROW(P46)-ROW($O$258),2)</formula>
    </cfRule>
  </conditionalFormatting>
  <conditionalFormatting sqref="O48:X48">
    <cfRule type="expression" dxfId="12" priority="17">
      <formula>MOD(ROW(O48)-ROW($O$258),2)</formula>
    </cfRule>
  </conditionalFormatting>
  <conditionalFormatting sqref="P48:X48">
    <cfRule type="expression" dxfId="11" priority="16">
      <formula>MOD(ROW(P48)-ROW($O$258),2)</formula>
    </cfRule>
  </conditionalFormatting>
  <conditionalFormatting sqref="O49:X49">
    <cfRule type="expression" dxfId="10" priority="14">
      <formula>MOD(ROW(O49)-ROW($O$258),2)</formula>
    </cfRule>
  </conditionalFormatting>
  <conditionalFormatting sqref="O50:X50">
    <cfRule type="expression" dxfId="9" priority="13">
      <formula>MOD(ROW(O50)-ROW($O$258),2)</formula>
    </cfRule>
  </conditionalFormatting>
  <conditionalFormatting sqref="P50:X50">
    <cfRule type="expression" dxfId="8" priority="12">
      <formula>MOD(ROW(P50)-ROW($O$258),2)</formula>
    </cfRule>
  </conditionalFormatting>
  <conditionalFormatting sqref="O51:X51">
    <cfRule type="expression" dxfId="7" priority="10">
      <formula>MOD(ROW(O51)-ROW($O$258),2)</formula>
    </cfRule>
  </conditionalFormatting>
  <conditionalFormatting sqref="O52:X52">
    <cfRule type="expression" dxfId="6" priority="9">
      <formula>MOD(ROW(O52)-ROW($O$258),2)</formula>
    </cfRule>
  </conditionalFormatting>
  <conditionalFormatting sqref="O52:X52">
    <cfRule type="expression" dxfId="5" priority="8">
      <formula>MOD(ROW(O52)-ROW($O$258),2)</formula>
    </cfRule>
  </conditionalFormatting>
  <conditionalFormatting sqref="P52:X52">
    <cfRule type="expression" dxfId="4" priority="7">
      <formula>MOD(ROW(P52)-ROW($O$258),2)</formula>
    </cfRule>
  </conditionalFormatting>
  <conditionalFormatting sqref="P54:X54">
    <cfRule type="expression" dxfId="3" priority="2">
      <formula>MOD(ROW(P54)-ROW($O$258),2)</formula>
    </cfRule>
  </conditionalFormatting>
  <conditionalFormatting sqref="P53:X53">
    <cfRule type="expression" dxfId="2" priority="1">
      <formula>MOD(ROW(P53)-ROW($O$258),2)</formula>
    </cfRule>
  </conditionalFormatting>
  <conditionalFormatting sqref="B10:K364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3"/>
  <sheetViews>
    <sheetView topLeftCell="A4" workbookViewId="0">
      <pane ySplit="5" topLeftCell="A355" activePane="bottomLeft" state="frozen"/>
      <selection activeCell="A4" sqref="A4"/>
      <selection pane="bottomLeft" activeCell="AD358" sqref="AD35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160</v>
      </c>
      <c r="X8" s="18" t="s">
        <v>18</v>
      </c>
    </row>
    <row r="9" spans="4:26" ht="13.8" thickTop="1" x14ac:dyDescent="0.25">
      <c r="D9" t="str" cm="1">
        <f t="array" aca="1" ref="D9:D36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3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zoomScaleNormal="100" workbookViewId="0">
      <selection activeCell="H5" sqref="H5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2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1.1252065714007973</v>
      </c>
      <c r="F18" s="30">
        <f t="shared" ref="F18:F81" si="3">ATAN2(C18,D18-E18)*180/PI()</f>
        <v>60.500341977931626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2.2504131428015945</v>
      </c>
      <c r="F19" s="30">
        <f t="shared" si="3"/>
        <v>60.477472151812862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3.3756197142023918</v>
      </c>
      <c r="F20" s="30">
        <f t="shared" si="3"/>
        <v>60.454605387863651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4.5008262856031891</v>
      </c>
      <c r="F21" s="30">
        <f t="shared" si="3"/>
        <v>60.431741692752084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5.6260328570039864</v>
      </c>
      <c r="F22" s="30">
        <f t="shared" si="3"/>
        <v>60.408881073140464</v>
      </c>
      <c r="I22" cm="1">
        <f t="array" ref="I22">_fInt(90-_B,F17:F216,_xlfn.ANCHORARRAY(B17))</f>
        <v>22.90893715907249</v>
      </c>
      <c r="M22">
        <f>_L*SIN(_AOB*PI()/180)/I22</f>
        <v>0.75799316424490459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6.7512394284047836</v>
      </c>
      <c r="F23" s="30">
        <f t="shared" si="3"/>
        <v>60.386023535685453</v>
      </c>
      <c r="G23">
        <v>65.51903600418477</v>
      </c>
      <c r="M23">
        <f>M22*1.777</f>
        <v>1.3469538528631955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7.8764459998055809</v>
      </c>
      <c r="F24" s="30">
        <f t="shared" si="3"/>
        <v>60.363169087037953</v>
      </c>
      <c r="I24">
        <f>_L</f>
        <v>100</v>
      </c>
      <c r="M24">
        <f>M23/SIN(_AOB*PI()/180)</f>
        <v>7.7567980900251632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9.0016525712063782</v>
      </c>
      <c r="F25" s="30">
        <f t="shared" si="3"/>
        <v>60.34031773384315</v>
      </c>
      <c r="I25">
        <f>(_v+_vSub*SIN(_B*PI()/180)/SIN((_AOB)*PI()/180))*_nYpSKnot</f>
        <v>4.3651075501280578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10.126859142607175</v>
      </c>
      <c r="F26" s="30">
        <f t="shared" si="3"/>
        <v>60.317469482740506</v>
      </c>
      <c r="I26">
        <f>I24/I25</f>
        <v>22.908942987456594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11.252065714007973</v>
      </c>
      <c r="F27" s="30">
        <f t="shared" si="3"/>
        <v>60.294624340363725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12.37727228540877</v>
      </c>
      <c r="F28" s="30">
        <f t="shared" si="3"/>
        <v>60.271782313340751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13.502478856809567</v>
      </c>
      <c r="F29" s="30">
        <f t="shared" si="3"/>
        <v>60.248943408293719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14.627685428210365</v>
      </c>
      <c r="F30" s="30">
        <f t="shared" si="3"/>
        <v>60.226107631839064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15.752891999611162</v>
      </c>
      <c r="F31" s="30">
        <f t="shared" si="3"/>
        <v>60.203274990587353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16.878098571011961</v>
      </c>
      <c r="F32" s="30">
        <f t="shared" si="3"/>
        <v>60.180445491143438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18.003305142412756</v>
      </c>
      <c r="F33" s="30">
        <f t="shared" si="3"/>
        <v>60.157619140106306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19.128511713813552</v>
      </c>
      <c r="F34" s="30">
        <f t="shared" si="3"/>
        <v>60.134795944069126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20.253718285214351</v>
      </c>
      <c r="F35" s="30">
        <f t="shared" si="3"/>
        <v>60.111975909619268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21.37892485661515</v>
      </c>
      <c r="F36" s="30">
        <f t="shared" si="3"/>
        <v>60.089159043338213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22.504131428015945</v>
      </c>
      <c r="F37" s="30">
        <f t="shared" si="3"/>
        <v>60.066345351801672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23.629337999416741</v>
      </c>
      <c r="F38" s="30">
        <f t="shared" si="3"/>
        <v>60.043534841579451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24.75454457081754</v>
      </c>
      <c r="F39" s="30">
        <f t="shared" si="3"/>
        <v>60.020727519235464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25.879751142218339</v>
      </c>
      <c r="F40" s="30">
        <f t="shared" si="3"/>
        <v>59.997923391327859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27.004957713619135</v>
      </c>
      <c r="F41" s="30">
        <f t="shared" si="3"/>
        <v>59.975122464408742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28.13016428501993</v>
      </c>
      <c r="F42" s="30">
        <f t="shared" si="3"/>
        <v>59.952324745024441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29.255370856420729</v>
      </c>
      <c r="F43" s="30">
        <f t="shared" si="3"/>
        <v>59.929530239715355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30.380577427821528</v>
      </c>
      <c r="F44" s="30">
        <f t="shared" si="3"/>
        <v>59.906738955015946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31.505783999222324</v>
      </c>
      <c r="F45" s="30">
        <f t="shared" si="3"/>
        <v>59.883950897454767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32.630990570623119</v>
      </c>
      <c r="F46" s="30">
        <f t="shared" si="3"/>
        <v>59.861166073554415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33.756197142023922</v>
      </c>
      <c r="F47" s="30">
        <f t="shared" si="3"/>
        <v>59.838384489831611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34.881403713424717</v>
      </c>
      <c r="F48" s="30">
        <f t="shared" si="3"/>
        <v>59.815606152797066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36.006610284825513</v>
      </c>
      <c r="F49" s="30">
        <f t="shared" si="3"/>
        <v>59.792831068955522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37.131816856226308</v>
      </c>
      <c r="F50" s="30">
        <f t="shared" si="3"/>
        <v>59.770059244805793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38.257023427627104</v>
      </c>
      <c r="F51" s="30">
        <f t="shared" si="3"/>
        <v>59.747290686840685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39.382229999027906</v>
      </c>
      <c r="F52" s="30">
        <f t="shared" si="3"/>
        <v>59.724525401547048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40.507436570428702</v>
      </c>
      <c r="F53" s="30">
        <f t="shared" si="3"/>
        <v>59.701763395405663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41.632643141829497</v>
      </c>
      <c r="F54" s="30">
        <f t="shared" si="3"/>
        <v>59.679004674891416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42.7578497132303</v>
      </c>
      <c r="F55" s="30">
        <f t="shared" si="3"/>
        <v>59.656249246473045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43.883056284631095</v>
      </c>
      <c r="F56" s="30">
        <f t="shared" si="3"/>
        <v>59.633497116613384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45.008262856031891</v>
      </c>
      <c r="F57" s="30">
        <f t="shared" si="3"/>
        <v>59.610748291769156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46.133469427432686</v>
      </c>
      <c r="F58" s="30">
        <f t="shared" si="3"/>
        <v>59.588002778391065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47.258675998833482</v>
      </c>
      <c r="F59" s="30">
        <f t="shared" si="3"/>
        <v>59.565260582923742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48.383882570234285</v>
      </c>
      <c r="F60" s="30">
        <f t="shared" si="3"/>
        <v>59.54252171180579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49.50908914163508</v>
      </c>
      <c r="F61" s="30">
        <f t="shared" si="3"/>
        <v>59.519786171469747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50.634295713035876</v>
      </c>
      <c r="F62" s="30">
        <f t="shared" si="3"/>
        <v>59.497053968341994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51.759502284436678</v>
      </c>
      <c r="F63" s="30">
        <f t="shared" si="3"/>
        <v>59.474325108842926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52.884708855837474</v>
      </c>
      <c r="F64" s="30">
        <f t="shared" si="3"/>
        <v>59.451599599386768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54.009915427238269</v>
      </c>
      <c r="F65" s="30">
        <f t="shared" si="3"/>
        <v>59.428877446381669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55.135121998639065</v>
      </c>
      <c r="F66" s="30">
        <f t="shared" si="3"/>
        <v>59.406158656229664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56.26032857003986</v>
      </c>
      <c r="F67" s="30">
        <f t="shared" si="3"/>
        <v>59.383443235326631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57.385535141440663</v>
      </c>
      <c r="F68" s="30">
        <f t="shared" si="3"/>
        <v>59.36073119006236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58.510741712841458</v>
      </c>
      <c r="F69" s="30">
        <f t="shared" si="3"/>
        <v>59.338022526820453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59.635948284242254</v>
      </c>
      <c r="F70" s="30">
        <f t="shared" si="3"/>
        <v>59.315317251978428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60.761154855643056</v>
      </c>
      <c r="F71" s="30">
        <f t="shared" si="3"/>
        <v>59.292615371907537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61.886361427043852</v>
      </c>
      <c r="F72" s="30">
        <f t="shared" si="3"/>
        <v>59.269916892972972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63.011567998444647</v>
      </c>
      <c r="F73" s="30">
        <f t="shared" si="3"/>
        <v>59.247221821533678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64.136774569845443</v>
      </c>
      <c r="F74" s="30">
        <f t="shared" si="3"/>
        <v>59.224530163942461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65.261981141246238</v>
      </c>
      <c r="F75" s="30">
        <f t="shared" si="3"/>
        <v>59.201841926545889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66.387187712647034</v>
      </c>
      <c r="F76" s="30">
        <f t="shared" si="3"/>
        <v>59.179157115684355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67.512394284047843</v>
      </c>
      <c r="F77" s="30">
        <f t="shared" si="3"/>
        <v>59.156475737692034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68.637600855448639</v>
      </c>
      <c r="F78" s="30">
        <f t="shared" si="3"/>
        <v>59.13379779889685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69.762807426849434</v>
      </c>
      <c r="F79" s="30">
        <f t="shared" si="3"/>
        <v>59.111123305620545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70.88801399825023</v>
      </c>
      <c r="F80" s="30">
        <f t="shared" si="3"/>
        <v>59.088452264178613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72.013220569651025</v>
      </c>
      <c r="F81" s="30">
        <f t="shared" si="3"/>
        <v>59.065784680880277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73.138427141051821</v>
      </c>
      <c r="F82" s="30">
        <f t="shared" ref="F82:F145" si="10">ATAN2(C82,D82-E82)*180/PI()</f>
        <v>59.043120562028527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74.263633712452616</v>
      </c>
      <c r="F83" s="30">
        <f t="shared" si="10"/>
        <v>59.020459913920092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75.388840283853412</v>
      </c>
      <c r="F84" s="30">
        <f t="shared" si="10"/>
        <v>58.997802742845401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76.514046855254207</v>
      </c>
      <c r="F85" s="30">
        <f t="shared" si="10"/>
        <v>58.975149055088622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77.639253426655017</v>
      </c>
      <c r="F86" s="30">
        <f t="shared" si="10"/>
        <v>58.952498856927654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78.764459998055813</v>
      </c>
      <c r="F87" s="30">
        <f t="shared" si="10"/>
        <v>58.929852154634077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79.889666569456608</v>
      </c>
      <c r="F88" s="30">
        <f t="shared" si="10"/>
        <v>58.907208954473148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81.014873140857404</v>
      </c>
      <c r="F89" s="30">
        <f t="shared" si="10"/>
        <v>58.884569262703856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82.140079712258199</v>
      </c>
      <c r="F90" s="30">
        <f t="shared" si="10"/>
        <v>58.861933085578841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83.265286283658995</v>
      </c>
      <c r="F91" s="30">
        <f t="shared" si="10"/>
        <v>58.839300429344405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84.39049285505979</v>
      </c>
      <c r="F92" s="30">
        <f t="shared" si="10"/>
        <v>58.816671300240543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85.5156994264606</v>
      </c>
      <c r="F93" s="30">
        <f t="shared" si="10"/>
        <v>58.79404570450086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86.640905997861395</v>
      </c>
      <c r="F94" s="30">
        <f t="shared" si="10"/>
        <v>58.771423648352638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87.766112569262191</v>
      </c>
      <c r="F95" s="30">
        <f t="shared" si="10"/>
        <v>58.748805138016792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88.891319140662986</v>
      </c>
      <c r="F96" s="30">
        <f t="shared" si="10"/>
        <v>58.726190179707871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90.016525712063782</v>
      </c>
      <c r="F97" s="30">
        <f t="shared" si="10"/>
        <v>58.703578779634036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91.141732283464577</v>
      </c>
      <c r="F98" s="30">
        <f t="shared" si="10"/>
        <v>58.680970943997039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92.266938854865373</v>
      </c>
      <c r="F99" s="30">
        <f t="shared" si="10"/>
        <v>58.658366678992316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93.392145426266168</v>
      </c>
      <c r="F100" s="30">
        <f t="shared" si="10"/>
        <v>58.635765990808778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94.517351997666964</v>
      </c>
      <c r="F101" s="30">
        <f t="shared" si="10"/>
        <v>58.61316888562903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95.642558569067774</v>
      </c>
      <c r="F102" s="30">
        <f t="shared" si="10"/>
        <v>58.590575369629221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96.767765140468569</v>
      </c>
      <c r="F103" s="30">
        <f t="shared" si="10"/>
        <v>58.567985448979066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97.892971711869365</v>
      </c>
      <c r="F104" s="30">
        <f t="shared" si="10"/>
        <v>58.545399129841847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99.01817828327016</v>
      </c>
      <c r="F105" s="30">
        <f t="shared" si="10"/>
        <v>58.522816418374411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100.14338485467096</v>
      </c>
      <c r="F106" s="30">
        <f t="shared" si="10"/>
        <v>58.50023732072718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101.26859142607175</v>
      </c>
      <c r="F107" s="30">
        <f t="shared" si="10"/>
        <v>58.477661843044054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102.39379799747255</v>
      </c>
      <c r="F108" s="30">
        <f t="shared" si="10"/>
        <v>58.455089991462515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103.51900456887336</v>
      </c>
      <c r="F109" s="30">
        <f t="shared" si="10"/>
        <v>58.432521772113574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104.64421114027415</v>
      </c>
      <c r="F110" s="30">
        <f t="shared" si="10"/>
        <v>58.409957191121727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105.76941771167495</v>
      </c>
      <c r="F111" s="30">
        <f t="shared" si="10"/>
        <v>58.387396254605015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106.89462428307574</v>
      </c>
      <c r="F112" s="30">
        <f t="shared" si="10"/>
        <v>58.364838968674974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108.01983085447654</v>
      </c>
      <c r="F113" s="30">
        <f t="shared" si="10"/>
        <v>58.342285339436607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109.14503742587733</v>
      </c>
      <c r="F114" s="30">
        <f t="shared" si="10"/>
        <v>58.31973537298844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110.27024399727813</v>
      </c>
      <c r="F115" s="30">
        <f t="shared" si="10"/>
        <v>58.297189075422487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111.39545056867892</v>
      </c>
      <c r="F116" s="30">
        <f t="shared" si="10"/>
        <v>58.274646452824179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112.52065714007972</v>
      </c>
      <c r="F117" s="30">
        <f t="shared" si="10"/>
        <v>58.252107511272463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113.64586371148053</v>
      </c>
      <c r="F118" s="30">
        <f t="shared" si="10"/>
        <v>58.229572256839759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114.77107028288133</v>
      </c>
      <c r="F119" s="30">
        <f t="shared" si="10"/>
        <v>58.207040695591857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115.89627685428212</v>
      </c>
      <c r="F120" s="30">
        <f t="shared" si="10"/>
        <v>58.184512833588073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117.02148342568292</v>
      </c>
      <c r="F121" s="30">
        <f t="shared" si="10"/>
        <v>58.16198867688113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118.14668999708371</v>
      </c>
      <c r="F122" s="30">
        <f t="shared" si="10"/>
        <v>58.139468231517149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119.27189656848451</v>
      </c>
      <c r="F123" s="30">
        <f t="shared" si="10"/>
        <v>58.116951503535731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120.3971031398853</v>
      </c>
      <c r="F124" s="30">
        <f t="shared" si="10"/>
        <v>58.094438498969822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121.52230971128611</v>
      </c>
      <c r="F125" s="30">
        <f t="shared" si="10"/>
        <v>58.071929223845842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122.64751628268691</v>
      </c>
      <c r="F126" s="30">
        <f t="shared" si="10"/>
        <v>58.049423684183552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123.7727228540877</v>
      </c>
      <c r="F127" s="30">
        <f t="shared" si="10"/>
        <v>58.02692188599616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124.8979294254885</v>
      </c>
      <c r="F128" s="30">
        <f t="shared" si="10"/>
        <v>58.004423835290183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126.02313599688929</v>
      </c>
      <c r="F129" s="30">
        <f t="shared" si="10"/>
        <v>57.981929538065593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127.14834256829009</v>
      </c>
      <c r="F130" s="30">
        <f t="shared" si="10"/>
        <v>57.959439000315705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128.27354913969089</v>
      </c>
      <c r="F131" s="30">
        <f t="shared" si="10"/>
        <v>57.936952228027153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129.3987557110917</v>
      </c>
      <c r="F132" s="30">
        <f t="shared" si="10"/>
        <v>57.914469227179993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130.52396228249248</v>
      </c>
      <c r="F133" s="30">
        <f t="shared" si="10"/>
        <v>57.891990003747601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131.64916885389329</v>
      </c>
      <c r="F134" s="30">
        <f t="shared" si="10"/>
        <v>57.86951456369669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132.77437542529407</v>
      </c>
      <c r="F135" s="30">
        <f t="shared" si="10"/>
        <v>57.847042912987305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133.89958199669488</v>
      </c>
      <c r="F136" s="30">
        <f t="shared" si="10"/>
        <v>57.824575057572815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135.02478856809569</v>
      </c>
      <c r="F137" s="30">
        <f t="shared" si="10"/>
        <v>57.802111003399951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136.14999513949647</v>
      </c>
      <c r="F138" s="30">
        <f t="shared" si="10"/>
        <v>57.779650756408664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137.27520171089728</v>
      </c>
      <c r="F139" s="30">
        <f t="shared" si="10"/>
        <v>57.757194322532364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138.40040828229806</v>
      </c>
      <c r="F140" s="30">
        <f t="shared" si="10"/>
        <v>57.734741707697573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139.52561485369887</v>
      </c>
      <c r="F141" s="30">
        <f t="shared" si="10"/>
        <v>57.712292917824279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140.65082142509965</v>
      </c>
      <c r="F142" s="30">
        <f t="shared" si="10"/>
        <v>57.689847958825645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141.77602799650046</v>
      </c>
      <c r="F143" s="30">
        <f t="shared" si="10"/>
        <v>57.667406836608123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142.90123456790124</v>
      </c>
      <c r="F144" s="30">
        <f t="shared" si="10"/>
        <v>57.644969557071505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144.02644113930205</v>
      </c>
      <c r="F145" s="30">
        <f t="shared" si="10"/>
        <v>57.622536126108777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145.15164771070286</v>
      </c>
      <c r="F146" s="30">
        <f t="shared" ref="F146:F209" si="17">ATAN2(C146,D146-E146)*180/PI()</f>
        <v>57.60010654960621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146.27685428210364</v>
      </c>
      <c r="F147" s="30">
        <f t="shared" si="17"/>
        <v>57.577680833443345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147.40206085350445</v>
      </c>
      <c r="F148" s="30">
        <f t="shared" si="17"/>
        <v>57.555258983492934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148.52726742490523</v>
      </c>
      <c r="F149" s="30">
        <f t="shared" si="17"/>
        <v>57.532841005621002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149.65247399630604</v>
      </c>
      <c r="F150" s="30">
        <f t="shared" si="17"/>
        <v>57.510426905686771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150.77768056770682</v>
      </c>
      <c r="F151" s="30">
        <f t="shared" si="17"/>
        <v>57.488016689542704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151.90288713910763</v>
      </c>
      <c r="F152" s="30">
        <f t="shared" si="17"/>
        <v>57.4656103630345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153.02809371050841</v>
      </c>
      <c r="F153" s="30">
        <f t="shared" si="17"/>
        <v>57.443207932001023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154.15330028190922</v>
      </c>
      <c r="F154" s="30">
        <f t="shared" si="17"/>
        <v>57.420809402274422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155.27850685331003</v>
      </c>
      <c r="F155" s="30">
        <f t="shared" si="17"/>
        <v>57.39841477967996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156.40371342471082</v>
      </c>
      <c r="F156" s="30">
        <f t="shared" si="17"/>
        <v>57.376024070036145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157.52891999611163</v>
      </c>
      <c r="F157" s="30">
        <f t="shared" si="17"/>
        <v>57.353637279154647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158.65412656751241</v>
      </c>
      <c r="F158" s="30">
        <f t="shared" si="17"/>
        <v>57.331254412840337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159.77933313891322</v>
      </c>
      <c r="F159" s="30">
        <f t="shared" si="17"/>
        <v>57.308875476891245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160.904539710314</v>
      </c>
      <c r="F160" s="30">
        <f t="shared" si="17"/>
        <v>57.286500477098556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162.02974628171481</v>
      </c>
      <c r="F161" s="30">
        <f t="shared" si="17"/>
        <v>57.26412941924665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163.15495285311562</v>
      </c>
      <c r="F162" s="30">
        <f t="shared" si="17"/>
        <v>57.241762309113014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164.2801594245164</v>
      </c>
      <c r="F163" s="30">
        <f t="shared" si="17"/>
        <v>57.219399152468355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165.40536599591721</v>
      </c>
      <c r="F164" s="30">
        <f t="shared" si="17"/>
        <v>57.197039955076427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166.53057256731799</v>
      </c>
      <c r="F165" s="30">
        <f t="shared" si="17"/>
        <v>57.174684722694217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167.6557791387188</v>
      </c>
      <c r="F166" s="30">
        <f t="shared" si="17"/>
        <v>57.152333461071755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168.78098571011958</v>
      </c>
      <c r="F167" s="30">
        <f t="shared" si="17"/>
        <v>57.129986175952261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169.90619228152039</v>
      </c>
      <c r="F168" s="30">
        <f t="shared" si="17"/>
        <v>57.107642873072045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171.0313988529212</v>
      </c>
      <c r="F169" s="30">
        <f t="shared" si="17"/>
        <v>57.085303558160511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172.15660542432198</v>
      </c>
      <c r="F170" s="30">
        <f t="shared" si="17"/>
        <v>57.062968236940208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173.28181199572279</v>
      </c>
      <c r="F171" s="30">
        <f t="shared" si="17"/>
        <v>57.040636915126733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174.40701856712357</v>
      </c>
      <c r="F172" s="30">
        <f t="shared" si="17"/>
        <v>57.018309598428843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175.53222513852438</v>
      </c>
      <c r="F173" s="30">
        <f t="shared" si="17"/>
        <v>56.995986292548302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176.65743170992516</v>
      </c>
      <c r="F174" s="30">
        <f t="shared" si="17"/>
        <v>56.973667003180033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177.78263828132597</v>
      </c>
      <c r="F175" s="30">
        <f t="shared" si="17"/>
        <v>56.951351736011972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178.90784485272675</v>
      </c>
      <c r="F176" s="30">
        <f t="shared" si="17"/>
        <v>56.92904049672515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180.03305142412756</v>
      </c>
      <c r="F177" s="30">
        <f t="shared" si="17"/>
        <v>56.906733290993685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181.15825799552837</v>
      </c>
      <c r="F178" s="30">
        <f t="shared" si="17"/>
        <v>56.884430124484695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182.28346456692915</v>
      </c>
      <c r="F179" s="30">
        <f t="shared" si="17"/>
        <v>56.862131002858412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183.40867113832996</v>
      </c>
      <c r="F180" s="30">
        <f t="shared" si="17"/>
        <v>56.839835931768071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184.53387770973075</v>
      </c>
      <c r="F181" s="30">
        <f t="shared" si="17"/>
        <v>56.817544916859966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185.65908428113156</v>
      </c>
      <c r="F182" s="30">
        <f t="shared" si="17"/>
        <v>56.795257963773402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186.78429085253234</v>
      </c>
      <c r="F183" s="30">
        <f t="shared" si="17"/>
        <v>56.772975078140732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187.90949742393315</v>
      </c>
      <c r="F184" s="30">
        <f t="shared" si="17"/>
        <v>56.750696265587358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189.03470399533393</v>
      </c>
      <c r="F185" s="30">
        <f t="shared" si="17"/>
        <v>56.728421531731627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190.15991056673474</v>
      </c>
      <c r="F186" s="30">
        <f t="shared" si="17"/>
        <v>56.706150882184993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191.28511713813555</v>
      </c>
      <c r="F187" s="30">
        <f t="shared" si="17"/>
        <v>56.683884322551819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192.41032370953633</v>
      </c>
      <c r="F188" s="30">
        <f t="shared" si="17"/>
        <v>56.66162185842952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193.53553028093714</v>
      </c>
      <c r="F189" s="30">
        <f t="shared" si="17"/>
        <v>56.639363495408517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194.66073685233792</v>
      </c>
      <c r="F190" s="30">
        <f t="shared" si="17"/>
        <v>56.617109239072185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195.78594342373873</v>
      </c>
      <c r="F191" s="30">
        <f t="shared" si="17"/>
        <v>56.594859094996906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196.91114999513951</v>
      </c>
      <c r="F192" s="30">
        <f t="shared" si="17"/>
        <v>56.572613068752027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198.03635656654032</v>
      </c>
      <c r="F193" s="30">
        <f t="shared" si="17"/>
        <v>56.550371165899882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199.16156313794113</v>
      </c>
      <c r="F194" s="30">
        <f t="shared" si="17"/>
        <v>56.528133391995766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200.28676970934191</v>
      </c>
      <c r="F195" s="30">
        <f t="shared" si="17"/>
        <v>56.505899752587901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201.41197628074272</v>
      </c>
      <c r="F196" s="30">
        <f t="shared" si="17"/>
        <v>56.483670253217547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202.5371828521435</v>
      </c>
      <c r="F197" s="30">
        <f t="shared" si="17"/>
        <v>56.461444899418829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203.66238942354431</v>
      </c>
      <c r="F198" s="30">
        <f t="shared" si="17"/>
        <v>56.439223696718877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204.78759599494509</v>
      </c>
      <c r="F199" s="30">
        <f t="shared" si="17"/>
        <v>56.417006650637717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205.9128025663459</v>
      </c>
      <c r="F200" s="30">
        <f t="shared" si="17"/>
        <v>56.394793766688359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207.03800913774671</v>
      </c>
      <c r="F201" s="30">
        <f t="shared" si="17"/>
        <v>56.372585050376699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208.16321570914749</v>
      </c>
      <c r="F202" s="30">
        <f t="shared" si="17"/>
        <v>56.350380507201571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209.2884222805483</v>
      </c>
      <c r="F203" s="30">
        <f t="shared" si="17"/>
        <v>56.328180142654737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210.41362885194908</v>
      </c>
      <c r="F204" s="30">
        <f t="shared" si="17"/>
        <v>56.305983962220886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211.53883542334989</v>
      </c>
      <c r="F205" s="30">
        <f t="shared" si="17"/>
        <v>56.283791971377582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212.66404199475068</v>
      </c>
      <c r="F206" s="30">
        <f t="shared" si="17"/>
        <v>56.261604175595309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213.78924856615149</v>
      </c>
      <c r="F207" s="30">
        <f t="shared" si="17"/>
        <v>56.239420580337466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214.91445513755227</v>
      </c>
      <c r="F208" s="30">
        <f t="shared" si="17"/>
        <v>56.217241191060324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216.03966170895308</v>
      </c>
      <c r="F209" s="30">
        <f t="shared" si="17"/>
        <v>56.195066013213044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217.16486828035389</v>
      </c>
      <c r="F210" s="30">
        <f t="shared" ref="F210:F216" si="24">ATAN2(C210,D210-E210)*180/PI()</f>
        <v>56.172895052237685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218.29007485175467</v>
      </c>
      <c r="F211" s="30">
        <f t="shared" si="24"/>
        <v>56.150728313569189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219.41528142315548</v>
      </c>
      <c r="F212" s="30">
        <f t="shared" si="24"/>
        <v>56.128565802635343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220.54048799455626</v>
      </c>
      <c r="F213" s="30">
        <f t="shared" si="24"/>
        <v>56.106407524856841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221.66569456595707</v>
      </c>
      <c r="F214" s="30">
        <f t="shared" si="24"/>
        <v>56.084253485647203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222.79090113735785</v>
      </c>
      <c r="F215" s="30">
        <f t="shared" si="24"/>
        <v>56.062103690412833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223.91610770875866</v>
      </c>
      <c r="F216" s="30">
        <f t="shared" si="24"/>
        <v>56.03995814455299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159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21-Dec-2025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21-Dec-2025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2025-12-22T04:11:34Z</dcterms:modified>
</cp:coreProperties>
</file>