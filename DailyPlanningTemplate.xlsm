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F263515-047C-47E9-BB88-07D413FEFEE7}" xr6:coauthVersionLast="47" xr6:coauthVersionMax="47" xr10:uidLastSave="{00000000-0000-0000-0000-000000000000}"/>
  <bookViews>
    <workbookView xWindow="-44964" yWindow="1116" windowWidth="34560" windowHeight="18600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RAOBF" sheetId="8" r:id="rId5"/>
    <sheet name="BP_Data" sheetId="9" r:id="rId6"/>
    <sheet name="Sheet1" sheetId="5" r:id="rId7"/>
    <sheet name="Sheet2" sheetId="6" r:id="rId8"/>
    <sheet name="Sheet3" sheetId="10" r:id="rId9"/>
    <sheet name="SH3_Correction_Table" sheetId="7" r:id="rId10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5" hidden="1">BP_Data!$A$3:$M$3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1" l="1" a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<sst xmlns="http://schemas.openxmlformats.org/spreadsheetml/2006/main" count="621" uniqueCount="544">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</sst>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5:AC375"/>
  <sheetViews>
    <sheetView tabSelected="1" workbookViewId="0">
      <pane ySplit="9" topLeftCell="A10" activePane="bottomLeft" state="frozen"/>
      <selection pane="bottomLeft" activeCell="F5" sqref="F5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2:26" ht="13.8" x14ac:dyDescent="0.3">
      <c r="O5" s="10"/>
    </row>
    <row r="7" spans="2:26" ht="3.6" customHeight="1" thickBot="1" x14ac:dyDescent="0.3"/>
    <row r="8" spans="2:26" ht="13.8" hidden="1" thickBot="1" x14ac:dyDescent="0.3"/>
    <row r="9" spans="2:26" ht="148.80000000000001" thickBot="1" x14ac:dyDescent="0.3"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2:26" ht="13.8" thickTop="1" x14ac:dyDescent="0.25">
      <c r="B10" s="43" t="str" cm="1">
        <f t="array" aca="1" ref="B10:B15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5" ca="1">_xlfn.BYROW(_xlfn.TAKE(Banded,,1),_xleta.WEEKNUM)</f>
        <v>1</v>
      </c>
      <c r="M10" cm="1">
        <f t="array" ref="M10:M15">_xlfn.BYROW(_xlfn.DROP(Banded,,1),_xleta.SUM)</f>
        <v>7</v>
      </c>
      <c r="O10" s="39" cm="1">
        <f t="array" aca="1" ref="O10:X11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</row>
    <row r="11" spans="2:26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>
        <f ca="1"/>
        <v>2</v>
      </c>
      <c r="P11" s="5">
        <f ca="1"/>
        <v>2</v>
      </c>
      <c r="Q11" s="5">
        <f ca="1"/>
        <v>3</v>
      </c>
      <c r="R11" s="5">
        <f ca="1"/>
        <v>0</v>
      </c>
      <c r="S11" s="5">
        <f ca="1"/>
        <v>2</v>
      </c>
      <c r="T11" s="5">
        <f ca="1"/>
        <v>3</v>
      </c>
      <c r="U11" s="5">
        <f ca="1"/>
        <v>3</v>
      </c>
      <c r="V11" s="5">
        <f ca="1"/>
        <v>3</v>
      </c>
      <c r="W11" s="5">
        <f ca="1"/>
        <v>2</v>
      </c>
      <c r="X11" s="5">
        <f ca="1"/>
        <v>3</v>
      </c>
      <c r="Z11" t="s">
        <v>13</v>
      </c>
    </row>
    <row r="12" spans="2:26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</row>
    <row r="13" spans="2:26" x14ac:dyDescent="0.25">
      <c r="B13" s="44" t="str">
        <f ca="1"/>
        <v>04-Jan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  <c r="Z13" t="s">
        <v>15</v>
      </c>
    </row>
    <row r="14" spans="2:26" x14ac:dyDescent="0.25">
      <c r="B14" s="44" t="str">
        <f ca="1"/>
        <v>05-Jan</v>
      </c>
      <c r="C14" s="5">
        <v>1</v>
      </c>
      <c r="D14" s="5">
        <v>1</v>
      </c>
      <c r="E14" s="5">
        <v>0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8</v>
      </c>
      <c r="O14" s="39"/>
    </row>
    <row r="15" spans="2:26" x14ac:dyDescent="0.25">
      <c r="B15" s="44" t="str">
        <f ca="1"/>
        <v>06-Jan</v>
      </c>
      <c r="C15" s="5">
        <v>0</v>
      </c>
      <c r="D15" s="5">
        <v>1</v>
      </c>
      <c r="E15" s="5">
        <v>0</v>
      </c>
      <c r="F15" s="5">
        <v>0</v>
      </c>
      <c r="G15" s="5">
        <v>1</v>
      </c>
      <c r="H15" s="5">
        <v>1</v>
      </c>
      <c r="I15" s="5">
        <v>1</v>
      </c>
      <c r="J15" s="5">
        <v>0</v>
      </c>
      <c r="K15" s="5">
        <v>1</v>
      </c>
      <c r="L15">
        <f ca="1"/>
        <v>2</v>
      </c>
      <c r="M15">
        <v>5</v>
      </c>
      <c r="O15" s="39"/>
    </row>
    <row r="16" spans="2:26" x14ac:dyDescent="0.25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5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4" priority="4">
      <formula>AND(LEN($O10)&gt;0,MOD(ROW(O10)-ROW($O$9),2))</formula>
    </cfRule>
  </conditionalFormatting>
  <conditionalFormatting sqref="O10:O100">
    <cfRule type="expression" dxfId="3" priority="3">
      <formula>LEN(O10)=0</formula>
    </cfRule>
  </conditionalFormatting>
  <conditionalFormatting sqref="B10:K374">
    <cfRule type="expression" dxfId="2" priority="1" stopIfTrue="1">
      <formula>LEN($B10)=0</formula>
    </cfRule>
    <cfRule type="expression" dxfId="1" priority="2" stopIfTrue="1">
      <formula>(LEN($B10)&gt;0)*(MOD(ROW(B10)-ROW(B$9),2)=0)</formula>
    </cfRule>
    <cfRule type="expression" dxfId="0" priority="5" stopIfTrue="1">
      <formula>AND(LEN($B10)&gt;0,MOD(ROW(B10)-ROW(B$9),2)=1)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75" activePane="bottomLeft" state="frozen"/>
      <selection activeCell="A4" sqref="A4"/>
      <selection pane="bottomLeft" activeCell="E379" sqref="E379:X379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9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5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5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0</v>
      </c>
      <c r="V379" s="5">
        <v>0</v>
      </c>
      <c r="W379" s="5">
        <v>0</v>
      </c>
      <c r="X379" s="5">
        <v>0</v>
      </c>
      <c r="Z379">
        <v>0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06-Jan-2026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06-Jan-2026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2025</vt:lpstr>
      <vt:lpstr>2026</vt:lpstr>
      <vt:lpstr>LongTermTraining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2026-01-06T15:19:43Z</dcterms:modified>
</cp:coreProperties>
</file>