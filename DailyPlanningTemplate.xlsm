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677CA39-7A4D-4787-81E6-886AFA65662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Report!$C$9:$L$9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1">_xlfn.DROP(_xlfn.TRIMRANGE(LongTermTraining!$D:$X),1)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9" l="1"/>
  <c r="C6" i="9"/>
  <c r="B6" i="9"/>
  <c r="C8" i="8"/>
  <c r="C9" i="8"/>
  <c r="J20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Z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Z9" i="3"/>
  <c r="N10" i="1"/>
  <c r="M21" i="1" a="1"/>
  <c r="B10" i="1"/>
  <c r="C191" i="8" l="1"/>
  <c r="F191" i="8" s="1"/>
  <c r="C210" i="8"/>
  <c r="F210" i="8" s="1"/>
  <c r="C211" i="8"/>
  <c r="F211" i="8" s="1"/>
  <c r="C149" i="8"/>
  <c r="F149" i="8" s="1"/>
  <c r="C208" i="8"/>
  <c r="F208" i="8" s="1"/>
  <c r="C212" i="8"/>
  <c r="F212" i="8" s="1"/>
  <c r="D104" i="8"/>
  <c r="F12" i="8"/>
  <c r="C216" i="8"/>
  <c r="F216" i="8" s="1"/>
  <c r="C194" i="8"/>
  <c r="F194" i="8" s="1"/>
  <c r="C88" i="8"/>
  <c r="F88" i="8" s="1"/>
  <c r="C140" i="8"/>
  <c r="F140" i="8" s="1"/>
  <c r="C213" i="8"/>
  <c r="F213" i="8" s="1"/>
  <c r="C61" i="8"/>
  <c r="F61" i="8" s="1"/>
  <c r="C94" i="8"/>
  <c r="F94" i="8" s="1"/>
  <c r="C105" i="8"/>
  <c r="F105" i="8" s="1"/>
  <c r="C84" i="8"/>
  <c r="F84" i="8" s="1"/>
  <c r="C179" i="8"/>
  <c r="F179" i="8" s="1"/>
  <c r="C142" i="8"/>
  <c r="F142" i="8" s="1"/>
  <c r="C101" i="8"/>
  <c r="F101" i="8" s="1"/>
  <c r="C193" i="8"/>
  <c r="F193" i="8" s="1"/>
  <c r="C181" i="8"/>
  <c r="F181" i="8" s="1"/>
  <c r="C99" i="8"/>
  <c r="F99" i="8" s="1"/>
  <c r="C148" i="8"/>
  <c r="F148" i="8" s="1"/>
  <c r="C204" i="8"/>
  <c r="F204" i="8" s="1"/>
  <c r="C90" i="8"/>
  <c r="F90" i="8" s="1"/>
  <c r="C189" i="8"/>
  <c r="F189" i="8" s="1"/>
  <c r="C93" i="8"/>
  <c r="F93" i="8" s="1"/>
  <c r="C150" i="8"/>
  <c r="F150" i="8" s="1"/>
  <c r="C177" i="8"/>
  <c r="F177" i="8" s="1"/>
  <c r="C180" i="8"/>
  <c r="F180" i="8" s="1"/>
  <c r="C186" i="8"/>
  <c r="F186" i="8" s="1"/>
  <c r="C206" i="8"/>
  <c r="F206" i="8" s="1"/>
  <c r="C95" i="8"/>
  <c r="F95" i="8" s="1"/>
  <c r="C97" i="8"/>
  <c r="F97" i="8" s="1"/>
  <c r="C92" i="8"/>
  <c r="F92" i="8" s="1"/>
  <c r="C100" i="8"/>
  <c r="F100" i="8" s="1"/>
  <c r="C102" i="8"/>
  <c r="F102" i="8" s="1"/>
  <c r="C104" i="8"/>
  <c r="F104" i="8" s="1"/>
  <c r="C106" i="8"/>
  <c r="F106" i="8" s="1"/>
  <c r="C139" i="8"/>
  <c r="F139" i="8" s="1"/>
  <c r="C207" i="8"/>
  <c r="F207" i="8" s="1"/>
  <c r="D182" i="8"/>
  <c r="D191" i="8"/>
  <c r="D200" i="8"/>
  <c r="D210" i="8"/>
  <c r="D214" i="8"/>
  <c r="D206" i="8"/>
  <c r="D215" i="8"/>
  <c r="D216" i="8"/>
  <c r="D202" i="8"/>
  <c r="D203" i="8"/>
  <c r="D188" i="8"/>
  <c r="C83" i="8"/>
  <c r="F83" i="8" s="1"/>
  <c r="C85" i="8"/>
  <c r="F85" i="8" s="1"/>
  <c r="C87" i="8"/>
  <c r="F87" i="8" s="1"/>
  <c r="C89" i="8"/>
  <c r="F89" i="8" s="1"/>
  <c r="C91" i="8"/>
  <c r="F91" i="8" s="1"/>
  <c r="C143" i="8"/>
  <c r="F143" i="8" s="1"/>
  <c r="C145" i="8"/>
  <c r="F145" i="8" s="1"/>
  <c r="C64" i="8"/>
  <c r="F64" i="8" s="1"/>
  <c r="C65" i="8"/>
  <c r="F65" i="8" s="1"/>
  <c r="C66" i="8"/>
  <c r="F66" i="8" s="1"/>
  <c r="C103" i="8"/>
  <c r="F103" i="8" s="1"/>
  <c r="C55" i="8"/>
  <c r="F55" i="8" s="1"/>
  <c r="C56" i="8"/>
  <c r="F56" i="8" s="1"/>
  <c r="C57" i="8"/>
  <c r="F57" i="8" s="1"/>
  <c r="C59" i="8"/>
  <c r="F59" i="8" s="1"/>
  <c r="D135" i="8"/>
  <c r="D140" i="8"/>
  <c r="D147" i="8"/>
  <c r="D212" i="8"/>
  <c r="D17" i="8"/>
  <c r="C50" i="8"/>
  <c r="F50" i="8" s="1"/>
  <c r="C51" i="8"/>
  <c r="F51" i="8" s="1"/>
  <c r="C52" i="8"/>
  <c r="F52" i="8" s="1"/>
  <c r="C53" i="8"/>
  <c r="F53" i="8" s="1"/>
  <c r="C58" i="8"/>
  <c r="F58" i="8" s="1"/>
  <c r="C60" i="8"/>
  <c r="F60" i="8" s="1"/>
  <c r="C215" i="8"/>
  <c r="F215" i="8" s="1"/>
  <c r="C62" i="8"/>
  <c r="F62" i="8" s="1"/>
  <c r="C63" i="8"/>
  <c r="F63" i="8" s="1"/>
  <c r="C152" i="8"/>
  <c r="F152" i="8" s="1"/>
  <c r="C185" i="8"/>
  <c r="F185" i="8" s="1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40" i="8"/>
  <c r="F40" i="8" s="1"/>
  <c r="C19" i="8"/>
  <c r="F19" i="8" s="1"/>
  <c r="C116" i="8"/>
  <c r="F116" i="8" s="1"/>
  <c r="C20" i="8"/>
  <c r="F20" i="8" s="1"/>
  <c r="C41" i="8"/>
  <c r="F41" i="8" s="1"/>
  <c r="C21" i="8"/>
  <c r="F21" i="8" s="1"/>
  <c r="C117" i="8"/>
  <c r="F117" i="8" s="1"/>
  <c r="C22" i="8"/>
  <c r="F22" i="8" s="1"/>
  <c r="C42" i="8"/>
  <c r="F42" i="8" s="1"/>
  <c r="C23" i="8"/>
  <c r="F23" i="8" s="1"/>
  <c r="C118" i="8"/>
  <c r="F118" i="8" s="1"/>
  <c r="C24" i="8"/>
  <c r="F24" i="8" s="1"/>
  <c r="C46" i="8"/>
  <c r="F46" i="8" s="1"/>
  <c r="C25" i="8"/>
  <c r="F25" i="8" s="1"/>
  <c r="C119" i="8"/>
  <c r="F119" i="8" s="1"/>
  <c r="C26" i="8"/>
  <c r="F26" i="8" s="1"/>
  <c r="C47" i="8"/>
  <c r="F47" i="8" s="1"/>
  <c r="C27" i="8"/>
  <c r="F27" i="8" s="1"/>
  <c r="C28" i="8"/>
  <c r="F28" i="8" s="1"/>
  <c r="C120" i="8"/>
  <c r="F120" i="8" s="1"/>
  <c r="C29" i="8"/>
  <c r="F29" i="8" s="1"/>
  <c r="C48" i="8"/>
  <c r="F48" i="8" s="1"/>
  <c r="C30" i="8"/>
  <c r="F30" i="8" s="1"/>
  <c r="C121" i="8"/>
  <c r="F121" i="8" s="1"/>
  <c r="C49" i="8"/>
  <c r="F49" i="8" s="1"/>
  <c r="C122" i="8"/>
  <c r="F122" i="8" s="1"/>
  <c r="C34" i="8"/>
  <c r="F34" i="8" s="1"/>
  <c r="C35" i="8"/>
  <c r="F35" i="8" s="1"/>
  <c r="C36" i="8"/>
  <c r="F36" i="8" s="1"/>
  <c r="C37" i="8"/>
  <c r="F37" i="8" s="1"/>
  <c r="C38" i="8"/>
  <c r="F38" i="8" s="1"/>
  <c r="C54" i="8"/>
  <c r="F54" i="8" s="1"/>
  <c r="C123" i="8"/>
  <c r="F123" i="8" s="1"/>
  <c r="C43" i="8"/>
  <c r="F43" i="8" s="1"/>
  <c r="C124" i="8"/>
  <c r="F124" i="8" s="1"/>
  <c r="C153" i="8"/>
  <c r="F153" i="8" s="1"/>
  <c r="C44" i="8"/>
  <c r="F44" i="8" s="1"/>
  <c r="C45" i="8"/>
  <c r="F45" i="8" s="1"/>
  <c r="C154" i="8"/>
  <c r="F154" i="8" s="1"/>
  <c r="C156" i="8"/>
  <c r="F156" i="8" s="1"/>
  <c r="C161" i="8"/>
  <c r="F161" i="8" s="1"/>
  <c r="C125" i="8"/>
  <c r="F125" i="8" s="1"/>
  <c r="C126" i="8"/>
  <c r="F126" i="8" s="1"/>
  <c r="C127" i="8"/>
  <c r="F127" i="8" s="1"/>
  <c r="C128" i="8"/>
  <c r="F128" i="8" s="1"/>
  <c r="C129" i="8"/>
  <c r="F129" i="8" s="1"/>
  <c r="C67" i="8"/>
  <c r="F67" i="8" s="1"/>
  <c r="C130" i="8"/>
  <c r="F130" i="8" s="1"/>
  <c r="C68" i="8"/>
  <c r="F68" i="8" s="1"/>
  <c r="C131" i="8"/>
  <c r="F131" i="8" s="1"/>
  <c r="C69" i="8"/>
  <c r="F69" i="8" s="1"/>
  <c r="C132" i="8"/>
  <c r="F132" i="8" s="1"/>
  <c r="C70" i="8"/>
  <c r="F70" i="8" s="1"/>
  <c r="C133" i="8"/>
  <c r="F133" i="8" s="1"/>
  <c r="C71" i="8"/>
  <c r="F71" i="8" s="1"/>
  <c r="C134" i="8"/>
  <c r="F134" i="8" s="1"/>
  <c r="C72" i="8"/>
  <c r="F72" i="8" s="1"/>
  <c r="C136" i="8"/>
  <c r="F136" i="8" s="1"/>
  <c r="C73" i="8"/>
  <c r="F73" i="8" s="1"/>
  <c r="C138" i="8"/>
  <c r="F138" i="8" s="1"/>
  <c r="C74" i="8"/>
  <c r="F74" i="8" s="1"/>
  <c r="C141" i="8"/>
  <c r="F141" i="8" s="1"/>
  <c r="C75" i="8"/>
  <c r="F75" i="8" s="1"/>
  <c r="C178" i="8"/>
  <c r="F178" i="8" s="1"/>
  <c r="C76" i="8"/>
  <c r="F76" i="8" s="1"/>
  <c r="C182" i="8"/>
  <c r="F182" i="8" s="1"/>
  <c r="C77" i="8"/>
  <c r="F77" i="8" s="1"/>
  <c r="C155" i="8"/>
  <c r="F155" i="8" s="1"/>
  <c r="C78" i="8"/>
  <c r="F78" i="8" s="1"/>
  <c r="C158" i="8"/>
  <c r="F158" i="8" s="1"/>
  <c r="C79" i="8"/>
  <c r="F79" i="8" s="1"/>
  <c r="C174" i="8"/>
  <c r="F174" i="8" s="1"/>
  <c r="C80" i="8"/>
  <c r="F80" i="8" s="1"/>
  <c r="C190" i="8"/>
  <c r="F190" i="8" s="1"/>
  <c r="C17" i="8"/>
  <c r="C151" i="8"/>
  <c r="F151" i="8" s="1"/>
  <c r="C163" i="8"/>
  <c r="F163" i="8" s="1"/>
  <c r="C147" i="8"/>
  <c r="F147" i="8" s="1"/>
  <c r="C164" i="8"/>
  <c r="F164" i="8" s="1"/>
  <c r="C184" i="8"/>
  <c r="F184" i="8" s="1"/>
  <c r="C187" i="8"/>
  <c r="F187" i="8" s="1"/>
  <c r="C165" i="8"/>
  <c r="F165" i="8" s="1"/>
  <c r="C107" i="8"/>
  <c r="F107" i="8" s="1"/>
  <c r="C108" i="8"/>
  <c r="F108" i="8" s="1"/>
  <c r="C109" i="8"/>
  <c r="F109" i="8" s="1"/>
  <c r="C166" i="8"/>
  <c r="F166" i="8" s="1"/>
  <c r="C167" i="8"/>
  <c r="F167" i="8" s="1"/>
  <c r="C168" i="8"/>
  <c r="F168" i="8" s="1"/>
  <c r="C169" i="8"/>
  <c r="F169" i="8" s="1"/>
  <c r="C160" i="8"/>
  <c r="F160" i="8" s="1"/>
  <c r="C162" i="8"/>
  <c r="F162" i="8" s="1"/>
  <c r="C175" i="8"/>
  <c r="F175" i="8" s="1"/>
  <c r="C170" i="8"/>
  <c r="F170" i="8" s="1"/>
  <c r="C171" i="8"/>
  <c r="F171" i="8" s="1"/>
  <c r="C172" i="8"/>
  <c r="F172" i="8" s="1"/>
  <c r="C173" i="8"/>
  <c r="F173" i="8" s="1"/>
  <c r="C81" i="8"/>
  <c r="F81" i="8" s="1"/>
  <c r="C192" i="8"/>
  <c r="F192" i="8" s="1"/>
  <c r="C82" i="8"/>
  <c r="F82" i="8" s="1"/>
  <c r="C205" i="8"/>
  <c r="F205" i="8" s="1"/>
  <c r="C86" i="8"/>
  <c r="F86" i="8" s="1"/>
  <c r="C214" i="8"/>
  <c r="F214" i="8" s="1"/>
  <c r="C195" i="8"/>
  <c r="F195" i="8" s="1"/>
  <c r="C96" i="8"/>
  <c r="F96" i="8" s="1"/>
  <c r="C98" i="8"/>
  <c r="F98" i="8" s="1"/>
  <c r="C196" i="8"/>
  <c r="F196" i="8" s="1"/>
  <c r="C197" i="8"/>
  <c r="F197" i="8" s="1"/>
  <c r="C176" i="8"/>
  <c r="F176" i="8" s="1"/>
  <c r="C198" i="8"/>
  <c r="F198" i="8" s="1"/>
  <c r="C201" i="8"/>
  <c r="F201" i="8" s="1"/>
  <c r="C199" i="8"/>
  <c r="F199" i="8" s="1"/>
  <c r="C200" i="8"/>
  <c r="F200" i="8" s="1"/>
  <c r="C135" i="8"/>
  <c r="F135" i="8" s="1"/>
  <c r="C137" i="8"/>
  <c r="F137" i="8" s="1"/>
  <c r="C157" i="8"/>
  <c r="F157" i="8" s="1"/>
  <c r="C159" i="8"/>
  <c r="F159" i="8" s="1"/>
  <c r="C144" i="8"/>
  <c r="F144" i="8" s="1"/>
  <c r="C146" i="8"/>
  <c r="F146" i="8" s="1"/>
  <c r="C183" i="8"/>
  <c r="F183" i="8" s="1"/>
  <c r="C188" i="8"/>
  <c r="F188" i="8" s="1"/>
  <c r="C202" i="8"/>
  <c r="F202" i="8" s="1"/>
  <c r="C203" i="8"/>
  <c r="F203" i="8" s="1"/>
  <c r="C110" i="8"/>
  <c r="F110" i="8" s="1"/>
  <c r="C209" i="8"/>
  <c r="F209" i="8" s="1"/>
  <c r="C111" i="8"/>
  <c r="F111" i="8" s="1"/>
  <c r="C31" i="8"/>
  <c r="F31" i="8" s="1"/>
  <c r="C112" i="8"/>
  <c r="F112" i="8" s="1"/>
  <c r="C32" i="8"/>
  <c r="F32" i="8" s="1"/>
  <c r="C113" i="8"/>
  <c r="F113" i="8" s="1"/>
  <c r="C33" i="8"/>
  <c r="F33" i="8" s="1"/>
  <c r="C114" i="8"/>
  <c r="F114" i="8" s="1"/>
  <c r="C39" i="8"/>
  <c r="F39" i="8" s="1"/>
  <c r="C115" i="8"/>
  <c r="F115" i="8" s="1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17" i="8" l="1"/>
  <c r="J22" i="8" s="1" a="1"/>
  <c r="J22" i="8" s="1"/>
  <c r="M22" i="8" s="1"/>
  <c r="M23" i="8" s="1"/>
  <c r="M24" i="8" s="1"/>
  <c r="P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<sst xmlns="http://schemas.openxmlformats.org/spreadsheetml/2006/main" count="210" uniqueCount="163">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</sst>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1343.5028842544402</c:v>
                </c:pt>
                <c:pt idx="1">
                  <c:v>1344.2985254513133</c:v>
                </c:pt>
                <c:pt idx="2">
                  <c:v>1345.0941666481863</c:v>
                </c:pt>
                <c:pt idx="3">
                  <c:v>1345.8898078450597</c:v>
                </c:pt>
                <c:pt idx="4">
                  <c:v>1346.6854490419328</c:v>
                </c:pt>
                <c:pt idx="5">
                  <c:v>1347.4810902388058</c:v>
                </c:pt>
                <c:pt idx="6">
                  <c:v>1348.2767314356793</c:v>
                </c:pt>
                <c:pt idx="7">
                  <c:v>1349.0723726325523</c:v>
                </c:pt>
                <c:pt idx="8">
                  <c:v>1349.8680138294253</c:v>
                </c:pt>
                <c:pt idx="9">
                  <c:v>1350.6636550262988</c:v>
                </c:pt>
                <c:pt idx="10">
                  <c:v>1351.4592962231718</c:v>
                </c:pt>
                <c:pt idx="11">
                  <c:v>1352.2549374200448</c:v>
                </c:pt>
                <c:pt idx="12">
                  <c:v>1353.0505786169183</c:v>
                </c:pt>
                <c:pt idx="13">
                  <c:v>1353.8462198137913</c:v>
                </c:pt>
                <c:pt idx="14">
                  <c:v>1354.6418610106643</c:v>
                </c:pt>
                <c:pt idx="15">
                  <c:v>1355.4375022075378</c:v>
                </c:pt>
                <c:pt idx="16">
                  <c:v>1356.2331434044108</c:v>
                </c:pt>
                <c:pt idx="17">
                  <c:v>1357.0287846012839</c:v>
                </c:pt>
                <c:pt idx="18">
                  <c:v>1357.8244257981573</c:v>
                </c:pt>
                <c:pt idx="19">
                  <c:v>1358.6200669950304</c:v>
                </c:pt>
                <c:pt idx="20">
                  <c:v>1359.4157081919034</c:v>
                </c:pt>
                <c:pt idx="21">
                  <c:v>1360.2113493887769</c:v>
                </c:pt>
                <c:pt idx="22">
                  <c:v>1361.0069905856499</c:v>
                </c:pt>
                <c:pt idx="23">
                  <c:v>1361.8026317825229</c:v>
                </c:pt>
                <c:pt idx="24">
                  <c:v>1362.5982729793964</c:v>
                </c:pt>
                <c:pt idx="25">
                  <c:v>1363.3939141762694</c:v>
                </c:pt>
                <c:pt idx="26">
                  <c:v>1364.1895553731424</c:v>
                </c:pt>
                <c:pt idx="27">
                  <c:v>1364.9851965700159</c:v>
                </c:pt>
                <c:pt idx="28">
                  <c:v>1365.7808377668889</c:v>
                </c:pt>
                <c:pt idx="29">
                  <c:v>1366.5764789637619</c:v>
                </c:pt>
                <c:pt idx="30">
                  <c:v>1367.3721201606354</c:v>
                </c:pt>
                <c:pt idx="31">
                  <c:v>1368.1677613575084</c:v>
                </c:pt>
                <c:pt idx="32">
                  <c:v>1368.9634025543814</c:v>
                </c:pt>
                <c:pt idx="33">
                  <c:v>1369.7590437512545</c:v>
                </c:pt>
                <c:pt idx="34">
                  <c:v>1370.5546849481279</c:v>
                </c:pt>
                <c:pt idx="35">
                  <c:v>1371.350326145001</c:v>
                </c:pt>
                <c:pt idx="36">
                  <c:v>1372.145967341874</c:v>
                </c:pt>
                <c:pt idx="37">
                  <c:v>1372.9416085387475</c:v>
                </c:pt>
                <c:pt idx="38">
                  <c:v>1373.7372497356205</c:v>
                </c:pt>
                <c:pt idx="39">
                  <c:v>1374.5328909324935</c:v>
                </c:pt>
                <c:pt idx="40">
                  <c:v>1375.328532129367</c:v>
                </c:pt>
                <c:pt idx="41">
                  <c:v>1376.12417332624</c:v>
                </c:pt>
                <c:pt idx="42">
                  <c:v>1376.919814523113</c:v>
                </c:pt>
                <c:pt idx="43">
                  <c:v>1377.7154557199865</c:v>
                </c:pt>
                <c:pt idx="44">
                  <c:v>1378.5110969168595</c:v>
                </c:pt>
                <c:pt idx="45">
                  <c:v>1379.3067381137325</c:v>
                </c:pt>
                <c:pt idx="46">
                  <c:v>1380.102379310606</c:v>
                </c:pt>
                <c:pt idx="47">
                  <c:v>1380.898020507479</c:v>
                </c:pt>
                <c:pt idx="48">
                  <c:v>1381.6936617043521</c:v>
                </c:pt>
                <c:pt idx="49">
                  <c:v>1382.4893029012255</c:v>
                </c:pt>
                <c:pt idx="50">
                  <c:v>1383.2849440980985</c:v>
                </c:pt>
                <c:pt idx="51">
                  <c:v>1384.0805852949716</c:v>
                </c:pt>
                <c:pt idx="52">
                  <c:v>1384.876226491845</c:v>
                </c:pt>
                <c:pt idx="53">
                  <c:v>1385.6718676887181</c:v>
                </c:pt>
                <c:pt idx="54">
                  <c:v>1386.4675088855911</c:v>
                </c:pt>
                <c:pt idx="55">
                  <c:v>1387.2631500824646</c:v>
                </c:pt>
                <c:pt idx="56">
                  <c:v>1388.0587912793376</c:v>
                </c:pt>
                <c:pt idx="57">
                  <c:v>1388.8544324762106</c:v>
                </c:pt>
                <c:pt idx="58">
                  <c:v>1389.6500736730841</c:v>
                </c:pt>
                <c:pt idx="59">
                  <c:v>1390.4457148699571</c:v>
                </c:pt>
                <c:pt idx="60">
                  <c:v>1391.2413560668301</c:v>
                </c:pt>
                <c:pt idx="61">
                  <c:v>1392.0369972637036</c:v>
                </c:pt>
                <c:pt idx="62">
                  <c:v>1392.8326384605766</c:v>
                </c:pt>
                <c:pt idx="63">
                  <c:v>1393.6282796574496</c:v>
                </c:pt>
                <c:pt idx="64">
                  <c:v>1394.4239208543231</c:v>
                </c:pt>
                <c:pt idx="65">
                  <c:v>1395.2195620511961</c:v>
                </c:pt>
                <c:pt idx="66">
                  <c:v>1396.0152032480692</c:v>
                </c:pt>
                <c:pt idx="67">
                  <c:v>1396.8108444449426</c:v>
                </c:pt>
                <c:pt idx="68">
                  <c:v>1397.6064856418157</c:v>
                </c:pt>
                <c:pt idx="69">
                  <c:v>1398.4021268386887</c:v>
                </c:pt>
                <c:pt idx="70">
                  <c:v>1399.1977680355621</c:v>
                </c:pt>
                <c:pt idx="71">
                  <c:v>1399.9934092324352</c:v>
                </c:pt>
                <c:pt idx="72">
                  <c:v>1400.7890504293082</c:v>
                </c:pt>
                <c:pt idx="73">
                  <c:v>1401.5846916261817</c:v>
                </c:pt>
                <c:pt idx="74">
                  <c:v>1402.3803328230547</c:v>
                </c:pt>
                <c:pt idx="75">
                  <c:v>1403.1759740199277</c:v>
                </c:pt>
                <c:pt idx="76">
                  <c:v>1403.9716152168007</c:v>
                </c:pt>
                <c:pt idx="77">
                  <c:v>1404.7672564136742</c:v>
                </c:pt>
                <c:pt idx="78">
                  <c:v>1405.5628976105472</c:v>
                </c:pt>
                <c:pt idx="79">
                  <c:v>1406.3585388074202</c:v>
                </c:pt>
                <c:pt idx="80">
                  <c:v>1407.1541800042937</c:v>
                </c:pt>
                <c:pt idx="81">
                  <c:v>1407.9498212011667</c:v>
                </c:pt>
                <c:pt idx="82">
                  <c:v>1408.7454623980398</c:v>
                </c:pt>
                <c:pt idx="83">
                  <c:v>1409.5411035949132</c:v>
                </c:pt>
                <c:pt idx="84">
                  <c:v>1410.3367447917863</c:v>
                </c:pt>
                <c:pt idx="85">
                  <c:v>1411.1323859886593</c:v>
                </c:pt>
                <c:pt idx="86">
                  <c:v>1411.9280271855328</c:v>
                </c:pt>
                <c:pt idx="87">
                  <c:v>1412.7236683824058</c:v>
                </c:pt>
                <c:pt idx="88">
                  <c:v>1413.5193095792788</c:v>
                </c:pt>
                <c:pt idx="89">
                  <c:v>1414.3149507761523</c:v>
                </c:pt>
                <c:pt idx="90">
                  <c:v>1415.1105919730253</c:v>
                </c:pt>
                <c:pt idx="91">
                  <c:v>1415.9062331698983</c:v>
                </c:pt>
                <c:pt idx="92">
                  <c:v>1416.7018743667718</c:v>
                </c:pt>
                <c:pt idx="93">
                  <c:v>1417.4975155636448</c:v>
                </c:pt>
                <c:pt idx="94">
                  <c:v>1418.2931567605178</c:v>
                </c:pt>
                <c:pt idx="95">
                  <c:v>1419.0887979573913</c:v>
                </c:pt>
                <c:pt idx="96">
                  <c:v>1419.8844391542643</c:v>
                </c:pt>
                <c:pt idx="97">
                  <c:v>1420.6800803511373</c:v>
                </c:pt>
                <c:pt idx="98">
                  <c:v>1421.4757215480108</c:v>
                </c:pt>
                <c:pt idx="99">
                  <c:v>1422.2713627448838</c:v>
                </c:pt>
                <c:pt idx="100">
                  <c:v>1423.0670039417569</c:v>
                </c:pt>
                <c:pt idx="101">
                  <c:v>1423.8626451386303</c:v>
                </c:pt>
                <c:pt idx="102">
                  <c:v>1424.6582863355034</c:v>
                </c:pt>
                <c:pt idx="103">
                  <c:v>1425.4539275323764</c:v>
                </c:pt>
                <c:pt idx="104">
                  <c:v>1426.2495687292499</c:v>
                </c:pt>
                <c:pt idx="105">
                  <c:v>1427.0452099261229</c:v>
                </c:pt>
                <c:pt idx="106">
                  <c:v>1427.8408511229959</c:v>
                </c:pt>
                <c:pt idx="107">
                  <c:v>1428.6364923198694</c:v>
                </c:pt>
                <c:pt idx="108">
                  <c:v>1429.4321335167424</c:v>
                </c:pt>
                <c:pt idx="109">
                  <c:v>1430.2277747136154</c:v>
                </c:pt>
                <c:pt idx="110">
                  <c:v>1431.0234159104889</c:v>
                </c:pt>
                <c:pt idx="111">
                  <c:v>1431.8190571073619</c:v>
                </c:pt>
                <c:pt idx="112">
                  <c:v>1432.6146983042349</c:v>
                </c:pt>
                <c:pt idx="113">
                  <c:v>1433.4103395011084</c:v>
                </c:pt>
                <c:pt idx="114">
                  <c:v>1434.2059806979814</c:v>
                </c:pt>
                <c:pt idx="115">
                  <c:v>1435.0016218948545</c:v>
                </c:pt>
                <c:pt idx="116">
                  <c:v>1435.7972630917279</c:v>
                </c:pt>
                <c:pt idx="117">
                  <c:v>1436.5929042886009</c:v>
                </c:pt>
                <c:pt idx="118">
                  <c:v>1437.388545485474</c:v>
                </c:pt>
                <c:pt idx="119">
                  <c:v>1438.184186682347</c:v>
                </c:pt>
                <c:pt idx="120">
                  <c:v>1438.9798278792205</c:v>
                </c:pt>
                <c:pt idx="121">
                  <c:v>1439.7754690760935</c:v>
                </c:pt>
                <c:pt idx="122">
                  <c:v>1440.5711102729665</c:v>
                </c:pt>
                <c:pt idx="123">
                  <c:v>1441.36675146984</c:v>
                </c:pt>
                <c:pt idx="124">
                  <c:v>1442.162392666713</c:v>
                </c:pt>
                <c:pt idx="125">
                  <c:v>1442.958033863586</c:v>
                </c:pt>
                <c:pt idx="126">
                  <c:v>1443.7536750604595</c:v>
                </c:pt>
                <c:pt idx="127">
                  <c:v>1444.5493162573325</c:v>
                </c:pt>
                <c:pt idx="128">
                  <c:v>1445.3449574542055</c:v>
                </c:pt>
                <c:pt idx="129">
                  <c:v>1446.140598651079</c:v>
                </c:pt>
                <c:pt idx="130">
                  <c:v>1446.936239847952</c:v>
                </c:pt>
                <c:pt idx="131">
                  <c:v>1447.7318810448251</c:v>
                </c:pt>
                <c:pt idx="132">
                  <c:v>1448.5275222416985</c:v>
                </c:pt>
                <c:pt idx="133">
                  <c:v>1449.3231634385716</c:v>
                </c:pt>
                <c:pt idx="134">
                  <c:v>1450.1188046354446</c:v>
                </c:pt>
                <c:pt idx="135">
                  <c:v>1450.9144458323181</c:v>
                </c:pt>
                <c:pt idx="136">
                  <c:v>1451.7100870291911</c:v>
                </c:pt>
                <c:pt idx="137">
                  <c:v>1452.5057282260641</c:v>
                </c:pt>
                <c:pt idx="138">
                  <c:v>1453.3013694229376</c:v>
                </c:pt>
                <c:pt idx="139">
                  <c:v>1454.0970106198106</c:v>
                </c:pt>
                <c:pt idx="140">
                  <c:v>1454.8926518166836</c:v>
                </c:pt>
                <c:pt idx="141">
                  <c:v>1455.6882930135571</c:v>
                </c:pt>
                <c:pt idx="142">
                  <c:v>1456.4839342104301</c:v>
                </c:pt>
                <c:pt idx="143">
                  <c:v>1457.2795754073031</c:v>
                </c:pt>
                <c:pt idx="144">
                  <c:v>1458.0752166041766</c:v>
                </c:pt>
                <c:pt idx="145">
                  <c:v>1458.8708578010496</c:v>
                </c:pt>
                <c:pt idx="146">
                  <c:v>1459.6664989979226</c:v>
                </c:pt>
                <c:pt idx="147">
                  <c:v>1460.4621401947961</c:v>
                </c:pt>
                <c:pt idx="148">
                  <c:v>1461.2577813916691</c:v>
                </c:pt>
                <c:pt idx="149">
                  <c:v>1462.0534225885422</c:v>
                </c:pt>
                <c:pt idx="150">
                  <c:v>1462.8490637854156</c:v>
                </c:pt>
                <c:pt idx="151">
                  <c:v>1463.6447049822887</c:v>
                </c:pt>
                <c:pt idx="152">
                  <c:v>1464.4403461791617</c:v>
                </c:pt>
                <c:pt idx="153">
                  <c:v>1465.2359873760352</c:v>
                </c:pt>
                <c:pt idx="154">
                  <c:v>1466.0316285729082</c:v>
                </c:pt>
                <c:pt idx="155">
                  <c:v>1466.8272697697812</c:v>
                </c:pt>
                <c:pt idx="156">
                  <c:v>1467.6229109666547</c:v>
                </c:pt>
                <c:pt idx="157">
                  <c:v>1468.4185521635277</c:v>
                </c:pt>
                <c:pt idx="158">
                  <c:v>1469.2141933604007</c:v>
                </c:pt>
                <c:pt idx="159">
                  <c:v>1470.0098345572742</c:v>
                </c:pt>
                <c:pt idx="160">
                  <c:v>1470.8054757541472</c:v>
                </c:pt>
                <c:pt idx="161">
                  <c:v>1471.6011169510202</c:v>
                </c:pt>
                <c:pt idx="162">
                  <c:v>1472.3967581478933</c:v>
                </c:pt>
                <c:pt idx="163">
                  <c:v>1473.1923993447667</c:v>
                </c:pt>
                <c:pt idx="164">
                  <c:v>1473.9880405416397</c:v>
                </c:pt>
                <c:pt idx="165">
                  <c:v>1474.7836817385128</c:v>
                </c:pt>
                <c:pt idx="166">
                  <c:v>1475.5793229353862</c:v>
                </c:pt>
                <c:pt idx="167">
                  <c:v>1476.3749641322593</c:v>
                </c:pt>
                <c:pt idx="168">
                  <c:v>1477.1706053291323</c:v>
                </c:pt>
                <c:pt idx="169">
                  <c:v>1477.9662465260058</c:v>
                </c:pt>
                <c:pt idx="170">
                  <c:v>1478.7618877228788</c:v>
                </c:pt>
                <c:pt idx="171">
                  <c:v>1479.5575289197518</c:v>
                </c:pt>
                <c:pt idx="172">
                  <c:v>1480.3531701166253</c:v>
                </c:pt>
                <c:pt idx="173">
                  <c:v>1481.1488113134983</c:v>
                </c:pt>
                <c:pt idx="174">
                  <c:v>1481.9444525103713</c:v>
                </c:pt>
                <c:pt idx="175">
                  <c:v>1482.7400937072448</c:v>
                </c:pt>
                <c:pt idx="176">
                  <c:v>1483.5357349041178</c:v>
                </c:pt>
                <c:pt idx="177">
                  <c:v>1484.3313761009908</c:v>
                </c:pt>
                <c:pt idx="178">
                  <c:v>1485.1270172978643</c:v>
                </c:pt>
                <c:pt idx="179">
                  <c:v>1485.9226584947373</c:v>
                </c:pt>
                <c:pt idx="180">
                  <c:v>1486.7182996916104</c:v>
                </c:pt>
                <c:pt idx="181">
                  <c:v>1487.5139408884838</c:v>
                </c:pt>
                <c:pt idx="182">
                  <c:v>1488.3095820853569</c:v>
                </c:pt>
                <c:pt idx="183">
                  <c:v>1489.1052232822299</c:v>
                </c:pt>
                <c:pt idx="184">
                  <c:v>1489.9008644791033</c:v>
                </c:pt>
                <c:pt idx="185">
                  <c:v>1490.6965056759764</c:v>
                </c:pt>
                <c:pt idx="186">
                  <c:v>1491.4921468728494</c:v>
                </c:pt>
                <c:pt idx="187">
                  <c:v>1492.2877880697229</c:v>
                </c:pt>
                <c:pt idx="188">
                  <c:v>1493.0834292665959</c:v>
                </c:pt>
                <c:pt idx="189">
                  <c:v>1493.8790704634689</c:v>
                </c:pt>
                <c:pt idx="190">
                  <c:v>1494.6747116603424</c:v>
                </c:pt>
                <c:pt idx="191">
                  <c:v>1495.4703528572154</c:v>
                </c:pt>
                <c:pt idx="192">
                  <c:v>1496.2659940540884</c:v>
                </c:pt>
                <c:pt idx="193">
                  <c:v>1497.0616352509619</c:v>
                </c:pt>
                <c:pt idx="194">
                  <c:v>1497.8572764478349</c:v>
                </c:pt>
                <c:pt idx="195">
                  <c:v>1498.6529176447079</c:v>
                </c:pt>
                <c:pt idx="196">
                  <c:v>1499.4485588415814</c:v>
                </c:pt>
                <c:pt idx="197">
                  <c:v>1500.2442000384544</c:v>
                </c:pt>
                <c:pt idx="198">
                  <c:v>1501.0398412353275</c:v>
                </c:pt>
                <c:pt idx="199">
                  <c:v>1501.8354824322009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1343.5028842544405</c:v>
                </c:pt>
                <c:pt idx="1">
                  <c:v>1344.2985254513137</c:v>
                </c:pt>
                <c:pt idx="2">
                  <c:v>1345.0941666481867</c:v>
                </c:pt>
                <c:pt idx="3">
                  <c:v>1345.88980784506</c:v>
                </c:pt>
                <c:pt idx="4">
                  <c:v>1346.6854490419332</c:v>
                </c:pt>
                <c:pt idx="5">
                  <c:v>1347.4810902388062</c:v>
                </c:pt>
                <c:pt idx="6">
                  <c:v>1348.2767314356795</c:v>
                </c:pt>
                <c:pt idx="7">
                  <c:v>1349.0723726325527</c:v>
                </c:pt>
                <c:pt idx="8">
                  <c:v>1349.8680138294258</c:v>
                </c:pt>
                <c:pt idx="9">
                  <c:v>1350.663655026299</c:v>
                </c:pt>
                <c:pt idx="10">
                  <c:v>1351.4592962231723</c:v>
                </c:pt>
                <c:pt idx="11">
                  <c:v>1352.2549374200453</c:v>
                </c:pt>
                <c:pt idx="12">
                  <c:v>1353.0505786169185</c:v>
                </c:pt>
                <c:pt idx="13">
                  <c:v>1353.8462198137915</c:v>
                </c:pt>
                <c:pt idx="14">
                  <c:v>1354.6418610106648</c:v>
                </c:pt>
                <c:pt idx="15">
                  <c:v>1355.437502207538</c:v>
                </c:pt>
                <c:pt idx="16">
                  <c:v>1356.2331434044111</c:v>
                </c:pt>
                <c:pt idx="17">
                  <c:v>1357.0287846012843</c:v>
                </c:pt>
                <c:pt idx="18">
                  <c:v>1357.8244257981576</c:v>
                </c:pt>
                <c:pt idx="19">
                  <c:v>1358.6200669950306</c:v>
                </c:pt>
                <c:pt idx="20">
                  <c:v>1359.4157081919038</c:v>
                </c:pt>
                <c:pt idx="21">
                  <c:v>1360.2113493887771</c:v>
                </c:pt>
                <c:pt idx="22">
                  <c:v>1361.0069905856501</c:v>
                </c:pt>
                <c:pt idx="23">
                  <c:v>1361.8026317825233</c:v>
                </c:pt>
                <c:pt idx="24">
                  <c:v>1362.5982729793966</c:v>
                </c:pt>
                <c:pt idx="25">
                  <c:v>1363.3939141762696</c:v>
                </c:pt>
                <c:pt idx="26">
                  <c:v>1364.1895553731429</c:v>
                </c:pt>
                <c:pt idx="27">
                  <c:v>1364.9851965700161</c:v>
                </c:pt>
                <c:pt idx="28">
                  <c:v>1365.7808377668891</c:v>
                </c:pt>
                <c:pt idx="29">
                  <c:v>1366.5764789637624</c:v>
                </c:pt>
                <c:pt idx="30">
                  <c:v>1367.3721201606356</c:v>
                </c:pt>
                <c:pt idx="31">
                  <c:v>1368.1677613575087</c:v>
                </c:pt>
                <c:pt idx="32">
                  <c:v>1368.9634025543819</c:v>
                </c:pt>
                <c:pt idx="33">
                  <c:v>1369.7590437512549</c:v>
                </c:pt>
                <c:pt idx="34">
                  <c:v>1370.5546849481282</c:v>
                </c:pt>
                <c:pt idx="35">
                  <c:v>1371.3503261450014</c:v>
                </c:pt>
                <c:pt idx="36">
                  <c:v>1372.1459673418744</c:v>
                </c:pt>
                <c:pt idx="37">
                  <c:v>1372.9416085387477</c:v>
                </c:pt>
                <c:pt idx="38">
                  <c:v>1373.7372497356209</c:v>
                </c:pt>
                <c:pt idx="39">
                  <c:v>1374.532890932494</c:v>
                </c:pt>
                <c:pt idx="40">
                  <c:v>1375.3285321293672</c:v>
                </c:pt>
                <c:pt idx="41">
                  <c:v>1376.1241733262405</c:v>
                </c:pt>
                <c:pt idx="42">
                  <c:v>1376.9198145231135</c:v>
                </c:pt>
                <c:pt idx="43">
                  <c:v>1377.7154557199867</c:v>
                </c:pt>
                <c:pt idx="44">
                  <c:v>1378.51109691686</c:v>
                </c:pt>
                <c:pt idx="45">
                  <c:v>1379.306738113733</c:v>
                </c:pt>
                <c:pt idx="46">
                  <c:v>1380.1023793106062</c:v>
                </c:pt>
                <c:pt idx="47">
                  <c:v>1380.8980205074795</c:v>
                </c:pt>
                <c:pt idx="48">
                  <c:v>1381.6936617043525</c:v>
                </c:pt>
                <c:pt idx="49">
                  <c:v>1382.4893029012258</c:v>
                </c:pt>
                <c:pt idx="50">
                  <c:v>1383.284944098099</c:v>
                </c:pt>
                <c:pt idx="51">
                  <c:v>1384.080585294972</c:v>
                </c:pt>
                <c:pt idx="52">
                  <c:v>1384.8762264918453</c:v>
                </c:pt>
                <c:pt idx="53">
                  <c:v>1385.6718676887183</c:v>
                </c:pt>
                <c:pt idx="54">
                  <c:v>1386.4675088855915</c:v>
                </c:pt>
                <c:pt idx="55">
                  <c:v>1387.2631500824648</c:v>
                </c:pt>
                <c:pt idx="56">
                  <c:v>1388.0587912793378</c:v>
                </c:pt>
                <c:pt idx="57">
                  <c:v>1388.8544324762111</c:v>
                </c:pt>
                <c:pt idx="58">
                  <c:v>1389.6500736730843</c:v>
                </c:pt>
                <c:pt idx="59">
                  <c:v>1390.4457148699573</c:v>
                </c:pt>
                <c:pt idx="60">
                  <c:v>1391.2413560668306</c:v>
                </c:pt>
                <c:pt idx="61">
                  <c:v>1392.0369972637038</c:v>
                </c:pt>
                <c:pt idx="62">
                  <c:v>1392.8326384605768</c:v>
                </c:pt>
                <c:pt idx="63">
                  <c:v>1393.6282796574501</c:v>
                </c:pt>
                <c:pt idx="64">
                  <c:v>1394.4239208543233</c:v>
                </c:pt>
                <c:pt idx="65">
                  <c:v>1395.2195620511964</c:v>
                </c:pt>
                <c:pt idx="66">
                  <c:v>1396.0152032480696</c:v>
                </c:pt>
                <c:pt idx="67">
                  <c:v>1396.8108444449429</c:v>
                </c:pt>
                <c:pt idx="68">
                  <c:v>1397.6064856418159</c:v>
                </c:pt>
                <c:pt idx="69">
                  <c:v>1398.4021268386891</c:v>
                </c:pt>
                <c:pt idx="70">
                  <c:v>1399.1977680355624</c:v>
                </c:pt>
                <c:pt idx="71">
                  <c:v>1399.9934092324354</c:v>
                </c:pt>
                <c:pt idx="72">
                  <c:v>1400.7890504293086</c:v>
                </c:pt>
                <c:pt idx="73">
                  <c:v>1401.5846916261819</c:v>
                </c:pt>
                <c:pt idx="74">
                  <c:v>1402.3803328230549</c:v>
                </c:pt>
                <c:pt idx="75">
                  <c:v>1403.1759740199282</c:v>
                </c:pt>
                <c:pt idx="76">
                  <c:v>1403.9716152168012</c:v>
                </c:pt>
                <c:pt idx="77">
                  <c:v>1404.7672564136744</c:v>
                </c:pt>
                <c:pt idx="78">
                  <c:v>1405.5628976105477</c:v>
                </c:pt>
                <c:pt idx="79">
                  <c:v>1406.3585388074207</c:v>
                </c:pt>
                <c:pt idx="80">
                  <c:v>1407.1541800042939</c:v>
                </c:pt>
                <c:pt idx="81">
                  <c:v>1407.9498212011672</c:v>
                </c:pt>
                <c:pt idx="82">
                  <c:v>1408.7454623980402</c:v>
                </c:pt>
                <c:pt idx="83">
                  <c:v>1409.5411035949135</c:v>
                </c:pt>
                <c:pt idx="84">
                  <c:v>1410.3367447917867</c:v>
                </c:pt>
                <c:pt idx="85">
                  <c:v>1411.1323859886597</c:v>
                </c:pt>
                <c:pt idx="86">
                  <c:v>1411.928027185533</c:v>
                </c:pt>
                <c:pt idx="87">
                  <c:v>1412.7236683824062</c:v>
                </c:pt>
                <c:pt idx="88">
                  <c:v>1413.5193095792793</c:v>
                </c:pt>
                <c:pt idx="89">
                  <c:v>1414.3149507761525</c:v>
                </c:pt>
                <c:pt idx="90">
                  <c:v>1415.1105919730257</c:v>
                </c:pt>
                <c:pt idx="91">
                  <c:v>1415.9062331698988</c:v>
                </c:pt>
                <c:pt idx="92">
                  <c:v>1416.701874366772</c:v>
                </c:pt>
                <c:pt idx="93">
                  <c:v>1417.4975155636453</c:v>
                </c:pt>
                <c:pt idx="94">
                  <c:v>1418.2931567605183</c:v>
                </c:pt>
                <c:pt idx="95">
                  <c:v>1419.0887979573915</c:v>
                </c:pt>
                <c:pt idx="96">
                  <c:v>1419.8844391542646</c:v>
                </c:pt>
                <c:pt idx="97">
                  <c:v>1420.6800803511378</c:v>
                </c:pt>
                <c:pt idx="98">
                  <c:v>1421.4757215480111</c:v>
                </c:pt>
                <c:pt idx="99">
                  <c:v>1422.2713627448841</c:v>
                </c:pt>
                <c:pt idx="100">
                  <c:v>1423.0670039417573</c:v>
                </c:pt>
                <c:pt idx="101">
                  <c:v>1423.8626451386306</c:v>
                </c:pt>
                <c:pt idx="102">
                  <c:v>1424.6582863355036</c:v>
                </c:pt>
                <c:pt idx="103">
                  <c:v>1425.4539275323768</c:v>
                </c:pt>
                <c:pt idx="104">
                  <c:v>1426.2495687292501</c:v>
                </c:pt>
                <c:pt idx="105">
                  <c:v>1427.0452099261231</c:v>
                </c:pt>
                <c:pt idx="106">
                  <c:v>1427.8408511229964</c:v>
                </c:pt>
                <c:pt idx="107">
                  <c:v>1428.6364923198696</c:v>
                </c:pt>
                <c:pt idx="108">
                  <c:v>1429.4321335167426</c:v>
                </c:pt>
                <c:pt idx="109">
                  <c:v>1430.2277747136159</c:v>
                </c:pt>
                <c:pt idx="110">
                  <c:v>1431.0234159104891</c:v>
                </c:pt>
                <c:pt idx="111">
                  <c:v>1431.8190571073621</c:v>
                </c:pt>
                <c:pt idx="112">
                  <c:v>1432.6146983042354</c:v>
                </c:pt>
                <c:pt idx="113">
                  <c:v>1433.4103395011086</c:v>
                </c:pt>
                <c:pt idx="114">
                  <c:v>1434.2059806979817</c:v>
                </c:pt>
                <c:pt idx="115">
                  <c:v>1435.0016218948549</c:v>
                </c:pt>
                <c:pt idx="116">
                  <c:v>1435.7972630917282</c:v>
                </c:pt>
                <c:pt idx="117">
                  <c:v>1436.5929042886012</c:v>
                </c:pt>
                <c:pt idx="118">
                  <c:v>1437.3885454854744</c:v>
                </c:pt>
                <c:pt idx="119">
                  <c:v>1438.1841866823474</c:v>
                </c:pt>
                <c:pt idx="120">
                  <c:v>1438.9798278792207</c:v>
                </c:pt>
                <c:pt idx="121">
                  <c:v>1439.7754690760939</c:v>
                </c:pt>
                <c:pt idx="122">
                  <c:v>1440.571110272967</c:v>
                </c:pt>
                <c:pt idx="123">
                  <c:v>1441.3667514698402</c:v>
                </c:pt>
                <c:pt idx="124">
                  <c:v>1442.1623926667135</c:v>
                </c:pt>
                <c:pt idx="125">
                  <c:v>1442.9580338635865</c:v>
                </c:pt>
                <c:pt idx="126">
                  <c:v>1443.7536750604597</c:v>
                </c:pt>
                <c:pt idx="127">
                  <c:v>1444.549316257333</c:v>
                </c:pt>
                <c:pt idx="128">
                  <c:v>1445.344957454206</c:v>
                </c:pt>
                <c:pt idx="129">
                  <c:v>1446.1405986510792</c:v>
                </c:pt>
                <c:pt idx="130">
                  <c:v>1446.9362398479525</c:v>
                </c:pt>
                <c:pt idx="131">
                  <c:v>1447.7318810448255</c:v>
                </c:pt>
                <c:pt idx="132">
                  <c:v>1448.5275222416988</c:v>
                </c:pt>
                <c:pt idx="133">
                  <c:v>1449.323163438572</c:v>
                </c:pt>
                <c:pt idx="134">
                  <c:v>1450.118804635445</c:v>
                </c:pt>
                <c:pt idx="135">
                  <c:v>1450.9144458323183</c:v>
                </c:pt>
                <c:pt idx="136">
                  <c:v>1451.7100870291913</c:v>
                </c:pt>
                <c:pt idx="137">
                  <c:v>1452.5057282260645</c:v>
                </c:pt>
                <c:pt idx="138">
                  <c:v>1453.3013694229378</c:v>
                </c:pt>
                <c:pt idx="139">
                  <c:v>1454.0970106198108</c:v>
                </c:pt>
                <c:pt idx="140">
                  <c:v>1454.8926518166841</c:v>
                </c:pt>
                <c:pt idx="141">
                  <c:v>1455.6882930135573</c:v>
                </c:pt>
                <c:pt idx="142">
                  <c:v>1456.4839342104303</c:v>
                </c:pt>
                <c:pt idx="143">
                  <c:v>1457.2795754073036</c:v>
                </c:pt>
                <c:pt idx="144">
                  <c:v>1458.0752166041768</c:v>
                </c:pt>
                <c:pt idx="145">
                  <c:v>1458.8708578010499</c:v>
                </c:pt>
                <c:pt idx="146">
                  <c:v>1459.6664989979231</c:v>
                </c:pt>
                <c:pt idx="147">
                  <c:v>1460.4621401947963</c:v>
                </c:pt>
                <c:pt idx="148">
                  <c:v>1461.2577813916694</c:v>
                </c:pt>
                <c:pt idx="149">
                  <c:v>1462.0534225885426</c:v>
                </c:pt>
                <c:pt idx="150">
                  <c:v>1462.8490637854159</c:v>
                </c:pt>
                <c:pt idx="151">
                  <c:v>1463.6447049822889</c:v>
                </c:pt>
                <c:pt idx="152">
                  <c:v>1464.4403461791621</c:v>
                </c:pt>
                <c:pt idx="153">
                  <c:v>1465.2359873760354</c:v>
                </c:pt>
                <c:pt idx="154">
                  <c:v>1466.0316285729084</c:v>
                </c:pt>
                <c:pt idx="155">
                  <c:v>1466.8272697697817</c:v>
                </c:pt>
                <c:pt idx="156">
                  <c:v>1467.6229109666549</c:v>
                </c:pt>
                <c:pt idx="157">
                  <c:v>1468.4185521635279</c:v>
                </c:pt>
                <c:pt idx="158">
                  <c:v>1469.2141933604012</c:v>
                </c:pt>
                <c:pt idx="159">
                  <c:v>1470.0098345572744</c:v>
                </c:pt>
                <c:pt idx="160">
                  <c:v>1470.8054757541474</c:v>
                </c:pt>
                <c:pt idx="161">
                  <c:v>1471.6011169510207</c:v>
                </c:pt>
                <c:pt idx="162">
                  <c:v>1472.3967581478939</c:v>
                </c:pt>
                <c:pt idx="163">
                  <c:v>1473.192399344767</c:v>
                </c:pt>
                <c:pt idx="164">
                  <c:v>1473.9880405416402</c:v>
                </c:pt>
                <c:pt idx="165">
                  <c:v>1474.7836817385132</c:v>
                </c:pt>
                <c:pt idx="166">
                  <c:v>1475.5793229353865</c:v>
                </c:pt>
                <c:pt idx="167">
                  <c:v>1476.3749641322597</c:v>
                </c:pt>
                <c:pt idx="168">
                  <c:v>1477.1706053291327</c:v>
                </c:pt>
                <c:pt idx="169">
                  <c:v>1477.966246526006</c:v>
                </c:pt>
                <c:pt idx="170">
                  <c:v>1478.7618877228792</c:v>
                </c:pt>
                <c:pt idx="171">
                  <c:v>1479.5575289197523</c:v>
                </c:pt>
                <c:pt idx="172">
                  <c:v>1480.3531701166255</c:v>
                </c:pt>
                <c:pt idx="173">
                  <c:v>1481.1488113134988</c:v>
                </c:pt>
                <c:pt idx="174">
                  <c:v>1481.9444525103718</c:v>
                </c:pt>
                <c:pt idx="175">
                  <c:v>1482.740093707245</c:v>
                </c:pt>
                <c:pt idx="176">
                  <c:v>1483.535734904118</c:v>
                </c:pt>
                <c:pt idx="177">
                  <c:v>1484.3313761009913</c:v>
                </c:pt>
                <c:pt idx="178">
                  <c:v>1485.1270172978645</c:v>
                </c:pt>
                <c:pt idx="179">
                  <c:v>1485.9226584947376</c:v>
                </c:pt>
                <c:pt idx="180">
                  <c:v>1486.7182996916108</c:v>
                </c:pt>
                <c:pt idx="181">
                  <c:v>1487.5139408884841</c:v>
                </c:pt>
                <c:pt idx="182">
                  <c:v>1488.3095820853571</c:v>
                </c:pt>
                <c:pt idx="183">
                  <c:v>1489.1052232822303</c:v>
                </c:pt>
                <c:pt idx="184">
                  <c:v>1489.9008644791036</c:v>
                </c:pt>
                <c:pt idx="185">
                  <c:v>1490.6965056759766</c:v>
                </c:pt>
                <c:pt idx="186">
                  <c:v>1491.4921468728498</c:v>
                </c:pt>
                <c:pt idx="187">
                  <c:v>1492.2877880697231</c:v>
                </c:pt>
                <c:pt idx="188">
                  <c:v>1493.0834292665961</c:v>
                </c:pt>
                <c:pt idx="189">
                  <c:v>1493.8790704634694</c:v>
                </c:pt>
                <c:pt idx="190">
                  <c:v>1494.6747116603426</c:v>
                </c:pt>
                <c:pt idx="191">
                  <c:v>1495.4703528572156</c:v>
                </c:pt>
                <c:pt idx="192">
                  <c:v>1496.2659940540889</c:v>
                </c:pt>
                <c:pt idx="193">
                  <c:v>1497.0616352509621</c:v>
                </c:pt>
                <c:pt idx="194">
                  <c:v>1497.8572764478351</c:v>
                </c:pt>
                <c:pt idx="195">
                  <c:v>1498.6529176447084</c:v>
                </c:pt>
                <c:pt idx="196">
                  <c:v>1499.4485588415816</c:v>
                </c:pt>
                <c:pt idx="197">
                  <c:v>1500.2442000384547</c:v>
                </c:pt>
                <c:pt idx="198">
                  <c:v>1501.0398412353279</c:v>
                </c:pt>
                <c:pt idx="199">
                  <c:v>1501.8354824322012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0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308</xdr:row>
          <xdr:rowOff>123190</xdr:rowOff>
        </xdr:from>
        <xdr:to>
          <xdr:col>25</xdr:col>
          <xdr:colOff>226060</xdr:colOff>
          <xdr:row>362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08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89169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8"/>
  <sheetViews>
    <sheetView tabSelected="1" workbookViewId="0">
      <pane ySplit="9" topLeftCell="A358" activePane="bottomLeft" state="frozen"/>
      <selection pane="bottomLeft" activeCell="F365" sqref="F36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2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6</v>
      </c>
      <c r="R58" s="5">
        <f ca="1"/>
        <v>6</v>
      </c>
      <c r="S58" s="5">
        <f ca="1"/>
        <v>3</v>
      </c>
      <c r="T58" s="5">
        <f ca="1"/>
        <v>6</v>
      </c>
      <c r="U58" s="5">
        <f ca="1"/>
        <v>6</v>
      </c>
      <c r="V58" s="5">
        <f ca="1"/>
        <v>6</v>
      </c>
      <c r="W58" s="5">
        <f ca="1"/>
        <v>5</v>
      </c>
      <c r="X58" s="5">
        <f ca="1"/>
        <v>5</v>
      </c>
      <c r="Y58" s="5">
        <f ca="1"/>
        <v>6</v>
      </c>
      <c r="Z58">
        <f ca="1"/>
        <v>6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 s="16">
        <v>1</v>
      </c>
      <c r="M361">
        <f ca="1"/>
        <v>51</v>
      </c>
      <c r="N361">
        <v>10</v>
      </c>
    </row>
    <row r="362" spans="2:16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0</v>
      </c>
      <c r="J362" s="16">
        <v>0</v>
      </c>
      <c r="K362" s="16">
        <v>1</v>
      </c>
      <c r="L362" s="16">
        <v>1</v>
      </c>
      <c r="M362">
        <f ca="1"/>
        <v>51</v>
      </c>
      <c r="N362">
        <v>7</v>
      </c>
    </row>
    <row r="365" spans="2:16" x14ac:dyDescent="0.25">
      <c r="P365" t="s">
        <v>35</v>
      </c>
    </row>
    <row r="366" spans="2:16" x14ac:dyDescent="0.25">
      <c r="P366" t="s">
        <v>36</v>
      </c>
    </row>
    <row r="367" spans="2:16" x14ac:dyDescent="0.25">
      <c r="P367" t="s">
        <v>40</v>
      </c>
    </row>
    <row r="368" spans="2:16" x14ac:dyDescent="0.25">
      <c r="P36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8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62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1"/>
  <sheetViews>
    <sheetView topLeftCell="A4" workbookViewId="0">
      <pane ySplit="5" topLeftCell="A355" activePane="bottomLeft" state="frozen"/>
      <selection activeCell="A4" sqref="A4"/>
      <selection pane="bottomLeft" activeCell="AF8" sqref="AF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23" t="s">
        <v>162</v>
      </c>
      <c r="X8" s="18" t="s">
        <v>19</v>
      </c>
    </row>
    <row r="9" spans="4:26" ht="13.8" thickTop="1" x14ac:dyDescent="0.25">
      <c r="D9" t="str" cm="1">
        <f t="array" aca="1" ref="D9:D36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1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37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O216"/>
  <sheetViews>
    <sheetView zoomScale="115" zoomScaleNormal="115" workbookViewId="0">
      <selection activeCell="G5" sqref="G5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90</v>
      </c>
      <c r="D1" t="s">
        <v>137</v>
      </c>
    </row>
    <row r="2" spans="2:6" x14ac:dyDescent="0.25">
      <c r="B2" t="s">
        <v>134</v>
      </c>
      <c r="C2">
        <v>45</v>
      </c>
      <c r="D2" t="s">
        <v>137</v>
      </c>
    </row>
    <row r="3" spans="2:6" x14ac:dyDescent="0.25">
      <c r="B3" t="s">
        <v>135</v>
      </c>
      <c r="C3">
        <v>2000</v>
      </c>
      <c r="D3" t="s">
        <v>140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</row>
    <row r="6" spans="2:6" x14ac:dyDescent="0.25">
      <c r="B6" t="s">
        <v>152</v>
      </c>
      <c r="C6">
        <v>0</v>
      </c>
      <c r="D6" t="s">
        <v>139</v>
      </c>
    </row>
    <row r="8" spans="2:6" x14ac:dyDescent="0.25">
      <c r="B8" t="s">
        <v>144</v>
      </c>
      <c r="C8" s="29">
        <f>_R*SIN(_B*PI()/180)</f>
        <v>1414.2135623730949</v>
      </c>
      <c r="D8" t="s">
        <v>140</v>
      </c>
      <c r="F8">
        <f>ATAN2(_xShip,_yShip)*180/PI()</f>
        <v>45.000000000000007</v>
      </c>
    </row>
    <row r="9" spans="2:6" x14ac:dyDescent="0.25">
      <c r="B9" t="s">
        <v>145</v>
      </c>
      <c r="C9" s="29">
        <f>_R*COS(_B*PI()/180)</f>
        <v>1414.2135623730951</v>
      </c>
      <c r="D9" t="s">
        <v>140</v>
      </c>
    </row>
    <row r="10" spans="2:6" x14ac:dyDescent="0.25">
      <c r="B10" t="s">
        <v>148</v>
      </c>
      <c r="C10">
        <f>(_B+_AOB)-90</f>
        <v>45</v>
      </c>
      <c r="D10" t="s">
        <v>149</v>
      </c>
    </row>
    <row r="11" spans="2:6" x14ac:dyDescent="0.25">
      <c r="B11" t="s">
        <v>147</v>
      </c>
      <c r="C11">
        <f>-SIN(PI()/180*_Theta)*_L</f>
        <v>-70.710678118654741</v>
      </c>
    </row>
    <row r="12" spans="2:6" x14ac:dyDescent="0.25">
      <c r="B12" t="s">
        <v>146</v>
      </c>
      <c r="C12">
        <f>-COS(PI()/180*C10)*_L</f>
        <v>-70.710678118654755</v>
      </c>
      <c r="F12">
        <f>ATAN(C11/C12)*180/PI()</f>
        <v>44.999999999999993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5" x14ac:dyDescent="0.25">
      <c r="B17" cm="1">
        <f t="array" ref="B17:B216">_xlfn.SEQUENCE(200,1,0,1)</f>
        <v>0</v>
      </c>
      <c r="C17">
        <f t="shared" ref="C17:C48" si="0">COS(PI()/180*_Theta)*_vyps*B17+_xShip+__xL</f>
        <v>1343.5028842544402</v>
      </c>
      <c r="D17">
        <f t="shared" ref="D17:D48" si="1">SIN(PI()/180*_Theta)*_vyps*B17+_yShip+_yL</f>
        <v>1343.5028842544405</v>
      </c>
      <c r="E17">
        <f t="shared" ref="E17:E48" si="2">B17*CONVERT(CONVERT(_vSub,"kn","m/sec"),"m","yd")</f>
        <v>0</v>
      </c>
      <c r="F17" s="30">
        <f>ATAN2(C17,D17-E17)*180/PI()</f>
        <v>45.000000000000007</v>
      </c>
    </row>
    <row r="18" spans="2:15" x14ac:dyDescent="0.25">
      <c r="B18">
        <v>1</v>
      </c>
      <c r="C18">
        <f t="shared" si="0"/>
        <v>1344.2985254513133</v>
      </c>
      <c r="D18">
        <f t="shared" si="1"/>
        <v>1344.2985254513137</v>
      </c>
      <c r="E18">
        <f t="shared" si="2"/>
        <v>0</v>
      </c>
      <c r="F18" s="30">
        <f t="shared" ref="F18:F81" si="3">ATAN2(C18,D18-E18)*180/PI()</f>
        <v>45.000000000000007</v>
      </c>
    </row>
    <row r="19" spans="2:15" x14ac:dyDescent="0.25">
      <c r="B19">
        <v>2</v>
      </c>
      <c r="C19">
        <f t="shared" si="0"/>
        <v>1345.0941666481863</v>
      </c>
      <c r="D19">
        <f t="shared" si="1"/>
        <v>1345.0941666481867</v>
      </c>
      <c r="E19">
        <f t="shared" si="2"/>
        <v>0</v>
      </c>
      <c r="F19" s="30">
        <f t="shared" si="3"/>
        <v>45.000000000000007</v>
      </c>
    </row>
    <row r="20" spans="2:15" x14ac:dyDescent="0.25">
      <c r="B20">
        <v>3</v>
      </c>
      <c r="C20">
        <f t="shared" si="0"/>
        <v>1345.8898078450597</v>
      </c>
      <c r="D20">
        <f t="shared" si="1"/>
        <v>1345.88980784506</v>
      </c>
      <c r="E20">
        <f t="shared" si="2"/>
        <v>0</v>
      </c>
      <c r="F20" s="30">
        <f t="shared" si="3"/>
        <v>45.000000000000007</v>
      </c>
      <c r="J20">
        <f>100/1.125</f>
        <v>88.888888888888886</v>
      </c>
      <c r="M20" t="s">
        <v>155</v>
      </c>
    </row>
    <row r="21" spans="2:15" x14ac:dyDescent="0.25">
      <c r="B21">
        <v>4</v>
      </c>
      <c r="C21">
        <f t="shared" si="0"/>
        <v>1346.6854490419328</v>
      </c>
      <c r="D21">
        <f t="shared" si="1"/>
        <v>1346.6854490419332</v>
      </c>
      <c r="E21">
        <f t="shared" si="2"/>
        <v>0</v>
      </c>
      <c r="F21" s="30">
        <f t="shared" si="3"/>
        <v>45.000000000000007</v>
      </c>
    </row>
    <row r="22" spans="2:15" x14ac:dyDescent="0.25">
      <c r="B22">
        <v>5</v>
      </c>
      <c r="C22">
        <f t="shared" si="0"/>
        <v>1347.4810902388058</v>
      </c>
      <c r="D22">
        <f t="shared" si="1"/>
        <v>1347.4810902388062</v>
      </c>
      <c r="E22">
        <f t="shared" si="2"/>
        <v>0</v>
      </c>
      <c r="F22" s="30">
        <f t="shared" si="3"/>
        <v>45.000000000000007</v>
      </c>
      <c r="J22" t="e" cm="1">
        <f t="array" ref="J22">_fInt(90-_B,F17:F216,_xlfn.ANCHORARRAY(B17))</f>
        <v>#N/A</v>
      </c>
      <c r="M22" t="e">
        <f>_L*SIN(_AOB*PI()/180)/J22</f>
        <v>#N/A</v>
      </c>
      <c r="N22" t="s">
        <v>156</v>
      </c>
    </row>
    <row r="23" spans="2:15" x14ac:dyDescent="0.25">
      <c r="B23">
        <v>6</v>
      </c>
      <c r="C23">
        <f t="shared" si="0"/>
        <v>1348.2767314356793</v>
      </c>
      <c r="D23">
        <f t="shared" si="1"/>
        <v>1348.2767314356795</v>
      </c>
      <c r="E23">
        <f t="shared" si="2"/>
        <v>0</v>
      </c>
      <c r="F23" s="30">
        <f t="shared" si="3"/>
        <v>45.000000000000007</v>
      </c>
      <c r="M23" t="e">
        <f>M22*1.777</f>
        <v>#N/A</v>
      </c>
      <c r="N23" t="s">
        <v>139</v>
      </c>
      <c r="O23" t="s">
        <v>157</v>
      </c>
    </row>
    <row r="24" spans="2:15" x14ac:dyDescent="0.25">
      <c r="B24">
        <v>7</v>
      </c>
      <c r="C24">
        <f t="shared" si="0"/>
        <v>1349.0723726325523</v>
      </c>
      <c r="D24">
        <f t="shared" si="1"/>
        <v>1349.0723726325527</v>
      </c>
      <c r="E24">
        <f t="shared" si="2"/>
        <v>0</v>
      </c>
      <c r="F24" s="30">
        <f t="shared" si="3"/>
        <v>45.000000000000007</v>
      </c>
      <c r="M24" t="e">
        <f>M23/SIN(_AOB*PI()/180)</f>
        <v>#N/A</v>
      </c>
      <c r="N24" t="s">
        <v>139</v>
      </c>
      <c r="O24" t="s">
        <v>158</v>
      </c>
    </row>
    <row r="25" spans="2:15" x14ac:dyDescent="0.25">
      <c r="B25">
        <v>8</v>
      </c>
      <c r="C25">
        <f t="shared" si="0"/>
        <v>1349.8680138294253</v>
      </c>
      <c r="D25">
        <f t="shared" si="1"/>
        <v>1349.8680138294258</v>
      </c>
      <c r="E25">
        <f t="shared" si="2"/>
        <v>0</v>
      </c>
      <c r="F25" s="30">
        <f t="shared" si="3"/>
        <v>45.000000000000007</v>
      </c>
    </row>
    <row r="26" spans="2:15" x14ac:dyDescent="0.25">
      <c r="B26">
        <v>9</v>
      </c>
      <c r="C26">
        <f t="shared" si="0"/>
        <v>1350.6636550262988</v>
      </c>
      <c r="D26">
        <f t="shared" si="1"/>
        <v>1350.663655026299</v>
      </c>
      <c r="E26">
        <f t="shared" si="2"/>
        <v>0</v>
      </c>
      <c r="F26" s="30">
        <f t="shared" si="3"/>
        <v>45.000000000000007</v>
      </c>
    </row>
    <row r="27" spans="2:15" x14ac:dyDescent="0.25">
      <c r="B27">
        <v>10</v>
      </c>
      <c r="C27">
        <f t="shared" si="0"/>
        <v>1351.4592962231718</v>
      </c>
      <c r="D27">
        <f t="shared" si="1"/>
        <v>1351.4592962231723</v>
      </c>
      <c r="E27">
        <f t="shared" si="2"/>
        <v>0</v>
      </c>
      <c r="F27" s="30">
        <f t="shared" si="3"/>
        <v>45.000000000000007</v>
      </c>
      <c r="M27" t="s">
        <v>159</v>
      </c>
    </row>
    <row r="28" spans="2:15" x14ac:dyDescent="0.25">
      <c r="B28">
        <v>11</v>
      </c>
      <c r="C28">
        <f t="shared" si="0"/>
        <v>1352.2549374200448</v>
      </c>
      <c r="D28">
        <f t="shared" si="1"/>
        <v>1352.2549374200453</v>
      </c>
      <c r="E28">
        <f t="shared" si="2"/>
        <v>0</v>
      </c>
      <c r="F28" s="30">
        <f t="shared" si="3"/>
        <v>45.000000000000007</v>
      </c>
      <c r="M28" t="s">
        <v>160</v>
      </c>
    </row>
    <row r="29" spans="2:15" x14ac:dyDescent="0.25">
      <c r="B29">
        <v>12</v>
      </c>
      <c r="C29">
        <f t="shared" si="0"/>
        <v>1353.0505786169183</v>
      </c>
      <c r="D29">
        <f t="shared" si="1"/>
        <v>1353.0505786169185</v>
      </c>
      <c r="E29">
        <f t="shared" si="2"/>
        <v>0</v>
      </c>
      <c r="F29" s="30">
        <f t="shared" si="3"/>
        <v>45.000000000000007</v>
      </c>
    </row>
    <row r="30" spans="2:15" x14ac:dyDescent="0.25">
      <c r="B30">
        <v>13</v>
      </c>
      <c r="C30">
        <f t="shared" si="0"/>
        <v>1353.8462198137913</v>
      </c>
      <c r="D30">
        <f t="shared" si="1"/>
        <v>1353.8462198137915</v>
      </c>
      <c r="E30">
        <f t="shared" si="2"/>
        <v>0</v>
      </c>
      <c r="F30" s="30">
        <f t="shared" si="3"/>
        <v>45.000000000000007</v>
      </c>
    </row>
    <row r="31" spans="2:15" x14ac:dyDescent="0.25">
      <c r="B31">
        <v>14</v>
      </c>
      <c r="C31">
        <f t="shared" si="0"/>
        <v>1354.6418610106643</v>
      </c>
      <c r="D31">
        <f t="shared" si="1"/>
        <v>1354.6418610106648</v>
      </c>
      <c r="E31">
        <f t="shared" si="2"/>
        <v>0</v>
      </c>
      <c r="F31" s="30">
        <f t="shared" si="3"/>
        <v>45.000000000000007</v>
      </c>
    </row>
    <row r="32" spans="2:15" x14ac:dyDescent="0.25">
      <c r="B32">
        <v>15</v>
      </c>
      <c r="C32">
        <f t="shared" si="0"/>
        <v>1355.4375022075378</v>
      </c>
      <c r="D32">
        <f t="shared" si="1"/>
        <v>1355.437502207538</v>
      </c>
      <c r="E32">
        <f t="shared" si="2"/>
        <v>0</v>
      </c>
      <c r="F32" s="30">
        <f t="shared" si="3"/>
        <v>45.000000000000007</v>
      </c>
    </row>
    <row r="33" spans="2:6" x14ac:dyDescent="0.25">
      <c r="B33">
        <v>16</v>
      </c>
      <c r="C33">
        <f t="shared" si="0"/>
        <v>1356.2331434044108</v>
      </c>
      <c r="D33">
        <f t="shared" si="1"/>
        <v>1356.2331434044111</v>
      </c>
      <c r="E33">
        <f t="shared" si="2"/>
        <v>0</v>
      </c>
      <c r="F33" s="30">
        <f t="shared" si="3"/>
        <v>45.000000000000007</v>
      </c>
    </row>
    <row r="34" spans="2:6" x14ac:dyDescent="0.25">
      <c r="B34">
        <v>17</v>
      </c>
      <c r="C34">
        <f t="shared" si="0"/>
        <v>1357.0287846012839</v>
      </c>
      <c r="D34">
        <f t="shared" si="1"/>
        <v>1357.0287846012843</v>
      </c>
      <c r="E34">
        <f t="shared" si="2"/>
        <v>0</v>
      </c>
      <c r="F34" s="30">
        <f t="shared" si="3"/>
        <v>45.000000000000007</v>
      </c>
    </row>
    <row r="35" spans="2:6" x14ac:dyDescent="0.25">
      <c r="B35">
        <v>18</v>
      </c>
      <c r="C35">
        <f t="shared" si="0"/>
        <v>1357.8244257981573</v>
      </c>
      <c r="D35">
        <f t="shared" si="1"/>
        <v>1357.8244257981576</v>
      </c>
      <c r="E35">
        <f t="shared" si="2"/>
        <v>0</v>
      </c>
      <c r="F35" s="30">
        <f t="shared" si="3"/>
        <v>45.000000000000007</v>
      </c>
    </row>
    <row r="36" spans="2:6" x14ac:dyDescent="0.25">
      <c r="B36">
        <v>19</v>
      </c>
      <c r="C36">
        <f t="shared" si="0"/>
        <v>1358.6200669950304</v>
      </c>
      <c r="D36">
        <f t="shared" si="1"/>
        <v>1358.6200669950306</v>
      </c>
      <c r="E36">
        <f t="shared" si="2"/>
        <v>0</v>
      </c>
      <c r="F36" s="30">
        <f t="shared" si="3"/>
        <v>45.000000000000007</v>
      </c>
    </row>
    <row r="37" spans="2:6" x14ac:dyDescent="0.25">
      <c r="B37">
        <v>20</v>
      </c>
      <c r="C37">
        <f t="shared" si="0"/>
        <v>1359.4157081919034</v>
      </c>
      <c r="D37">
        <f t="shared" si="1"/>
        <v>1359.4157081919038</v>
      </c>
      <c r="E37">
        <f t="shared" si="2"/>
        <v>0</v>
      </c>
      <c r="F37" s="30">
        <f t="shared" si="3"/>
        <v>45.000000000000007</v>
      </c>
    </row>
    <row r="38" spans="2:6" x14ac:dyDescent="0.25">
      <c r="B38">
        <v>21</v>
      </c>
      <c r="C38">
        <f t="shared" si="0"/>
        <v>1360.2113493887769</v>
      </c>
      <c r="D38">
        <f t="shared" si="1"/>
        <v>1360.2113493887771</v>
      </c>
      <c r="E38">
        <f t="shared" si="2"/>
        <v>0</v>
      </c>
      <c r="F38" s="30">
        <f t="shared" si="3"/>
        <v>45.000000000000007</v>
      </c>
    </row>
    <row r="39" spans="2:6" x14ac:dyDescent="0.25">
      <c r="B39">
        <v>22</v>
      </c>
      <c r="C39">
        <f t="shared" si="0"/>
        <v>1361.0069905856499</v>
      </c>
      <c r="D39">
        <f t="shared" si="1"/>
        <v>1361.0069905856501</v>
      </c>
      <c r="E39">
        <f t="shared" si="2"/>
        <v>0</v>
      </c>
      <c r="F39" s="30">
        <f t="shared" si="3"/>
        <v>45.000000000000007</v>
      </c>
    </row>
    <row r="40" spans="2:6" x14ac:dyDescent="0.25">
      <c r="B40">
        <v>23</v>
      </c>
      <c r="C40">
        <f t="shared" si="0"/>
        <v>1361.8026317825229</v>
      </c>
      <c r="D40">
        <f t="shared" si="1"/>
        <v>1361.8026317825233</v>
      </c>
      <c r="E40">
        <f t="shared" si="2"/>
        <v>0</v>
      </c>
      <c r="F40" s="30">
        <f t="shared" si="3"/>
        <v>45.000000000000007</v>
      </c>
    </row>
    <row r="41" spans="2:6" x14ac:dyDescent="0.25">
      <c r="B41">
        <v>24</v>
      </c>
      <c r="C41">
        <f t="shared" si="0"/>
        <v>1362.5982729793964</v>
      </c>
      <c r="D41">
        <f t="shared" si="1"/>
        <v>1362.5982729793966</v>
      </c>
      <c r="E41">
        <f t="shared" si="2"/>
        <v>0</v>
      </c>
      <c r="F41" s="30">
        <f t="shared" si="3"/>
        <v>45.000000000000007</v>
      </c>
    </row>
    <row r="42" spans="2:6" x14ac:dyDescent="0.25">
      <c r="B42">
        <v>25</v>
      </c>
      <c r="C42">
        <f t="shared" si="0"/>
        <v>1363.3939141762694</v>
      </c>
      <c r="D42">
        <f t="shared" si="1"/>
        <v>1363.3939141762696</v>
      </c>
      <c r="E42">
        <f t="shared" si="2"/>
        <v>0</v>
      </c>
      <c r="F42" s="30">
        <f t="shared" si="3"/>
        <v>45.000000000000007</v>
      </c>
    </row>
    <row r="43" spans="2:6" x14ac:dyDescent="0.25">
      <c r="B43">
        <v>26</v>
      </c>
      <c r="C43">
        <f t="shared" si="0"/>
        <v>1364.1895553731424</v>
      </c>
      <c r="D43">
        <f t="shared" si="1"/>
        <v>1364.1895553731429</v>
      </c>
      <c r="E43">
        <f t="shared" si="2"/>
        <v>0</v>
      </c>
      <c r="F43" s="30">
        <f t="shared" si="3"/>
        <v>45.000000000000007</v>
      </c>
    </row>
    <row r="44" spans="2:6" x14ac:dyDescent="0.25">
      <c r="B44">
        <v>27</v>
      </c>
      <c r="C44">
        <f t="shared" si="0"/>
        <v>1364.9851965700159</v>
      </c>
      <c r="D44">
        <f t="shared" si="1"/>
        <v>1364.9851965700161</v>
      </c>
      <c r="E44">
        <f t="shared" si="2"/>
        <v>0</v>
      </c>
      <c r="F44" s="30">
        <f t="shared" si="3"/>
        <v>45.000000000000007</v>
      </c>
    </row>
    <row r="45" spans="2:6" x14ac:dyDescent="0.25">
      <c r="B45">
        <v>28</v>
      </c>
      <c r="C45">
        <f t="shared" si="0"/>
        <v>1365.7808377668889</v>
      </c>
      <c r="D45">
        <f t="shared" si="1"/>
        <v>1365.7808377668891</v>
      </c>
      <c r="E45">
        <f t="shared" si="2"/>
        <v>0</v>
      </c>
      <c r="F45" s="30">
        <f t="shared" si="3"/>
        <v>45.000000000000007</v>
      </c>
    </row>
    <row r="46" spans="2:6" x14ac:dyDescent="0.25">
      <c r="B46">
        <v>29</v>
      </c>
      <c r="C46">
        <f t="shared" si="0"/>
        <v>1366.5764789637619</v>
      </c>
      <c r="D46">
        <f t="shared" si="1"/>
        <v>1366.5764789637624</v>
      </c>
      <c r="E46">
        <f t="shared" si="2"/>
        <v>0</v>
      </c>
      <c r="F46" s="30">
        <f t="shared" si="3"/>
        <v>45.000000000000007</v>
      </c>
    </row>
    <row r="47" spans="2:6" x14ac:dyDescent="0.25">
      <c r="B47">
        <v>30</v>
      </c>
      <c r="C47">
        <f t="shared" si="0"/>
        <v>1367.3721201606354</v>
      </c>
      <c r="D47">
        <f t="shared" si="1"/>
        <v>1367.3721201606356</v>
      </c>
      <c r="E47">
        <f t="shared" si="2"/>
        <v>0</v>
      </c>
      <c r="F47" s="30">
        <f t="shared" si="3"/>
        <v>45.000000000000007</v>
      </c>
    </row>
    <row r="48" spans="2:6" x14ac:dyDescent="0.25">
      <c r="B48">
        <v>31</v>
      </c>
      <c r="C48">
        <f t="shared" si="0"/>
        <v>1368.1677613575084</v>
      </c>
      <c r="D48">
        <f t="shared" si="1"/>
        <v>1368.1677613575087</v>
      </c>
      <c r="E48">
        <f t="shared" si="2"/>
        <v>0</v>
      </c>
      <c r="F48" s="30">
        <f t="shared" si="3"/>
        <v>45.000000000000007</v>
      </c>
    </row>
    <row r="49" spans="2:6" x14ac:dyDescent="0.25">
      <c r="B49">
        <v>32</v>
      </c>
      <c r="C49">
        <f t="shared" ref="C49:C80" si="4">COS(PI()/180*_Theta)*_vyps*B49+_xShip+__xL</f>
        <v>1368.9634025543814</v>
      </c>
      <c r="D49">
        <f t="shared" ref="D49:D80" si="5">SIN(PI()/180*_Theta)*_vyps*B49+_yShip+_yL</f>
        <v>1368.9634025543819</v>
      </c>
      <c r="E49">
        <f t="shared" ref="E49:E80" si="6">B49*CONVERT(CONVERT(_vSub,"kn","m/sec"),"m","yd")</f>
        <v>0</v>
      </c>
      <c r="F49" s="30">
        <f t="shared" si="3"/>
        <v>45.000000000000007</v>
      </c>
    </row>
    <row r="50" spans="2:6" x14ac:dyDescent="0.25">
      <c r="B50">
        <v>33</v>
      </c>
      <c r="C50">
        <f t="shared" si="4"/>
        <v>1369.7590437512545</v>
      </c>
      <c r="D50">
        <f t="shared" si="5"/>
        <v>1369.7590437512549</v>
      </c>
      <c r="E50">
        <f t="shared" si="6"/>
        <v>0</v>
      </c>
      <c r="F50" s="30">
        <f t="shared" si="3"/>
        <v>45.000000000000007</v>
      </c>
    </row>
    <row r="51" spans="2:6" x14ac:dyDescent="0.25">
      <c r="B51">
        <v>34</v>
      </c>
      <c r="C51">
        <f t="shared" si="4"/>
        <v>1370.5546849481279</v>
      </c>
      <c r="D51">
        <f t="shared" si="5"/>
        <v>1370.5546849481282</v>
      </c>
      <c r="E51">
        <f t="shared" si="6"/>
        <v>0</v>
      </c>
      <c r="F51" s="30">
        <f t="shared" si="3"/>
        <v>45.000000000000007</v>
      </c>
    </row>
    <row r="52" spans="2:6" x14ac:dyDescent="0.25">
      <c r="B52">
        <v>35</v>
      </c>
      <c r="C52">
        <f t="shared" si="4"/>
        <v>1371.350326145001</v>
      </c>
      <c r="D52">
        <f t="shared" si="5"/>
        <v>1371.3503261450014</v>
      </c>
      <c r="E52">
        <f t="shared" si="6"/>
        <v>0</v>
      </c>
      <c r="F52" s="30">
        <f t="shared" si="3"/>
        <v>45.000000000000007</v>
      </c>
    </row>
    <row r="53" spans="2:6" x14ac:dyDescent="0.25">
      <c r="B53">
        <v>36</v>
      </c>
      <c r="C53">
        <f t="shared" si="4"/>
        <v>1372.145967341874</v>
      </c>
      <c r="D53">
        <f t="shared" si="5"/>
        <v>1372.1459673418744</v>
      </c>
      <c r="E53">
        <f t="shared" si="6"/>
        <v>0</v>
      </c>
      <c r="F53" s="30">
        <f t="shared" si="3"/>
        <v>45.000000000000007</v>
      </c>
    </row>
    <row r="54" spans="2:6" x14ac:dyDescent="0.25">
      <c r="B54">
        <v>37</v>
      </c>
      <c r="C54">
        <f t="shared" si="4"/>
        <v>1372.9416085387475</v>
      </c>
      <c r="D54">
        <f t="shared" si="5"/>
        <v>1372.9416085387477</v>
      </c>
      <c r="E54">
        <f t="shared" si="6"/>
        <v>0</v>
      </c>
      <c r="F54" s="30">
        <f t="shared" si="3"/>
        <v>45.000000000000007</v>
      </c>
    </row>
    <row r="55" spans="2:6" x14ac:dyDescent="0.25">
      <c r="B55">
        <v>38</v>
      </c>
      <c r="C55">
        <f t="shared" si="4"/>
        <v>1373.7372497356205</v>
      </c>
      <c r="D55">
        <f t="shared" si="5"/>
        <v>1373.7372497356209</v>
      </c>
      <c r="E55">
        <f t="shared" si="6"/>
        <v>0</v>
      </c>
      <c r="F55" s="30">
        <f t="shared" si="3"/>
        <v>45.000000000000007</v>
      </c>
    </row>
    <row r="56" spans="2:6" x14ac:dyDescent="0.25">
      <c r="B56">
        <v>39</v>
      </c>
      <c r="C56">
        <f t="shared" si="4"/>
        <v>1374.5328909324935</v>
      </c>
      <c r="D56">
        <f t="shared" si="5"/>
        <v>1374.532890932494</v>
      </c>
      <c r="E56">
        <f t="shared" si="6"/>
        <v>0</v>
      </c>
      <c r="F56" s="30">
        <f t="shared" si="3"/>
        <v>45.000000000000007</v>
      </c>
    </row>
    <row r="57" spans="2:6" x14ac:dyDescent="0.25">
      <c r="B57">
        <v>40</v>
      </c>
      <c r="C57">
        <f t="shared" si="4"/>
        <v>1375.328532129367</v>
      </c>
      <c r="D57">
        <f t="shared" si="5"/>
        <v>1375.3285321293672</v>
      </c>
      <c r="E57">
        <f t="shared" si="6"/>
        <v>0</v>
      </c>
      <c r="F57" s="30">
        <f t="shared" si="3"/>
        <v>45.000000000000007</v>
      </c>
    </row>
    <row r="58" spans="2:6" x14ac:dyDescent="0.25">
      <c r="B58">
        <v>41</v>
      </c>
      <c r="C58">
        <f t="shared" si="4"/>
        <v>1376.12417332624</v>
      </c>
      <c r="D58">
        <f t="shared" si="5"/>
        <v>1376.1241733262405</v>
      </c>
      <c r="E58">
        <f t="shared" si="6"/>
        <v>0</v>
      </c>
      <c r="F58" s="30">
        <f t="shared" si="3"/>
        <v>45.000000000000007</v>
      </c>
    </row>
    <row r="59" spans="2:6" x14ac:dyDescent="0.25">
      <c r="B59">
        <v>42</v>
      </c>
      <c r="C59">
        <f t="shared" si="4"/>
        <v>1376.919814523113</v>
      </c>
      <c r="D59">
        <f t="shared" si="5"/>
        <v>1376.9198145231135</v>
      </c>
      <c r="E59">
        <f t="shared" si="6"/>
        <v>0</v>
      </c>
      <c r="F59" s="30">
        <f t="shared" si="3"/>
        <v>45.000000000000007</v>
      </c>
    </row>
    <row r="60" spans="2:6" x14ac:dyDescent="0.25">
      <c r="B60">
        <v>43</v>
      </c>
      <c r="C60">
        <f t="shared" si="4"/>
        <v>1377.7154557199865</v>
      </c>
      <c r="D60">
        <f t="shared" si="5"/>
        <v>1377.7154557199867</v>
      </c>
      <c r="E60">
        <f t="shared" si="6"/>
        <v>0</v>
      </c>
      <c r="F60" s="30">
        <f t="shared" si="3"/>
        <v>45.000000000000007</v>
      </c>
    </row>
    <row r="61" spans="2:6" x14ac:dyDescent="0.25">
      <c r="B61">
        <v>44</v>
      </c>
      <c r="C61">
        <f t="shared" si="4"/>
        <v>1378.5110969168595</v>
      </c>
      <c r="D61">
        <f t="shared" si="5"/>
        <v>1378.51109691686</v>
      </c>
      <c r="E61">
        <f t="shared" si="6"/>
        <v>0</v>
      </c>
      <c r="F61" s="30">
        <f t="shared" si="3"/>
        <v>45.000000000000007</v>
      </c>
    </row>
    <row r="62" spans="2:6" x14ac:dyDescent="0.25">
      <c r="B62">
        <v>45</v>
      </c>
      <c r="C62">
        <f t="shared" si="4"/>
        <v>1379.3067381137325</v>
      </c>
      <c r="D62">
        <f t="shared" si="5"/>
        <v>1379.306738113733</v>
      </c>
      <c r="E62">
        <f t="shared" si="6"/>
        <v>0</v>
      </c>
      <c r="F62" s="30">
        <f t="shared" si="3"/>
        <v>45.000000000000007</v>
      </c>
    </row>
    <row r="63" spans="2:6" x14ac:dyDescent="0.25">
      <c r="B63">
        <v>46</v>
      </c>
      <c r="C63">
        <f t="shared" si="4"/>
        <v>1380.102379310606</v>
      </c>
      <c r="D63">
        <f t="shared" si="5"/>
        <v>1380.1023793106062</v>
      </c>
      <c r="E63">
        <f t="shared" si="6"/>
        <v>0</v>
      </c>
      <c r="F63" s="30">
        <f t="shared" si="3"/>
        <v>45.000000000000007</v>
      </c>
    </row>
    <row r="64" spans="2:6" x14ac:dyDescent="0.25">
      <c r="B64">
        <v>47</v>
      </c>
      <c r="C64">
        <f t="shared" si="4"/>
        <v>1380.898020507479</v>
      </c>
      <c r="D64">
        <f t="shared" si="5"/>
        <v>1380.8980205074795</v>
      </c>
      <c r="E64">
        <f t="shared" si="6"/>
        <v>0</v>
      </c>
      <c r="F64" s="30">
        <f t="shared" si="3"/>
        <v>45.000000000000007</v>
      </c>
    </row>
    <row r="65" spans="2:6" x14ac:dyDescent="0.25">
      <c r="B65">
        <v>48</v>
      </c>
      <c r="C65">
        <f t="shared" si="4"/>
        <v>1381.6936617043521</v>
      </c>
      <c r="D65">
        <f t="shared" si="5"/>
        <v>1381.6936617043525</v>
      </c>
      <c r="E65">
        <f t="shared" si="6"/>
        <v>0</v>
      </c>
      <c r="F65" s="30">
        <f t="shared" si="3"/>
        <v>45.000000000000007</v>
      </c>
    </row>
    <row r="66" spans="2:6" x14ac:dyDescent="0.25">
      <c r="B66">
        <v>49</v>
      </c>
      <c r="C66">
        <f t="shared" si="4"/>
        <v>1382.4893029012255</v>
      </c>
      <c r="D66">
        <f t="shared" si="5"/>
        <v>1382.4893029012258</v>
      </c>
      <c r="E66">
        <f t="shared" si="6"/>
        <v>0</v>
      </c>
      <c r="F66" s="30">
        <f t="shared" si="3"/>
        <v>45.000000000000007</v>
      </c>
    </row>
    <row r="67" spans="2:6" x14ac:dyDescent="0.25">
      <c r="B67">
        <v>50</v>
      </c>
      <c r="C67">
        <f t="shared" si="4"/>
        <v>1383.2849440980985</v>
      </c>
      <c r="D67">
        <f t="shared" si="5"/>
        <v>1383.284944098099</v>
      </c>
      <c r="E67">
        <f t="shared" si="6"/>
        <v>0</v>
      </c>
      <c r="F67" s="30">
        <f t="shared" si="3"/>
        <v>45.000000000000007</v>
      </c>
    </row>
    <row r="68" spans="2:6" x14ac:dyDescent="0.25">
      <c r="B68">
        <v>51</v>
      </c>
      <c r="C68">
        <f t="shared" si="4"/>
        <v>1384.0805852949716</v>
      </c>
      <c r="D68">
        <f t="shared" si="5"/>
        <v>1384.080585294972</v>
      </c>
      <c r="E68">
        <f t="shared" si="6"/>
        <v>0</v>
      </c>
      <c r="F68" s="30">
        <f t="shared" si="3"/>
        <v>45.000000000000007</v>
      </c>
    </row>
    <row r="69" spans="2:6" x14ac:dyDescent="0.25">
      <c r="B69">
        <v>52</v>
      </c>
      <c r="C69">
        <f t="shared" si="4"/>
        <v>1384.876226491845</v>
      </c>
      <c r="D69">
        <f t="shared" si="5"/>
        <v>1384.8762264918453</v>
      </c>
      <c r="E69">
        <f t="shared" si="6"/>
        <v>0</v>
      </c>
      <c r="F69" s="30">
        <f t="shared" si="3"/>
        <v>45.000000000000007</v>
      </c>
    </row>
    <row r="70" spans="2:6" x14ac:dyDescent="0.25">
      <c r="B70">
        <v>53</v>
      </c>
      <c r="C70">
        <f t="shared" si="4"/>
        <v>1385.6718676887181</v>
      </c>
      <c r="D70">
        <f t="shared" si="5"/>
        <v>1385.6718676887183</v>
      </c>
      <c r="E70">
        <f t="shared" si="6"/>
        <v>0</v>
      </c>
      <c r="F70" s="30">
        <f t="shared" si="3"/>
        <v>45.000000000000007</v>
      </c>
    </row>
    <row r="71" spans="2:6" x14ac:dyDescent="0.25">
      <c r="B71">
        <v>54</v>
      </c>
      <c r="C71">
        <f t="shared" si="4"/>
        <v>1386.4675088855911</v>
      </c>
      <c r="D71">
        <f t="shared" si="5"/>
        <v>1386.4675088855915</v>
      </c>
      <c r="E71">
        <f t="shared" si="6"/>
        <v>0</v>
      </c>
      <c r="F71" s="30">
        <f t="shared" si="3"/>
        <v>45.000000000000007</v>
      </c>
    </row>
    <row r="72" spans="2:6" x14ac:dyDescent="0.25">
      <c r="B72">
        <v>55</v>
      </c>
      <c r="C72">
        <f t="shared" si="4"/>
        <v>1387.2631500824646</v>
      </c>
      <c r="D72">
        <f t="shared" si="5"/>
        <v>1387.2631500824648</v>
      </c>
      <c r="E72">
        <f t="shared" si="6"/>
        <v>0</v>
      </c>
      <c r="F72" s="30">
        <f t="shared" si="3"/>
        <v>45.000000000000007</v>
      </c>
    </row>
    <row r="73" spans="2:6" x14ac:dyDescent="0.25">
      <c r="B73">
        <v>56</v>
      </c>
      <c r="C73">
        <f t="shared" si="4"/>
        <v>1388.0587912793376</v>
      </c>
      <c r="D73">
        <f t="shared" si="5"/>
        <v>1388.0587912793378</v>
      </c>
      <c r="E73">
        <f t="shared" si="6"/>
        <v>0</v>
      </c>
      <c r="F73" s="30">
        <f t="shared" si="3"/>
        <v>45.000000000000007</v>
      </c>
    </row>
    <row r="74" spans="2:6" x14ac:dyDescent="0.25">
      <c r="B74">
        <v>57</v>
      </c>
      <c r="C74">
        <f t="shared" si="4"/>
        <v>1388.8544324762106</v>
      </c>
      <c r="D74">
        <f t="shared" si="5"/>
        <v>1388.8544324762111</v>
      </c>
      <c r="E74">
        <f t="shared" si="6"/>
        <v>0</v>
      </c>
      <c r="F74" s="30">
        <f t="shared" si="3"/>
        <v>45.000000000000007</v>
      </c>
    </row>
    <row r="75" spans="2:6" x14ac:dyDescent="0.25">
      <c r="B75">
        <v>58</v>
      </c>
      <c r="C75">
        <f t="shared" si="4"/>
        <v>1389.6500736730841</v>
      </c>
      <c r="D75">
        <f t="shared" si="5"/>
        <v>1389.6500736730843</v>
      </c>
      <c r="E75">
        <f t="shared" si="6"/>
        <v>0</v>
      </c>
      <c r="F75" s="30">
        <f t="shared" si="3"/>
        <v>45.000000000000007</v>
      </c>
    </row>
    <row r="76" spans="2:6" x14ac:dyDescent="0.25">
      <c r="B76">
        <v>59</v>
      </c>
      <c r="C76">
        <f t="shared" si="4"/>
        <v>1390.4457148699571</v>
      </c>
      <c r="D76">
        <f t="shared" si="5"/>
        <v>1390.4457148699573</v>
      </c>
      <c r="E76">
        <f t="shared" si="6"/>
        <v>0</v>
      </c>
      <c r="F76" s="30">
        <f t="shared" si="3"/>
        <v>45.000000000000007</v>
      </c>
    </row>
    <row r="77" spans="2:6" x14ac:dyDescent="0.25">
      <c r="B77">
        <v>60</v>
      </c>
      <c r="C77">
        <f t="shared" si="4"/>
        <v>1391.2413560668301</v>
      </c>
      <c r="D77">
        <f t="shared" si="5"/>
        <v>1391.2413560668306</v>
      </c>
      <c r="E77">
        <f t="shared" si="6"/>
        <v>0</v>
      </c>
      <c r="F77" s="30">
        <f t="shared" si="3"/>
        <v>45.000000000000007</v>
      </c>
    </row>
    <row r="78" spans="2:6" x14ac:dyDescent="0.25">
      <c r="B78">
        <v>61</v>
      </c>
      <c r="C78">
        <f t="shared" si="4"/>
        <v>1392.0369972637036</v>
      </c>
      <c r="D78">
        <f t="shared" si="5"/>
        <v>1392.0369972637038</v>
      </c>
      <c r="E78">
        <f t="shared" si="6"/>
        <v>0</v>
      </c>
      <c r="F78" s="30">
        <f t="shared" si="3"/>
        <v>45.000000000000007</v>
      </c>
    </row>
    <row r="79" spans="2:6" x14ac:dyDescent="0.25">
      <c r="B79">
        <v>62</v>
      </c>
      <c r="C79">
        <f t="shared" si="4"/>
        <v>1392.8326384605766</v>
      </c>
      <c r="D79">
        <f t="shared" si="5"/>
        <v>1392.8326384605768</v>
      </c>
      <c r="E79">
        <f t="shared" si="6"/>
        <v>0</v>
      </c>
      <c r="F79" s="30">
        <f t="shared" si="3"/>
        <v>45.000000000000007</v>
      </c>
    </row>
    <row r="80" spans="2:6" x14ac:dyDescent="0.25">
      <c r="B80">
        <v>63</v>
      </c>
      <c r="C80">
        <f t="shared" si="4"/>
        <v>1393.6282796574496</v>
      </c>
      <c r="D80">
        <f t="shared" si="5"/>
        <v>1393.6282796574501</v>
      </c>
      <c r="E80">
        <f t="shared" si="6"/>
        <v>0</v>
      </c>
      <c r="F80" s="30">
        <f t="shared" si="3"/>
        <v>45.000000000000007</v>
      </c>
    </row>
    <row r="81" spans="2:6" x14ac:dyDescent="0.25">
      <c r="B81">
        <v>64</v>
      </c>
      <c r="C81">
        <f t="shared" ref="C81:C112" si="7">COS(PI()/180*_Theta)*_vyps*B81+_xShip+__xL</f>
        <v>1394.4239208543231</v>
      </c>
      <c r="D81">
        <f t="shared" ref="D81:D112" si="8">SIN(PI()/180*_Theta)*_vyps*B81+_yShip+_yL</f>
        <v>1394.4239208543233</v>
      </c>
      <c r="E81">
        <f t="shared" ref="E81:E112" si="9">B81*CONVERT(CONVERT(_vSub,"kn","m/sec"),"m","yd")</f>
        <v>0</v>
      </c>
      <c r="F81" s="30">
        <f t="shared" si="3"/>
        <v>45.000000000000007</v>
      </c>
    </row>
    <row r="82" spans="2:6" x14ac:dyDescent="0.25">
      <c r="B82">
        <v>65</v>
      </c>
      <c r="C82">
        <f t="shared" si="7"/>
        <v>1395.2195620511961</v>
      </c>
      <c r="D82">
        <f t="shared" si="8"/>
        <v>1395.2195620511964</v>
      </c>
      <c r="E82">
        <f t="shared" si="9"/>
        <v>0</v>
      </c>
      <c r="F82" s="30">
        <f t="shared" ref="F82:F145" si="10">ATAN2(C82,D82-E82)*180/PI()</f>
        <v>45.000000000000007</v>
      </c>
    </row>
    <row r="83" spans="2:6" x14ac:dyDescent="0.25">
      <c r="B83">
        <v>66</v>
      </c>
      <c r="C83">
        <f t="shared" si="7"/>
        <v>1396.0152032480692</v>
      </c>
      <c r="D83">
        <f t="shared" si="8"/>
        <v>1396.0152032480696</v>
      </c>
      <c r="E83">
        <f t="shared" si="9"/>
        <v>0</v>
      </c>
      <c r="F83" s="30">
        <f t="shared" si="10"/>
        <v>45.000000000000007</v>
      </c>
    </row>
    <row r="84" spans="2:6" x14ac:dyDescent="0.25">
      <c r="B84">
        <v>67</v>
      </c>
      <c r="C84">
        <f t="shared" si="7"/>
        <v>1396.8108444449426</v>
      </c>
      <c r="D84">
        <f t="shared" si="8"/>
        <v>1396.8108444449429</v>
      </c>
      <c r="E84">
        <f t="shared" si="9"/>
        <v>0</v>
      </c>
      <c r="F84" s="30">
        <f t="shared" si="10"/>
        <v>45.000000000000007</v>
      </c>
    </row>
    <row r="85" spans="2:6" x14ac:dyDescent="0.25">
      <c r="B85">
        <v>68</v>
      </c>
      <c r="C85">
        <f t="shared" si="7"/>
        <v>1397.6064856418157</v>
      </c>
      <c r="D85">
        <f t="shared" si="8"/>
        <v>1397.6064856418159</v>
      </c>
      <c r="E85">
        <f t="shared" si="9"/>
        <v>0</v>
      </c>
      <c r="F85" s="30">
        <f t="shared" si="10"/>
        <v>45.000000000000007</v>
      </c>
    </row>
    <row r="86" spans="2:6" x14ac:dyDescent="0.25">
      <c r="B86">
        <v>69</v>
      </c>
      <c r="C86">
        <f t="shared" si="7"/>
        <v>1398.4021268386887</v>
      </c>
      <c r="D86">
        <f t="shared" si="8"/>
        <v>1398.4021268386891</v>
      </c>
      <c r="E86">
        <f t="shared" si="9"/>
        <v>0</v>
      </c>
      <c r="F86" s="30">
        <f t="shared" si="10"/>
        <v>45.000000000000007</v>
      </c>
    </row>
    <row r="87" spans="2:6" x14ac:dyDescent="0.25">
      <c r="B87">
        <v>70</v>
      </c>
      <c r="C87">
        <f t="shared" si="7"/>
        <v>1399.1977680355621</v>
      </c>
      <c r="D87">
        <f t="shared" si="8"/>
        <v>1399.1977680355624</v>
      </c>
      <c r="E87">
        <f t="shared" si="9"/>
        <v>0</v>
      </c>
      <c r="F87" s="30">
        <f t="shared" si="10"/>
        <v>45.000000000000007</v>
      </c>
    </row>
    <row r="88" spans="2:6" x14ac:dyDescent="0.25">
      <c r="B88">
        <v>71</v>
      </c>
      <c r="C88">
        <f t="shared" si="7"/>
        <v>1399.9934092324352</v>
      </c>
      <c r="D88">
        <f t="shared" si="8"/>
        <v>1399.9934092324354</v>
      </c>
      <c r="E88">
        <f t="shared" si="9"/>
        <v>0</v>
      </c>
      <c r="F88" s="30">
        <f t="shared" si="10"/>
        <v>45.000000000000007</v>
      </c>
    </row>
    <row r="89" spans="2:6" x14ac:dyDescent="0.25">
      <c r="B89">
        <v>72</v>
      </c>
      <c r="C89">
        <f t="shared" si="7"/>
        <v>1400.7890504293082</v>
      </c>
      <c r="D89">
        <f t="shared" si="8"/>
        <v>1400.7890504293086</v>
      </c>
      <c r="E89">
        <f t="shared" si="9"/>
        <v>0</v>
      </c>
      <c r="F89" s="30">
        <f t="shared" si="10"/>
        <v>45.000000000000007</v>
      </c>
    </row>
    <row r="90" spans="2:6" x14ac:dyDescent="0.25">
      <c r="B90">
        <v>73</v>
      </c>
      <c r="C90">
        <f t="shared" si="7"/>
        <v>1401.5846916261817</v>
      </c>
      <c r="D90">
        <f t="shared" si="8"/>
        <v>1401.5846916261819</v>
      </c>
      <c r="E90">
        <f t="shared" si="9"/>
        <v>0</v>
      </c>
      <c r="F90" s="30">
        <f t="shared" si="10"/>
        <v>45.000000000000007</v>
      </c>
    </row>
    <row r="91" spans="2:6" x14ac:dyDescent="0.25">
      <c r="B91">
        <v>74</v>
      </c>
      <c r="C91">
        <f t="shared" si="7"/>
        <v>1402.3803328230547</v>
      </c>
      <c r="D91">
        <f t="shared" si="8"/>
        <v>1402.3803328230549</v>
      </c>
      <c r="E91">
        <f t="shared" si="9"/>
        <v>0</v>
      </c>
      <c r="F91" s="30">
        <f t="shared" si="10"/>
        <v>45.000000000000007</v>
      </c>
    </row>
    <row r="92" spans="2:6" x14ac:dyDescent="0.25">
      <c r="B92">
        <v>75</v>
      </c>
      <c r="C92">
        <f t="shared" si="7"/>
        <v>1403.1759740199277</v>
      </c>
      <c r="D92">
        <f t="shared" si="8"/>
        <v>1403.1759740199282</v>
      </c>
      <c r="E92">
        <f t="shared" si="9"/>
        <v>0</v>
      </c>
      <c r="F92" s="30">
        <f t="shared" si="10"/>
        <v>45.000000000000007</v>
      </c>
    </row>
    <row r="93" spans="2:6" x14ac:dyDescent="0.25">
      <c r="B93">
        <v>76</v>
      </c>
      <c r="C93">
        <f t="shared" si="7"/>
        <v>1403.9716152168007</v>
      </c>
      <c r="D93">
        <f t="shared" si="8"/>
        <v>1403.9716152168012</v>
      </c>
      <c r="E93">
        <f t="shared" si="9"/>
        <v>0</v>
      </c>
      <c r="F93" s="30">
        <f t="shared" si="10"/>
        <v>45.000000000000007</v>
      </c>
    </row>
    <row r="94" spans="2:6" x14ac:dyDescent="0.25">
      <c r="B94">
        <v>77</v>
      </c>
      <c r="C94">
        <f t="shared" si="7"/>
        <v>1404.7672564136742</v>
      </c>
      <c r="D94">
        <f t="shared" si="8"/>
        <v>1404.7672564136744</v>
      </c>
      <c r="E94">
        <f t="shared" si="9"/>
        <v>0</v>
      </c>
      <c r="F94" s="30">
        <f t="shared" si="10"/>
        <v>45.000000000000007</v>
      </c>
    </row>
    <row r="95" spans="2:6" x14ac:dyDescent="0.25">
      <c r="B95">
        <v>78</v>
      </c>
      <c r="C95">
        <f t="shared" si="7"/>
        <v>1405.5628976105472</v>
      </c>
      <c r="D95">
        <f t="shared" si="8"/>
        <v>1405.5628976105477</v>
      </c>
      <c r="E95">
        <f t="shared" si="9"/>
        <v>0</v>
      </c>
      <c r="F95" s="30">
        <f t="shared" si="10"/>
        <v>45.000000000000007</v>
      </c>
    </row>
    <row r="96" spans="2:6" x14ac:dyDescent="0.25">
      <c r="B96">
        <v>79</v>
      </c>
      <c r="C96">
        <f t="shared" si="7"/>
        <v>1406.3585388074202</v>
      </c>
      <c r="D96">
        <f t="shared" si="8"/>
        <v>1406.3585388074207</v>
      </c>
      <c r="E96">
        <f t="shared" si="9"/>
        <v>0</v>
      </c>
      <c r="F96" s="30">
        <f t="shared" si="10"/>
        <v>45.000000000000007</v>
      </c>
    </row>
    <row r="97" spans="2:6" x14ac:dyDescent="0.25">
      <c r="B97">
        <v>80</v>
      </c>
      <c r="C97">
        <f t="shared" si="7"/>
        <v>1407.1541800042937</v>
      </c>
      <c r="D97">
        <f t="shared" si="8"/>
        <v>1407.1541800042939</v>
      </c>
      <c r="E97">
        <f t="shared" si="9"/>
        <v>0</v>
      </c>
      <c r="F97" s="30">
        <f t="shared" si="10"/>
        <v>45.000000000000007</v>
      </c>
    </row>
    <row r="98" spans="2:6" x14ac:dyDescent="0.25">
      <c r="B98">
        <v>81</v>
      </c>
      <c r="C98">
        <f t="shared" si="7"/>
        <v>1407.9498212011667</v>
      </c>
      <c r="D98">
        <f t="shared" si="8"/>
        <v>1407.9498212011672</v>
      </c>
      <c r="E98">
        <f t="shared" si="9"/>
        <v>0</v>
      </c>
      <c r="F98" s="30">
        <f t="shared" si="10"/>
        <v>45.000000000000007</v>
      </c>
    </row>
    <row r="99" spans="2:6" x14ac:dyDescent="0.25">
      <c r="B99">
        <v>82</v>
      </c>
      <c r="C99">
        <f t="shared" si="7"/>
        <v>1408.7454623980398</v>
      </c>
      <c r="D99">
        <f t="shared" si="8"/>
        <v>1408.7454623980402</v>
      </c>
      <c r="E99">
        <f t="shared" si="9"/>
        <v>0</v>
      </c>
      <c r="F99" s="30">
        <f t="shared" si="10"/>
        <v>45.000000000000007</v>
      </c>
    </row>
    <row r="100" spans="2:6" x14ac:dyDescent="0.25">
      <c r="B100">
        <v>83</v>
      </c>
      <c r="C100">
        <f t="shared" si="7"/>
        <v>1409.5411035949132</v>
      </c>
      <c r="D100">
        <f t="shared" si="8"/>
        <v>1409.5411035949135</v>
      </c>
      <c r="E100">
        <f t="shared" si="9"/>
        <v>0</v>
      </c>
      <c r="F100" s="30">
        <f t="shared" si="10"/>
        <v>45.000000000000007</v>
      </c>
    </row>
    <row r="101" spans="2:6" x14ac:dyDescent="0.25">
      <c r="B101">
        <v>84</v>
      </c>
      <c r="C101">
        <f t="shared" si="7"/>
        <v>1410.3367447917863</v>
      </c>
      <c r="D101">
        <f t="shared" si="8"/>
        <v>1410.3367447917867</v>
      </c>
      <c r="E101">
        <f t="shared" si="9"/>
        <v>0</v>
      </c>
      <c r="F101" s="30">
        <f t="shared" si="10"/>
        <v>45.000000000000007</v>
      </c>
    </row>
    <row r="102" spans="2:6" x14ac:dyDescent="0.25">
      <c r="B102">
        <v>85</v>
      </c>
      <c r="C102">
        <f t="shared" si="7"/>
        <v>1411.1323859886593</v>
      </c>
      <c r="D102">
        <f t="shared" si="8"/>
        <v>1411.1323859886597</v>
      </c>
      <c r="E102">
        <f t="shared" si="9"/>
        <v>0</v>
      </c>
      <c r="F102" s="30">
        <f t="shared" si="10"/>
        <v>45.000000000000007</v>
      </c>
    </row>
    <row r="103" spans="2:6" x14ac:dyDescent="0.25">
      <c r="B103">
        <v>86</v>
      </c>
      <c r="C103">
        <f t="shared" si="7"/>
        <v>1411.9280271855328</v>
      </c>
      <c r="D103">
        <f t="shared" si="8"/>
        <v>1411.928027185533</v>
      </c>
      <c r="E103">
        <f t="shared" si="9"/>
        <v>0</v>
      </c>
      <c r="F103" s="30">
        <f t="shared" si="10"/>
        <v>45.000000000000007</v>
      </c>
    </row>
    <row r="104" spans="2:6" x14ac:dyDescent="0.25">
      <c r="B104">
        <v>87</v>
      </c>
      <c r="C104">
        <f t="shared" si="7"/>
        <v>1412.7236683824058</v>
      </c>
      <c r="D104">
        <f>SIN(PI()/180*_Theta)*_vyps*B104+_yShip+_yL</f>
        <v>1412.7236683824062</v>
      </c>
      <c r="E104">
        <f t="shared" si="9"/>
        <v>0</v>
      </c>
      <c r="F104" s="30">
        <f t="shared" si="10"/>
        <v>45.000000000000007</v>
      </c>
    </row>
    <row r="105" spans="2:6" x14ac:dyDescent="0.25">
      <c r="B105">
        <v>88</v>
      </c>
      <c r="C105">
        <f t="shared" si="7"/>
        <v>1413.5193095792788</v>
      </c>
      <c r="D105">
        <f t="shared" si="8"/>
        <v>1413.5193095792793</v>
      </c>
      <c r="E105">
        <f t="shared" si="9"/>
        <v>0</v>
      </c>
      <c r="F105" s="30">
        <f t="shared" si="10"/>
        <v>45.000000000000007</v>
      </c>
    </row>
    <row r="106" spans="2:6" x14ac:dyDescent="0.25">
      <c r="B106">
        <v>89</v>
      </c>
      <c r="C106">
        <f t="shared" si="7"/>
        <v>1414.3149507761523</v>
      </c>
      <c r="D106">
        <f t="shared" si="8"/>
        <v>1414.3149507761525</v>
      </c>
      <c r="E106">
        <f t="shared" si="9"/>
        <v>0</v>
      </c>
      <c r="F106" s="30">
        <f t="shared" si="10"/>
        <v>45.000000000000007</v>
      </c>
    </row>
    <row r="107" spans="2:6" x14ac:dyDescent="0.25">
      <c r="B107">
        <v>90</v>
      </c>
      <c r="C107">
        <f t="shared" si="7"/>
        <v>1415.1105919730253</v>
      </c>
      <c r="D107">
        <f t="shared" si="8"/>
        <v>1415.1105919730257</v>
      </c>
      <c r="E107">
        <f t="shared" si="9"/>
        <v>0</v>
      </c>
      <c r="F107" s="30">
        <f t="shared" si="10"/>
        <v>45.000000000000007</v>
      </c>
    </row>
    <row r="108" spans="2:6" x14ac:dyDescent="0.25">
      <c r="B108">
        <v>91</v>
      </c>
      <c r="C108">
        <f t="shared" si="7"/>
        <v>1415.9062331698983</v>
      </c>
      <c r="D108">
        <f t="shared" si="8"/>
        <v>1415.9062331698988</v>
      </c>
      <c r="E108">
        <f t="shared" si="9"/>
        <v>0</v>
      </c>
      <c r="F108" s="30">
        <f t="shared" si="10"/>
        <v>45.000000000000007</v>
      </c>
    </row>
    <row r="109" spans="2:6" x14ac:dyDescent="0.25">
      <c r="B109">
        <v>92</v>
      </c>
      <c r="C109">
        <f t="shared" si="7"/>
        <v>1416.7018743667718</v>
      </c>
      <c r="D109">
        <f t="shared" si="8"/>
        <v>1416.701874366772</v>
      </c>
      <c r="E109">
        <f t="shared" si="9"/>
        <v>0</v>
      </c>
      <c r="F109" s="30">
        <f t="shared" si="10"/>
        <v>45.000000000000007</v>
      </c>
    </row>
    <row r="110" spans="2:6" x14ac:dyDescent="0.25">
      <c r="B110">
        <v>93</v>
      </c>
      <c r="C110">
        <f t="shared" si="7"/>
        <v>1417.4975155636448</v>
      </c>
      <c r="D110">
        <f t="shared" si="8"/>
        <v>1417.4975155636453</v>
      </c>
      <c r="E110">
        <f t="shared" si="9"/>
        <v>0</v>
      </c>
      <c r="F110" s="30">
        <f t="shared" si="10"/>
        <v>45.000000000000007</v>
      </c>
    </row>
    <row r="111" spans="2:6" x14ac:dyDescent="0.25">
      <c r="B111">
        <v>94</v>
      </c>
      <c r="C111">
        <f t="shared" si="7"/>
        <v>1418.2931567605178</v>
      </c>
      <c r="D111">
        <f t="shared" si="8"/>
        <v>1418.2931567605183</v>
      </c>
      <c r="E111">
        <f t="shared" si="9"/>
        <v>0</v>
      </c>
      <c r="F111" s="30">
        <f t="shared" si="10"/>
        <v>45.000000000000007</v>
      </c>
    </row>
    <row r="112" spans="2:6" x14ac:dyDescent="0.25">
      <c r="B112">
        <v>95</v>
      </c>
      <c r="C112">
        <f t="shared" si="7"/>
        <v>1419.0887979573913</v>
      </c>
      <c r="D112">
        <f t="shared" si="8"/>
        <v>1419.0887979573915</v>
      </c>
      <c r="E112">
        <f t="shared" si="9"/>
        <v>0</v>
      </c>
      <c r="F112" s="30">
        <f t="shared" si="10"/>
        <v>45.000000000000007</v>
      </c>
    </row>
    <row r="113" spans="2:6" x14ac:dyDescent="0.25">
      <c r="B113">
        <v>96</v>
      </c>
      <c r="C113">
        <f t="shared" ref="C113:C144" si="11">COS(PI()/180*_Theta)*_vyps*B113+_xShip+__xL</f>
        <v>1419.8844391542643</v>
      </c>
      <c r="D113">
        <f t="shared" ref="D113:D144" si="12">SIN(PI()/180*_Theta)*_vyps*B113+_yShip+_yL</f>
        <v>1419.8844391542646</v>
      </c>
      <c r="E113">
        <f t="shared" ref="E113:E144" si="13">B113*CONVERT(CONVERT(_vSub,"kn","m/sec"),"m","yd")</f>
        <v>0</v>
      </c>
      <c r="F113" s="30">
        <f t="shared" si="10"/>
        <v>45.000000000000007</v>
      </c>
    </row>
    <row r="114" spans="2:6" x14ac:dyDescent="0.25">
      <c r="B114">
        <v>97</v>
      </c>
      <c r="C114">
        <f t="shared" si="11"/>
        <v>1420.6800803511373</v>
      </c>
      <c r="D114">
        <f t="shared" si="12"/>
        <v>1420.6800803511378</v>
      </c>
      <c r="E114">
        <f t="shared" si="13"/>
        <v>0</v>
      </c>
      <c r="F114" s="30">
        <f t="shared" si="10"/>
        <v>45.000000000000007</v>
      </c>
    </row>
    <row r="115" spans="2:6" x14ac:dyDescent="0.25">
      <c r="B115">
        <v>98</v>
      </c>
      <c r="C115">
        <f t="shared" si="11"/>
        <v>1421.4757215480108</v>
      </c>
      <c r="D115">
        <f t="shared" si="12"/>
        <v>1421.4757215480111</v>
      </c>
      <c r="E115">
        <f t="shared" si="13"/>
        <v>0</v>
      </c>
      <c r="F115" s="30">
        <f t="shared" si="10"/>
        <v>45.000000000000007</v>
      </c>
    </row>
    <row r="116" spans="2:6" x14ac:dyDescent="0.25">
      <c r="B116">
        <v>99</v>
      </c>
      <c r="C116">
        <f t="shared" si="11"/>
        <v>1422.2713627448838</v>
      </c>
      <c r="D116">
        <f t="shared" si="12"/>
        <v>1422.2713627448841</v>
      </c>
      <c r="E116">
        <f t="shared" si="13"/>
        <v>0</v>
      </c>
      <c r="F116" s="30">
        <f t="shared" si="10"/>
        <v>45.000000000000007</v>
      </c>
    </row>
    <row r="117" spans="2:6" x14ac:dyDescent="0.25">
      <c r="B117">
        <v>100</v>
      </c>
      <c r="C117">
        <f t="shared" si="11"/>
        <v>1423.0670039417569</v>
      </c>
      <c r="D117">
        <f t="shared" si="12"/>
        <v>1423.0670039417573</v>
      </c>
      <c r="E117">
        <f t="shared" si="13"/>
        <v>0</v>
      </c>
      <c r="F117" s="30">
        <f t="shared" si="10"/>
        <v>45.000000000000007</v>
      </c>
    </row>
    <row r="118" spans="2:6" x14ac:dyDescent="0.25">
      <c r="B118">
        <v>101</v>
      </c>
      <c r="C118">
        <f t="shared" si="11"/>
        <v>1423.8626451386303</v>
      </c>
      <c r="D118">
        <f t="shared" si="12"/>
        <v>1423.8626451386306</v>
      </c>
      <c r="E118">
        <f t="shared" si="13"/>
        <v>0</v>
      </c>
      <c r="F118" s="30">
        <f t="shared" si="10"/>
        <v>45.000000000000007</v>
      </c>
    </row>
    <row r="119" spans="2:6" x14ac:dyDescent="0.25">
      <c r="B119">
        <v>102</v>
      </c>
      <c r="C119">
        <f t="shared" si="11"/>
        <v>1424.6582863355034</v>
      </c>
      <c r="D119">
        <f t="shared" si="12"/>
        <v>1424.6582863355036</v>
      </c>
      <c r="E119">
        <f t="shared" si="13"/>
        <v>0</v>
      </c>
      <c r="F119" s="30">
        <f t="shared" si="10"/>
        <v>45.000000000000007</v>
      </c>
    </row>
    <row r="120" spans="2:6" x14ac:dyDescent="0.25">
      <c r="B120">
        <v>103</v>
      </c>
      <c r="C120">
        <f t="shared" si="11"/>
        <v>1425.4539275323764</v>
      </c>
      <c r="D120">
        <f t="shared" si="12"/>
        <v>1425.4539275323768</v>
      </c>
      <c r="E120">
        <f t="shared" si="13"/>
        <v>0</v>
      </c>
      <c r="F120" s="30">
        <f t="shared" si="10"/>
        <v>45.000000000000007</v>
      </c>
    </row>
    <row r="121" spans="2:6" x14ac:dyDescent="0.25">
      <c r="B121">
        <v>104</v>
      </c>
      <c r="C121">
        <f t="shared" si="11"/>
        <v>1426.2495687292499</v>
      </c>
      <c r="D121">
        <f t="shared" si="12"/>
        <v>1426.2495687292501</v>
      </c>
      <c r="E121">
        <f t="shared" si="13"/>
        <v>0</v>
      </c>
      <c r="F121" s="30">
        <f t="shared" si="10"/>
        <v>45.000000000000007</v>
      </c>
    </row>
    <row r="122" spans="2:6" x14ac:dyDescent="0.25">
      <c r="B122">
        <v>105</v>
      </c>
      <c r="C122">
        <f t="shared" si="11"/>
        <v>1427.0452099261229</v>
      </c>
      <c r="D122">
        <f t="shared" si="12"/>
        <v>1427.0452099261231</v>
      </c>
      <c r="E122">
        <f t="shared" si="13"/>
        <v>0</v>
      </c>
      <c r="F122" s="30">
        <f t="shared" si="10"/>
        <v>45.000000000000007</v>
      </c>
    </row>
    <row r="123" spans="2:6" x14ac:dyDescent="0.25">
      <c r="B123">
        <v>106</v>
      </c>
      <c r="C123">
        <f t="shared" si="11"/>
        <v>1427.8408511229959</v>
      </c>
      <c r="D123">
        <f t="shared" si="12"/>
        <v>1427.8408511229964</v>
      </c>
      <c r="E123">
        <f t="shared" si="13"/>
        <v>0</v>
      </c>
      <c r="F123" s="30">
        <f t="shared" si="10"/>
        <v>45.000000000000007</v>
      </c>
    </row>
    <row r="124" spans="2:6" x14ac:dyDescent="0.25">
      <c r="B124">
        <v>107</v>
      </c>
      <c r="C124">
        <f t="shared" si="11"/>
        <v>1428.6364923198694</v>
      </c>
      <c r="D124">
        <f t="shared" si="12"/>
        <v>1428.6364923198696</v>
      </c>
      <c r="E124">
        <f t="shared" si="13"/>
        <v>0</v>
      </c>
      <c r="F124" s="30">
        <f t="shared" si="10"/>
        <v>45.000000000000007</v>
      </c>
    </row>
    <row r="125" spans="2:6" x14ac:dyDescent="0.25">
      <c r="B125">
        <v>108</v>
      </c>
      <c r="C125">
        <f t="shared" si="11"/>
        <v>1429.4321335167424</v>
      </c>
      <c r="D125">
        <f t="shared" si="12"/>
        <v>1429.4321335167426</v>
      </c>
      <c r="E125">
        <f t="shared" si="13"/>
        <v>0</v>
      </c>
      <c r="F125" s="30">
        <f t="shared" si="10"/>
        <v>45.000000000000007</v>
      </c>
    </row>
    <row r="126" spans="2:6" x14ac:dyDescent="0.25">
      <c r="B126">
        <v>109</v>
      </c>
      <c r="C126">
        <f t="shared" si="11"/>
        <v>1430.2277747136154</v>
      </c>
      <c r="D126">
        <f t="shared" si="12"/>
        <v>1430.2277747136159</v>
      </c>
      <c r="E126">
        <f t="shared" si="13"/>
        <v>0</v>
      </c>
      <c r="F126" s="30">
        <f t="shared" si="10"/>
        <v>45.000000000000007</v>
      </c>
    </row>
    <row r="127" spans="2:6" x14ac:dyDescent="0.25">
      <c r="B127">
        <v>110</v>
      </c>
      <c r="C127">
        <f t="shared" si="11"/>
        <v>1431.0234159104889</v>
      </c>
      <c r="D127">
        <f t="shared" si="12"/>
        <v>1431.0234159104891</v>
      </c>
      <c r="E127">
        <f t="shared" si="13"/>
        <v>0</v>
      </c>
      <c r="F127" s="30">
        <f t="shared" si="10"/>
        <v>45.000000000000007</v>
      </c>
    </row>
    <row r="128" spans="2:6" x14ac:dyDescent="0.25">
      <c r="B128">
        <v>111</v>
      </c>
      <c r="C128">
        <f t="shared" si="11"/>
        <v>1431.8190571073619</v>
      </c>
      <c r="D128">
        <f t="shared" si="12"/>
        <v>1431.8190571073621</v>
      </c>
      <c r="E128">
        <f t="shared" si="13"/>
        <v>0</v>
      </c>
      <c r="F128" s="30">
        <f t="shared" si="10"/>
        <v>45.000000000000007</v>
      </c>
    </row>
    <row r="129" spans="2:6" x14ac:dyDescent="0.25">
      <c r="B129">
        <v>112</v>
      </c>
      <c r="C129">
        <f t="shared" si="11"/>
        <v>1432.6146983042349</v>
      </c>
      <c r="D129">
        <f t="shared" si="12"/>
        <v>1432.6146983042354</v>
      </c>
      <c r="E129">
        <f t="shared" si="13"/>
        <v>0</v>
      </c>
      <c r="F129" s="30">
        <f t="shared" si="10"/>
        <v>45.000000000000007</v>
      </c>
    </row>
    <row r="130" spans="2:6" x14ac:dyDescent="0.25">
      <c r="B130">
        <v>113</v>
      </c>
      <c r="C130">
        <f t="shared" si="11"/>
        <v>1433.4103395011084</v>
      </c>
      <c r="D130">
        <f t="shared" si="12"/>
        <v>1433.4103395011086</v>
      </c>
      <c r="E130">
        <f t="shared" si="13"/>
        <v>0</v>
      </c>
      <c r="F130" s="30">
        <f t="shared" si="10"/>
        <v>45.000000000000007</v>
      </c>
    </row>
    <row r="131" spans="2:6" x14ac:dyDescent="0.25">
      <c r="B131">
        <v>114</v>
      </c>
      <c r="C131">
        <f t="shared" si="11"/>
        <v>1434.2059806979814</v>
      </c>
      <c r="D131">
        <f t="shared" si="12"/>
        <v>1434.2059806979817</v>
      </c>
      <c r="E131">
        <f t="shared" si="13"/>
        <v>0</v>
      </c>
      <c r="F131" s="30">
        <f t="shared" si="10"/>
        <v>45.000000000000007</v>
      </c>
    </row>
    <row r="132" spans="2:6" x14ac:dyDescent="0.25">
      <c r="B132">
        <v>115</v>
      </c>
      <c r="C132">
        <f t="shared" si="11"/>
        <v>1435.0016218948545</v>
      </c>
      <c r="D132">
        <f t="shared" si="12"/>
        <v>1435.0016218948549</v>
      </c>
      <c r="E132">
        <f t="shared" si="13"/>
        <v>0</v>
      </c>
      <c r="F132" s="30">
        <f t="shared" si="10"/>
        <v>45.000000000000007</v>
      </c>
    </row>
    <row r="133" spans="2:6" x14ac:dyDescent="0.25">
      <c r="B133">
        <v>116</v>
      </c>
      <c r="C133">
        <f t="shared" si="11"/>
        <v>1435.7972630917279</v>
      </c>
      <c r="D133">
        <f t="shared" si="12"/>
        <v>1435.7972630917282</v>
      </c>
      <c r="E133">
        <f t="shared" si="13"/>
        <v>0</v>
      </c>
      <c r="F133" s="30">
        <f t="shared" si="10"/>
        <v>45.000000000000007</v>
      </c>
    </row>
    <row r="134" spans="2:6" x14ac:dyDescent="0.25">
      <c r="B134">
        <v>117</v>
      </c>
      <c r="C134">
        <f t="shared" si="11"/>
        <v>1436.5929042886009</v>
      </c>
      <c r="D134">
        <f t="shared" si="12"/>
        <v>1436.5929042886012</v>
      </c>
      <c r="E134">
        <f t="shared" si="13"/>
        <v>0</v>
      </c>
      <c r="F134" s="30">
        <f t="shared" si="10"/>
        <v>45.000000000000007</v>
      </c>
    </row>
    <row r="135" spans="2:6" x14ac:dyDescent="0.25">
      <c r="B135">
        <v>118</v>
      </c>
      <c r="C135">
        <f t="shared" si="11"/>
        <v>1437.388545485474</v>
      </c>
      <c r="D135">
        <f t="shared" si="12"/>
        <v>1437.3885454854744</v>
      </c>
      <c r="E135">
        <f t="shared" si="13"/>
        <v>0</v>
      </c>
      <c r="F135" s="30">
        <f t="shared" si="10"/>
        <v>45.000000000000007</v>
      </c>
    </row>
    <row r="136" spans="2:6" x14ac:dyDescent="0.25">
      <c r="B136">
        <v>119</v>
      </c>
      <c r="C136">
        <f t="shared" si="11"/>
        <v>1438.184186682347</v>
      </c>
      <c r="D136">
        <f t="shared" si="12"/>
        <v>1438.1841866823474</v>
      </c>
      <c r="E136">
        <f t="shared" si="13"/>
        <v>0</v>
      </c>
      <c r="F136" s="30">
        <f t="shared" si="10"/>
        <v>45.000000000000007</v>
      </c>
    </row>
    <row r="137" spans="2:6" x14ac:dyDescent="0.25">
      <c r="B137">
        <v>120</v>
      </c>
      <c r="C137">
        <f t="shared" si="11"/>
        <v>1438.9798278792205</v>
      </c>
      <c r="D137">
        <f t="shared" si="12"/>
        <v>1438.9798278792207</v>
      </c>
      <c r="E137">
        <f t="shared" si="13"/>
        <v>0</v>
      </c>
      <c r="F137" s="30">
        <f t="shared" si="10"/>
        <v>45.000000000000007</v>
      </c>
    </row>
    <row r="138" spans="2:6" x14ac:dyDescent="0.25">
      <c r="B138">
        <v>121</v>
      </c>
      <c r="C138">
        <f t="shared" si="11"/>
        <v>1439.7754690760935</v>
      </c>
      <c r="D138">
        <f t="shared" si="12"/>
        <v>1439.7754690760939</v>
      </c>
      <c r="E138">
        <f t="shared" si="13"/>
        <v>0</v>
      </c>
      <c r="F138" s="30">
        <f t="shared" si="10"/>
        <v>45.000000000000007</v>
      </c>
    </row>
    <row r="139" spans="2:6" x14ac:dyDescent="0.25">
      <c r="B139">
        <v>122</v>
      </c>
      <c r="C139">
        <f t="shared" si="11"/>
        <v>1440.5711102729665</v>
      </c>
      <c r="D139">
        <f t="shared" si="12"/>
        <v>1440.571110272967</v>
      </c>
      <c r="E139">
        <f t="shared" si="13"/>
        <v>0</v>
      </c>
      <c r="F139" s="30">
        <f t="shared" si="10"/>
        <v>45.000000000000007</v>
      </c>
    </row>
    <row r="140" spans="2:6" x14ac:dyDescent="0.25">
      <c r="B140">
        <v>123</v>
      </c>
      <c r="C140">
        <f t="shared" si="11"/>
        <v>1441.36675146984</v>
      </c>
      <c r="D140">
        <f t="shared" si="12"/>
        <v>1441.3667514698402</v>
      </c>
      <c r="E140">
        <f t="shared" si="13"/>
        <v>0</v>
      </c>
      <c r="F140" s="30">
        <f t="shared" si="10"/>
        <v>45.000000000000007</v>
      </c>
    </row>
    <row r="141" spans="2:6" x14ac:dyDescent="0.25">
      <c r="B141">
        <v>124</v>
      </c>
      <c r="C141">
        <f t="shared" si="11"/>
        <v>1442.162392666713</v>
      </c>
      <c r="D141">
        <f t="shared" si="12"/>
        <v>1442.1623926667135</v>
      </c>
      <c r="E141">
        <f t="shared" si="13"/>
        <v>0</v>
      </c>
      <c r="F141" s="30">
        <f t="shared" si="10"/>
        <v>45.000000000000007</v>
      </c>
    </row>
    <row r="142" spans="2:6" x14ac:dyDescent="0.25">
      <c r="B142">
        <v>125</v>
      </c>
      <c r="C142">
        <f t="shared" si="11"/>
        <v>1442.958033863586</v>
      </c>
      <c r="D142">
        <f t="shared" si="12"/>
        <v>1442.9580338635865</v>
      </c>
      <c r="E142">
        <f t="shared" si="13"/>
        <v>0</v>
      </c>
      <c r="F142" s="30">
        <f t="shared" si="10"/>
        <v>45.000000000000007</v>
      </c>
    </row>
    <row r="143" spans="2:6" x14ac:dyDescent="0.25">
      <c r="B143">
        <v>126</v>
      </c>
      <c r="C143">
        <f t="shared" si="11"/>
        <v>1443.7536750604595</v>
      </c>
      <c r="D143">
        <f t="shared" si="12"/>
        <v>1443.7536750604597</v>
      </c>
      <c r="E143">
        <f t="shared" si="13"/>
        <v>0</v>
      </c>
      <c r="F143" s="30">
        <f t="shared" si="10"/>
        <v>45.000000000000007</v>
      </c>
    </row>
    <row r="144" spans="2:6" x14ac:dyDescent="0.25">
      <c r="B144">
        <v>127</v>
      </c>
      <c r="C144">
        <f t="shared" si="11"/>
        <v>1444.5493162573325</v>
      </c>
      <c r="D144">
        <f t="shared" si="12"/>
        <v>1444.549316257333</v>
      </c>
      <c r="E144">
        <f t="shared" si="13"/>
        <v>0</v>
      </c>
      <c r="F144" s="30">
        <f t="shared" si="10"/>
        <v>45.000000000000007</v>
      </c>
    </row>
    <row r="145" spans="2:6" x14ac:dyDescent="0.25">
      <c r="B145">
        <v>128</v>
      </c>
      <c r="C145">
        <f t="shared" ref="C145:C176" si="14">COS(PI()/180*_Theta)*_vyps*B145+_xShip+__xL</f>
        <v>1445.3449574542055</v>
      </c>
      <c r="D145">
        <f t="shared" ref="D145:D176" si="15">SIN(PI()/180*_Theta)*_vyps*B145+_yShip+_yL</f>
        <v>1445.344957454206</v>
      </c>
      <c r="E145">
        <f t="shared" ref="E145:E176" si="16">B145*CONVERT(CONVERT(_vSub,"kn","m/sec"),"m","yd")</f>
        <v>0</v>
      </c>
      <c r="F145" s="30">
        <f t="shared" si="10"/>
        <v>45.000000000000007</v>
      </c>
    </row>
    <row r="146" spans="2:6" x14ac:dyDescent="0.25">
      <c r="B146">
        <v>129</v>
      </c>
      <c r="C146">
        <f t="shared" si="14"/>
        <v>1446.140598651079</v>
      </c>
      <c r="D146">
        <f t="shared" si="15"/>
        <v>1446.1405986510792</v>
      </c>
      <c r="E146">
        <f t="shared" si="16"/>
        <v>0</v>
      </c>
      <c r="F146" s="30">
        <f t="shared" ref="F146:F209" si="17">ATAN2(C146,D146-E146)*180/PI()</f>
        <v>45.000000000000007</v>
      </c>
    </row>
    <row r="147" spans="2:6" x14ac:dyDescent="0.25">
      <c r="B147">
        <v>130</v>
      </c>
      <c r="C147">
        <f t="shared" si="14"/>
        <v>1446.936239847952</v>
      </c>
      <c r="D147">
        <f t="shared" si="15"/>
        <v>1446.9362398479525</v>
      </c>
      <c r="E147">
        <f t="shared" si="16"/>
        <v>0</v>
      </c>
      <c r="F147" s="30">
        <f t="shared" si="17"/>
        <v>45.000000000000007</v>
      </c>
    </row>
    <row r="148" spans="2:6" x14ac:dyDescent="0.25">
      <c r="B148">
        <v>131</v>
      </c>
      <c r="C148">
        <f t="shared" si="14"/>
        <v>1447.7318810448251</v>
      </c>
      <c r="D148">
        <f t="shared" si="15"/>
        <v>1447.7318810448255</v>
      </c>
      <c r="E148">
        <f t="shared" si="16"/>
        <v>0</v>
      </c>
      <c r="F148" s="30">
        <f t="shared" si="17"/>
        <v>45.000000000000007</v>
      </c>
    </row>
    <row r="149" spans="2:6" x14ac:dyDescent="0.25">
      <c r="B149">
        <v>132</v>
      </c>
      <c r="C149">
        <f t="shared" si="14"/>
        <v>1448.5275222416985</v>
      </c>
      <c r="D149">
        <f t="shared" si="15"/>
        <v>1448.5275222416988</v>
      </c>
      <c r="E149">
        <f t="shared" si="16"/>
        <v>0</v>
      </c>
      <c r="F149" s="30">
        <f t="shared" si="17"/>
        <v>45.000000000000007</v>
      </c>
    </row>
    <row r="150" spans="2:6" x14ac:dyDescent="0.25">
      <c r="B150">
        <v>133</v>
      </c>
      <c r="C150">
        <f t="shared" si="14"/>
        <v>1449.3231634385716</v>
      </c>
      <c r="D150">
        <f t="shared" si="15"/>
        <v>1449.323163438572</v>
      </c>
      <c r="E150">
        <f t="shared" si="16"/>
        <v>0</v>
      </c>
      <c r="F150" s="30">
        <f t="shared" si="17"/>
        <v>45.000000000000007</v>
      </c>
    </row>
    <row r="151" spans="2:6" x14ac:dyDescent="0.25">
      <c r="B151">
        <v>134</v>
      </c>
      <c r="C151">
        <f t="shared" si="14"/>
        <v>1450.1188046354446</v>
      </c>
      <c r="D151">
        <f t="shared" si="15"/>
        <v>1450.118804635445</v>
      </c>
      <c r="E151">
        <f t="shared" si="16"/>
        <v>0</v>
      </c>
      <c r="F151" s="30">
        <f t="shared" si="17"/>
        <v>45.000000000000007</v>
      </c>
    </row>
    <row r="152" spans="2:6" x14ac:dyDescent="0.25">
      <c r="B152">
        <v>135</v>
      </c>
      <c r="C152">
        <f t="shared" si="14"/>
        <v>1450.9144458323181</v>
      </c>
      <c r="D152">
        <f t="shared" si="15"/>
        <v>1450.9144458323183</v>
      </c>
      <c r="E152">
        <f t="shared" si="16"/>
        <v>0</v>
      </c>
      <c r="F152" s="30">
        <f t="shared" si="17"/>
        <v>45.000000000000007</v>
      </c>
    </row>
    <row r="153" spans="2:6" x14ac:dyDescent="0.25">
      <c r="B153">
        <v>136</v>
      </c>
      <c r="C153">
        <f t="shared" si="14"/>
        <v>1451.7100870291911</v>
      </c>
      <c r="D153">
        <f t="shared" si="15"/>
        <v>1451.7100870291913</v>
      </c>
      <c r="E153">
        <f t="shared" si="16"/>
        <v>0</v>
      </c>
      <c r="F153" s="30">
        <f t="shared" si="17"/>
        <v>45.000000000000007</v>
      </c>
    </row>
    <row r="154" spans="2:6" x14ac:dyDescent="0.25">
      <c r="B154">
        <v>137</v>
      </c>
      <c r="C154">
        <f t="shared" si="14"/>
        <v>1452.5057282260641</v>
      </c>
      <c r="D154">
        <f t="shared" si="15"/>
        <v>1452.5057282260645</v>
      </c>
      <c r="E154">
        <f t="shared" si="16"/>
        <v>0</v>
      </c>
      <c r="F154" s="30">
        <f t="shared" si="17"/>
        <v>45.000000000000007</v>
      </c>
    </row>
    <row r="155" spans="2:6" x14ac:dyDescent="0.25">
      <c r="B155">
        <v>138</v>
      </c>
      <c r="C155">
        <f t="shared" si="14"/>
        <v>1453.3013694229376</v>
      </c>
      <c r="D155">
        <f t="shared" si="15"/>
        <v>1453.3013694229378</v>
      </c>
      <c r="E155">
        <f t="shared" si="16"/>
        <v>0</v>
      </c>
      <c r="F155" s="30">
        <f t="shared" si="17"/>
        <v>45.000000000000007</v>
      </c>
    </row>
    <row r="156" spans="2:6" x14ac:dyDescent="0.25">
      <c r="B156">
        <v>139</v>
      </c>
      <c r="C156">
        <f t="shared" si="14"/>
        <v>1454.0970106198106</v>
      </c>
      <c r="D156">
        <f t="shared" si="15"/>
        <v>1454.0970106198108</v>
      </c>
      <c r="E156">
        <f t="shared" si="16"/>
        <v>0</v>
      </c>
      <c r="F156" s="30">
        <f t="shared" si="17"/>
        <v>45.000000000000007</v>
      </c>
    </row>
    <row r="157" spans="2:6" x14ac:dyDescent="0.25">
      <c r="B157">
        <v>140</v>
      </c>
      <c r="C157">
        <f t="shared" si="14"/>
        <v>1454.8926518166836</v>
      </c>
      <c r="D157">
        <f t="shared" si="15"/>
        <v>1454.8926518166841</v>
      </c>
      <c r="E157">
        <f t="shared" si="16"/>
        <v>0</v>
      </c>
      <c r="F157" s="30">
        <f t="shared" si="17"/>
        <v>45.000000000000007</v>
      </c>
    </row>
    <row r="158" spans="2:6" x14ac:dyDescent="0.25">
      <c r="B158">
        <v>141</v>
      </c>
      <c r="C158">
        <f t="shared" si="14"/>
        <v>1455.6882930135571</v>
      </c>
      <c r="D158">
        <f t="shared" si="15"/>
        <v>1455.6882930135573</v>
      </c>
      <c r="E158">
        <f t="shared" si="16"/>
        <v>0</v>
      </c>
      <c r="F158" s="30">
        <f t="shared" si="17"/>
        <v>45.000000000000007</v>
      </c>
    </row>
    <row r="159" spans="2:6" x14ac:dyDescent="0.25">
      <c r="B159">
        <v>142</v>
      </c>
      <c r="C159">
        <f t="shared" si="14"/>
        <v>1456.4839342104301</v>
      </c>
      <c r="D159">
        <f t="shared" si="15"/>
        <v>1456.4839342104303</v>
      </c>
      <c r="E159">
        <f t="shared" si="16"/>
        <v>0</v>
      </c>
      <c r="F159" s="30">
        <f t="shared" si="17"/>
        <v>45.000000000000007</v>
      </c>
    </row>
    <row r="160" spans="2:6" x14ac:dyDescent="0.25">
      <c r="B160">
        <v>143</v>
      </c>
      <c r="C160">
        <f t="shared" si="14"/>
        <v>1457.2795754073031</v>
      </c>
      <c r="D160">
        <f t="shared" si="15"/>
        <v>1457.2795754073036</v>
      </c>
      <c r="E160">
        <f t="shared" si="16"/>
        <v>0</v>
      </c>
      <c r="F160" s="30">
        <f t="shared" si="17"/>
        <v>45.000000000000007</v>
      </c>
    </row>
    <row r="161" spans="2:6" x14ac:dyDescent="0.25">
      <c r="B161">
        <v>144</v>
      </c>
      <c r="C161">
        <f t="shared" si="14"/>
        <v>1458.0752166041766</v>
      </c>
      <c r="D161">
        <f t="shared" si="15"/>
        <v>1458.0752166041768</v>
      </c>
      <c r="E161">
        <f t="shared" si="16"/>
        <v>0</v>
      </c>
      <c r="F161" s="30">
        <f t="shared" si="17"/>
        <v>45.000000000000007</v>
      </c>
    </row>
    <row r="162" spans="2:6" x14ac:dyDescent="0.25">
      <c r="B162">
        <v>145</v>
      </c>
      <c r="C162">
        <f t="shared" si="14"/>
        <v>1458.8708578010496</v>
      </c>
      <c r="D162">
        <f t="shared" si="15"/>
        <v>1458.8708578010499</v>
      </c>
      <c r="E162">
        <f t="shared" si="16"/>
        <v>0</v>
      </c>
      <c r="F162" s="30">
        <f t="shared" si="17"/>
        <v>45.000000000000007</v>
      </c>
    </row>
    <row r="163" spans="2:6" x14ac:dyDescent="0.25">
      <c r="B163">
        <v>146</v>
      </c>
      <c r="C163">
        <f t="shared" si="14"/>
        <v>1459.6664989979226</v>
      </c>
      <c r="D163">
        <f t="shared" si="15"/>
        <v>1459.6664989979231</v>
      </c>
      <c r="E163">
        <f t="shared" si="16"/>
        <v>0</v>
      </c>
      <c r="F163" s="30">
        <f t="shared" si="17"/>
        <v>45.000000000000007</v>
      </c>
    </row>
    <row r="164" spans="2:6" x14ac:dyDescent="0.25">
      <c r="B164">
        <v>147</v>
      </c>
      <c r="C164">
        <f t="shared" si="14"/>
        <v>1460.4621401947961</v>
      </c>
      <c r="D164">
        <f t="shared" si="15"/>
        <v>1460.4621401947963</v>
      </c>
      <c r="E164">
        <f t="shared" si="16"/>
        <v>0</v>
      </c>
      <c r="F164" s="30">
        <f t="shared" si="17"/>
        <v>45.000000000000007</v>
      </c>
    </row>
    <row r="165" spans="2:6" x14ac:dyDescent="0.25">
      <c r="B165">
        <v>148</v>
      </c>
      <c r="C165">
        <f t="shared" si="14"/>
        <v>1461.2577813916691</v>
      </c>
      <c r="D165">
        <f t="shared" si="15"/>
        <v>1461.2577813916694</v>
      </c>
      <c r="E165">
        <f t="shared" si="16"/>
        <v>0</v>
      </c>
      <c r="F165" s="30">
        <f t="shared" si="17"/>
        <v>45.000000000000007</v>
      </c>
    </row>
    <row r="166" spans="2:6" x14ac:dyDescent="0.25">
      <c r="B166">
        <v>149</v>
      </c>
      <c r="C166">
        <f t="shared" si="14"/>
        <v>1462.0534225885422</v>
      </c>
      <c r="D166">
        <f t="shared" si="15"/>
        <v>1462.0534225885426</v>
      </c>
      <c r="E166">
        <f t="shared" si="16"/>
        <v>0</v>
      </c>
      <c r="F166" s="30">
        <f t="shared" si="17"/>
        <v>45.000000000000007</v>
      </c>
    </row>
    <row r="167" spans="2:6" x14ac:dyDescent="0.25">
      <c r="B167">
        <v>150</v>
      </c>
      <c r="C167">
        <f t="shared" si="14"/>
        <v>1462.8490637854156</v>
      </c>
      <c r="D167">
        <f t="shared" si="15"/>
        <v>1462.8490637854159</v>
      </c>
      <c r="E167">
        <f t="shared" si="16"/>
        <v>0</v>
      </c>
      <c r="F167" s="30">
        <f t="shared" si="17"/>
        <v>45.000000000000007</v>
      </c>
    </row>
    <row r="168" spans="2:6" x14ac:dyDescent="0.25">
      <c r="B168">
        <v>151</v>
      </c>
      <c r="C168">
        <f t="shared" si="14"/>
        <v>1463.6447049822887</v>
      </c>
      <c r="D168">
        <f t="shared" si="15"/>
        <v>1463.6447049822889</v>
      </c>
      <c r="E168">
        <f t="shared" si="16"/>
        <v>0</v>
      </c>
      <c r="F168" s="30">
        <f t="shared" si="17"/>
        <v>45.000000000000007</v>
      </c>
    </row>
    <row r="169" spans="2:6" x14ac:dyDescent="0.25">
      <c r="B169">
        <v>152</v>
      </c>
      <c r="C169">
        <f t="shared" si="14"/>
        <v>1464.4403461791617</v>
      </c>
      <c r="D169">
        <f t="shared" si="15"/>
        <v>1464.4403461791621</v>
      </c>
      <c r="E169">
        <f t="shared" si="16"/>
        <v>0</v>
      </c>
      <c r="F169" s="30">
        <f t="shared" si="17"/>
        <v>45.000000000000007</v>
      </c>
    </row>
    <row r="170" spans="2:6" x14ac:dyDescent="0.25">
      <c r="B170">
        <v>153</v>
      </c>
      <c r="C170">
        <f t="shared" si="14"/>
        <v>1465.2359873760352</v>
      </c>
      <c r="D170">
        <f t="shared" si="15"/>
        <v>1465.2359873760354</v>
      </c>
      <c r="E170">
        <f t="shared" si="16"/>
        <v>0</v>
      </c>
      <c r="F170" s="30">
        <f t="shared" si="17"/>
        <v>45.000000000000007</v>
      </c>
    </row>
    <row r="171" spans="2:6" x14ac:dyDescent="0.25">
      <c r="B171">
        <v>154</v>
      </c>
      <c r="C171">
        <f t="shared" si="14"/>
        <v>1466.0316285729082</v>
      </c>
      <c r="D171">
        <f t="shared" si="15"/>
        <v>1466.0316285729084</v>
      </c>
      <c r="E171">
        <f t="shared" si="16"/>
        <v>0</v>
      </c>
      <c r="F171" s="30">
        <f t="shared" si="17"/>
        <v>45.000000000000007</v>
      </c>
    </row>
    <row r="172" spans="2:6" x14ac:dyDescent="0.25">
      <c r="B172">
        <v>155</v>
      </c>
      <c r="C172">
        <f t="shared" si="14"/>
        <v>1466.8272697697812</v>
      </c>
      <c r="D172">
        <f t="shared" si="15"/>
        <v>1466.8272697697817</v>
      </c>
      <c r="E172">
        <f t="shared" si="16"/>
        <v>0</v>
      </c>
      <c r="F172" s="30">
        <f t="shared" si="17"/>
        <v>45.000000000000007</v>
      </c>
    </row>
    <row r="173" spans="2:6" x14ac:dyDescent="0.25">
      <c r="B173">
        <v>156</v>
      </c>
      <c r="C173">
        <f t="shared" si="14"/>
        <v>1467.6229109666547</v>
      </c>
      <c r="D173">
        <f t="shared" si="15"/>
        <v>1467.6229109666549</v>
      </c>
      <c r="E173">
        <f t="shared" si="16"/>
        <v>0</v>
      </c>
      <c r="F173" s="30">
        <f t="shared" si="17"/>
        <v>45.000000000000007</v>
      </c>
    </row>
    <row r="174" spans="2:6" x14ac:dyDescent="0.25">
      <c r="B174">
        <v>157</v>
      </c>
      <c r="C174">
        <f t="shared" si="14"/>
        <v>1468.4185521635277</v>
      </c>
      <c r="D174">
        <f t="shared" si="15"/>
        <v>1468.4185521635279</v>
      </c>
      <c r="E174">
        <f t="shared" si="16"/>
        <v>0</v>
      </c>
      <c r="F174" s="30">
        <f t="shared" si="17"/>
        <v>45.000000000000007</v>
      </c>
    </row>
    <row r="175" spans="2:6" x14ac:dyDescent="0.25">
      <c r="B175">
        <v>158</v>
      </c>
      <c r="C175">
        <f t="shared" si="14"/>
        <v>1469.2141933604007</v>
      </c>
      <c r="D175">
        <f t="shared" si="15"/>
        <v>1469.2141933604012</v>
      </c>
      <c r="E175">
        <f t="shared" si="16"/>
        <v>0</v>
      </c>
      <c r="F175" s="30">
        <f t="shared" si="17"/>
        <v>45.000000000000007</v>
      </c>
    </row>
    <row r="176" spans="2:6" x14ac:dyDescent="0.25">
      <c r="B176">
        <v>159</v>
      </c>
      <c r="C176">
        <f t="shared" si="14"/>
        <v>1470.0098345572742</v>
      </c>
      <c r="D176">
        <f t="shared" si="15"/>
        <v>1470.0098345572744</v>
      </c>
      <c r="E176">
        <f t="shared" si="16"/>
        <v>0</v>
      </c>
      <c r="F176" s="30">
        <f t="shared" si="17"/>
        <v>45.000000000000007</v>
      </c>
    </row>
    <row r="177" spans="2:6" x14ac:dyDescent="0.25">
      <c r="B177">
        <v>160</v>
      </c>
      <c r="C177">
        <f t="shared" ref="C177:C208" si="18">COS(PI()/180*_Theta)*_vyps*B177+_xShip+__xL</f>
        <v>1470.8054757541472</v>
      </c>
      <c r="D177">
        <f t="shared" ref="D177:D208" si="19">SIN(PI()/180*_Theta)*_vyps*B177+_yShip+_yL</f>
        <v>1470.8054757541474</v>
      </c>
      <c r="E177">
        <f t="shared" ref="E177:E208" si="20">B177*CONVERT(CONVERT(_vSub,"kn","m/sec"),"m","yd")</f>
        <v>0</v>
      </c>
      <c r="F177" s="30">
        <f t="shared" si="17"/>
        <v>45.000000000000007</v>
      </c>
    </row>
    <row r="178" spans="2:6" x14ac:dyDescent="0.25">
      <c r="B178">
        <v>161</v>
      </c>
      <c r="C178">
        <f t="shared" si="18"/>
        <v>1471.6011169510202</v>
      </c>
      <c r="D178">
        <f t="shared" si="19"/>
        <v>1471.6011169510207</v>
      </c>
      <c r="E178">
        <f t="shared" si="20"/>
        <v>0</v>
      </c>
      <c r="F178" s="30">
        <f t="shared" si="17"/>
        <v>45.000000000000007</v>
      </c>
    </row>
    <row r="179" spans="2:6" x14ac:dyDescent="0.25">
      <c r="B179">
        <v>162</v>
      </c>
      <c r="C179">
        <f t="shared" si="18"/>
        <v>1472.3967581478933</v>
      </c>
      <c r="D179">
        <f t="shared" si="19"/>
        <v>1472.3967581478939</v>
      </c>
      <c r="E179">
        <f t="shared" si="20"/>
        <v>0</v>
      </c>
      <c r="F179" s="30">
        <f t="shared" si="17"/>
        <v>45.000000000000007</v>
      </c>
    </row>
    <row r="180" spans="2:6" x14ac:dyDescent="0.25">
      <c r="B180">
        <v>163</v>
      </c>
      <c r="C180">
        <f t="shared" si="18"/>
        <v>1473.1923993447667</v>
      </c>
      <c r="D180">
        <f t="shared" si="19"/>
        <v>1473.192399344767</v>
      </c>
      <c r="E180">
        <f t="shared" si="20"/>
        <v>0</v>
      </c>
      <c r="F180" s="30">
        <f t="shared" si="17"/>
        <v>45.000000000000007</v>
      </c>
    </row>
    <row r="181" spans="2:6" x14ac:dyDescent="0.25">
      <c r="B181">
        <v>164</v>
      </c>
      <c r="C181">
        <f t="shared" si="18"/>
        <v>1473.9880405416397</v>
      </c>
      <c r="D181">
        <f t="shared" si="19"/>
        <v>1473.9880405416402</v>
      </c>
      <c r="E181">
        <f t="shared" si="20"/>
        <v>0</v>
      </c>
      <c r="F181" s="30">
        <f t="shared" si="17"/>
        <v>45.000000000000007</v>
      </c>
    </row>
    <row r="182" spans="2:6" x14ac:dyDescent="0.25">
      <c r="B182">
        <v>165</v>
      </c>
      <c r="C182">
        <f t="shared" si="18"/>
        <v>1474.7836817385128</v>
      </c>
      <c r="D182">
        <f t="shared" si="19"/>
        <v>1474.7836817385132</v>
      </c>
      <c r="E182">
        <f t="shared" si="20"/>
        <v>0</v>
      </c>
      <c r="F182" s="30">
        <f t="shared" si="17"/>
        <v>45.000000000000007</v>
      </c>
    </row>
    <row r="183" spans="2:6" x14ac:dyDescent="0.25">
      <c r="B183">
        <v>166</v>
      </c>
      <c r="C183">
        <f t="shared" si="18"/>
        <v>1475.5793229353862</v>
      </c>
      <c r="D183">
        <f t="shared" si="19"/>
        <v>1475.5793229353865</v>
      </c>
      <c r="E183">
        <f t="shared" si="20"/>
        <v>0</v>
      </c>
      <c r="F183" s="30">
        <f t="shared" si="17"/>
        <v>45.000000000000007</v>
      </c>
    </row>
    <row r="184" spans="2:6" x14ac:dyDescent="0.25">
      <c r="B184">
        <v>167</v>
      </c>
      <c r="C184">
        <f t="shared" si="18"/>
        <v>1476.3749641322593</v>
      </c>
      <c r="D184">
        <f t="shared" si="19"/>
        <v>1476.3749641322597</v>
      </c>
      <c r="E184">
        <f t="shared" si="20"/>
        <v>0</v>
      </c>
      <c r="F184" s="30">
        <f t="shared" si="17"/>
        <v>45.000000000000007</v>
      </c>
    </row>
    <row r="185" spans="2:6" x14ac:dyDescent="0.25">
      <c r="B185">
        <v>168</v>
      </c>
      <c r="C185">
        <f t="shared" si="18"/>
        <v>1477.1706053291323</v>
      </c>
      <c r="D185">
        <f t="shared" si="19"/>
        <v>1477.1706053291327</v>
      </c>
      <c r="E185">
        <f t="shared" si="20"/>
        <v>0</v>
      </c>
      <c r="F185" s="30">
        <f t="shared" si="17"/>
        <v>45.000000000000007</v>
      </c>
    </row>
    <row r="186" spans="2:6" x14ac:dyDescent="0.25">
      <c r="B186">
        <v>169</v>
      </c>
      <c r="C186">
        <f t="shared" si="18"/>
        <v>1477.9662465260058</v>
      </c>
      <c r="D186">
        <f t="shared" si="19"/>
        <v>1477.966246526006</v>
      </c>
      <c r="E186">
        <f t="shared" si="20"/>
        <v>0</v>
      </c>
      <c r="F186" s="30">
        <f t="shared" si="17"/>
        <v>45.000000000000007</v>
      </c>
    </row>
    <row r="187" spans="2:6" x14ac:dyDescent="0.25">
      <c r="B187">
        <v>170</v>
      </c>
      <c r="C187">
        <f t="shared" si="18"/>
        <v>1478.7618877228788</v>
      </c>
      <c r="D187">
        <f t="shared" si="19"/>
        <v>1478.7618877228792</v>
      </c>
      <c r="E187">
        <f t="shared" si="20"/>
        <v>0</v>
      </c>
      <c r="F187" s="30">
        <f t="shared" si="17"/>
        <v>45.000000000000007</v>
      </c>
    </row>
    <row r="188" spans="2:6" x14ac:dyDescent="0.25">
      <c r="B188">
        <v>171</v>
      </c>
      <c r="C188">
        <f t="shared" si="18"/>
        <v>1479.5575289197518</v>
      </c>
      <c r="D188">
        <f t="shared" si="19"/>
        <v>1479.5575289197523</v>
      </c>
      <c r="E188">
        <f t="shared" si="20"/>
        <v>0</v>
      </c>
      <c r="F188" s="30">
        <f t="shared" si="17"/>
        <v>45.000000000000007</v>
      </c>
    </row>
    <row r="189" spans="2:6" x14ac:dyDescent="0.25">
      <c r="B189">
        <v>172</v>
      </c>
      <c r="C189">
        <f t="shared" si="18"/>
        <v>1480.3531701166253</v>
      </c>
      <c r="D189">
        <f t="shared" si="19"/>
        <v>1480.3531701166255</v>
      </c>
      <c r="E189">
        <f t="shared" si="20"/>
        <v>0</v>
      </c>
      <c r="F189" s="30">
        <f t="shared" si="17"/>
        <v>45.000000000000007</v>
      </c>
    </row>
    <row r="190" spans="2:6" x14ac:dyDescent="0.25">
      <c r="B190">
        <v>173</v>
      </c>
      <c r="C190">
        <f t="shared" si="18"/>
        <v>1481.1488113134983</v>
      </c>
      <c r="D190">
        <f t="shared" si="19"/>
        <v>1481.1488113134988</v>
      </c>
      <c r="E190">
        <f t="shared" si="20"/>
        <v>0</v>
      </c>
      <c r="F190" s="30">
        <f t="shared" si="17"/>
        <v>45.000000000000007</v>
      </c>
    </row>
    <row r="191" spans="2:6" x14ac:dyDescent="0.25">
      <c r="B191">
        <v>174</v>
      </c>
      <c r="C191">
        <f t="shared" si="18"/>
        <v>1481.9444525103713</v>
      </c>
      <c r="D191">
        <f t="shared" si="19"/>
        <v>1481.9444525103718</v>
      </c>
      <c r="E191">
        <f t="shared" si="20"/>
        <v>0</v>
      </c>
      <c r="F191" s="30">
        <f t="shared" si="17"/>
        <v>45.000000000000007</v>
      </c>
    </row>
    <row r="192" spans="2:6" x14ac:dyDescent="0.25">
      <c r="B192">
        <v>175</v>
      </c>
      <c r="C192">
        <f t="shared" si="18"/>
        <v>1482.7400937072448</v>
      </c>
      <c r="D192">
        <f t="shared" si="19"/>
        <v>1482.740093707245</v>
      </c>
      <c r="E192">
        <f t="shared" si="20"/>
        <v>0</v>
      </c>
      <c r="F192" s="30">
        <f t="shared" si="17"/>
        <v>45.000000000000007</v>
      </c>
    </row>
    <row r="193" spans="2:6" x14ac:dyDescent="0.25">
      <c r="B193">
        <v>176</v>
      </c>
      <c r="C193">
        <f t="shared" si="18"/>
        <v>1483.5357349041178</v>
      </c>
      <c r="D193">
        <f t="shared" si="19"/>
        <v>1483.535734904118</v>
      </c>
      <c r="E193">
        <f t="shared" si="20"/>
        <v>0</v>
      </c>
      <c r="F193" s="30">
        <f t="shared" si="17"/>
        <v>45.000000000000007</v>
      </c>
    </row>
    <row r="194" spans="2:6" x14ac:dyDescent="0.25">
      <c r="B194">
        <v>177</v>
      </c>
      <c r="C194">
        <f t="shared" si="18"/>
        <v>1484.3313761009908</v>
      </c>
      <c r="D194">
        <f t="shared" si="19"/>
        <v>1484.3313761009913</v>
      </c>
      <c r="E194">
        <f t="shared" si="20"/>
        <v>0</v>
      </c>
      <c r="F194" s="30">
        <f t="shared" si="17"/>
        <v>45.000000000000007</v>
      </c>
    </row>
    <row r="195" spans="2:6" x14ac:dyDescent="0.25">
      <c r="B195">
        <v>178</v>
      </c>
      <c r="C195">
        <f t="shared" si="18"/>
        <v>1485.1270172978643</v>
      </c>
      <c r="D195">
        <f t="shared" si="19"/>
        <v>1485.1270172978645</v>
      </c>
      <c r="E195">
        <f t="shared" si="20"/>
        <v>0</v>
      </c>
      <c r="F195" s="30">
        <f t="shared" si="17"/>
        <v>45.000000000000007</v>
      </c>
    </row>
    <row r="196" spans="2:6" x14ac:dyDescent="0.25">
      <c r="B196">
        <v>179</v>
      </c>
      <c r="C196">
        <f t="shared" si="18"/>
        <v>1485.9226584947373</v>
      </c>
      <c r="D196">
        <f t="shared" si="19"/>
        <v>1485.9226584947376</v>
      </c>
      <c r="E196">
        <f t="shared" si="20"/>
        <v>0</v>
      </c>
      <c r="F196" s="30">
        <f t="shared" si="17"/>
        <v>45.000000000000007</v>
      </c>
    </row>
    <row r="197" spans="2:6" x14ac:dyDescent="0.25">
      <c r="B197">
        <v>180</v>
      </c>
      <c r="C197">
        <f t="shared" si="18"/>
        <v>1486.7182996916104</v>
      </c>
      <c r="D197">
        <f t="shared" si="19"/>
        <v>1486.7182996916108</v>
      </c>
      <c r="E197">
        <f t="shared" si="20"/>
        <v>0</v>
      </c>
      <c r="F197" s="30">
        <f t="shared" si="17"/>
        <v>45.000000000000007</v>
      </c>
    </row>
    <row r="198" spans="2:6" x14ac:dyDescent="0.25">
      <c r="B198">
        <v>181</v>
      </c>
      <c r="C198">
        <f t="shared" si="18"/>
        <v>1487.5139408884838</v>
      </c>
      <c r="D198">
        <f t="shared" si="19"/>
        <v>1487.5139408884841</v>
      </c>
      <c r="E198">
        <f t="shared" si="20"/>
        <v>0</v>
      </c>
      <c r="F198" s="30">
        <f t="shared" si="17"/>
        <v>45.000000000000007</v>
      </c>
    </row>
    <row r="199" spans="2:6" x14ac:dyDescent="0.25">
      <c r="B199">
        <v>182</v>
      </c>
      <c r="C199">
        <f t="shared" si="18"/>
        <v>1488.3095820853569</v>
      </c>
      <c r="D199">
        <f t="shared" si="19"/>
        <v>1488.3095820853571</v>
      </c>
      <c r="E199">
        <f t="shared" si="20"/>
        <v>0</v>
      </c>
      <c r="F199" s="30">
        <f t="shared" si="17"/>
        <v>45.000000000000007</v>
      </c>
    </row>
    <row r="200" spans="2:6" x14ac:dyDescent="0.25">
      <c r="B200">
        <v>183</v>
      </c>
      <c r="C200">
        <f t="shared" si="18"/>
        <v>1489.1052232822299</v>
      </c>
      <c r="D200">
        <f t="shared" si="19"/>
        <v>1489.1052232822303</v>
      </c>
      <c r="E200">
        <f t="shared" si="20"/>
        <v>0</v>
      </c>
      <c r="F200" s="30">
        <f t="shared" si="17"/>
        <v>45.000000000000007</v>
      </c>
    </row>
    <row r="201" spans="2:6" x14ac:dyDescent="0.25">
      <c r="B201">
        <v>184</v>
      </c>
      <c r="C201">
        <f t="shared" si="18"/>
        <v>1489.9008644791033</v>
      </c>
      <c r="D201">
        <f t="shared" si="19"/>
        <v>1489.9008644791036</v>
      </c>
      <c r="E201">
        <f t="shared" si="20"/>
        <v>0</v>
      </c>
      <c r="F201" s="30">
        <f t="shared" si="17"/>
        <v>45.000000000000007</v>
      </c>
    </row>
    <row r="202" spans="2:6" x14ac:dyDescent="0.25">
      <c r="B202">
        <v>185</v>
      </c>
      <c r="C202">
        <f t="shared" si="18"/>
        <v>1490.6965056759764</v>
      </c>
      <c r="D202">
        <f t="shared" si="19"/>
        <v>1490.6965056759766</v>
      </c>
      <c r="E202">
        <f t="shared" si="20"/>
        <v>0</v>
      </c>
      <c r="F202" s="30">
        <f t="shared" si="17"/>
        <v>45.000000000000007</v>
      </c>
    </row>
    <row r="203" spans="2:6" x14ac:dyDescent="0.25">
      <c r="B203">
        <v>186</v>
      </c>
      <c r="C203">
        <f t="shared" si="18"/>
        <v>1491.4921468728494</v>
      </c>
      <c r="D203">
        <f t="shared" si="19"/>
        <v>1491.4921468728498</v>
      </c>
      <c r="E203">
        <f t="shared" si="20"/>
        <v>0</v>
      </c>
      <c r="F203" s="30">
        <f t="shared" si="17"/>
        <v>45.000000000000007</v>
      </c>
    </row>
    <row r="204" spans="2:6" x14ac:dyDescent="0.25">
      <c r="B204">
        <v>187</v>
      </c>
      <c r="C204">
        <f t="shared" si="18"/>
        <v>1492.2877880697229</v>
      </c>
      <c r="D204">
        <f t="shared" si="19"/>
        <v>1492.2877880697231</v>
      </c>
      <c r="E204">
        <f t="shared" si="20"/>
        <v>0</v>
      </c>
      <c r="F204" s="30">
        <f t="shared" si="17"/>
        <v>45.000000000000007</v>
      </c>
    </row>
    <row r="205" spans="2:6" x14ac:dyDescent="0.25">
      <c r="B205">
        <v>188</v>
      </c>
      <c r="C205">
        <f t="shared" si="18"/>
        <v>1493.0834292665959</v>
      </c>
      <c r="D205">
        <f t="shared" si="19"/>
        <v>1493.0834292665961</v>
      </c>
      <c r="E205">
        <f t="shared" si="20"/>
        <v>0</v>
      </c>
      <c r="F205" s="30">
        <f t="shared" si="17"/>
        <v>45.000000000000007</v>
      </c>
    </row>
    <row r="206" spans="2:6" x14ac:dyDescent="0.25">
      <c r="B206">
        <v>189</v>
      </c>
      <c r="C206">
        <f t="shared" si="18"/>
        <v>1493.8790704634689</v>
      </c>
      <c r="D206">
        <f t="shared" si="19"/>
        <v>1493.8790704634694</v>
      </c>
      <c r="E206">
        <f t="shared" si="20"/>
        <v>0</v>
      </c>
      <c r="F206" s="30">
        <f t="shared" si="17"/>
        <v>45.000000000000007</v>
      </c>
    </row>
    <row r="207" spans="2:6" x14ac:dyDescent="0.25">
      <c r="B207">
        <v>190</v>
      </c>
      <c r="C207">
        <f t="shared" si="18"/>
        <v>1494.6747116603424</v>
      </c>
      <c r="D207">
        <f t="shared" si="19"/>
        <v>1494.6747116603426</v>
      </c>
      <c r="E207">
        <f t="shared" si="20"/>
        <v>0</v>
      </c>
      <c r="F207" s="30">
        <f t="shared" si="17"/>
        <v>45.000000000000007</v>
      </c>
    </row>
    <row r="208" spans="2:6" x14ac:dyDescent="0.25">
      <c r="B208">
        <v>191</v>
      </c>
      <c r="C208">
        <f t="shared" si="18"/>
        <v>1495.4703528572154</v>
      </c>
      <c r="D208">
        <f t="shared" si="19"/>
        <v>1495.4703528572156</v>
      </c>
      <c r="E208">
        <f t="shared" si="20"/>
        <v>0</v>
      </c>
      <c r="F208" s="30">
        <f t="shared" si="17"/>
        <v>45.000000000000007</v>
      </c>
    </row>
    <row r="209" spans="2:6" x14ac:dyDescent="0.25">
      <c r="B209">
        <v>192</v>
      </c>
      <c r="C209">
        <f t="shared" ref="C209:C216" si="21">COS(PI()/180*_Theta)*_vyps*B209+_xShip+__xL</f>
        <v>1496.2659940540884</v>
      </c>
      <c r="D209">
        <f t="shared" ref="D209:D216" si="22">SIN(PI()/180*_Theta)*_vyps*B209+_yShip+_yL</f>
        <v>1496.2659940540889</v>
      </c>
      <c r="E209">
        <f t="shared" ref="E209:E216" si="23">B209*CONVERT(CONVERT(_vSub,"kn","m/sec"),"m","yd")</f>
        <v>0</v>
      </c>
      <c r="F209" s="30">
        <f t="shared" si="17"/>
        <v>45.000000000000007</v>
      </c>
    </row>
    <row r="210" spans="2:6" x14ac:dyDescent="0.25">
      <c r="B210">
        <v>193</v>
      </c>
      <c r="C210">
        <f t="shared" si="21"/>
        <v>1497.0616352509619</v>
      </c>
      <c r="D210">
        <f t="shared" si="22"/>
        <v>1497.0616352509621</v>
      </c>
      <c r="E210">
        <f t="shared" si="23"/>
        <v>0</v>
      </c>
      <c r="F210" s="30">
        <f t="shared" ref="F210:F216" si="24">ATAN2(C210,D210-E210)*180/PI()</f>
        <v>45.000000000000007</v>
      </c>
    </row>
    <row r="211" spans="2:6" x14ac:dyDescent="0.25">
      <c r="B211">
        <v>194</v>
      </c>
      <c r="C211">
        <f t="shared" si="21"/>
        <v>1497.8572764478349</v>
      </c>
      <c r="D211">
        <f t="shared" si="22"/>
        <v>1497.8572764478351</v>
      </c>
      <c r="E211">
        <f t="shared" si="23"/>
        <v>0</v>
      </c>
      <c r="F211" s="30">
        <f t="shared" si="24"/>
        <v>45.000000000000007</v>
      </c>
    </row>
    <row r="212" spans="2:6" x14ac:dyDescent="0.25">
      <c r="B212">
        <v>195</v>
      </c>
      <c r="C212">
        <f t="shared" si="21"/>
        <v>1498.6529176447079</v>
      </c>
      <c r="D212">
        <f t="shared" si="22"/>
        <v>1498.6529176447084</v>
      </c>
      <c r="E212">
        <f t="shared" si="23"/>
        <v>0</v>
      </c>
      <c r="F212" s="30">
        <f t="shared" si="24"/>
        <v>45.000000000000007</v>
      </c>
    </row>
    <row r="213" spans="2:6" x14ac:dyDescent="0.25">
      <c r="B213">
        <v>196</v>
      </c>
      <c r="C213">
        <f t="shared" si="21"/>
        <v>1499.4485588415814</v>
      </c>
      <c r="D213">
        <f t="shared" si="22"/>
        <v>1499.4485588415816</v>
      </c>
      <c r="E213">
        <f t="shared" si="23"/>
        <v>0</v>
      </c>
      <c r="F213" s="30">
        <f t="shared" si="24"/>
        <v>45.000000000000007</v>
      </c>
    </row>
    <row r="214" spans="2:6" x14ac:dyDescent="0.25">
      <c r="B214">
        <v>197</v>
      </c>
      <c r="C214">
        <f t="shared" si="21"/>
        <v>1500.2442000384544</v>
      </c>
      <c r="D214">
        <f t="shared" si="22"/>
        <v>1500.2442000384547</v>
      </c>
      <c r="E214">
        <f t="shared" si="23"/>
        <v>0</v>
      </c>
      <c r="F214" s="30">
        <f t="shared" si="24"/>
        <v>45.000000000000007</v>
      </c>
    </row>
    <row r="215" spans="2:6" x14ac:dyDescent="0.25">
      <c r="B215">
        <v>198</v>
      </c>
      <c r="C215">
        <f t="shared" si="21"/>
        <v>1501.0398412353275</v>
      </c>
      <c r="D215">
        <f t="shared" si="22"/>
        <v>1501.0398412353279</v>
      </c>
      <c r="E215">
        <f t="shared" si="23"/>
        <v>0</v>
      </c>
      <c r="F215" s="30">
        <f t="shared" si="24"/>
        <v>45.000000000000007</v>
      </c>
    </row>
    <row r="216" spans="2:6" x14ac:dyDescent="0.25">
      <c r="B216">
        <v>199</v>
      </c>
      <c r="C216">
        <f t="shared" si="21"/>
        <v>1501.8354824322009</v>
      </c>
      <c r="D216">
        <f t="shared" si="22"/>
        <v>1501.8354824322012</v>
      </c>
      <c r="E216">
        <f t="shared" si="23"/>
        <v>0</v>
      </c>
      <c r="F216" s="30">
        <f t="shared" si="24"/>
        <v>45.000000000000007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161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19-Dec-2025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19-Dec-2025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2025-12-19T22:33:50Z</dcterms:modified>
</cp:coreProperties>
</file>