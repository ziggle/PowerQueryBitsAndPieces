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0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201EA6D-3555-4DCA-8B3A-9516D67CDE69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6" i="6" l="1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5" i="11" l="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<sst xmlns="http://schemas.openxmlformats.org/spreadsheetml/2006/main" count="637" uniqueCount="551">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</sst>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$&quot;#,##0.00_);[Red]\(&quot;$&quot;#,##0.00\)"/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7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57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2" priority="25" stopIfTrue="1">
      <formula>MOD(ROW(N9)-ROW($B$9),2)</formula>
    </cfRule>
  </conditionalFormatting>
  <conditionalFormatting sqref="O10:X60">
    <cfRule type="expression" dxfId="21" priority="64">
      <formula>MOD(ROW(O10)-ROW($O$258),2)</formula>
    </cfRule>
  </conditionalFormatting>
  <conditionalFormatting sqref="O45">
    <cfRule type="expression" dxfId="20" priority="20">
      <formula>MOD(ROW(O45)-ROW($O$258),2)</formula>
    </cfRule>
  </conditionalFormatting>
  <conditionalFormatting sqref="O46:O52">
    <cfRule type="expression" dxfId="19" priority="19">
      <formula>MOD(ROW(O46)-ROW($O$258),2)</formula>
    </cfRule>
  </conditionalFormatting>
  <conditionalFormatting sqref="P46:X46">
    <cfRule type="expression" dxfId="18" priority="18">
      <formula>MOD(ROW(P46)-ROW($O$258),2)</formula>
    </cfRule>
  </conditionalFormatting>
  <conditionalFormatting sqref="O48:X48">
    <cfRule type="expression" dxfId="17" priority="17">
      <formula>MOD(ROW(O48)-ROW($O$258),2)</formula>
    </cfRule>
  </conditionalFormatting>
  <conditionalFormatting sqref="P48:X48">
    <cfRule type="expression" dxfId="16" priority="16">
      <formula>MOD(ROW(P48)-ROW($O$258),2)</formula>
    </cfRule>
  </conditionalFormatting>
  <conditionalFormatting sqref="O49:X49">
    <cfRule type="expression" dxfId="15" priority="14">
      <formula>MOD(ROW(O49)-ROW($O$258),2)</formula>
    </cfRule>
  </conditionalFormatting>
  <conditionalFormatting sqref="O50:X50">
    <cfRule type="expression" dxfId="14" priority="13">
      <formula>MOD(ROW(O50)-ROW($O$258),2)</formula>
    </cfRule>
  </conditionalFormatting>
  <conditionalFormatting sqref="P50:X50">
    <cfRule type="expression" dxfId="13" priority="12">
      <formula>MOD(ROW(P50)-ROW($O$258),2)</formula>
    </cfRule>
  </conditionalFormatting>
  <conditionalFormatting sqref="O51:X51">
    <cfRule type="expression" dxfId="12" priority="10">
      <formula>MOD(ROW(O51)-ROW($O$258),2)</formula>
    </cfRule>
  </conditionalFormatting>
  <conditionalFormatting sqref="O52:X52">
    <cfRule type="expression" dxfId="11" priority="9">
      <formula>MOD(ROW(O52)-ROW($O$258),2)</formula>
    </cfRule>
  </conditionalFormatting>
  <conditionalFormatting sqref="O52:X52">
    <cfRule type="expression" dxfId="10" priority="8">
      <formula>MOD(ROW(O52)-ROW($O$258),2)</formula>
    </cfRule>
  </conditionalFormatting>
  <conditionalFormatting sqref="P52:X52">
    <cfRule type="expression" dxfId="9" priority="7">
      <formula>MOD(ROW(P52)-ROW($O$258),2)</formula>
    </cfRule>
  </conditionalFormatting>
  <conditionalFormatting sqref="P54:X54">
    <cfRule type="expression" dxfId="8" priority="2">
      <formula>MOD(ROW(P54)-ROW($O$258),2)</formula>
    </cfRule>
  </conditionalFormatting>
  <conditionalFormatting sqref="P53:X53">
    <cfRule type="expression" dxfId="7" priority="1">
      <formula>MOD(ROW(P53)-ROW($O$258),2)</formula>
    </cfRule>
  </conditionalFormatting>
  <conditionalFormatting sqref="J375">
    <cfRule type="expression" dxfId="6" priority="65" stopIfTrue="1">
      <formula>MOD(ROW(J375)-ROW($B$9),2)</formula>
    </cfRule>
  </conditionalFormatting>
  <conditionalFormatting sqref="B10:K374">
    <cfRule type="expression" dxfId="5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5" activePane="bottomLeft" state="frozen"/>
      <selection pane="bottomLeft" activeCell="Q12" sqref="Q12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541</v>
      </c>
      <c r="H4" s="2" t="s">
        <v>6</v>
      </c>
      <c r="I4" s="2" t="s">
        <v>540</v>
      </c>
      <c r="J4" s="4" t="s">
        <v>542</v>
      </c>
      <c r="K4" s="2" t="s">
        <v>7</v>
      </c>
      <c r="L4" s="1" t="s">
        <v>539</v>
      </c>
      <c r="M4" s="9" t="s">
        <v>23</v>
      </c>
      <c r="N4" s="15"/>
      <c r="O4" s="40" t="s">
        <v>543</v>
      </c>
      <c r="P4" s="45" t="str" cm="1">
        <f t="array" ref="P4:X4">_nHd</f>
        <v>Excel Drill</v>
      </c>
      <c r="Q4" s="45" t="str">
        <v>Meds</v>
      </c>
      <c r="R4" s="45" t="str">
        <v>Weight Lift</v>
      </c>
      <c r="S4" s="45" t="str">
        <v>Walk</v>
      </c>
      <c r="T4" s="45" t="str">
        <v>German Crossword</v>
      </c>
      <c r="U4" s="45" t="str">
        <v>German Vocab</v>
      </c>
      <c r="V4" s="45" t="str">
        <v>German Conjugation</v>
      </c>
      <c r="W4" s="45" t="str">
        <v>German Reading/W Practice</v>
      </c>
      <c r="X4" s="46" t="str">
        <v>CSS Drill</v>
      </c>
    </row>
    <row r="5" spans="2:26" ht="13.5" thickTop="1" x14ac:dyDescent="0.2">
      <c r="B5" s="43" t="str" cm="1">
        <f t="array" aca="1" ref="B5:B1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5" ca="1">_xlfn.BYROW(_xlfn.TAKE(Banded,,1),_xleta.WEEKNUM)</f>
        <v>1</v>
      </c>
      <c r="M5" cm="1">
        <f t="array" ref="M5:M15">_xlfn.BYROW(_xlfn.DROP(Banded,,1),_xleta.SUM)</f>
        <v>7</v>
      </c>
      <c r="O5" s="39" cm="1">
        <f t="array" aca="1" ref="O5:X7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3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9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3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9">
        <f ca="1"/>
        <v>3</v>
      </c>
      <c r="P7" s="5">
        <f ca="1"/>
        <v>1</v>
      </c>
      <c r="Q7" s="5">
        <f ca="1"/>
        <v>1</v>
      </c>
      <c r="R7" s="5">
        <f ca="1"/>
        <v>0</v>
      </c>
      <c r="S7" s="5">
        <f ca="1"/>
        <v>0</v>
      </c>
      <c r="T7" s="5">
        <f ca="1"/>
        <v>1</v>
      </c>
      <c r="U7" s="5">
        <f ca="1"/>
        <v>1</v>
      </c>
      <c r="V7" s="5">
        <f ca="1"/>
        <v>1</v>
      </c>
      <c r="W7" s="5">
        <f ca="1"/>
        <v>1</v>
      </c>
      <c r="X7" s="5">
        <f ca="1"/>
        <v>1</v>
      </c>
    </row>
    <row r="8" spans="2:26" x14ac:dyDescent="0.2">
      <c r="B8" s="44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9"/>
      <c r="Z8" t="s">
        <v>13</v>
      </c>
    </row>
    <row r="9" spans="2:26" x14ac:dyDescent="0.2">
      <c r="B9" s="44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9"/>
      <c r="Z9" t="s">
        <v>14</v>
      </c>
    </row>
    <row r="10" spans="2:26" x14ac:dyDescent="0.2">
      <c r="B10" s="44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9"/>
      <c r="Z10" t="s">
        <v>15</v>
      </c>
    </row>
    <row r="11" spans="2:26" x14ac:dyDescent="0.2">
      <c r="B11" s="44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9"/>
    </row>
    <row r="12" spans="2:26" x14ac:dyDescent="0.2">
      <c r="B12" s="44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9"/>
    </row>
    <row r="13" spans="2:26" x14ac:dyDescent="0.2">
      <c r="B13" s="44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9"/>
    </row>
    <row r="14" spans="2:26" x14ac:dyDescent="0.2">
      <c r="B14" s="44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9"/>
    </row>
    <row r="15" spans="2:26" x14ac:dyDescent="0.2">
      <c r="B15" s="44" t="str">
        <f ca="1"/>
        <v>11-Jan</v>
      </c>
      <c r="C15" s="5">
        <v>1</v>
      </c>
      <c r="D15" s="5">
        <v>1</v>
      </c>
      <c r="E15" s="5">
        <v>0</v>
      </c>
      <c r="F15" s="5">
        <v>0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7</v>
      </c>
      <c r="O15" s="39"/>
    </row>
    <row r="16" spans="2:26" x14ac:dyDescent="0.2">
      <c r="B16" s="44"/>
      <c r="C16" s="5"/>
      <c r="D16" s="5"/>
      <c r="E16" s="5"/>
      <c r="F16" s="5"/>
      <c r="G16" s="5"/>
      <c r="H16" s="5"/>
      <c r="I16" s="5"/>
      <c r="J16" s="5"/>
      <c r="K16" s="5"/>
      <c r="O16" s="39"/>
    </row>
    <row r="17" spans="2:15" x14ac:dyDescent="0.2">
      <c r="B17" s="44"/>
      <c r="C17" s="5"/>
      <c r="D17" s="5"/>
      <c r="E17" s="5"/>
      <c r="F17" s="5"/>
      <c r="G17" s="5"/>
      <c r="H17" s="5"/>
      <c r="I17" s="5"/>
      <c r="J17" s="5"/>
      <c r="K17" s="5"/>
      <c r="O17" s="39"/>
    </row>
    <row r="18" spans="2:15" x14ac:dyDescent="0.2">
      <c r="B18" s="44"/>
      <c r="C18" s="5"/>
      <c r="D18" s="5"/>
      <c r="E18" s="5"/>
      <c r="F18" s="5"/>
      <c r="G18" s="5"/>
      <c r="H18" s="5"/>
      <c r="I18" s="5"/>
      <c r="J18" s="5"/>
      <c r="K18" s="5"/>
      <c r="O18" s="39"/>
    </row>
    <row r="19" spans="2:15" x14ac:dyDescent="0.2">
      <c r="B19" s="44"/>
      <c r="C19" s="5"/>
      <c r="D19" s="5"/>
      <c r="E19" s="5"/>
      <c r="F19" s="5"/>
      <c r="G19" s="5"/>
      <c r="H19" s="5"/>
      <c r="I19" s="5"/>
      <c r="J19" s="5"/>
      <c r="K19" s="5"/>
      <c r="O19" s="39"/>
    </row>
    <row r="20" spans="2:15" x14ac:dyDescent="0.2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</row>
    <row r="21" spans="2:15" x14ac:dyDescent="0.2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">
      <c r="B25" s="43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">
      <c r="B26" s="43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">
      <c r="B27" s="43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">
      <c r="B28" s="43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">
      <c r="B29" s="43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24" x14ac:dyDescent="0.2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24" x14ac:dyDescent="0.2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24" x14ac:dyDescent="0.2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24" x14ac:dyDescent="0.2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24" x14ac:dyDescent="0.2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24" x14ac:dyDescent="0.2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24" x14ac:dyDescent="0.2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24" x14ac:dyDescent="0.2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24" x14ac:dyDescent="0.2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24" x14ac:dyDescent="0.2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24" x14ac:dyDescent="0.2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24" x14ac:dyDescent="0.2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24" x14ac:dyDescent="0.2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24" x14ac:dyDescent="0.2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24" x14ac:dyDescent="0.2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24" x14ac:dyDescent="0.2">
      <c r="B96" s="43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3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3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3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3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3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3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3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3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3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3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3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3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3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3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3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3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3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3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3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3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3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3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3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3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3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3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3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3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3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3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3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3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3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3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3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3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3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3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3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3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3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3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3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3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3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3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3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3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3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3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3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3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3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3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3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3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3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3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3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3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3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3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3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3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3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3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3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3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3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3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3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3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3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3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3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3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3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3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3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3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3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3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3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3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3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3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3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3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3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3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3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3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3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3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3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3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3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3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3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3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3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3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3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3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3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3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3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3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3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3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3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3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3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3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3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3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3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3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3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3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3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3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3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3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3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3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3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3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3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3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3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3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3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3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3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3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3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3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3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3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3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3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3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3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3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3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3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3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3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3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3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3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3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3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3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3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3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3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3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3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3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3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3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3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3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3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3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3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3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3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3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3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3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3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3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3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3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3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3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3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3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3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3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3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3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3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3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3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3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3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3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3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3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3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3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3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3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3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3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3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3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3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3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3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3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3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3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3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3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3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3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3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3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3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3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4" priority="4">
      <formula>AND(LEN($O5)&gt;0,MOD(ROW(O5)-ROW($O$4),2))</formula>
    </cfRule>
  </conditionalFormatting>
  <conditionalFormatting sqref="O5:O95">
    <cfRule type="expression" dxfId="3" priority="3">
      <formula>LEN(O5)=0</formula>
    </cfRule>
  </conditionalFormatting>
  <conditionalFormatting sqref="B5:K369">
    <cfRule type="expression" dxfId="2" priority="1" stopIfTrue="1">
      <formula>LEN($B5)=0</formula>
    </cfRule>
    <cfRule type="expression" dxfId="1" priority="2" stopIfTrue="1">
      <formula>(LEN($B5)&gt;0)*(MOD(ROW(B5)-ROW(B$4),2)=0)</formula>
    </cfRule>
    <cfRule type="expression" dxfId="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60" activePane="bottomLeft" state="frozen"/>
      <selection activeCell="A4" sqref="A4"/>
      <selection pane="bottomLeft" activeCell="E384" sqref="E384:X384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8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84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0</v>
      </c>
      <c r="V384" s="5">
        <v>0</v>
      </c>
      <c r="W384" s="5">
        <v>0</v>
      </c>
      <c r="X384" s="5">
        <v>0</v>
      </c>
      <c r="Z384">
        <v>0</v>
      </c>
    </row>
    <row r="389" spans="26:26" x14ac:dyDescent="0.2">
      <c r="Z389" s="41"/>
    </row>
    <row r="401" spans="6:6" x14ac:dyDescent="0.2">
      <c r="F401" s="42"/>
    </row>
  </sheetData>
  <conditionalFormatting sqref="D9:X339">
    <cfRule type="expression" dxfId="2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11-Jan-2026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544</v>
      </c>
      <c r="C35" t="s">
        <v>50</v>
      </c>
      <c r="D35" t="s">
        <v>545</v>
      </c>
      <c r="E35" t="s">
        <v>546</v>
      </c>
    </row>
    <row r="36" spans="2:11" x14ac:dyDescent="0.2">
      <c r="B36" t="s">
        <v>547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548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549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550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547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548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549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550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547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548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549</v>
      </c>
      <c r="C46">
        <v>1</v>
      </c>
      <c r="D46">
        <v>3</v>
      </c>
      <c r="E46">
        <v>11</v>
      </c>
    </row>
    <row r="47" spans="2:11" x14ac:dyDescent="0.2">
      <c r="B47" t="s">
        <v>550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B2" sqref="B2:C4"/>
    </sheetView>
  </sheetViews>
  <sheetFormatPr defaultRowHeight="12.75" x14ac:dyDescent="0.2"/>
  <cols>
    <col min="3" max="3" width="15.140625" bestFit="1" customWidth="1"/>
  </cols>
  <sheetData>
    <row r="2" spans="2:3" x14ac:dyDescent="0.2">
      <c r="B2" t="s">
        <v>171</v>
      </c>
      <c r="C2" s="38">
        <v>1302.9100000000001</v>
      </c>
    </row>
    <row r="3" spans="2:3" x14ac:dyDescent="0.2">
      <c r="B3" t="s">
        <v>172</v>
      </c>
      <c r="C3" s="38">
        <v>61022.73</v>
      </c>
    </row>
    <row r="4" spans="2:3" x14ac:dyDescent="0.2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11-Jan-2026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2026-01-12T01:16:09Z</dcterms:modified>
</cp:coreProperties>
</file>