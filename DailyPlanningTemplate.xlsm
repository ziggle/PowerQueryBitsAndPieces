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0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D2D600A7-B74E-4520-BA95-7962004EB9CA}" xr6:coauthVersionLast="47" xr6:coauthVersionMax="47" xr10:uidLastSave="{00000000-0000-0000-0000-000000000000}"/>
  <bookViews>
    <workbookView xWindow="-108" yWindow="-108" windowWidth="23256" windowHeight="12456" activeTab="2" xr2:uid="{AD5FE48E-9CE6-4EDE-8F69-E8FD3B4EAF42}"/>
  </bookViews>
  <sheets>
    <sheet name="Report" sheetId="1" r:id="rId1"/>
    <sheet name="PointTraining" sheetId="4" r:id="rId2"/>
    <sheet name="LongTermTraining" sheetId="3" r:id="rId3"/>
    <sheet name="Sheet1" sheetId="5" r:id="rId4"/>
    <sheet name="Sheet2" sheetId="6" r:id="rId5"/>
  </sheets>
  <definedNames>
    <definedName name="_date">_xlfn.DROP(_xlfn._TRO_ALL(Report!$B:$B),12)</definedName>
    <definedName name="_xlnm._FilterDatabase" localSheetId="0" hidden="1">Report!$P$24:$P$60</definedName>
    <definedName name="_nHd">Report!$C$9:$L$9</definedName>
    <definedName name="_xleta.COUNTA" hidden="1" xlm="1">#NAME?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_xlfn.DROP(_xlfn.TRIMRANGE(Report!$B:$L),1)</definedName>
    <definedName name="Banded2">_xlfn._TRO_ALL(Report!$P:$Y)</definedName>
    <definedName name="data">_xlfn.DROP(Banded,11,1)</definedName>
    <definedName name="Dynamic">_xlfn.VSTACK(Report!$P$9:$Y$9,Banded2)</definedName>
    <definedName name="fmt" localSheetId="0">_xlfn.DROP(_xlfn._TRO_ALL(Report!$C:$L),12)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_xlfn.DROP(_xlfn._TRO_ALL(Report!$M:$M),0)</definedName>
    <definedName name="_xlnm.Print_Area" localSheetId="2">_xlfn.DROP(_xlfn.TRIMRANGE(LongTermTraining!$D:$W),1)</definedName>
    <definedName name="_xlnm.Print_Area" localSheetId="0">_xlfn.DROP(_xlfn._TRO_ALL(Report!$B:$L),1)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" i="6" l="1"/>
  <c r="M3" i="6" a="1"/>
  <c r="M3" i="6" s="1"/>
  <c r="P60" i="5"/>
  <c r="P58" i="5"/>
  <c r="O60" i="5"/>
  <c r="O58" i="5"/>
  <c r="N58" i="5"/>
  <c r="J59" i="5" a="1"/>
  <c r="J44" i="5" a="1"/>
  <c r="B3" i="5" a="1"/>
  <c r="B3" i="5" s="1"/>
  <c r="Q9" i="1" a="1"/>
  <c r="Q9" i="1" s="1"/>
  <c r="Y9" i="3" a="1"/>
  <c r="D9" i="3" a="1"/>
  <c r="N10" i="1" a="1"/>
  <c r="B10" i="1" a="1"/>
  <c r="J59" i="5" l="1"/>
  <c r="K59" i="5" a="1"/>
  <c r="J44" i="5"/>
  <c r="K44" i="5" a="1"/>
  <c r="D9" i="3"/>
  <c r="Y9" i="3"/>
  <c r="N10" i="1"/>
  <c r="M21" i="1" a="1"/>
  <c r="B10" i="1"/>
  <c r="K59" i="5" l="1"/>
  <c r="K44" i="5"/>
  <c r="M21" i="1"/>
  <c r="P10" i="1" s="1" a="1"/>
  <c r="P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<sst xmlns="http://schemas.openxmlformats.org/spreadsheetml/2006/main" count="109" uniqueCount="79">
  <si>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</si>
  <si>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</si>
  <si>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</si>
  <si>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</si>
  <si>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</si>
  <si>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</si>
  <si>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</si>
  <si>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</si>
  <si>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</si>
  <si>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</si>
  <si>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</si>
  <si>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</si>
  <si>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</si>
  <si>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</si>
  <si>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</si>
  <si>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</si>
  <si>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</si>
  <si>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</si>
  <si>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</si>
  <si>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</si>
  <si>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</si>
  <si>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</si>
  <si>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</si>
  <si>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</si>
  <si>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</si>
  <si>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</si>
  <si>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</si>
  <si>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</si>
  <si>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</si>
  <si>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</si>
  <si>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</si>
  <si>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</si>
  <si>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</si>
  <si>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</si>
  <si>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</si>
  <si>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</si>
  <si>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</si>
  <si>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</si>
  <si>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</si>
  <si>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</si>
  <si>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</si>
  <si>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</si>
  <si>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</si>
  <si>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Drill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</si>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</sst>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5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</cellStyleXfs>
  <cellXfs count="28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</cellXfs>
  <cellStyles count="15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37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36"/>
      <tableStyleElement type="headerRow" dxfId="35"/>
      <tableStyleElement type="totalRow" dxfId="34"/>
      <tableStyleElement type="firstColumnStripe" dxfId="33"/>
      <tableStyleElement type="firstHeaderCell" dxfId="32"/>
      <tableStyleElement type="firstSubtotalColumn" dxfId="31"/>
      <tableStyleElement type="firstSubtotalRow" dxfId="30"/>
      <tableStyleElement type="secondSubtotalRow" dxfId="29"/>
      <tableStyleElement type="firstRowSubheading" dxfId="28"/>
      <tableStyleElement type="secondRowSubheading" dxfId="27"/>
      <tableStyleElement type="pageFieldLabels" dxfId="26"/>
      <tableStyleElement type="pageFieldValues" dxfId="25"/>
    </tableStyle>
    <tableStyle name="Biegert Table Standard" pivot="0" count="7" xr9:uid="{95B43237-2845-4068-A415-A5A3E7804959}">
      <tableStyleElement type="wholeTable" dxfId="24"/>
      <tableStyleElement type="headerRow" dxfId="23"/>
      <tableStyleElement type="totalRow" dxfId="22"/>
      <tableStyleElement type="firstColumn" dxfId="21"/>
      <tableStyleElement type="lastColumn" dxfId="20"/>
      <tableStyleElement type="firstRowStripe" dxfId="19"/>
      <tableStyleElement type="firstColumnStripe" dxfId="18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22/11/relationships/FeaturePropertyBag" Target="featurePropertyBag/featurePropertyBag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198120</xdr:colOff>
      <xdr:row>2</xdr:row>
      <xdr:rowOff>76200</xdr:rowOff>
    </xdr:from>
    <xdr:to>
      <xdr:col>29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31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26</xdr:col>
      <xdr:colOff>598170</xdr:colOff>
      <xdr:row>260</xdr:row>
      <xdr:rowOff>48260</xdr:rowOff>
    </xdr:from>
    <xdr:to>
      <xdr:col>29</xdr:col>
      <xdr:colOff>217170</xdr:colOff>
      <xdr:row>262</xdr:row>
      <xdr:rowOff>157480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764270" y="44104560"/>
          <a:ext cx="1447800" cy="4394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291</xdr:row>
          <xdr:rowOff>127000</xdr:rowOff>
        </xdr:from>
        <xdr:to>
          <xdr:col>26</xdr:col>
          <xdr:colOff>0</xdr:colOff>
          <xdr:row>345</xdr:row>
          <xdr:rowOff>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E64FE5FD-0960-61CF-74BD-A9CB051F4763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9:$Z$56" spid="_x0000_s891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572000" y="50045620"/>
              <a:ext cx="3596640" cy="892556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2540</xdr:colOff>
          <xdr:row>301</xdr:row>
          <xdr:rowOff>125730</xdr:rowOff>
        </xdr:from>
        <xdr:to>
          <xdr:col>26</xdr:col>
          <xdr:colOff>0</xdr:colOff>
          <xdr:row>355</xdr:row>
          <xdr:rowOff>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EA38C59D-649D-192D-9A34-4263BC6B39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9:$Z$57" spid="_x0000_s8913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4574540" y="51720750"/>
              <a:ext cx="3594100" cy="892683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E360"/>
  <sheetViews>
    <sheetView workbookViewId="0">
      <pane ySplit="9" topLeftCell="A348" activePane="bottomLeft" state="frozen"/>
      <selection pane="bottomLeft" activeCell="AB9" sqref="AB9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4" width="3.33203125" customWidth="1"/>
    <col min="16" max="16" width="19.109375" customWidth="1"/>
    <col min="17" max="24" width="3.33203125" style="5" bestFit="1" customWidth="1"/>
    <col min="25" max="25" width="3.33203125" style="5" customWidth="1"/>
    <col min="26" max="26" width="3.33203125" customWidth="1"/>
  </cols>
  <sheetData>
    <row r="5" spans="1:28" ht="13.8" x14ac:dyDescent="0.3">
      <c r="P5" s="10"/>
    </row>
    <row r="7" spans="1:28" ht="4.8" customHeight="1" thickBot="1" x14ac:dyDescent="0.3"/>
    <row r="8" spans="1:28" ht="13.8" hidden="1" thickBot="1" x14ac:dyDescent="0.3"/>
    <row r="9" spans="1:28" ht="121.2" thickBot="1" x14ac:dyDescent="0.3">
      <c r="A9" t="s">
        <v>1</v>
      </c>
      <c r="B9" s="3" t="s">
        <v>0</v>
      </c>
      <c r="C9" s="2" t="s">
        <v>11</v>
      </c>
      <c r="D9" s="2" t="s">
        <v>42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4" t="s">
        <v>43</v>
      </c>
      <c r="L9" s="2" t="s">
        <v>7</v>
      </c>
      <c r="M9" s="1"/>
      <c r="N9" s="9" t="s">
        <v>24</v>
      </c>
      <c r="O9" s="15"/>
      <c r="Q9" s="24" t="str" cm="1">
        <f t="array" ref="Q9:Z9">_nHd</f>
        <v>Excel Drill</v>
      </c>
      <c r="R9" s="24" t="str">
        <v>Meds</v>
      </c>
      <c r="S9" s="24" t="str">
        <v>Weight Lift</v>
      </c>
      <c r="T9" s="24" t="str">
        <v>Walk</v>
      </c>
      <c r="U9" s="24" t="str">
        <v>German Grammar</v>
      </c>
      <c r="V9" s="24" t="str">
        <v>German Vocab</v>
      </c>
      <c r="W9" s="24" t="str">
        <v>German Story Audio</v>
      </c>
      <c r="X9" s="24" t="str">
        <v>German Story Reading</v>
      </c>
      <c r="Y9" s="25" t="str">
        <v>Dynamic Drill</v>
      </c>
      <c r="Z9" s="25" t="str">
        <v>CSS Drill</v>
      </c>
    </row>
    <row r="10" spans="1:28" ht="13.8" thickTop="1" x14ac:dyDescent="0.25">
      <c r="B10" s="11" t="str" cm="1">
        <f t="array" aca="1" ref="B10:B355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2"/>
      <c r="J10" s="13"/>
      <c r="K10" s="13"/>
      <c r="L10" s="14"/>
      <c r="N10" cm="1">
        <f t="array" ref="N10:N355">_xlfn.BYROW(_xlfn.DROP(Banded,,1),_xleta.SUM)</f>
        <v>0</v>
      </c>
      <c r="P10" s="7" cm="1">
        <f t="array" aca="1" ref="P10:Z57" ca="1">_xlfn.PIVOTBY(ix,,data,_xleta.SUM,0,0)</f>
        <v>3</v>
      </c>
      <c r="Q10" s="5">
        <f ca="1"/>
        <v>7</v>
      </c>
      <c r="R10" s="5">
        <f ca="1"/>
        <v>0</v>
      </c>
      <c r="S10" s="5">
        <f ca="1"/>
        <v>4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Y10" s="5">
        <f ca="1"/>
        <v>5</v>
      </c>
      <c r="Z10" s="5">
        <f ca="1"/>
        <v>6</v>
      </c>
    </row>
    <row r="11" spans="1:28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2"/>
      <c r="J11" s="13"/>
      <c r="K11" s="13"/>
      <c r="L11" s="12"/>
      <c r="N11">
        <v>0</v>
      </c>
      <c r="P11" s="7">
        <f ca="1"/>
        <v>4</v>
      </c>
      <c r="Q11" s="5">
        <f ca="1"/>
        <v>7</v>
      </c>
      <c r="R11" s="5">
        <f ca="1"/>
        <v>0</v>
      </c>
      <c r="S11" s="5">
        <f ca="1"/>
        <v>4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Y11" s="5">
        <f ca="1"/>
        <v>7</v>
      </c>
      <c r="Z11" s="5">
        <f ca="1"/>
        <v>7</v>
      </c>
      <c r="AB11" t="s">
        <v>14</v>
      </c>
    </row>
    <row r="12" spans="1:28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2"/>
      <c r="J12" s="13"/>
      <c r="K12" s="13"/>
      <c r="L12" s="12"/>
      <c r="N12">
        <v>0</v>
      </c>
      <c r="P12" s="7">
        <f ca="1"/>
        <v>5</v>
      </c>
      <c r="Q12" s="5">
        <f ca="1"/>
        <v>7</v>
      </c>
      <c r="R12" s="5">
        <f ca="1"/>
        <v>0</v>
      </c>
      <c r="S12" s="5">
        <f ca="1"/>
        <v>4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Y12" s="5">
        <f ca="1"/>
        <v>7</v>
      </c>
      <c r="Z12" s="5">
        <f ca="1"/>
        <v>7</v>
      </c>
      <c r="AB12" t="s">
        <v>15</v>
      </c>
    </row>
    <row r="13" spans="1:28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2"/>
      <c r="J13" s="13"/>
      <c r="K13" s="13"/>
      <c r="L13" s="12"/>
      <c r="N13">
        <v>0</v>
      </c>
      <c r="P13" s="7">
        <f ca="1"/>
        <v>6</v>
      </c>
      <c r="Q13" s="5">
        <f ca="1"/>
        <v>7</v>
      </c>
      <c r="R13" s="5">
        <f ca="1"/>
        <v>0</v>
      </c>
      <c r="S13" s="5">
        <f ca="1"/>
        <v>2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Y13" s="5">
        <f ca="1"/>
        <v>7</v>
      </c>
      <c r="Z13" s="5">
        <f ca="1"/>
        <v>7</v>
      </c>
      <c r="AB13" t="s">
        <v>16</v>
      </c>
    </row>
    <row r="14" spans="1:28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2"/>
      <c r="J14" s="13"/>
      <c r="K14" s="13"/>
      <c r="L14" s="12"/>
      <c r="N14">
        <v>0</v>
      </c>
      <c r="P14" s="7">
        <f ca="1"/>
        <v>7</v>
      </c>
      <c r="Q14" s="5">
        <f ca="1"/>
        <v>7</v>
      </c>
      <c r="R14" s="5">
        <f ca="1"/>
        <v>0</v>
      </c>
      <c r="S14" s="5">
        <f ca="1"/>
        <v>4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  <c r="Y14" s="5">
        <f ca="1"/>
        <v>7</v>
      </c>
      <c r="Z14" s="5">
        <f ca="1"/>
        <v>7</v>
      </c>
    </row>
    <row r="15" spans="1:28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2"/>
      <c r="J15" s="13"/>
      <c r="K15" s="13"/>
      <c r="L15" s="12"/>
      <c r="N15">
        <v>0</v>
      </c>
      <c r="P15" s="7">
        <f ca="1"/>
        <v>8</v>
      </c>
      <c r="Q15" s="5">
        <f ca="1"/>
        <v>7</v>
      </c>
      <c r="R15" s="5">
        <f ca="1"/>
        <v>0</v>
      </c>
      <c r="S15" s="5">
        <f ca="1"/>
        <v>4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  <c r="Y15" s="5">
        <f ca="1"/>
        <v>7</v>
      </c>
      <c r="Z15" s="5">
        <f ca="1"/>
        <v>7</v>
      </c>
    </row>
    <row r="16" spans="1:28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2"/>
      <c r="J16" s="13"/>
      <c r="K16" s="13"/>
      <c r="L16" s="12"/>
      <c r="N16">
        <v>0</v>
      </c>
      <c r="P16" s="7">
        <f ca="1"/>
        <v>9</v>
      </c>
      <c r="Q16" s="5">
        <f ca="1"/>
        <v>7</v>
      </c>
      <c r="R16" s="5">
        <f ca="1"/>
        <v>0</v>
      </c>
      <c r="S16" s="5">
        <f ca="1"/>
        <v>4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  <c r="Y16" s="5">
        <f ca="1"/>
        <v>7</v>
      </c>
      <c r="Z16" s="5">
        <f ca="1"/>
        <v>7</v>
      </c>
    </row>
    <row r="17" spans="2:26" x14ac:dyDescent="0.25">
      <c r="B17" s="15" t="str">
        <f ca="1"/>
        <v>08-Jan</v>
      </c>
      <c r="C17" s="12"/>
      <c r="D17" s="12"/>
      <c r="E17" s="12"/>
      <c r="F17" s="12"/>
      <c r="G17" s="12"/>
      <c r="H17" s="12"/>
      <c r="J17" s="13"/>
      <c r="K17" s="13"/>
      <c r="L17" s="12"/>
      <c r="N17">
        <v>0</v>
      </c>
      <c r="P17" s="7">
        <f ca="1"/>
        <v>10</v>
      </c>
      <c r="Q17" s="5">
        <f ca="1"/>
        <v>7</v>
      </c>
      <c r="R17" s="5">
        <f ca="1"/>
        <v>0</v>
      </c>
      <c r="S17" s="5">
        <f ca="1"/>
        <v>4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  <c r="Y17" s="5">
        <f ca="1"/>
        <v>7</v>
      </c>
      <c r="Z17" s="5">
        <f ca="1"/>
        <v>7</v>
      </c>
    </row>
    <row r="18" spans="2:26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2"/>
      <c r="J18" s="13"/>
      <c r="K18" s="13"/>
      <c r="L18" s="12"/>
      <c r="N18">
        <v>0</v>
      </c>
      <c r="P18" s="7">
        <f ca="1"/>
        <v>11</v>
      </c>
      <c r="Q18" s="5">
        <f ca="1"/>
        <v>7</v>
      </c>
      <c r="R18" s="5">
        <f ca="1"/>
        <v>0</v>
      </c>
      <c r="S18" s="5">
        <f ca="1"/>
        <v>5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  <c r="Y18" s="5">
        <f ca="1"/>
        <v>7</v>
      </c>
      <c r="Z18" s="5">
        <f ca="1"/>
        <v>7</v>
      </c>
    </row>
    <row r="19" spans="2:26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2"/>
      <c r="J19" s="13"/>
      <c r="K19" s="13"/>
      <c r="L19" s="12"/>
      <c r="N19">
        <v>0</v>
      </c>
      <c r="P19" s="7">
        <f ca="1"/>
        <v>12</v>
      </c>
      <c r="Q19" s="5">
        <f ca="1"/>
        <v>7</v>
      </c>
      <c r="R19" s="5">
        <f ca="1"/>
        <v>0</v>
      </c>
      <c r="S19" s="5">
        <f ca="1"/>
        <v>4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  <c r="Y19" s="5">
        <f ca="1"/>
        <v>7</v>
      </c>
      <c r="Z19" s="5">
        <f ca="1"/>
        <v>7</v>
      </c>
    </row>
    <row r="20" spans="2:26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2"/>
      <c r="J20" s="13"/>
      <c r="K20" s="13"/>
      <c r="L20" s="12"/>
      <c r="N20">
        <v>0</v>
      </c>
      <c r="P20" s="7">
        <f ca="1"/>
        <v>13</v>
      </c>
      <c r="Q20" s="5">
        <f ca="1"/>
        <v>7</v>
      </c>
      <c r="R20" s="5">
        <f ca="1"/>
        <v>0</v>
      </c>
      <c r="S20" s="5">
        <f ca="1"/>
        <v>5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  <c r="Y20" s="5">
        <f ca="1"/>
        <v>7</v>
      </c>
      <c r="Z20" s="5">
        <f ca="1"/>
        <v>7</v>
      </c>
    </row>
    <row r="21" spans="2:26" x14ac:dyDescent="0.25">
      <c r="B21" s="15" t="str">
        <f ca="1"/>
        <v>12-Jan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3">
        <v>0</v>
      </c>
      <c r="L21" s="12">
        <v>0</v>
      </c>
      <c r="M21" cm="1">
        <f t="array" aca="1" ref="M21:M355" ca="1">WEEKNUM(_date+0)</f>
        <v>3</v>
      </c>
      <c r="N21">
        <v>6</v>
      </c>
      <c r="P21" s="7">
        <f ca="1"/>
        <v>14</v>
      </c>
      <c r="Q21" s="5">
        <f ca="1"/>
        <v>7</v>
      </c>
      <c r="R21" s="5">
        <f ca="1"/>
        <v>0</v>
      </c>
      <c r="S21" s="5">
        <f ca="1"/>
        <v>6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  <c r="Y21" s="5">
        <f ca="1"/>
        <v>7</v>
      </c>
      <c r="Z21" s="5">
        <f ca="1"/>
        <v>7</v>
      </c>
    </row>
    <row r="22" spans="2:26" x14ac:dyDescent="0.25">
      <c r="B22" s="15" t="str">
        <f ca="1"/>
        <v>13-Jan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3">
        <v>0</v>
      </c>
      <c r="L22" s="12">
        <v>1</v>
      </c>
      <c r="M22">
        <f ca="1"/>
        <v>3</v>
      </c>
      <c r="N22">
        <v>7</v>
      </c>
      <c r="P22" s="7">
        <f ca="1"/>
        <v>15</v>
      </c>
      <c r="Q22" s="5">
        <f ca="1"/>
        <v>7</v>
      </c>
      <c r="R22" s="5">
        <f ca="1"/>
        <v>0</v>
      </c>
      <c r="S22" s="5">
        <f ca="1"/>
        <v>5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  <c r="Y22" s="5">
        <f ca="1"/>
        <v>7</v>
      </c>
      <c r="Z22" s="5">
        <f ca="1"/>
        <v>7</v>
      </c>
    </row>
    <row r="23" spans="2:26" x14ac:dyDescent="0.25">
      <c r="B23" s="15" t="str">
        <f ca="1"/>
        <v>14-Jan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3">
        <v>1</v>
      </c>
      <c r="L23" s="12">
        <v>1</v>
      </c>
      <c r="M23">
        <f ca="1"/>
        <v>3</v>
      </c>
      <c r="N23">
        <v>9</v>
      </c>
      <c r="P23" s="7">
        <f ca="1"/>
        <v>16</v>
      </c>
      <c r="Q23" s="5">
        <f ca="1"/>
        <v>7</v>
      </c>
      <c r="R23" s="5">
        <f ca="1"/>
        <v>0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  <c r="Y23" s="5">
        <f ca="1"/>
        <v>7</v>
      </c>
      <c r="Z23" s="5">
        <f ca="1"/>
        <v>7</v>
      </c>
    </row>
    <row r="24" spans="2:26" x14ac:dyDescent="0.25">
      <c r="B24" s="15" t="str">
        <f ca="1"/>
        <v>15-Jan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3">
        <v>1</v>
      </c>
      <c r="L24" s="12">
        <v>1</v>
      </c>
      <c r="M24">
        <f ca="1"/>
        <v>3</v>
      </c>
      <c r="N24">
        <v>9</v>
      </c>
      <c r="P24" s="7">
        <f ca="1"/>
        <v>17</v>
      </c>
      <c r="Q24" s="5">
        <f ca="1"/>
        <v>7</v>
      </c>
      <c r="R24" s="5">
        <f ca="1"/>
        <v>0</v>
      </c>
      <c r="S24" s="5">
        <f ca="1"/>
        <v>4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  <c r="Y24" s="5">
        <f ca="1"/>
        <v>7</v>
      </c>
      <c r="Z24" s="5">
        <f ca="1"/>
        <v>7</v>
      </c>
    </row>
    <row r="25" spans="2:26" x14ac:dyDescent="0.25">
      <c r="B25" s="15" t="str">
        <f ca="1"/>
        <v>16-Jan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3">
        <v>1</v>
      </c>
      <c r="L25" s="12">
        <v>1</v>
      </c>
      <c r="M25">
        <f ca="1"/>
        <v>3</v>
      </c>
      <c r="N25">
        <v>8</v>
      </c>
      <c r="P25" s="7">
        <f ca="1"/>
        <v>18</v>
      </c>
      <c r="Q25" s="5">
        <f ca="1"/>
        <v>7</v>
      </c>
      <c r="R25" s="5">
        <f ca="1"/>
        <v>0</v>
      </c>
      <c r="S25" s="5">
        <f ca="1"/>
        <v>5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  <c r="Y25" s="5">
        <f ca="1"/>
        <v>7</v>
      </c>
      <c r="Z25" s="5">
        <f ca="1"/>
        <v>7</v>
      </c>
    </row>
    <row r="26" spans="2:26" x14ac:dyDescent="0.25">
      <c r="B26" s="15" t="str">
        <f ca="1"/>
        <v>17-Jan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3">
        <v>1</v>
      </c>
      <c r="L26" s="12">
        <v>1</v>
      </c>
      <c r="M26">
        <f ca="1"/>
        <v>3</v>
      </c>
      <c r="N26">
        <v>9</v>
      </c>
      <c r="P26" s="7">
        <f ca="1"/>
        <v>19</v>
      </c>
      <c r="Q26" s="5">
        <f ca="1"/>
        <v>7</v>
      </c>
      <c r="R26" s="5">
        <f ca="1"/>
        <v>0</v>
      </c>
      <c r="S26" s="5">
        <f ca="1"/>
        <v>3</v>
      </c>
      <c r="T26" s="5">
        <f ca="1"/>
        <v>6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  <c r="Y26" s="5">
        <f ca="1"/>
        <v>7</v>
      </c>
      <c r="Z26" s="5">
        <f ca="1"/>
        <v>7</v>
      </c>
    </row>
    <row r="27" spans="2:26" x14ac:dyDescent="0.25">
      <c r="B27" s="15" t="str">
        <f ca="1"/>
        <v>18-Jan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3">
        <v>1</v>
      </c>
      <c r="L27" s="12">
        <v>1</v>
      </c>
      <c r="M27">
        <f ca="1"/>
        <v>3</v>
      </c>
      <c r="N27">
        <v>9</v>
      </c>
      <c r="P27" s="7">
        <f ca="1"/>
        <v>20</v>
      </c>
      <c r="Q27" s="5">
        <f ca="1"/>
        <v>7</v>
      </c>
      <c r="R27" s="5">
        <f ca="1"/>
        <v>0</v>
      </c>
      <c r="S27" s="5">
        <f ca="1"/>
        <v>5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  <c r="Y27" s="5">
        <f ca="1"/>
        <v>7</v>
      </c>
      <c r="Z27" s="5">
        <f ca="1"/>
        <v>7</v>
      </c>
    </row>
    <row r="28" spans="2:26" x14ac:dyDescent="0.25">
      <c r="B28" s="15" t="str">
        <f ca="1"/>
        <v>19-Jan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3">
        <v>1</v>
      </c>
      <c r="L28" s="12">
        <v>1</v>
      </c>
      <c r="M28">
        <f ca="1"/>
        <v>4</v>
      </c>
      <c r="N28">
        <v>9</v>
      </c>
      <c r="P28" s="7">
        <f ca="1"/>
        <v>21</v>
      </c>
      <c r="Q28" s="5">
        <f ca="1"/>
        <v>7</v>
      </c>
      <c r="R28" s="5">
        <f ca="1"/>
        <v>0</v>
      </c>
      <c r="S28" s="5">
        <f ca="1"/>
        <v>4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  <c r="Y28" s="5">
        <f ca="1"/>
        <v>7</v>
      </c>
      <c r="Z28" s="5">
        <f ca="1"/>
        <v>7</v>
      </c>
    </row>
    <row r="29" spans="2:26" x14ac:dyDescent="0.25">
      <c r="B29" s="15" t="str">
        <f ca="1"/>
        <v>20-Jan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3">
        <v>1</v>
      </c>
      <c r="L29" s="12">
        <v>1</v>
      </c>
      <c r="M29">
        <f ca="1"/>
        <v>4</v>
      </c>
      <c r="N29">
        <v>8</v>
      </c>
      <c r="P29" s="7">
        <f ca="1"/>
        <v>22</v>
      </c>
      <c r="Q29" s="5">
        <f ca="1"/>
        <v>7</v>
      </c>
      <c r="R29" s="5">
        <f ca="1"/>
        <v>0</v>
      </c>
      <c r="S29" s="5">
        <f ca="1"/>
        <v>3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  <c r="Y29" s="5">
        <f ca="1"/>
        <v>7</v>
      </c>
      <c r="Z29" s="5">
        <f ca="1"/>
        <v>7</v>
      </c>
    </row>
    <row r="30" spans="2:26" x14ac:dyDescent="0.25">
      <c r="B30" s="15" t="str">
        <f ca="1"/>
        <v>21-Jan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3">
        <v>1</v>
      </c>
      <c r="L30" s="12">
        <v>1</v>
      </c>
      <c r="M30">
        <f ca="1"/>
        <v>4</v>
      </c>
      <c r="N30">
        <v>8</v>
      </c>
      <c r="P30" s="7">
        <f ca="1"/>
        <v>23</v>
      </c>
      <c r="Q30" s="5">
        <f ca="1"/>
        <v>7</v>
      </c>
      <c r="R30" s="5">
        <f ca="1"/>
        <v>0</v>
      </c>
      <c r="S30" s="5">
        <f ca="1"/>
        <v>5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  <c r="Y30" s="5">
        <f ca="1"/>
        <v>7</v>
      </c>
      <c r="Z30" s="5">
        <f ca="1"/>
        <v>7</v>
      </c>
    </row>
    <row r="31" spans="2:26" x14ac:dyDescent="0.25">
      <c r="B31" s="15" t="str">
        <f ca="1"/>
        <v>22-Jan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3">
        <v>1</v>
      </c>
      <c r="L31" s="12">
        <v>1</v>
      </c>
      <c r="M31">
        <f ca="1"/>
        <v>4</v>
      </c>
      <c r="N31">
        <v>8</v>
      </c>
      <c r="P31" s="7">
        <f ca="1"/>
        <v>24</v>
      </c>
      <c r="Q31" s="5">
        <f ca="1"/>
        <v>7</v>
      </c>
      <c r="R31" s="5">
        <f ca="1"/>
        <v>0</v>
      </c>
      <c r="S31" s="5">
        <f ca="1"/>
        <v>3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  <c r="Y31" s="5">
        <f ca="1"/>
        <v>7</v>
      </c>
      <c r="Z31" s="5">
        <f ca="1"/>
        <v>7</v>
      </c>
    </row>
    <row r="32" spans="2:26" x14ac:dyDescent="0.25">
      <c r="B32" s="15" t="str">
        <f ca="1"/>
        <v>23-Jan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3">
        <v>1</v>
      </c>
      <c r="L32" s="12">
        <v>1</v>
      </c>
      <c r="M32">
        <f ca="1"/>
        <v>4</v>
      </c>
      <c r="N32">
        <v>9</v>
      </c>
      <c r="P32" s="7">
        <f ca="1"/>
        <v>25</v>
      </c>
      <c r="Q32" s="5">
        <f ca="1"/>
        <v>7</v>
      </c>
      <c r="R32" s="5">
        <f ca="1"/>
        <v>0</v>
      </c>
      <c r="S32" s="5">
        <f ca="1"/>
        <v>4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  <c r="Y32" s="5">
        <f ca="1"/>
        <v>7</v>
      </c>
      <c r="Z32" s="5">
        <f ca="1"/>
        <v>7</v>
      </c>
    </row>
    <row r="33" spans="2:26" x14ac:dyDescent="0.25">
      <c r="B33" s="15" t="str">
        <f ca="1"/>
        <v>24-Jan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3">
        <v>1</v>
      </c>
      <c r="L33" s="12">
        <v>1</v>
      </c>
      <c r="M33">
        <f ca="1"/>
        <v>4</v>
      </c>
      <c r="N33">
        <v>9</v>
      </c>
      <c r="P33" s="7">
        <f ca="1"/>
        <v>26</v>
      </c>
      <c r="Q33" s="5">
        <f ca="1"/>
        <v>7</v>
      </c>
      <c r="R33" s="5">
        <f ca="1"/>
        <v>0</v>
      </c>
      <c r="S33" s="5">
        <f ca="1"/>
        <v>5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  <c r="Y33" s="5">
        <f ca="1"/>
        <v>7</v>
      </c>
      <c r="Z33" s="5">
        <f ca="1"/>
        <v>7</v>
      </c>
    </row>
    <row r="34" spans="2:26" x14ac:dyDescent="0.25">
      <c r="B34" s="15" t="str">
        <f ca="1"/>
        <v>25-Jan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3">
        <v>1</v>
      </c>
      <c r="L34" s="12">
        <v>1</v>
      </c>
      <c r="M34">
        <f ca="1"/>
        <v>4</v>
      </c>
      <c r="N34">
        <v>9</v>
      </c>
      <c r="P34" s="7">
        <f ca="1"/>
        <v>27</v>
      </c>
      <c r="Q34" s="5">
        <f ca="1"/>
        <v>7</v>
      </c>
      <c r="R34" s="5">
        <f ca="1"/>
        <v>0</v>
      </c>
      <c r="S34" s="5">
        <f ca="1"/>
        <v>4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  <c r="Y34" s="5">
        <f ca="1"/>
        <v>7</v>
      </c>
      <c r="Z34" s="5">
        <f ca="1"/>
        <v>7</v>
      </c>
    </row>
    <row r="35" spans="2:26" x14ac:dyDescent="0.25">
      <c r="B35" s="15" t="str">
        <f ca="1"/>
        <v>26-Jan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3">
        <v>1</v>
      </c>
      <c r="L35" s="12">
        <v>1</v>
      </c>
      <c r="M35">
        <f ca="1"/>
        <v>5</v>
      </c>
      <c r="N35">
        <v>9</v>
      </c>
      <c r="P35" s="7">
        <f ca="1"/>
        <v>28</v>
      </c>
      <c r="Q35" s="5">
        <f ca="1"/>
        <v>7</v>
      </c>
      <c r="R35" s="5">
        <f ca="1"/>
        <v>0</v>
      </c>
      <c r="S35" s="5">
        <f ca="1"/>
        <v>5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  <c r="Y35" s="5">
        <f ca="1"/>
        <v>7</v>
      </c>
      <c r="Z35" s="5">
        <f ca="1"/>
        <v>7</v>
      </c>
    </row>
    <row r="36" spans="2:26" x14ac:dyDescent="0.25">
      <c r="B36" s="15" t="str">
        <f ca="1"/>
        <v>27-Jan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3">
        <v>1</v>
      </c>
      <c r="L36" s="12">
        <v>1</v>
      </c>
      <c r="M36">
        <f ca="1"/>
        <v>5</v>
      </c>
      <c r="N36">
        <v>9</v>
      </c>
      <c r="P36" s="7">
        <f ca="1"/>
        <v>29</v>
      </c>
      <c r="Q36" s="5">
        <f ca="1"/>
        <v>7</v>
      </c>
      <c r="R36" s="5">
        <f ca="1"/>
        <v>0</v>
      </c>
      <c r="S36" s="5">
        <f ca="1"/>
        <v>4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  <c r="Y36" s="5">
        <f ca="1"/>
        <v>7</v>
      </c>
      <c r="Z36" s="5">
        <f ca="1"/>
        <v>7</v>
      </c>
    </row>
    <row r="37" spans="2:26" x14ac:dyDescent="0.25">
      <c r="B37" s="15" t="str">
        <f ca="1"/>
        <v>28-Jan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3">
        <v>1</v>
      </c>
      <c r="L37" s="12">
        <v>1</v>
      </c>
      <c r="M37">
        <f ca="1"/>
        <v>5</v>
      </c>
      <c r="N37">
        <v>8</v>
      </c>
      <c r="P37" s="7">
        <f ca="1"/>
        <v>30</v>
      </c>
      <c r="Q37" s="5">
        <f ca="1"/>
        <v>7</v>
      </c>
      <c r="R37" s="5">
        <f ca="1"/>
        <v>0</v>
      </c>
      <c r="S37" s="5">
        <f ca="1"/>
        <v>5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  <c r="Y37" s="5">
        <f ca="1"/>
        <v>7</v>
      </c>
      <c r="Z37" s="5">
        <f ca="1"/>
        <v>7</v>
      </c>
    </row>
    <row r="38" spans="2:26" x14ac:dyDescent="0.25">
      <c r="B38" s="15" t="str">
        <f ca="1"/>
        <v>29-Jan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3">
        <v>1</v>
      </c>
      <c r="L38" s="12">
        <v>1</v>
      </c>
      <c r="M38">
        <f ca="1"/>
        <v>5</v>
      </c>
      <c r="N38">
        <v>8</v>
      </c>
      <c r="P38" s="7">
        <f ca="1"/>
        <v>31</v>
      </c>
      <c r="Q38" s="5">
        <f ca="1"/>
        <v>7</v>
      </c>
      <c r="R38" s="5">
        <f ca="1"/>
        <v>0</v>
      </c>
      <c r="S38" s="5">
        <f ca="1"/>
        <v>4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  <c r="Y38" s="5">
        <f ca="1"/>
        <v>7</v>
      </c>
      <c r="Z38" s="5">
        <f ca="1"/>
        <v>7</v>
      </c>
    </row>
    <row r="39" spans="2:26" x14ac:dyDescent="0.25">
      <c r="B39" s="15" t="str">
        <f ca="1"/>
        <v>30-Jan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3">
        <v>1</v>
      </c>
      <c r="L39" s="12">
        <v>1</v>
      </c>
      <c r="M39">
        <f ca="1"/>
        <v>5</v>
      </c>
      <c r="N39">
        <v>8</v>
      </c>
      <c r="P39" s="7">
        <f ca="1"/>
        <v>32</v>
      </c>
      <c r="Q39" s="5">
        <f ca="1"/>
        <v>7</v>
      </c>
      <c r="R39" s="5">
        <f ca="1"/>
        <v>0</v>
      </c>
      <c r="S39" s="5">
        <f ca="1"/>
        <v>4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  <c r="Y39" s="5">
        <f ca="1"/>
        <v>7</v>
      </c>
      <c r="Z39" s="5">
        <f ca="1"/>
        <v>7</v>
      </c>
    </row>
    <row r="40" spans="2:26" x14ac:dyDescent="0.25">
      <c r="B40" s="15" t="str">
        <f ca="1"/>
        <v>31-Jan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3">
        <v>1</v>
      </c>
      <c r="L40" s="12">
        <v>1</v>
      </c>
      <c r="M40">
        <f ca="1"/>
        <v>5</v>
      </c>
      <c r="N40">
        <v>9</v>
      </c>
      <c r="P40" s="7">
        <f ca="1"/>
        <v>33</v>
      </c>
      <c r="Q40" s="5">
        <f ca="1"/>
        <v>7</v>
      </c>
      <c r="R40" s="5">
        <f ca="1"/>
        <v>0</v>
      </c>
      <c r="S40" s="5">
        <f ca="1"/>
        <v>5</v>
      </c>
      <c r="T40" s="5">
        <f ca="1"/>
        <v>7</v>
      </c>
      <c r="U40" s="5">
        <f ca="1"/>
        <v>4</v>
      </c>
      <c r="V40" s="5">
        <f ca="1"/>
        <v>4</v>
      </c>
      <c r="W40" s="5">
        <f ca="1"/>
        <v>7</v>
      </c>
      <c r="X40" s="5">
        <f ca="1"/>
        <v>7</v>
      </c>
      <c r="Y40" s="5">
        <f ca="1"/>
        <v>7</v>
      </c>
      <c r="Z40" s="5">
        <f ca="1"/>
        <v>7</v>
      </c>
    </row>
    <row r="41" spans="2:26" x14ac:dyDescent="0.25">
      <c r="B41" s="15" t="str">
        <f ca="1"/>
        <v>01-Feb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3">
        <v>1</v>
      </c>
      <c r="L41" s="12">
        <v>1</v>
      </c>
      <c r="M41">
        <f ca="1"/>
        <v>5</v>
      </c>
      <c r="N41">
        <v>9</v>
      </c>
      <c r="P41" s="7">
        <f ca="1"/>
        <v>34</v>
      </c>
      <c r="Q41" s="5">
        <f ca="1"/>
        <v>7</v>
      </c>
      <c r="R41" s="5">
        <f ca="1"/>
        <v>0</v>
      </c>
      <c r="S41" s="5">
        <f ca="1"/>
        <v>4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  <c r="Y41" s="5">
        <f ca="1"/>
        <v>7</v>
      </c>
      <c r="Z41" s="5">
        <f ca="1"/>
        <v>7</v>
      </c>
    </row>
    <row r="42" spans="2:26" x14ac:dyDescent="0.25">
      <c r="B42" s="15" t="str">
        <f ca="1"/>
        <v>02-Feb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3">
        <v>1</v>
      </c>
      <c r="L42" s="12">
        <v>1</v>
      </c>
      <c r="M42">
        <f ca="1"/>
        <v>6</v>
      </c>
      <c r="N42">
        <v>9</v>
      </c>
      <c r="P42" s="7">
        <f ca="1"/>
        <v>35</v>
      </c>
      <c r="Q42" s="5">
        <f ca="1"/>
        <v>7</v>
      </c>
      <c r="R42" s="5">
        <f ca="1"/>
        <v>0</v>
      </c>
      <c r="S42" s="5">
        <f ca="1"/>
        <v>3</v>
      </c>
      <c r="T42" s="5">
        <f ca="1"/>
        <v>7</v>
      </c>
      <c r="U42" s="5">
        <f ca="1"/>
        <v>7</v>
      </c>
      <c r="V42" s="5">
        <f ca="1"/>
        <v>7</v>
      </c>
      <c r="W42" s="5">
        <f ca="1"/>
        <v>7</v>
      </c>
      <c r="X42" s="5">
        <f ca="1"/>
        <v>7</v>
      </c>
      <c r="Y42" s="5">
        <f ca="1"/>
        <v>7</v>
      </c>
      <c r="Z42" s="5">
        <f ca="1"/>
        <v>7</v>
      </c>
    </row>
    <row r="43" spans="2:26" x14ac:dyDescent="0.25">
      <c r="B43" s="15" t="str">
        <f ca="1"/>
        <v>03-Feb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3">
        <v>1</v>
      </c>
      <c r="L43" s="12">
        <v>1</v>
      </c>
      <c r="M43">
        <f ca="1"/>
        <v>6</v>
      </c>
      <c r="N43">
        <v>8</v>
      </c>
      <c r="P43" s="7">
        <f ca="1"/>
        <v>36</v>
      </c>
      <c r="Q43" s="5">
        <f ca="1"/>
        <v>7</v>
      </c>
      <c r="R43" s="5">
        <f ca="1"/>
        <v>2</v>
      </c>
      <c r="S43" s="5">
        <f ca="1"/>
        <v>4</v>
      </c>
      <c r="T43" s="5">
        <f ca="1"/>
        <v>7</v>
      </c>
      <c r="U43" s="5">
        <f ca="1"/>
        <v>7</v>
      </c>
      <c r="V43" s="5">
        <f ca="1"/>
        <v>7</v>
      </c>
      <c r="W43" s="5">
        <f ca="1"/>
        <v>7</v>
      </c>
      <c r="X43" s="5">
        <f ca="1"/>
        <v>7</v>
      </c>
      <c r="Y43" s="5">
        <f ca="1"/>
        <v>7</v>
      </c>
      <c r="Z43" s="5">
        <f ca="1"/>
        <v>7</v>
      </c>
    </row>
    <row r="44" spans="2:26" x14ac:dyDescent="0.25">
      <c r="B44" s="15" t="str">
        <f ca="1"/>
        <v>04-Feb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3">
        <v>1</v>
      </c>
      <c r="L44" s="12">
        <v>1</v>
      </c>
      <c r="M44">
        <f ca="1"/>
        <v>6</v>
      </c>
      <c r="N44">
        <v>8</v>
      </c>
      <c r="P44" s="7">
        <f ca="1"/>
        <v>37</v>
      </c>
      <c r="Q44" s="5">
        <f ca="1"/>
        <v>7</v>
      </c>
      <c r="R44" s="5">
        <f ca="1"/>
        <v>7</v>
      </c>
      <c r="S44" s="5">
        <f ca="1"/>
        <v>5</v>
      </c>
      <c r="T44" s="5">
        <f ca="1"/>
        <v>7</v>
      </c>
      <c r="U44" s="5">
        <f ca="1"/>
        <v>7</v>
      </c>
      <c r="V44" s="5">
        <f ca="1"/>
        <v>7</v>
      </c>
      <c r="W44" s="5">
        <f ca="1"/>
        <v>7</v>
      </c>
      <c r="X44" s="5">
        <f ca="1"/>
        <v>7</v>
      </c>
      <c r="Y44" s="5">
        <f ca="1"/>
        <v>7</v>
      </c>
      <c r="Z44" s="5">
        <f ca="1"/>
        <v>7</v>
      </c>
    </row>
    <row r="45" spans="2:26" x14ac:dyDescent="0.25">
      <c r="B45" s="15" t="str">
        <f ca="1"/>
        <v>05-Feb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3">
        <v>1</v>
      </c>
      <c r="L45" s="12">
        <v>1</v>
      </c>
      <c r="M45">
        <f ca="1"/>
        <v>6</v>
      </c>
      <c r="N45">
        <v>8</v>
      </c>
      <c r="P45" s="7">
        <f ca="1"/>
        <v>38</v>
      </c>
      <c r="Q45" s="5">
        <f ca="1"/>
        <v>7</v>
      </c>
      <c r="R45" s="5">
        <f ca="1"/>
        <v>7</v>
      </c>
      <c r="S45" s="5">
        <f ca="1"/>
        <v>6</v>
      </c>
      <c r="T45" s="5">
        <f ca="1"/>
        <v>7</v>
      </c>
      <c r="U45" s="5">
        <f ca="1"/>
        <v>7</v>
      </c>
      <c r="V45" s="5">
        <f ca="1"/>
        <v>7</v>
      </c>
      <c r="W45" s="5">
        <f ca="1"/>
        <v>7</v>
      </c>
      <c r="X45" s="5">
        <f ca="1"/>
        <v>7</v>
      </c>
      <c r="Y45" s="5">
        <f ca="1"/>
        <v>7</v>
      </c>
      <c r="Z45" s="5">
        <f ca="1"/>
        <v>7</v>
      </c>
    </row>
    <row r="46" spans="2:26" x14ac:dyDescent="0.25">
      <c r="B46" s="15" t="str">
        <f ca="1"/>
        <v>06-Feb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3">
        <v>1</v>
      </c>
      <c r="L46" s="12">
        <v>1</v>
      </c>
      <c r="M46">
        <f ca="1"/>
        <v>6</v>
      </c>
      <c r="N46">
        <v>8</v>
      </c>
      <c r="P46" s="7">
        <f ca="1"/>
        <v>39</v>
      </c>
      <c r="Q46" s="5">
        <f ca="1"/>
        <v>7</v>
      </c>
      <c r="R46" s="5">
        <f ca="1"/>
        <v>7</v>
      </c>
      <c r="S46" s="5">
        <f ca="1"/>
        <v>5</v>
      </c>
      <c r="T46" s="5">
        <f ca="1"/>
        <v>7</v>
      </c>
      <c r="U46" s="5">
        <f ca="1"/>
        <v>7</v>
      </c>
      <c r="V46" s="5">
        <f ca="1"/>
        <v>7</v>
      </c>
      <c r="W46" s="5">
        <f ca="1"/>
        <v>7</v>
      </c>
      <c r="X46" s="5">
        <f ca="1"/>
        <v>7</v>
      </c>
      <c r="Y46" s="5">
        <f ca="1"/>
        <v>7</v>
      </c>
      <c r="Z46" s="5">
        <f ca="1"/>
        <v>7</v>
      </c>
    </row>
    <row r="47" spans="2:26" x14ac:dyDescent="0.25">
      <c r="B47" s="15" t="str">
        <f ca="1"/>
        <v>07-Feb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3">
        <v>1</v>
      </c>
      <c r="L47" s="12">
        <v>1</v>
      </c>
      <c r="M47">
        <f ca="1"/>
        <v>6</v>
      </c>
      <c r="N47">
        <v>8</v>
      </c>
      <c r="P47" s="7">
        <f ca="1"/>
        <v>40</v>
      </c>
      <c r="Q47" s="5">
        <f ca="1"/>
        <v>7</v>
      </c>
      <c r="R47" s="5">
        <f ca="1"/>
        <v>7</v>
      </c>
      <c r="S47" s="5">
        <f ca="1"/>
        <v>4</v>
      </c>
      <c r="T47" s="5">
        <f ca="1"/>
        <v>7</v>
      </c>
      <c r="U47" s="5">
        <f ca="1"/>
        <v>7</v>
      </c>
      <c r="V47" s="5">
        <f ca="1"/>
        <v>7</v>
      </c>
      <c r="W47" s="5">
        <f ca="1"/>
        <v>7</v>
      </c>
      <c r="X47" s="5">
        <f ca="1"/>
        <v>7</v>
      </c>
      <c r="Y47" s="5">
        <f ca="1"/>
        <v>7</v>
      </c>
      <c r="Z47" s="5">
        <f ca="1"/>
        <v>7</v>
      </c>
    </row>
    <row r="48" spans="2:26" x14ac:dyDescent="0.25">
      <c r="B48" s="15" t="str">
        <f ca="1"/>
        <v>08-Feb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3">
        <v>1</v>
      </c>
      <c r="L48" s="12">
        <v>1</v>
      </c>
      <c r="M48">
        <f ca="1"/>
        <v>6</v>
      </c>
      <c r="N48">
        <v>9</v>
      </c>
      <c r="P48" s="7">
        <f ca="1"/>
        <v>41</v>
      </c>
      <c r="Q48" s="5">
        <f ca="1"/>
        <v>7</v>
      </c>
      <c r="R48" s="5">
        <f ca="1"/>
        <v>7</v>
      </c>
      <c r="S48" s="5">
        <f ca="1"/>
        <v>3</v>
      </c>
      <c r="T48" s="5">
        <f ca="1"/>
        <v>7</v>
      </c>
      <c r="U48" s="5">
        <f ca="1"/>
        <v>7</v>
      </c>
      <c r="V48" s="5">
        <f ca="1"/>
        <v>7</v>
      </c>
      <c r="W48" s="5">
        <f ca="1"/>
        <v>7</v>
      </c>
      <c r="X48" s="5">
        <f ca="1"/>
        <v>7</v>
      </c>
      <c r="Y48" s="5">
        <f ca="1"/>
        <v>7</v>
      </c>
      <c r="Z48" s="5">
        <f ca="1"/>
        <v>7</v>
      </c>
    </row>
    <row r="49" spans="2:26" x14ac:dyDescent="0.25">
      <c r="B49" s="15" t="str">
        <f ca="1"/>
        <v>09-Feb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3">
        <v>1</v>
      </c>
      <c r="L49" s="12">
        <v>1</v>
      </c>
      <c r="M49">
        <f ca="1"/>
        <v>7</v>
      </c>
      <c r="N49">
        <v>8</v>
      </c>
      <c r="P49" s="7">
        <f ca="1"/>
        <v>42</v>
      </c>
      <c r="Q49" s="5">
        <f ca="1"/>
        <v>7</v>
      </c>
      <c r="R49" s="5">
        <f ca="1"/>
        <v>7</v>
      </c>
      <c r="S49" s="5">
        <f ca="1"/>
        <v>4</v>
      </c>
      <c r="T49" s="5">
        <f ca="1"/>
        <v>7</v>
      </c>
      <c r="U49" s="5">
        <f ca="1"/>
        <v>7</v>
      </c>
      <c r="V49" s="5">
        <f ca="1"/>
        <v>7</v>
      </c>
      <c r="W49" s="5">
        <f ca="1"/>
        <v>7</v>
      </c>
      <c r="X49" s="5">
        <f ca="1"/>
        <v>7</v>
      </c>
      <c r="Y49" s="5">
        <f ca="1"/>
        <v>7</v>
      </c>
      <c r="Z49" s="5">
        <f ca="1"/>
        <v>7</v>
      </c>
    </row>
    <row r="50" spans="2:26" x14ac:dyDescent="0.25">
      <c r="B50" s="15" t="str">
        <f ca="1"/>
        <v>10-Feb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3">
        <v>1</v>
      </c>
      <c r="L50" s="12">
        <v>1</v>
      </c>
      <c r="M50">
        <f ca="1"/>
        <v>7</v>
      </c>
      <c r="N50">
        <v>8</v>
      </c>
      <c r="P50" s="7">
        <f ca="1"/>
        <v>43</v>
      </c>
      <c r="Q50" s="5">
        <f ca="1"/>
        <v>7</v>
      </c>
      <c r="R50" s="5">
        <f ca="1"/>
        <v>7</v>
      </c>
      <c r="S50" s="5">
        <f ca="1"/>
        <v>4</v>
      </c>
      <c r="T50" s="5">
        <f ca="1"/>
        <v>7</v>
      </c>
      <c r="U50" s="5">
        <f ca="1"/>
        <v>7</v>
      </c>
      <c r="V50" s="5">
        <f ca="1"/>
        <v>7</v>
      </c>
      <c r="W50" s="5">
        <f ca="1"/>
        <v>7</v>
      </c>
      <c r="X50" s="5">
        <f ca="1"/>
        <v>7</v>
      </c>
      <c r="Y50" s="5">
        <f ca="1"/>
        <v>7</v>
      </c>
      <c r="Z50" s="5">
        <f ca="1"/>
        <v>7</v>
      </c>
    </row>
    <row r="51" spans="2:26" x14ac:dyDescent="0.25">
      <c r="B51" s="15" t="str">
        <f ca="1"/>
        <v>11-Feb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3">
        <v>1</v>
      </c>
      <c r="L51" s="12">
        <v>1</v>
      </c>
      <c r="M51">
        <f ca="1"/>
        <v>7</v>
      </c>
      <c r="N51">
        <v>9</v>
      </c>
      <c r="P51" s="7">
        <f ca="1"/>
        <v>44</v>
      </c>
      <c r="Q51" s="5">
        <f ca="1"/>
        <v>7</v>
      </c>
      <c r="R51" s="5">
        <f ca="1"/>
        <v>7</v>
      </c>
      <c r="S51" s="5">
        <f ca="1"/>
        <v>6</v>
      </c>
      <c r="T51" s="5">
        <f ca="1"/>
        <v>7</v>
      </c>
      <c r="U51" s="5">
        <f ca="1"/>
        <v>7</v>
      </c>
      <c r="V51" s="5">
        <f ca="1"/>
        <v>7</v>
      </c>
      <c r="W51" s="5">
        <f ca="1"/>
        <v>7</v>
      </c>
      <c r="X51" s="5">
        <f ca="1"/>
        <v>7</v>
      </c>
      <c r="Y51" s="5">
        <f ca="1"/>
        <v>7</v>
      </c>
      <c r="Z51" s="5">
        <f ca="1"/>
        <v>7</v>
      </c>
    </row>
    <row r="52" spans="2:26" x14ac:dyDescent="0.25">
      <c r="B52" s="15" t="str">
        <f ca="1"/>
        <v>12-Feb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3">
        <v>1</v>
      </c>
      <c r="L52" s="12">
        <v>1</v>
      </c>
      <c r="M52">
        <f ca="1"/>
        <v>7</v>
      </c>
      <c r="N52">
        <v>9</v>
      </c>
      <c r="P52" s="7">
        <f ca="1"/>
        <v>45</v>
      </c>
      <c r="Q52" s="5">
        <f ca="1"/>
        <v>7</v>
      </c>
      <c r="R52" s="5">
        <f ca="1"/>
        <v>7</v>
      </c>
      <c r="S52" s="5">
        <f ca="1"/>
        <v>4</v>
      </c>
      <c r="T52" s="5">
        <f ca="1"/>
        <v>7</v>
      </c>
      <c r="U52" s="5">
        <f ca="1"/>
        <v>7</v>
      </c>
      <c r="V52" s="5">
        <f ca="1"/>
        <v>7</v>
      </c>
      <c r="W52" s="5">
        <f ca="1"/>
        <v>7</v>
      </c>
      <c r="X52" s="5">
        <f ca="1"/>
        <v>7</v>
      </c>
      <c r="Y52" s="5">
        <f ca="1"/>
        <v>7</v>
      </c>
      <c r="Z52" s="5">
        <f ca="1"/>
        <v>7</v>
      </c>
    </row>
    <row r="53" spans="2:26" x14ac:dyDescent="0.25">
      <c r="B53" s="15" t="str">
        <f ca="1"/>
        <v>13-Feb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3">
        <v>1</v>
      </c>
      <c r="L53" s="12">
        <v>1</v>
      </c>
      <c r="M53">
        <f ca="1"/>
        <v>7</v>
      </c>
      <c r="N53">
        <v>8</v>
      </c>
      <c r="P53" s="7">
        <f ca="1"/>
        <v>46</v>
      </c>
      <c r="Q53" s="5">
        <f ca="1"/>
        <v>7</v>
      </c>
      <c r="R53" s="5">
        <f ca="1"/>
        <v>7</v>
      </c>
      <c r="S53" s="5">
        <f ca="1"/>
        <v>4</v>
      </c>
      <c r="T53" s="5">
        <f ca="1"/>
        <v>7</v>
      </c>
      <c r="U53" s="5">
        <f ca="1"/>
        <v>7</v>
      </c>
      <c r="V53" s="5">
        <f ca="1"/>
        <v>7</v>
      </c>
      <c r="W53" s="5">
        <f ca="1"/>
        <v>7</v>
      </c>
      <c r="X53" s="5">
        <f ca="1"/>
        <v>7</v>
      </c>
      <c r="Y53" s="5">
        <f ca="1"/>
        <v>7</v>
      </c>
      <c r="Z53" s="5">
        <f ca="1"/>
        <v>7</v>
      </c>
    </row>
    <row r="54" spans="2:26" x14ac:dyDescent="0.25">
      <c r="B54" s="15" t="str">
        <f ca="1"/>
        <v>14-Feb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3">
        <v>1</v>
      </c>
      <c r="L54" s="12">
        <v>1</v>
      </c>
      <c r="M54">
        <f ca="1"/>
        <v>7</v>
      </c>
      <c r="N54">
        <v>9</v>
      </c>
      <c r="P54" s="7">
        <f ca="1"/>
        <v>47</v>
      </c>
      <c r="Q54" s="5">
        <f ca="1"/>
        <v>7</v>
      </c>
      <c r="R54" s="5">
        <f ca="1"/>
        <v>7</v>
      </c>
      <c r="S54" s="5">
        <f ca="1"/>
        <v>2</v>
      </c>
      <c r="T54" s="5">
        <f ca="1"/>
        <v>6</v>
      </c>
      <c r="U54" s="5">
        <f ca="1"/>
        <v>7</v>
      </c>
      <c r="V54" s="5">
        <f ca="1"/>
        <v>7</v>
      </c>
      <c r="W54" s="5">
        <f ca="1"/>
        <v>7</v>
      </c>
      <c r="X54" s="5">
        <f ca="1"/>
        <v>7</v>
      </c>
      <c r="Y54" s="5">
        <f ca="1"/>
        <v>7</v>
      </c>
      <c r="Z54" s="5">
        <f ca="1"/>
        <v>7</v>
      </c>
    </row>
    <row r="55" spans="2:26" x14ac:dyDescent="0.25">
      <c r="B55" s="15" t="str">
        <f ca="1"/>
        <v>15-Feb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3">
        <v>1</v>
      </c>
      <c r="L55" s="12">
        <v>1</v>
      </c>
      <c r="M55">
        <f ca="1"/>
        <v>7</v>
      </c>
      <c r="N55">
        <v>9</v>
      </c>
      <c r="P55" s="7">
        <f ca="1"/>
        <v>48</v>
      </c>
      <c r="Q55" s="5">
        <f ca="1"/>
        <v>7</v>
      </c>
      <c r="R55" s="5">
        <f ca="1"/>
        <v>7</v>
      </c>
      <c r="S55" s="5">
        <f ca="1"/>
        <v>4</v>
      </c>
      <c r="T55" s="5">
        <f ca="1"/>
        <v>4</v>
      </c>
      <c r="U55" s="5">
        <f ca="1"/>
        <v>7</v>
      </c>
      <c r="V55" s="5">
        <f ca="1"/>
        <v>7</v>
      </c>
      <c r="W55" s="5">
        <f ca="1"/>
        <v>7</v>
      </c>
      <c r="X55" s="5">
        <f ca="1"/>
        <v>7</v>
      </c>
      <c r="Y55" s="5">
        <f ca="1"/>
        <v>7</v>
      </c>
      <c r="Z55">
        <f ca="1"/>
        <v>7</v>
      </c>
    </row>
    <row r="56" spans="2:26" x14ac:dyDescent="0.25">
      <c r="B56" s="15" t="str">
        <f ca="1"/>
        <v>16-Feb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 s="12">
        <v>1</v>
      </c>
      <c r="M56">
        <f ca="1"/>
        <v>8</v>
      </c>
      <c r="N56">
        <v>9</v>
      </c>
      <c r="P56" s="7">
        <f ca="1"/>
        <v>49</v>
      </c>
      <c r="Q56" s="5">
        <f ca="1"/>
        <v>7</v>
      </c>
      <c r="R56" s="5">
        <f ca="1"/>
        <v>7</v>
      </c>
      <c r="S56" s="5">
        <f ca="1"/>
        <v>3</v>
      </c>
      <c r="T56" s="5">
        <f ca="1"/>
        <v>7</v>
      </c>
      <c r="U56" s="5">
        <f ca="1"/>
        <v>7</v>
      </c>
      <c r="V56" s="5">
        <f ca="1"/>
        <v>7</v>
      </c>
      <c r="W56" s="5">
        <f ca="1"/>
        <v>7</v>
      </c>
      <c r="X56" s="5">
        <f ca="1"/>
        <v>7</v>
      </c>
      <c r="Y56" s="5">
        <f ca="1"/>
        <v>7</v>
      </c>
      <c r="Z56">
        <f ca="1"/>
        <v>7</v>
      </c>
    </row>
    <row r="57" spans="2:26" x14ac:dyDescent="0.25">
      <c r="B57" s="15" t="str">
        <f ca="1"/>
        <v>17-Feb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3">
        <v>1</v>
      </c>
      <c r="L57" s="12">
        <v>1</v>
      </c>
      <c r="M57">
        <f ca="1"/>
        <v>8</v>
      </c>
      <c r="N57">
        <v>9</v>
      </c>
      <c r="P57" s="7">
        <f ca="1"/>
        <v>50</v>
      </c>
      <c r="Q57" s="5">
        <f ca="1"/>
        <v>6</v>
      </c>
      <c r="R57" s="5">
        <f ca="1"/>
        <v>6</v>
      </c>
      <c r="S57" s="5">
        <f ca="1"/>
        <v>3</v>
      </c>
      <c r="T57" s="5">
        <f ca="1"/>
        <v>6</v>
      </c>
      <c r="U57" s="5">
        <f ca="1"/>
        <v>6</v>
      </c>
      <c r="V57" s="5">
        <f ca="1"/>
        <v>6</v>
      </c>
      <c r="W57" s="5">
        <f ca="1"/>
        <v>5</v>
      </c>
      <c r="X57" s="5">
        <f ca="1"/>
        <v>5</v>
      </c>
      <c r="Y57" s="5">
        <f ca="1"/>
        <v>6</v>
      </c>
      <c r="Z57">
        <f ca="1"/>
        <v>6</v>
      </c>
    </row>
    <row r="58" spans="2:26" x14ac:dyDescent="0.25">
      <c r="B58" s="15" t="str">
        <f ca="1"/>
        <v>18-Feb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3">
        <v>1</v>
      </c>
      <c r="L58" s="12">
        <v>1</v>
      </c>
      <c r="M58">
        <f ca="1"/>
        <v>8</v>
      </c>
      <c r="N58">
        <v>8</v>
      </c>
    </row>
    <row r="59" spans="2:26" x14ac:dyDescent="0.25">
      <c r="B59" s="15" t="str">
        <f ca="1"/>
        <v>19-Feb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3">
        <v>1</v>
      </c>
      <c r="L59" s="12">
        <v>1</v>
      </c>
      <c r="M59">
        <f ca="1"/>
        <v>8</v>
      </c>
      <c r="N59">
        <v>8</v>
      </c>
    </row>
    <row r="60" spans="2:26" x14ac:dyDescent="0.25">
      <c r="B60" s="15" t="str">
        <f ca="1"/>
        <v>20-Feb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3">
        <v>1</v>
      </c>
      <c r="L60" s="12">
        <v>1</v>
      </c>
      <c r="M60">
        <f ca="1"/>
        <v>8</v>
      </c>
      <c r="N60">
        <v>8</v>
      </c>
    </row>
    <row r="61" spans="2:26" x14ac:dyDescent="0.25">
      <c r="B61" s="15" t="str">
        <f ca="1"/>
        <v>21-Feb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3">
        <v>1</v>
      </c>
      <c r="L61" s="12">
        <v>1</v>
      </c>
      <c r="M61">
        <f ca="1"/>
        <v>8</v>
      </c>
      <c r="N61">
        <v>9</v>
      </c>
    </row>
    <row r="62" spans="2:26" x14ac:dyDescent="0.25">
      <c r="B62" s="15" t="str">
        <f ca="1"/>
        <v>22-Feb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3">
        <v>1</v>
      </c>
      <c r="L62" s="12">
        <v>1</v>
      </c>
      <c r="M62">
        <f ca="1"/>
        <v>8</v>
      </c>
      <c r="N62">
        <v>9</v>
      </c>
    </row>
    <row r="63" spans="2:26" x14ac:dyDescent="0.25">
      <c r="B63" s="15" t="str">
        <f ca="1"/>
        <v>23-Feb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3">
        <v>1</v>
      </c>
      <c r="L63" s="12">
        <v>1</v>
      </c>
      <c r="M63">
        <f ca="1"/>
        <v>9</v>
      </c>
      <c r="N63">
        <v>9</v>
      </c>
    </row>
    <row r="64" spans="2:26" x14ac:dyDescent="0.25">
      <c r="B64" s="15" t="str">
        <f ca="1"/>
        <v>24-Feb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3">
        <v>1</v>
      </c>
      <c r="L64" s="12">
        <v>1</v>
      </c>
      <c r="M64">
        <f ca="1"/>
        <v>9</v>
      </c>
      <c r="N64">
        <v>8</v>
      </c>
    </row>
    <row r="65" spans="2:14" x14ac:dyDescent="0.25">
      <c r="B65" s="15" t="str">
        <f ca="1"/>
        <v>25-Feb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3">
        <v>1</v>
      </c>
      <c r="L65" s="12">
        <v>1</v>
      </c>
      <c r="M65">
        <f ca="1"/>
        <v>9</v>
      </c>
      <c r="N65">
        <v>8</v>
      </c>
    </row>
    <row r="66" spans="2:14" x14ac:dyDescent="0.25">
      <c r="B66" s="15" t="str">
        <f ca="1"/>
        <v>26-Feb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3">
        <v>1</v>
      </c>
      <c r="L66" s="12">
        <v>1</v>
      </c>
      <c r="M66">
        <f ca="1"/>
        <v>9</v>
      </c>
      <c r="N66">
        <v>8</v>
      </c>
    </row>
    <row r="67" spans="2:14" x14ac:dyDescent="0.25">
      <c r="B67" s="15" t="str">
        <f ca="1"/>
        <v>27-Feb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 s="12">
        <v>1</v>
      </c>
      <c r="M67">
        <f ca="1"/>
        <v>9</v>
      </c>
      <c r="N67">
        <v>9</v>
      </c>
    </row>
    <row r="68" spans="2:14" x14ac:dyDescent="0.25">
      <c r="B68" s="15" t="str">
        <f ca="1"/>
        <v>28-Feb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3">
        <v>1</v>
      </c>
      <c r="L68" s="12">
        <v>1</v>
      </c>
      <c r="M68">
        <f ca="1"/>
        <v>9</v>
      </c>
      <c r="N68">
        <v>9</v>
      </c>
    </row>
    <row r="69" spans="2:14" x14ac:dyDescent="0.25">
      <c r="B69" s="15" t="str">
        <f ca="1"/>
        <v>01-Mar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 s="16">
        <v>1</v>
      </c>
      <c r="M69">
        <f ca="1"/>
        <v>9</v>
      </c>
      <c r="N69">
        <v>9</v>
      </c>
    </row>
    <row r="70" spans="2:14" x14ac:dyDescent="0.25">
      <c r="B70" s="15" t="str">
        <f ca="1"/>
        <v>02-Mar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 s="16">
        <v>1</v>
      </c>
      <c r="M70">
        <f ca="1"/>
        <v>10</v>
      </c>
      <c r="N70">
        <v>9</v>
      </c>
    </row>
    <row r="71" spans="2:14" x14ac:dyDescent="0.25">
      <c r="B71" s="15" t="str">
        <f ca="1"/>
        <v>03-Mar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 s="16">
        <v>1</v>
      </c>
      <c r="M71">
        <f ca="1"/>
        <v>10</v>
      </c>
      <c r="N71">
        <v>9</v>
      </c>
    </row>
    <row r="72" spans="2:14" x14ac:dyDescent="0.25">
      <c r="B72" s="15" t="str">
        <f ca="1"/>
        <v>04-Mar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 s="16">
        <v>1</v>
      </c>
      <c r="M72">
        <f ca="1"/>
        <v>10</v>
      </c>
      <c r="N72">
        <v>8</v>
      </c>
    </row>
    <row r="73" spans="2:14" x14ac:dyDescent="0.25">
      <c r="B73" s="15" t="str">
        <f ca="1"/>
        <v>05-Mar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 s="16">
        <v>1</v>
      </c>
      <c r="M73">
        <f ca="1"/>
        <v>10</v>
      </c>
      <c r="N73">
        <v>8</v>
      </c>
    </row>
    <row r="74" spans="2:14" x14ac:dyDescent="0.25">
      <c r="B74" s="15" t="str">
        <f ca="1"/>
        <v>06-Mar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 s="16">
        <v>1</v>
      </c>
      <c r="M74">
        <f ca="1"/>
        <v>10</v>
      </c>
      <c r="N74">
        <v>8</v>
      </c>
    </row>
    <row r="75" spans="2:14" x14ac:dyDescent="0.25">
      <c r="B75" s="15" t="str">
        <f ca="1"/>
        <v>07-Mar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 s="16">
        <v>1</v>
      </c>
      <c r="M75">
        <f ca="1"/>
        <v>10</v>
      </c>
      <c r="N75">
        <v>9</v>
      </c>
    </row>
    <row r="76" spans="2:14" x14ac:dyDescent="0.25">
      <c r="B76" s="15" t="str">
        <f ca="1"/>
        <v>08-Mar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 s="16">
        <v>1</v>
      </c>
      <c r="M76">
        <f ca="1"/>
        <v>10</v>
      </c>
      <c r="N76">
        <v>9</v>
      </c>
    </row>
    <row r="77" spans="2:14" x14ac:dyDescent="0.25">
      <c r="B77" s="15" t="str">
        <f ca="1"/>
        <v>09-Mar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 s="16">
        <v>1</v>
      </c>
      <c r="M77">
        <f ca="1"/>
        <v>11</v>
      </c>
      <c r="N77">
        <v>9</v>
      </c>
    </row>
    <row r="78" spans="2:14" x14ac:dyDescent="0.25">
      <c r="B78" s="15" t="str">
        <f ca="1"/>
        <v>10-Mar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 s="16">
        <v>1</v>
      </c>
      <c r="M78">
        <f ca="1"/>
        <v>11</v>
      </c>
      <c r="N78">
        <v>9</v>
      </c>
    </row>
    <row r="79" spans="2:14" x14ac:dyDescent="0.25">
      <c r="B79" s="15" t="str">
        <f ca="1"/>
        <v>11-Mar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 s="16">
        <v>1</v>
      </c>
      <c r="M79">
        <f ca="1"/>
        <v>11</v>
      </c>
      <c r="N79">
        <v>9</v>
      </c>
    </row>
    <row r="80" spans="2:14" x14ac:dyDescent="0.25">
      <c r="B80" s="15" t="str">
        <f ca="1"/>
        <v>12-Mar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 s="16">
        <v>1</v>
      </c>
      <c r="M80">
        <f ca="1"/>
        <v>11</v>
      </c>
      <c r="N80">
        <v>8</v>
      </c>
    </row>
    <row r="81" spans="2:14" x14ac:dyDescent="0.25">
      <c r="B81" s="15" t="str">
        <f ca="1"/>
        <v>13-Mar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 s="16">
        <v>1</v>
      </c>
      <c r="M81">
        <f ca="1"/>
        <v>11</v>
      </c>
      <c r="N81">
        <v>9</v>
      </c>
    </row>
    <row r="82" spans="2:14" x14ac:dyDescent="0.25">
      <c r="B82" s="15" t="str">
        <f ca="1"/>
        <v>14-Mar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 s="16">
        <v>1</v>
      </c>
      <c r="M82">
        <f ca="1"/>
        <v>11</v>
      </c>
      <c r="N82">
        <v>9</v>
      </c>
    </row>
    <row r="83" spans="2:14" x14ac:dyDescent="0.25">
      <c r="B83" s="15" t="str">
        <f ca="1"/>
        <v>15-Mar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 s="16">
        <v>1</v>
      </c>
      <c r="M83">
        <f ca="1"/>
        <v>11</v>
      </c>
      <c r="N83">
        <v>8</v>
      </c>
    </row>
    <row r="84" spans="2:14" x14ac:dyDescent="0.25">
      <c r="B84" s="15" t="str">
        <f ca="1"/>
        <v>16-Mar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 s="16">
        <v>1</v>
      </c>
      <c r="M84">
        <f ca="1"/>
        <v>12</v>
      </c>
      <c r="N84">
        <v>8</v>
      </c>
    </row>
    <row r="85" spans="2:14" x14ac:dyDescent="0.25">
      <c r="B85" s="15" t="str">
        <f ca="1"/>
        <v>17-Mar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 s="16">
        <v>1</v>
      </c>
      <c r="M85">
        <f ca="1"/>
        <v>12</v>
      </c>
      <c r="N85">
        <v>9</v>
      </c>
    </row>
    <row r="86" spans="2:14" x14ac:dyDescent="0.25">
      <c r="B86" s="15" t="str">
        <f ca="1"/>
        <v>18-Mar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 s="16">
        <v>1</v>
      </c>
      <c r="M86">
        <f ca="1"/>
        <v>12</v>
      </c>
      <c r="N86">
        <v>8</v>
      </c>
    </row>
    <row r="87" spans="2:14" x14ac:dyDescent="0.25">
      <c r="B87" s="15" t="str">
        <f ca="1"/>
        <v>19-Mar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 s="16">
        <v>1</v>
      </c>
      <c r="M87">
        <f ca="1"/>
        <v>12</v>
      </c>
      <c r="N87">
        <v>9</v>
      </c>
    </row>
    <row r="88" spans="2:14" x14ac:dyDescent="0.25">
      <c r="B88" s="15" t="str">
        <f ca="1"/>
        <v>20-Mar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 s="16">
        <v>1</v>
      </c>
      <c r="M88">
        <f ca="1"/>
        <v>12</v>
      </c>
      <c r="N88">
        <v>9</v>
      </c>
    </row>
    <row r="89" spans="2:14" x14ac:dyDescent="0.25">
      <c r="B89" s="15" t="str">
        <f ca="1"/>
        <v>21-Mar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 s="16">
        <v>1</v>
      </c>
      <c r="M89">
        <f ca="1"/>
        <v>12</v>
      </c>
      <c r="N89">
        <v>8</v>
      </c>
    </row>
    <row r="90" spans="2:14" x14ac:dyDescent="0.25">
      <c r="B90" s="15" t="str">
        <f ca="1"/>
        <v>22-Mar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 s="16">
        <v>1</v>
      </c>
      <c r="M90">
        <f ca="1"/>
        <v>12</v>
      </c>
      <c r="N90">
        <v>9</v>
      </c>
    </row>
    <row r="91" spans="2:14" x14ac:dyDescent="0.25">
      <c r="B91" s="15" t="str">
        <f ca="1"/>
        <v>23-Mar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 s="16">
        <v>1</v>
      </c>
      <c r="M91">
        <f ca="1"/>
        <v>13</v>
      </c>
      <c r="N91">
        <v>9</v>
      </c>
    </row>
    <row r="92" spans="2:14" x14ac:dyDescent="0.25">
      <c r="B92" s="15" t="str">
        <f ca="1"/>
        <v>24-Mar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 s="16">
        <v>1</v>
      </c>
      <c r="M92">
        <f ca="1"/>
        <v>13</v>
      </c>
      <c r="N92">
        <v>8</v>
      </c>
    </row>
    <row r="93" spans="2:14" x14ac:dyDescent="0.25">
      <c r="B93" s="15" t="str">
        <f ca="1"/>
        <v>25-Mar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 s="16">
        <v>1</v>
      </c>
      <c r="M93">
        <f ca="1"/>
        <v>13</v>
      </c>
      <c r="N93">
        <v>9</v>
      </c>
    </row>
    <row r="94" spans="2:14" x14ac:dyDescent="0.25">
      <c r="B94" s="15" t="str">
        <f ca="1"/>
        <v>26-Mar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 s="16">
        <v>1</v>
      </c>
      <c r="M94">
        <f ca="1"/>
        <v>13</v>
      </c>
      <c r="N94">
        <v>9</v>
      </c>
    </row>
    <row r="95" spans="2:14" x14ac:dyDescent="0.25">
      <c r="B95" s="15" t="str">
        <f ca="1"/>
        <v>27-Mar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 s="16">
        <v>1</v>
      </c>
      <c r="M95">
        <f ca="1"/>
        <v>13</v>
      </c>
      <c r="N95">
        <v>9</v>
      </c>
    </row>
    <row r="96" spans="2:14" x14ac:dyDescent="0.25">
      <c r="B96" s="15" t="str">
        <f ca="1"/>
        <v>28-Mar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 s="16">
        <v>1</v>
      </c>
      <c r="M96">
        <f ca="1"/>
        <v>13</v>
      </c>
      <c r="N96">
        <v>8</v>
      </c>
    </row>
    <row r="97" spans="2:14" x14ac:dyDescent="0.25">
      <c r="B97" s="15" t="str">
        <f ca="1"/>
        <v>29-Mar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 s="16">
        <v>1</v>
      </c>
      <c r="M97">
        <f ca="1"/>
        <v>13</v>
      </c>
      <c r="N97">
        <v>9</v>
      </c>
    </row>
    <row r="98" spans="2:14" x14ac:dyDescent="0.25">
      <c r="B98" s="15" t="str">
        <f ca="1"/>
        <v>30-Mar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 s="16">
        <v>1</v>
      </c>
      <c r="M98">
        <f ca="1"/>
        <v>14</v>
      </c>
      <c r="N98">
        <v>9</v>
      </c>
    </row>
    <row r="99" spans="2:14" x14ac:dyDescent="0.25">
      <c r="B99" s="15" t="str">
        <f ca="1"/>
        <v>31-Mar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 s="16">
        <v>1</v>
      </c>
      <c r="M99">
        <f ca="1"/>
        <v>14</v>
      </c>
      <c r="N99">
        <v>9</v>
      </c>
    </row>
    <row r="100" spans="2:14" x14ac:dyDescent="0.25">
      <c r="B100" s="15" t="str">
        <f ca="1"/>
        <v>01-Apr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 s="16">
        <v>1</v>
      </c>
      <c r="M100">
        <f ca="1"/>
        <v>14</v>
      </c>
      <c r="N100">
        <v>9</v>
      </c>
    </row>
    <row r="101" spans="2:14" x14ac:dyDescent="0.25">
      <c r="B101" s="15" t="str">
        <f ca="1"/>
        <v>02-Apr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 s="17">
        <v>1</v>
      </c>
      <c r="M101">
        <f ca="1"/>
        <v>14</v>
      </c>
      <c r="N101">
        <v>9</v>
      </c>
    </row>
    <row r="102" spans="2:14" x14ac:dyDescent="0.25">
      <c r="B102" s="15" t="str">
        <f ca="1"/>
        <v>03-Apr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 s="17">
        <v>1</v>
      </c>
      <c r="M102">
        <f ca="1"/>
        <v>14</v>
      </c>
      <c r="N102">
        <v>9</v>
      </c>
    </row>
    <row r="103" spans="2:14" x14ac:dyDescent="0.25">
      <c r="B103" s="15" t="str">
        <f ca="1"/>
        <v>04-Apr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 s="17">
        <v>1</v>
      </c>
      <c r="M103">
        <f ca="1"/>
        <v>14</v>
      </c>
      <c r="N103">
        <v>9</v>
      </c>
    </row>
    <row r="104" spans="2:14" x14ac:dyDescent="0.25">
      <c r="B104" s="15" t="str">
        <f ca="1"/>
        <v>05-Apr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 s="17">
        <v>1</v>
      </c>
      <c r="M104">
        <f ca="1"/>
        <v>14</v>
      </c>
      <c r="N104">
        <v>8</v>
      </c>
    </row>
    <row r="105" spans="2:14" x14ac:dyDescent="0.25">
      <c r="B105" s="15" t="str">
        <f ca="1"/>
        <v>06-Apr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 s="17">
        <v>1</v>
      </c>
      <c r="M105">
        <f ca="1"/>
        <v>15</v>
      </c>
      <c r="N105">
        <v>8</v>
      </c>
    </row>
    <row r="106" spans="2:14" x14ac:dyDescent="0.25">
      <c r="B106" s="15" t="str">
        <f ca="1"/>
        <v>07-Apr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 s="17">
        <v>1</v>
      </c>
      <c r="M106">
        <f ca="1"/>
        <v>15</v>
      </c>
      <c r="N106">
        <v>9</v>
      </c>
    </row>
    <row r="107" spans="2:14" x14ac:dyDescent="0.25">
      <c r="B107" s="15" t="str">
        <f ca="1"/>
        <v>08-Apr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 s="17">
        <v>1</v>
      </c>
      <c r="M107">
        <f ca="1"/>
        <v>15</v>
      </c>
      <c r="N107">
        <v>9</v>
      </c>
    </row>
    <row r="108" spans="2:14" x14ac:dyDescent="0.25">
      <c r="B108" s="15" t="str">
        <f ca="1"/>
        <v>09-Apr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 s="17">
        <v>1</v>
      </c>
      <c r="M108">
        <f ca="1"/>
        <v>15</v>
      </c>
      <c r="N108">
        <v>9</v>
      </c>
    </row>
    <row r="109" spans="2:14" x14ac:dyDescent="0.25">
      <c r="B109" s="15" t="str">
        <f ca="1"/>
        <v>10-Apr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 s="17">
        <v>1</v>
      </c>
      <c r="M109">
        <f ca="1"/>
        <v>15</v>
      </c>
      <c r="N109">
        <v>9</v>
      </c>
    </row>
    <row r="110" spans="2:14" x14ac:dyDescent="0.25">
      <c r="B110" s="15" t="str">
        <f ca="1"/>
        <v>11-Apr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 s="17">
        <v>1</v>
      </c>
      <c r="M110">
        <f ca="1"/>
        <v>15</v>
      </c>
      <c r="N110">
        <v>8</v>
      </c>
    </row>
    <row r="111" spans="2:14" x14ac:dyDescent="0.25">
      <c r="B111" s="15" t="str">
        <f ca="1"/>
        <v>12-Apr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 s="17">
        <v>1</v>
      </c>
      <c r="M111">
        <f ca="1"/>
        <v>15</v>
      </c>
      <c r="N111">
        <v>9</v>
      </c>
    </row>
    <row r="112" spans="2:14" x14ac:dyDescent="0.25">
      <c r="B112" s="15" t="str">
        <f ca="1"/>
        <v>13-Apr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 s="17">
        <v>1</v>
      </c>
      <c r="M112">
        <f ca="1"/>
        <v>16</v>
      </c>
      <c r="N112">
        <v>9</v>
      </c>
    </row>
    <row r="113" spans="2:27" x14ac:dyDescent="0.25">
      <c r="B113" s="15" t="str">
        <f ca="1"/>
        <v>14-Apr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 s="17">
        <v>1</v>
      </c>
      <c r="M113">
        <f ca="1"/>
        <v>16</v>
      </c>
      <c r="N113">
        <v>9</v>
      </c>
    </row>
    <row r="114" spans="2:27" x14ac:dyDescent="0.25">
      <c r="B114" s="15" t="str">
        <f ca="1"/>
        <v>15-Apr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 s="17">
        <v>1</v>
      </c>
      <c r="M114">
        <f ca="1"/>
        <v>16</v>
      </c>
      <c r="N114">
        <v>9</v>
      </c>
    </row>
    <row r="115" spans="2:27" x14ac:dyDescent="0.25">
      <c r="B115" s="15" t="str">
        <f ca="1"/>
        <v>16-Apr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 s="17">
        <v>1</v>
      </c>
      <c r="M115">
        <f ca="1"/>
        <v>16</v>
      </c>
      <c r="N115">
        <v>9</v>
      </c>
    </row>
    <row r="116" spans="2:27" x14ac:dyDescent="0.25">
      <c r="B116" s="15" t="str">
        <f ca="1"/>
        <v>17-Apr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 s="17">
        <v>1</v>
      </c>
      <c r="M116">
        <f ca="1"/>
        <v>16</v>
      </c>
      <c r="N116">
        <v>9</v>
      </c>
    </row>
    <row r="117" spans="2:27" x14ac:dyDescent="0.25">
      <c r="B117" s="15" t="str">
        <f ca="1"/>
        <v>18-Apr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 s="17">
        <v>1</v>
      </c>
      <c r="M117">
        <f ca="1"/>
        <v>16</v>
      </c>
      <c r="N117">
        <v>9</v>
      </c>
    </row>
    <row r="118" spans="2:27" x14ac:dyDescent="0.25">
      <c r="B118" s="15" t="str">
        <f ca="1"/>
        <v>19-Apr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 s="17">
        <v>1</v>
      </c>
      <c r="M118">
        <f ca="1"/>
        <v>16</v>
      </c>
      <c r="N118">
        <v>9</v>
      </c>
    </row>
    <row r="119" spans="2:27" x14ac:dyDescent="0.25">
      <c r="B119" s="15" t="str">
        <f ca="1"/>
        <v>20-Apr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 s="17">
        <v>1</v>
      </c>
      <c r="M119">
        <f ca="1"/>
        <v>17</v>
      </c>
      <c r="N119">
        <v>8</v>
      </c>
    </row>
    <row r="120" spans="2:27" x14ac:dyDescent="0.25">
      <c r="B120" s="15" t="str">
        <f ca="1"/>
        <v>21-Apr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 s="17">
        <v>1</v>
      </c>
      <c r="M120">
        <f ca="1"/>
        <v>17</v>
      </c>
      <c r="N120">
        <v>9</v>
      </c>
    </row>
    <row r="121" spans="2:27" x14ac:dyDescent="0.25">
      <c r="B121" s="15" t="str">
        <f ca="1"/>
        <v>22-Apr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 s="17">
        <v>1</v>
      </c>
      <c r="M121">
        <f ca="1"/>
        <v>17</v>
      </c>
      <c r="N121">
        <v>9</v>
      </c>
    </row>
    <row r="122" spans="2:27" x14ac:dyDescent="0.25">
      <c r="B122" s="15" t="str">
        <f ca="1"/>
        <v>23-Apr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 s="17">
        <v>1</v>
      </c>
      <c r="M122">
        <f ca="1"/>
        <v>17</v>
      </c>
      <c r="N122">
        <v>9</v>
      </c>
    </row>
    <row r="123" spans="2:27" x14ac:dyDescent="0.25">
      <c r="B123" s="15" t="str">
        <f ca="1"/>
        <v>24-Apr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 s="17">
        <v>1</v>
      </c>
      <c r="M123">
        <f ca="1"/>
        <v>17</v>
      </c>
      <c r="N123">
        <v>9</v>
      </c>
    </row>
    <row r="124" spans="2:27" x14ac:dyDescent="0.25">
      <c r="B124" s="15" t="str">
        <f ca="1"/>
        <v>25-Apr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 s="17">
        <v>1</v>
      </c>
      <c r="M124">
        <f ca="1"/>
        <v>17</v>
      </c>
      <c r="N124">
        <v>8</v>
      </c>
      <c r="AA124" t="s">
        <v>29</v>
      </c>
    </row>
    <row r="125" spans="2:27" x14ac:dyDescent="0.25">
      <c r="B125" s="15" t="str">
        <f ca="1"/>
        <v>26-Apr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 s="17">
        <v>1</v>
      </c>
      <c r="M125">
        <f ca="1"/>
        <v>17</v>
      </c>
      <c r="N125">
        <v>8</v>
      </c>
    </row>
    <row r="126" spans="2:27" x14ac:dyDescent="0.25">
      <c r="B126" s="15" t="str">
        <f ca="1"/>
        <v>27-Apr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 s="17">
        <v>1</v>
      </c>
      <c r="M126">
        <f ca="1"/>
        <v>18</v>
      </c>
      <c r="N126">
        <v>8</v>
      </c>
    </row>
    <row r="127" spans="2:27" x14ac:dyDescent="0.25">
      <c r="B127" s="15" t="str">
        <f ca="1"/>
        <v>28-Apr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 s="17">
        <v>1</v>
      </c>
      <c r="M127">
        <f ca="1"/>
        <v>18</v>
      </c>
      <c r="N127">
        <v>9</v>
      </c>
    </row>
    <row r="128" spans="2:27" x14ac:dyDescent="0.25">
      <c r="B128" s="15" t="str">
        <f ca="1"/>
        <v>29-Apr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 s="17">
        <v>1</v>
      </c>
      <c r="M128">
        <f ca="1"/>
        <v>18</v>
      </c>
      <c r="N128">
        <v>9</v>
      </c>
    </row>
    <row r="129" spans="1:14" x14ac:dyDescent="0.25">
      <c r="B129" s="15" t="str">
        <f ca="1"/>
        <v>30-Apr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 s="17">
        <v>1</v>
      </c>
      <c r="M129">
        <f ca="1"/>
        <v>18</v>
      </c>
      <c r="N129">
        <v>9</v>
      </c>
    </row>
    <row r="130" spans="1:14" x14ac:dyDescent="0.25">
      <c r="B130" s="15" t="str">
        <f ca="1"/>
        <v>01-May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 s="17">
        <v>1</v>
      </c>
      <c r="M130">
        <f ca="1"/>
        <v>18</v>
      </c>
      <c r="N130">
        <v>9</v>
      </c>
    </row>
    <row r="131" spans="1:14" x14ac:dyDescent="0.25">
      <c r="B131" s="15" t="str">
        <f ca="1"/>
        <v>02-May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 s="17">
        <v>1</v>
      </c>
      <c r="M131">
        <f ca="1"/>
        <v>18</v>
      </c>
      <c r="N131">
        <v>9</v>
      </c>
    </row>
    <row r="132" spans="1:14" x14ac:dyDescent="0.25">
      <c r="B132" s="15" t="str">
        <f ca="1"/>
        <v>03-May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 s="17">
        <v>1</v>
      </c>
      <c r="M132">
        <f ca="1"/>
        <v>18</v>
      </c>
      <c r="N132">
        <v>8</v>
      </c>
    </row>
    <row r="133" spans="1:14" x14ac:dyDescent="0.25">
      <c r="A133" t="s">
        <v>31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 s="17">
        <v>1</v>
      </c>
      <c r="M133">
        <f ca="1"/>
        <v>19</v>
      </c>
      <c r="N133">
        <v>7</v>
      </c>
    </row>
    <row r="134" spans="1:14" x14ac:dyDescent="0.25">
      <c r="A134" t="s">
        <v>32</v>
      </c>
      <c r="B134" s="15" t="str">
        <f ca="1"/>
        <v>05-May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 s="17">
        <v>1</v>
      </c>
      <c r="M134">
        <f ca="1"/>
        <v>19</v>
      </c>
      <c r="N134">
        <v>8</v>
      </c>
    </row>
    <row r="135" spans="1:14" x14ac:dyDescent="0.25">
      <c r="B135" s="15" t="str">
        <f ca="1"/>
        <v>06-May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 s="17">
        <v>1</v>
      </c>
      <c r="M135">
        <f ca="1"/>
        <v>19</v>
      </c>
      <c r="N135">
        <v>9</v>
      </c>
    </row>
    <row r="136" spans="1:14" x14ac:dyDescent="0.25">
      <c r="B136" s="15" t="str">
        <f ca="1"/>
        <v>07-May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 s="17">
        <v>1</v>
      </c>
      <c r="M136">
        <f ca="1"/>
        <v>19</v>
      </c>
      <c r="N136">
        <v>9</v>
      </c>
    </row>
    <row r="137" spans="1:14" x14ac:dyDescent="0.25">
      <c r="B137" s="15" t="str">
        <f ca="1"/>
        <v>08-May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 s="17">
        <v>1</v>
      </c>
      <c r="M137">
        <f ca="1"/>
        <v>19</v>
      </c>
      <c r="N137">
        <v>9</v>
      </c>
    </row>
    <row r="138" spans="1:14" x14ac:dyDescent="0.25">
      <c r="B138" s="15" t="str">
        <f ca="1"/>
        <v>09-May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 s="17">
        <v>1</v>
      </c>
      <c r="M138">
        <f ca="1"/>
        <v>19</v>
      </c>
      <c r="N138">
        <v>8</v>
      </c>
    </row>
    <row r="139" spans="1:14" x14ac:dyDescent="0.25">
      <c r="B139" s="15" t="str">
        <f ca="1"/>
        <v>10-May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 s="17">
        <v>1</v>
      </c>
      <c r="M139">
        <f ca="1"/>
        <v>19</v>
      </c>
      <c r="N139">
        <v>8</v>
      </c>
    </row>
    <row r="140" spans="1:14" x14ac:dyDescent="0.25">
      <c r="B140" s="15" t="str">
        <f ca="1"/>
        <v>11-May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 s="17">
        <v>1</v>
      </c>
      <c r="M140">
        <f ca="1"/>
        <v>20</v>
      </c>
      <c r="N140">
        <v>9</v>
      </c>
    </row>
    <row r="141" spans="1:14" x14ac:dyDescent="0.25">
      <c r="B141" s="15" t="str">
        <f ca="1"/>
        <v>12-May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 s="17">
        <v>1</v>
      </c>
      <c r="M141">
        <f ca="1"/>
        <v>20</v>
      </c>
      <c r="N141">
        <v>9</v>
      </c>
    </row>
    <row r="142" spans="1:14" x14ac:dyDescent="0.25">
      <c r="B142" s="15" t="str">
        <f ca="1"/>
        <v>13-May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 s="17">
        <v>1</v>
      </c>
      <c r="M142">
        <f ca="1"/>
        <v>20</v>
      </c>
      <c r="N142">
        <v>9</v>
      </c>
    </row>
    <row r="143" spans="1:14" x14ac:dyDescent="0.25">
      <c r="B143" s="15" t="str">
        <f ca="1"/>
        <v>14-May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 s="17">
        <v>1</v>
      </c>
      <c r="M143">
        <f ca="1"/>
        <v>20</v>
      </c>
      <c r="N143">
        <v>9</v>
      </c>
    </row>
    <row r="144" spans="1:14" x14ac:dyDescent="0.25">
      <c r="B144" s="15" t="str">
        <f ca="1"/>
        <v>15-May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 s="17">
        <v>1</v>
      </c>
      <c r="M144">
        <f ca="1"/>
        <v>20</v>
      </c>
      <c r="N144">
        <v>8</v>
      </c>
    </row>
    <row r="145" spans="2:15" x14ac:dyDescent="0.25">
      <c r="B145" s="15" t="str">
        <f ca="1"/>
        <v>16-May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 s="17">
        <v>1</v>
      </c>
      <c r="M145">
        <f ca="1"/>
        <v>20</v>
      </c>
      <c r="N145">
        <v>9</v>
      </c>
    </row>
    <row r="146" spans="2:15" x14ac:dyDescent="0.25">
      <c r="B146" s="15" t="str">
        <f ca="1"/>
        <v>17-May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 s="17">
        <v>1</v>
      </c>
      <c r="M146">
        <f ca="1"/>
        <v>20</v>
      </c>
      <c r="N146">
        <v>8</v>
      </c>
    </row>
    <row r="147" spans="2:15" x14ac:dyDescent="0.25">
      <c r="B147" s="15" t="str">
        <f ca="1"/>
        <v>18-May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 s="17">
        <v>1</v>
      </c>
      <c r="M147">
        <f ca="1"/>
        <v>21</v>
      </c>
      <c r="N147">
        <v>9</v>
      </c>
    </row>
    <row r="148" spans="2:15" x14ac:dyDescent="0.25">
      <c r="B148" s="15" t="str">
        <f ca="1"/>
        <v>19-May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 s="17">
        <v>1</v>
      </c>
      <c r="M148">
        <f ca="1"/>
        <v>21</v>
      </c>
      <c r="N148">
        <v>9</v>
      </c>
    </row>
    <row r="149" spans="2:15" x14ac:dyDescent="0.25">
      <c r="B149" s="15" t="str">
        <f ca="1"/>
        <v>20-May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 s="17">
        <v>1</v>
      </c>
      <c r="M149">
        <f ca="1"/>
        <v>21</v>
      </c>
      <c r="N149">
        <v>8</v>
      </c>
    </row>
    <row r="150" spans="2:15" x14ac:dyDescent="0.25">
      <c r="B150" s="15" t="str">
        <f ca="1"/>
        <v>21-May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 s="17">
        <v>1</v>
      </c>
      <c r="M150">
        <f ca="1"/>
        <v>21</v>
      </c>
      <c r="N150">
        <v>9</v>
      </c>
    </row>
    <row r="151" spans="2:15" x14ac:dyDescent="0.25">
      <c r="B151" s="15" t="str">
        <f ca="1"/>
        <v>22-May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 s="17">
        <v>1</v>
      </c>
      <c r="M151">
        <f ca="1"/>
        <v>21</v>
      </c>
      <c r="N151">
        <v>9</v>
      </c>
      <c r="O151" t="s">
        <v>34</v>
      </c>
    </row>
    <row r="152" spans="2:15" x14ac:dyDescent="0.25">
      <c r="B152" s="15" t="str">
        <f ca="1"/>
        <v>23-May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 s="17">
        <v>1</v>
      </c>
      <c r="M152">
        <f ca="1"/>
        <v>21</v>
      </c>
      <c r="N152">
        <v>8</v>
      </c>
    </row>
    <row r="153" spans="2:15" x14ac:dyDescent="0.25">
      <c r="B153" s="15" t="str">
        <f ca="1"/>
        <v>24-May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 s="17">
        <v>1</v>
      </c>
      <c r="M153">
        <f ca="1"/>
        <v>21</v>
      </c>
      <c r="N153">
        <v>8</v>
      </c>
    </row>
    <row r="154" spans="2:15" x14ac:dyDescent="0.25">
      <c r="B154" s="15" t="str">
        <f ca="1"/>
        <v>25-May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 s="17">
        <v>1</v>
      </c>
      <c r="M154">
        <f ca="1"/>
        <v>22</v>
      </c>
      <c r="N154">
        <v>8</v>
      </c>
    </row>
    <row r="155" spans="2:15" x14ac:dyDescent="0.25">
      <c r="B155" s="15" t="str">
        <f ca="1"/>
        <v>26-May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 s="17">
        <v>1</v>
      </c>
      <c r="M155">
        <f ca="1"/>
        <v>22</v>
      </c>
      <c r="N155">
        <v>9</v>
      </c>
    </row>
    <row r="156" spans="2:15" x14ac:dyDescent="0.25">
      <c r="B156" s="15" t="str">
        <f ca="1"/>
        <v>27-May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 s="17">
        <v>1</v>
      </c>
      <c r="M156">
        <f ca="1"/>
        <v>22</v>
      </c>
      <c r="N156">
        <v>9</v>
      </c>
    </row>
    <row r="157" spans="2:15" x14ac:dyDescent="0.25">
      <c r="B157" s="15" t="str">
        <f ca="1"/>
        <v>28-May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 s="17">
        <v>1</v>
      </c>
      <c r="M157">
        <f ca="1"/>
        <v>22</v>
      </c>
      <c r="N157">
        <v>9</v>
      </c>
    </row>
    <row r="158" spans="2:15" x14ac:dyDescent="0.25">
      <c r="B158" s="15" t="str">
        <f ca="1"/>
        <v>29-May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 s="17">
        <v>1</v>
      </c>
      <c r="M158">
        <f ca="1"/>
        <v>22</v>
      </c>
      <c r="N158">
        <v>8</v>
      </c>
    </row>
    <row r="159" spans="2:15" x14ac:dyDescent="0.25">
      <c r="B159" s="15" t="str">
        <f ca="1"/>
        <v>30-May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 s="17">
        <v>1</v>
      </c>
      <c r="M159">
        <f ca="1"/>
        <v>22</v>
      </c>
      <c r="N159">
        <v>8</v>
      </c>
    </row>
    <row r="160" spans="2:15" x14ac:dyDescent="0.25">
      <c r="B160" s="15" t="str">
        <f ca="1"/>
        <v>31-May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 s="17">
        <v>1</v>
      </c>
      <c r="M160">
        <f ca="1"/>
        <v>22</v>
      </c>
      <c r="N160">
        <v>8</v>
      </c>
    </row>
    <row r="161" spans="2:14" x14ac:dyDescent="0.25">
      <c r="B161" s="15" t="str">
        <f ca="1"/>
        <v>01-Jun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 s="17">
        <v>1</v>
      </c>
      <c r="M161">
        <f ca="1"/>
        <v>23</v>
      </c>
      <c r="N161">
        <v>8</v>
      </c>
    </row>
    <row r="162" spans="2:14" x14ac:dyDescent="0.25">
      <c r="B162" s="15" t="str">
        <f ca="1"/>
        <v>02-Jun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 s="17">
        <v>1</v>
      </c>
      <c r="M162">
        <f ca="1"/>
        <v>23</v>
      </c>
      <c r="N162">
        <v>9</v>
      </c>
    </row>
    <row r="163" spans="2:14" x14ac:dyDescent="0.25">
      <c r="B163" s="15" t="str">
        <f ca="1"/>
        <v>03-Jun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 s="17">
        <v>1</v>
      </c>
      <c r="M163">
        <f ca="1"/>
        <v>23</v>
      </c>
      <c r="N163">
        <v>9</v>
      </c>
    </row>
    <row r="164" spans="2:14" x14ac:dyDescent="0.25">
      <c r="B164" s="15" t="str">
        <f ca="1"/>
        <v>04-Jun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 s="17">
        <v>1</v>
      </c>
      <c r="M164">
        <f ca="1"/>
        <v>23</v>
      </c>
      <c r="N164">
        <v>8</v>
      </c>
    </row>
    <row r="165" spans="2:14" x14ac:dyDescent="0.25">
      <c r="B165" s="15" t="str">
        <f ca="1"/>
        <v>05-Jun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 s="17">
        <v>1</v>
      </c>
      <c r="M165">
        <f ca="1"/>
        <v>23</v>
      </c>
      <c r="N165">
        <v>9</v>
      </c>
    </row>
    <row r="166" spans="2:14" x14ac:dyDescent="0.25">
      <c r="B166" s="15" t="str">
        <f ca="1"/>
        <v>06-Jun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 s="17">
        <v>1</v>
      </c>
      <c r="M166">
        <f ca="1"/>
        <v>23</v>
      </c>
      <c r="N166">
        <v>9</v>
      </c>
    </row>
    <row r="167" spans="2:14" x14ac:dyDescent="0.25">
      <c r="B167" s="15" t="str">
        <f ca="1"/>
        <v>07-Jun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 s="17">
        <v>1</v>
      </c>
      <c r="M167">
        <f ca="1"/>
        <v>23</v>
      </c>
      <c r="N167">
        <v>9</v>
      </c>
    </row>
    <row r="168" spans="2:14" x14ac:dyDescent="0.25">
      <c r="B168" s="15" t="str">
        <f ca="1"/>
        <v>08-Jun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 s="17">
        <v>1</v>
      </c>
      <c r="M168">
        <f ca="1"/>
        <v>24</v>
      </c>
      <c r="N168">
        <v>8</v>
      </c>
    </row>
    <row r="169" spans="2:14" x14ac:dyDescent="0.25">
      <c r="B169" s="15" t="str">
        <f ca="1"/>
        <v>09-Jun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 s="17">
        <v>1</v>
      </c>
      <c r="M169">
        <f ca="1"/>
        <v>24</v>
      </c>
      <c r="N169">
        <v>9</v>
      </c>
    </row>
    <row r="170" spans="2:14" x14ac:dyDescent="0.25">
      <c r="B170" s="15" t="str">
        <f ca="1"/>
        <v>10-Jun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 s="17">
        <v>1</v>
      </c>
      <c r="M170">
        <f ca="1"/>
        <v>24</v>
      </c>
      <c r="N170">
        <v>8</v>
      </c>
    </row>
    <row r="171" spans="2:14" x14ac:dyDescent="0.25">
      <c r="B171" s="15" t="str">
        <f ca="1"/>
        <v>11-Jun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 s="17">
        <v>1</v>
      </c>
      <c r="M171">
        <f ca="1"/>
        <v>24</v>
      </c>
      <c r="N171">
        <v>9</v>
      </c>
    </row>
    <row r="172" spans="2:14" x14ac:dyDescent="0.25">
      <c r="B172" s="15" t="str">
        <f ca="1"/>
        <v>12-Jun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 s="17">
        <v>1</v>
      </c>
      <c r="M172">
        <f ca="1"/>
        <v>24</v>
      </c>
      <c r="N172">
        <v>9</v>
      </c>
    </row>
    <row r="173" spans="2:14" x14ac:dyDescent="0.25">
      <c r="B173" s="15" t="str">
        <f ca="1"/>
        <v>13-Jun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 s="17">
        <v>1</v>
      </c>
      <c r="M173">
        <f ca="1"/>
        <v>24</v>
      </c>
      <c r="N173">
        <v>8</v>
      </c>
    </row>
    <row r="174" spans="2:14" x14ac:dyDescent="0.25">
      <c r="B174" s="15" t="str">
        <f ca="1"/>
        <v>14-Jun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 s="17">
        <v>1</v>
      </c>
      <c r="M174">
        <f ca="1"/>
        <v>24</v>
      </c>
      <c r="N174">
        <v>8</v>
      </c>
    </row>
    <row r="175" spans="2:14" x14ac:dyDescent="0.25">
      <c r="B175" s="15" t="str">
        <f ca="1"/>
        <v>15-Jun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 s="17">
        <v>1</v>
      </c>
      <c r="M175">
        <f ca="1"/>
        <v>25</v>
      </c>
      <c r="N175">
        <v>9</v>
      </c>
    </row>
    <row r="176" spans="2:14" x14ac:dyDescent="0.25">
      <c r="B176" s="15" t="str">
        <f ca="1"/>
        <v>16-Jun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 s="17">
        <v>1</v>
      </c>
      <c r="M176">
        <f ca="1"/>
        <v>25</v>
      </c>
      <c r="N176">
        <v>8</v>
      </c>
    </row>
    <row r="177" spans="2:14" x14ac:dyDescent="0.25">
      <c r="B177" s="15" t="str">
        <f ca="1"/>
        <v>17-Jun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 s="17">
        <v>1</v>
      </c>
      <c r="M177">
        <f ca="1"/>
        <v>25</v>
      </c>
      <c r="N177">
        <v>9</v>
      </c>
    </row>
    <row r="178" spans="2:14" x14ac:dyDescent="0.25">
      <c r="B178" s="15" t="str">
        <f ca="1"/>
        <v>18-Jun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 s="17">
        <v>1</v>
      </c>
      <c r="M178">
        <f ca="1"/>
        <v>25</v>
      </c>
      <c r="N178">
        <v>9</v>
      </c>
    </row>
    <row r="179" spans="2:14" x14ac:dyDescent="0.25">
      <c r="B179" s="15" t="str">
        <f ca="1"/>
        <v>19-Jun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 s="17">
        <v>1</v>
      </c>
      <c r="M179">
        <f ca="1"/>
        <v>25</v>
      </c>
      <c r="N179">
        <v>8</v>
      </c>
    </row>
    <row r="180" spans="2:14" x14ac:dyDescent="0.25">
      <c r="B180" s="15" t="str">
        <f ca="1"/>
        <v>20-Jun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 s="17">
        <v>1</v>
      </c>
      <c r="M180">
        <f ca="1"/>
        <v>25</v>
      </c>
      <c r="N180">
        <v>8</v>
      </c>
    </row>
    <row r="181" spans="2:14" x14ac:dyDescent="0.25">
      <c r="B181" s="15" t="str">
        <f ca="1"/>
        <v>21-Jun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 s="17">
        <v>1</v>
      </c>
      <c r="M181">
        <f ca="1"/>
        <v>25</v>
      </c>
      <c r="N181">
        <v>9</v>
      </c>
    </row>
    <row r="182" spans="2:14" x14ac:dyDescent="0.25">
      <c r="B182" s="15" t="str">
        <f ca="1"/>
        <v>22-Jun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 s="17">
        <v>1</v>
      </c>
      <c r="M182">
        <f ca="1"/>
        <v>26</v>
      </c>
      <c r="N182">
        <v>9</v>
      </c>
    </row>
    <row r="183" spans="2:14" x14ac:dyDescent="0.25">
      <c r="B183" s="15" t="str">
        <f ca="1"/>
        <v>23-Jun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 s="17">
        <v>1</v>
      </c>
      <c r="M183">
        <f ca="1"/>
        <v>26</v>
      </c>
      <c r="N183">
        <v>9</v>
      </c>
    </row>
    <row r="184" spans="2:14" x14ac:dyDescent="0.25">
      <c r="B184" s="15" t="str">
        <f ca="1"/>
        <v>24-Jun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 s="17">
        <v>1</v>
      </c>
      <c r="M184">
        <f ca="1"/>
        <v>26</v>
      </c>
      <c r="N184">
        <v>9</v>
      </c>
    </row>
    <row r="185" spans="2:14" x14ac:dyDescent="0.25">
      <c r="B185" s="15" t="str">
        <f ca="1"/>
        <v>25-Jun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 s="17">
        <v>1</v>
      </c>
      <c r="M185">
        <f ca="1"/>
        <v>26</v>
      </c>
      <c r="N185">
        <v>9</v>
      </c>
    </row>
    <row r="186" spans="2:14" x14ac:dyDescent="0.25">
      <c r="B186" s="15" t="str">
        <f ca="1"/>
        <v>26-Jun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 s="17">
        <v>1</v>
      </c>
      <c r="M186">
        <f ca="1"/>
        <v>26</v>
      </c>
      <c r="N186">
        <v>9</v>
      </c>
    </row>
    <row r="187" spans="2:14" x14ac:dyDescent="0.25">
      <c r="B187" s="15" t="str">
        <f ca="1"/>
        <v>27-Jun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 s="17">
        <v>1</v>
      </c>
      <c r="M187">
        <f ca="1"/>
        <v>26</v>
      </c>
      <c r="N187">
        <v>8</v>
      </c>
    </row>
    <row r="188" spans="2:14" x14ac:dyDescent="0.25">
      <c r="B188" s="15" t="str">
        <f ca="1"/>
        <v>28-Jun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 s="17">
        <v>1</v>
      </c>
      <c r="M188">
        <f ca="1"/>
        <v>26</v>
      </c>
      <c r="N188">
        <v>8</v>
      </c>
    </row>
    <row r="189" spans="2:14" x14ac:dyDescent="0.25">
      <c r="B189" s="15" t="str">
        <f ca="1"/>
        <v>29-Jun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 s="17">
        <v>1</v>
      </c>
      <c r="M189">
        <f ca="1"/>
        <v>27</v>
      </c>
      <c r="N189">
        <v>8</v>
      </c>
    </row>
    <row r="190" spans="2:14" x14ac:dyDescent="0.25">
      <c r="B190" s="15" t="str">
        <f ca="1"/>
        <v>30-Jun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 s="17">
        <v>1</v>
      </c>
      <c r="M190">
        <f ca="1"/>
        <v>27</v>
      </c>
      <c r="N190">
        <v>8</v>
      </c>
    </row>
    <row r="191" spans="2:14" x14ac:dyDescent="0.25">
      <c r="B191" s="15" t="str">
        <f ca="1"/>
        <v>01-Jul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 s="17">
        <v>1</v>
      </c>
      <c r="M191">
        <f ca="1"/>
        <v>27</v>
      </c>
      <c r="N191">
        <v>9</v>
      </c>
    </row>
    <row r="192" spans="2:14" x14ac:dyDescent="0.25">
      <c r="B192" s="15" t="str">
        <f ca="1"/>
        <v>02-Jul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 s="17">
        <v>1</v>
      </c>
      <c r="M192">
        <f ca="1"/>
        <v>27</v>
      </c>
      <c r="N192">
        <v>9</v>
      </c>
    </row>
    <row r="193" spans="2:14" x14ac:dyDescent="0.25">
      <c r="B193" s="15" t="str">
        <f ca="1"/>
        <v>03-Jul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 s="17">
        <v>1</v>
      </c>
      <c r="M193">
        <f ca="1"/>
        <v>27</v>
      </c>
      <c r="N193">
        <v>9</v>
      </c>
    </row>
    <row r="194" spans="2:14" x14ac:dyDescent="0.25">
      <c r="B194" s="15" t="str">
        <f ca="1"/>
        <v>04-Jul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 s="17">
        <v>1</v>
      </c>
      <c r="M194">
        <f ca="1"/>
        <v>27</v>
      </c>
      <c r="N194">
        <v>9</v>
      </c>
    </row>
    <row r="195" spans="2:14" x14ac:dyDescent="0.25">
      <c r="B195" s="15" t="str">
        <f ca="1"/>
        <v>05-Jul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 s="17">
        <v>1</v>
      </c>
      <c r="M195">
        <f ca="1"/>
        <v>27</v>
      </c>
      <c r="N195">
        <v>8</v>
      </c>
    </row>
    <row r="196" spans="2:14" x14ac:dyDescent="0.25">
      <c r="B196" s="15" t="str">
        <f ca="1"/>
        <v>06-Jul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 s="17">
        <v>1</v>
      </c>
      <c r="M196">
        <f ca="1"/>
        <v>28</v>
      </c>
      <c r="N196">
        <v>8</v>
      </c>
    </row>
    <row r="197" spans="2:14" x14ac:dyDescent="0.25">
      <c r="B197" s="15" t="str">
        <f ca="1"/>
        <v>07-Jul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 s="17">
        <v>1</v>
      </c>
      <c r="M197">
        <f ca="1"/>
        <v>28</v>
      </c>
      <c r="N197">
        <v>9</v>
      </c>
    </row>
    <row r="198" spans="2:14" x14ac:dyDescent="0.25">
      <c r="B198" s="15" t="str">
        <f ca="1"/>
        <v>08-Jul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 s="17">
        <v>1</v>
      </c>
      <c r="M198">
        <f ca="1"/>
        <v>28</v>
      </c>
      <c r="N198">
        <v>9</v>
      </c>
    </row>
    <row r="199" spans="2:14" x14ac:dyDescent="0.25">
      <c r="B199" s="15" t="str">
        <f ca="1"/>
        <v>09-Jul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 s="17">
        <v>1</v>
      </c>
      <c r="M199">
        <f ca="1"/>
        <v>28</v>
      </c>
      <c r="N199">
        <v>9</v>
      </c>
    </row>
    <row r="200" spans="2:14" x14ac:dyDescent="0.25">
      <c r="B200" s="15" t="str">
        <f ca="1"/>
        <v>10-Jul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 s="17">
        <v>1</v>
      </c>
      <c r="M200">
        <f ca="1"/>
        <v>28</v>
      </c>
      <c r="N200">
        <v>9</v>
      </c>
    </row>
    <row r="201" spans="2:14" x14ac:dyDescent="0.25">
      <c r="B201" s="15" t="str">
        <f ca="1"/>
        <v>11-Jul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 s="17">
        <v>1</v>
      </c>
      <c r="M201">
        <f ca="1"/>
        <v>28</v>
      </c>
      <c r="N201">
        <v>9</v>
      </c>
    </row>
    <row r="202" spans="2:14" x14ac:dyDescent="0.25">
      <c r="B202" s="15" t="str">
        <f ca="1"/>
        <v>12-Jul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 s="17">
        <v>1</v>
      </c>
      <c r="M202">
        <f ca="1"/>
        <v>28</v>
      </c>
      <c r="N202">
        <v>8</v>
      </c>
    </row>
    <row r="203" spans="2:14" x14ac:dyDescent="0.25">
      <c r="B203" s="15" t="str">
        <f ca="1"/>
        <v>13-Jul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 s="17">
        <v>1</v>
      </c>
      <c r="M203">
        <f ca="1"/>
        <v>29</v>
      </c>
      <c r="N203">
        <v>8</v>
      </c>
    </row>
    <row r="204" spans="2:14" x14ac:dyDescent="0.25">
      <c r="B204" s="15" t="str">
        <f ca="1"/>
        <v>14-Jul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 s="17">
        <v>1</v>
      </c>
      <c r="M204">
        <f ca="1"/>
        <v>29</v>
      </c>
      <c r="N204">
        <v>9</v>
      </c>
    </row>
    <row r="205" spans="2:14" x14ac:dyDescent="0.25">
      <c r="B205" s="15" t="str">
        <f ca="1"/>
        <v>15-Jul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 s="17">
        <v>1</v>
      </c>
      <c r="M205">
        <f ca="1"/>
        <v>29</v>
      </c>
      <c r="N205">
        <v>9</v>
      </c>
    </row>
    <row r="206" spans="2:14" x14ac:dyDescent="0.25">
      <c r="B206" s="15" t="str">
        <f ca="1"/>
        <v>16-Jul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 s="17">
        <v>1</v>
      </c>
      <c r="M206">
        <f ca="1"/>
        <v>29</v>
      </c>
      <c r="N206">
        <v>8</v>
      </c>
    </row>
    <row r="207" spans="2:14" x14ac:dyDescent="0.25">
      <c r="B207" s="15" t="str">
        <f ca="1"/>
        <v>17-Jul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 s="17">
        <v>1</v>
      </c>
      <c r="M207">
        <f ca="1"/>
        <v>29</v>
      </c>
      <c r="N207">
        <v>9</v>
      </c>
    </row>
    <row r="208" spans="2:14" x14ac:dyDescent="0.25">
      <c r="B208" s="15" t="str">
        <f ca="1"/>
        <v>18-Jul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 s="17">
        <v>1</v>
      </c>
      <c r="M208">
        <f ca="1"/>
        <v>29</v>
      </c>
      <c r="N208">
        <v>9</v>
      </c>
    </row>
    <row r="209" spans="2:25" x14ac:dyDescent="0.25">
      <c r="B209" s="15" t="str">
        <f ca="1"/>
        <v>19-Jul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 s="17">
        <v>1</v>
      </c>
      <c r="M209">
        <f ca="1"/>
        <v>29</v>
      </c>
      <c r="N209">
        <v>8</v>
      </c>
    </row>
    <row r="210" spans="2:25" x14ac:dyDescent="0.25">
      <c r="B210" s="15" t="str">
        <f ca="1"/>
        <v>20-Jul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 s="17">
        <v>1</v>
      </c>
      <c r="M210">
        <f ca="1"/>
        <v>30</v>
      </c>
      <c r="N210">
        <v>9</v>
      </c>
    </row>
    <row r="211" spans="2:25" x14ac:dyDescent="0.25">
      <c r="B211" s="15" t="str">
        <f ca="1"/>
        <v>21-Jul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 s="17">
        <v>1</v>
      </c>
      <c r="M211">
        <f ca="1"/>
        <v>30</v>
      </c>
      <c r="N211">
        <v>8</v>
      </c>
    </row>
    <row r="212" spans="2:25" x14ac:dyDescent="0.25">
      <c r="B212" s="15" t="str">
        <f ca="1"/>
        <v>22-Jul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 s="17">
        <v>1</v>
      </c>
      <c r="M212">
        <f ca="1"/>
        <v>30</v>
      </c>
      <c r="N212">
        <v>9</v>
      </c>
    </row>
    <row r="213" spans="2:25" x14ac:dyDescent="0.25">
      <c r="B213" s="15" t="str">
        <f ca="1"/>
        <v>23-Jul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 s="17">
        <v>1</v>
      </c>
      <c r="M213">
        <f ca="1"/>
        <v>30</v>
      </c>
      <c r="N213">
        <v>9</v>
      </c>
    </row>
    <row r="214" spans="2:25" x14ac:dyDescent="0.25">
      <c r="B214" s="15" t="str">
        <f ca="1"/>
        <v>24-Jul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 s="17">
        <v>1</v>
      </c>
      <c r="M214">
        <f ca="1"/>
        <v>30</v>
      </c>
      <c r="N214">
        <v>8</v>
      </c>
    </row>
    <row r="215" spans="2:25" x14ac:dyDescent="0.25">
      <c r="B215" s="15" t="str">
        <f ca="1"/>
        <v>25-Jul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 s="17">
        <v>1</v>
      </c>
      <c r="M215">
        <f ca="1"/>
        <v>30</v>
      </c>
      <c r="N215">
        <v>9</v>
      </c>
    </row>
    <row r="216" spans="2:25" x14ac:dyDescent="0.25">
      <c r="B216" s="15" t="str">
        <f ca="1"/>
        <v>26-Jul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 s="17">
        <v>1</v>
      </c>
      <c r="M216">
        <f ca="1"/>
        <v>30</v>
      </c>
      <c r="N216">
        <v>9</v>
      </c>
    </row>
    <row r="217" spans="2:25" x14ac:dyDescent="0.25">
      <c r="B217" s="15" t="str">
        <f ca="1"/>
        <v>27-Jul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 s="17">
        <v>1</v>
      </c>
      <c r="M217">
        <f ca="1"/>
        <v>31</v>
      </c>
      <c r="N217">
        <v>9</v>
      </c>
    </row>
    <row r="218" spans="2:25" x14ac:dyDescent="0.25">
      <c r="B218" s="15" t="str">
        <f ca="1"/>
        <v>28-Jul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 s="17">
        <v>1</v>
      </c>
      <c r="M218">
        <f ca="1"/>
        <v>31</v>
      </c>
      <c r="N218">
        <v>9</v>
      </c>
      <c r="Q218"/>
      <c r="R218"/>
      <c r="S218"/>
      <c r="T218"/>
      <c r="U218"/>
      <c r="V218"/>
      <c r="W218"/>
      <c r="X218"/>
      <c r="Y218"/>
    </row>
    <row r="219" spans="2:25" x14ac:dyDescent="0.25">
      <c r="B219" s="15" t="str">
        <f ca="1"/>
        <v>29-Jul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 s="17">
        <v>1</v>
      </c>
      <c r="M219">
        <f ca="1"/>
        <v>31</v>
      </c>
      <c r="N219">
        <v>8</v>
      </c>
    </row>
    <row r="220" spans="2:25" x14ac:dyDescent="0.25">
      <c r="B220" s="15" t="str">
        <f ca="1"/>
        <v>30-Jul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 s="17">
        <v>1</v>
      </c>
      <c r="M220">
        <f ca="1"/>
        <v>31</v>
      </c>
      <c r="N220">
        <v>8</v>
      </c>
    </row>
    <row r="221" spans="2:25" x14ac:dyDescent="0.25">
      <c r="B221" s="15" t="str">
        <f ca="1"/>
        <v>31-Jul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 s="17">
        <v>1</v>
      </c>
      <c r="M221">
        <f ca="1"/>
        <v>31</v>
      </c>
      <c r="N221">
        <v>9</v>
      </c>
    </row>
    <row r="222" spans="2:25" x14ac:dyDescent="0.25">
      <c r="B222" s="15" t="str">
        <f ca="1"/>
        <v>01-Aug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 s="17">
        <v>1</v>
      </c>
      <c r="M222">
        <f ca="1"/>
        <v>31</v>
      </c>
      <c r="N222">
        <v>8</v>
      </c>
    </row>
    <row r="223" spans="2:25" x14ac:dyDescent="0.25">
      <c r="B223" s="15" t="str">
        <f ca="1"/>
        <v>02-Aug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 s="17">
        <v>1</v>
      </c>
      <c r="M223">
        <f ca="1"/>
        <v>31</v>
      </c>
      <c r="N223">
        <v>9</v>
      </c>
    </row>
    <row r="224" spans="2:25" x14ac:dyDescent="0.25">
      <c r="B224" s="15" t="str">
        <f ca="1"/>
        <v>03-Aug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 s="17">
        <v>1</v>
      </c>
      <c r="M224">
        <f ca="1"/>
        <v>32</v>
      </c>
      <c r="N224">
        <v>8</v>
      </c>
    </row>
    <row r="225" spans="2:14" x14ac:dyDescent="0.25">
      <c r="B225" s="15" t="str">
        <f ca="1"/>
        <v>04-Aug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 s="17">
        <v>1</v>
      </c>
      <c r="M225">
        <f ca="1"/>
        <v>32</v>
      </c>
      <c r="N225">
        <v>9</v>
      </c>
    </row>
    <row r="226" spans="2:14" x14ac:dyDescent="0.25">
      <c r="B226" s="15" t="str">
        <f ca="1"/>
        <v>05-Aug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 s="17">
        <v>1</v>
      </c>
      <c r="M226">
        <f ca="1"/>
        <v>32</v>
      </c>
      <c r="N226">
        <v>9</v>
      </c>
    </row>
    <row r="227" spans="2:14" x14ac:dyDescent="0.25">
      <c r="B227" s="15" t="str">
        <f ca="1"/>
        <v>06-Aug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 s="17">
        <v>1</v>
      </c>
      <c r="M227">
        <f ca="1"/>
        <v>32</v>
      </c>
      <c r="N227">
        <v>8</v>
      </c>
    </row>
    <row r="228" spans="2:14" x14ac:dyDescent="0.25">
      <c r="B228" s="15" t="str">
        <f ca="1"/>
        <v>07-Aug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 s="17">
        <v>1</v>
      </c>
      <c r="M228">
        <f ca="1"/>
        <v>32</v>
      </c>
      <c r="N228">
        <v>8</v>
      </c>
    </row>
    <row r="229" spans="2:14" x14ac:dyDescent="0.25">
      <c r="B229" s="15" t="str">
        <f ca="1"/>
        <v>08-Aug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 s="17">
        <v>1</v>
      </c>
      <c r="M229">
        <f ca="1"/>
        <v>32</v>
      </c>
      <c r="N229">
        <v>9</v>
      </c>
    </row>
    <row r="230" spans="2:14" x14ac:dyDescent="0.25">
      <c r="B230" s="15" t="str">
        <f ca="1"/>
        <v>09-Aug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 s="17">
        <v>1</v>
      </c>
      <c r="M230">
        <f ca="1"/>
        <v>32</v>
      </c>
      <c r="N230">
        <v>9</v>
      </c>
    </row>
    <row r="231" spans="2:14" x14ac:dyDescent="0.25">
      <c r="B231" s="15" t="str">
        <f ca="1"/>
        <v>10-Aug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 s="16">
        <v>1</v>
      </c>
      <c r="M231">
        <f ca="1"/>
        <v>33</v>
      </c>
      <c r="N231">
        <v>7</v>
      </c>
    </row>
    <row r="232" spans="2:14" x14ac:dyDescent="0.25">
      <c r="B232" s="15" t="str">
        <f ca="1"/>
        <v>11-Aug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 s="16">
        <v>1</v>
      </c>
      <c r="M232">
        <f ca="1"/>
        <v>33</v>
      </c>
      <c r="N232">
        <v>7</v>
      </c>
    </row>
    <row r="233" spans="2:14" x14ac:dyDescent="0.25">
      <c r="B233" s="15" t="str">
        <f ca="1"/>
        <v>12-Aug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 s="16">
        <v>1</v>
      </c>
      <c r="M233">
        <f ca="1"/>
        <v>33</v>
      </c>
      <c r="N233">
        <v>6</v>
      </c>
    </row>
    <row r="234" spans="2:14" x14ac:dyDescent="0.25">
      <c r="B234" s="15" t="str">
        <f ca="1"/>
        <v>13-Aug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 s="16">
        <v>1</v>
      </c>
      <c r="M234">
        <f ca="1"/>
        <v>33</v>
      </c>
      <c r="N234">
        <v>8</v>
      </c>
    </row>
    <row r="235" spans="2:14" x14ac:dyDescent="0.25">
      <c r="B235" s="15" t="str">
        <f ca="1"/>
        <v>14-Aug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 s="17">
        <v>1</v>
      </c>
      <c r="M235">
        <f ca="1"/>
        <v>33</v>
      </c>
      <c r="N235">
        <v>9</v>
      </c>
    </row>
    <row r="236" spans="2:14" x14ac:dyDescent="0.25">
      <c r="B236" s="15" t="str">
        <f ca="1"/>
        <v>15-Aug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 s="17">
        <v>1</v>
      </c>
      <c r="M236">
        <f ca="1"/>
        <v>33</v>
      </c>
      <c r="N236">
        <v>9</v>
      </c>
    </row>
    <row r="237" spans="2:14" x14ac:dyDescent="0.25">
      <c r="B237" s="15" t="str">
        <f ca="1"/>
        <v>16-Aug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 s="17">
        <v>1</v>
      </c>
      <c r="M237">
        <f ca="1"/>
        <v>33</v>
      </c>
      <c r="N237">
        <v>9</v>
      </c>
    </row>
    <row r="238" spans="2:14" x14ac:dyDescent="0.25">
      <c r="B238" s="15" t="str">
        <f ca="1"/>
        <v>17-Aug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 s="16">
        <v>1</v>
      </c>
      <c r="M238">
        <f ca="1"/>
        <v>34</v>
      </c>
      <c r="N238">
        <v>8</v>
      </c>
    </row>
    <row r="239" spans="2:14" x14ac:dyDescent="0.25">
      <c r="B239" s="15" t="str">
        <f ca="1"/>
        <v>18-Aug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 s="16">
        <v>1</v>
      </c>
      <c r="M239">
        <f ca="1"/>
        <v>34</v>
      </c>
      <c r="N239">
        <v>9</v>
      </c>
    </row>
    <row r="240" spans="2:14" x14ac:dyDescent="0.25">
      <c r="B240" s="15" t="str">
        <f ca="1"/>
        <v>19-Aug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 s="16">
        <v>1</v>
      </c>
      <c r="M240">
        <f ca="1"/>
        <v>34</v>
      </c>
      <c r="N240">
        <v>9</v>
      </c>
    </row>
    <row r="241" spans="2:14" x14ac:dyDescent="0.25">
      <c r="B241" s="15" t="str">
        <f ca="1"/>
        <v>20-Aug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 s="16">
        <v>1</v>
      </c>
      <c r="M241">
        <f ca="1"/>
        <v>34</v>
      </c>
      <c r="N241">
        <v>8</v>
      </c>
    </row>
    <row r="242" spans="2:14" x14ac:dyDescent="0.25">
      <c r="B242" s="15" t="str">
        <f ca="1"/>
        <v>21-Aug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 s="16">
        <v>1</v>
      </c>
      <c r="M242">
        <f ca="1"/>
        <v>34</v>
      </c>
      <c r="N242">
        <v>9</v>
      </c>
    </row>
    <row r="243" spans="2:14" x14ac:dyDescent="0.25">
      <c r="B243" s="15" t="str">
        <f ca="1"/>
        <v>22-Aug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 s="16">
        <v>1</v>
      </c>
      <c r="M243">
        <f ca="1"/>
        <v>34</v>
      </c>
      <c r="N243">
        <v>8</v>
      </c>
    </row>
    <row r="244" spans="2:14" x14ac:dyDescent="0.25">
      <c r="B244" s="15" t="str">
        <f ca="1"/>
        <v>23-Aug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 s="16">
        <v>1</v>
      </c>
      <c r="M244">
        <f ca="1"/>
        <v>34</v>
      </c>
      <c r="N244">
        <v>9</v>
      </c>
    </row>
    <row r="245" spans="2:14" x14ac:dyDescent="0.25">
      <c r="B245" s="15" t="str">
        <f ca="1"/>
        <v>24-Aug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 s="16">
        <v>1</v>
      </c>
      <c r="M245">
        <f ca="1"/>
        <v>35</v>
      </c>
      <c r="N245">
        <v>8</v>
      </c>
    </row>
    <row r="246" spans="2:14" x14ac:dyDescent="0.25">
      <c r="B246" s="15" t="str">
        <f ca="1"/>
        <v>25-Aug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 s="16">
        <v>1</v>
      </c>
      <c r="M246">
        <f ca="1"/>
        <v>35</v>
      </c>
      <c r="N246">
        <v>9</v>
      </c>
    </row>
    <row r="247" spans="2:14" x14ac:dyDescent="0.25">
      <c r="B247" s="15" t="str">
        <f ca="1"/>
        <v>26-Aug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 s="16">
        <v>1</v>
      </c>
      <c r="M247">
        <f ca="1"/>
        <v>35</v>
      </c>
      <c r="N247">
        <v>9</v>
      </c>
    </row>
    <row r="248" spans="2:14" x14ac:dyDescent="0.25">
      <c r="B248" s="15" t="str">
        <f ca="1"/>
        <v>27-Aug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 s="16">
        <v>1</v>
      </c>
      <c r="M248">
        <f ca="1"/>
        <v>35</v>
      </c>
      <c r="N248">
        <v>8</v>
      </c>
    </row>
    <row r="249" spans="2:14" x14ac:dyDescent="0.25">
      <c r="B249" s="15" t="str">
        <f ca="1"/>
        <v>28-Aug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 s="16">
        <v>1</v>
      </c>
      <c r="M249">
        <f ca="1"/>
        <v>35</v>
      </c>
      <c r="N249">
        <v>9</v>
      </c>
    </row>
    <row r="250" spans="2:14" x14ac:dyDescent="0.25">
      <c r="B250" s="15" t="str">
        <f ca="1"/>
        <v>29-Aug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 s="16">
        <v>1</v>
      </c>
      <c r="M250">
        <f ca="1"/>
        <v>35</v>
      </c>
      <c r="N250">
        <v>8</v>
      </c>
    </row>
    <row r="251" spans="2:14" x14ac:dyDescent="0.25">
      <c r="B251" s="15" t="str">
        <f ca="1"/>
        <v>30-Aug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 s="16">
        <v>1</v>
      </c>
      <c r="M251">
        <f ca="1"/>
        <v>35</v>
      </c>
      <c r="N251">
        <v>8</v>
      </c>
    </row>
    <row r="252" spans="2:14" x14ac:dyDescent="0.25">
      <c r="B252" s="15" t="str">
        <f ca="1"/>
        <v>31-Aug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 s="16">
        <v>1</v>
      </c>
      <c r="M252">
        <f ca="1"/>
        <v>36</v>
      </c>
      <c r="N252">
        <v>8</v>
      </c>
    </row>
    <row r="253" spans="2:14" x14ac:dyDescent="0.25">
      <c r="B253" s="15" t="str">
        <f ca="1"/>
        <v>01-Sep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 s="16">
        <v>1</v>
      </c>
      <c r="M253">
        <f ca="1"/>
        <v>36</v>
      </c>
      <c r="N253">
        <v>8</v>
      </c>
    </row>
    <row r="254" spans="2:14" x14ac:dyDescent="0.25">
      <c r="B254" s="15" t="str">
        <f ca="1"/>
        <v>02-Sep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 s="16">
        <v>1</v>
      </c>
      <c r="M254">
        <f ca="1"/>
        <v>36</v>
      </c>
      <c r="N254">
        <v>9</v>
      </c>
    </row>
    <row r="255" spans="2:14" x14ac:dyDescent="0.25">
      <c r="B255" s="15" t="str">
        <f ca="1"/>
        <v>03-Sep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 s="16">
        <v>1</v>
      </c>
      <c r="M255">
        <f ca="1"/>
        <v>36</v>
      </c>
      <c r="N255">
        <v>9</v>
      </c>
    </row>
    <row r="256" spans="2:14" x14ac:dyDescent="0.25">
      <c r="B256" s="15" t="str">
        <f ca="1"/>
        <v>04-Sep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 s="16">
        <v>1</v>
      </c>
      <c r="M256">
        <f ca="1"/>
        <v>36</v>
      </c>
      <c r="N256">
        <v>9</v>
      </c>
    </row>
    <row r="257" spans="2:16" ht="13.8" thickBot="1" x14ac:dyDescent="0.3">
      <c r="B257" s="15" t="str">
        <f ca="1"/>
        <v>05-Sep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 s="16">
        <v>1</v>
      </c>
      <c r="M257">
        <f ca="1"/>
        <v>36</v>
      </c>
      <c r="N257">
        <v>9</v>
      </c>
    </row>
    <row r="258" spans="2:16" ht="13.8" thickBot="1" x14ac:dyDescent="0.3">
      <c r="B258" s="15" t="str">
        <f ca="1"/>
        <v>06-Sep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 s="16">
        <v>1</v>
      </c>
      <c r="M258">
        <f ca="1"/>
        <v>36</v>
      </c>
      <c r="N258">
        <v>10</v>
      </c>
      <c r="P258" s="3" t="s">
        <v>13</v>
      </c>
    </row>
    <row r="259" spans="2:16" ht="13.8" thickTop="1" x14ac:dyDescent="0.25">
      <c r="B259" s="15" t="str">
        <f ca="1"/>
        <v>07-Sep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 s="16">
        <v>1</v>
      </c>
      <c r="M259">
        <f ca="1"/>
        <v>37</v>
      </c>
      <c r="N259">
        <v>9</v>
      </c>
    </row>
    <row r="260" spans="2:16" x14ac:dyDescent="0.25">
      <c r="B260" s="15" t="str">
        <f ca="1"/>
        <v>08-Sep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 s="16">
        <v>1</v>
      </c>
      <c r="M260">
        <f ca="1"/>
        <v>37</v>
      </c>
      <c r="N260">
        <v>10</v>
      </c>
    </row>
    <row r="261" spans="2:16" x14ac:dyDescent="0.25">
      <c r="B261" s="15" t="str">
        <f ca="1"/>
        <v>09-Sep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 s="16">
        <v>1</v>
      </c>
      <c r="M261">
        <f ca="1"/>
        <v>37</v>
      </c>
      <c r="N261">
        <v>10</v>
      </c>
    </row>
    <row r="262" spans="2:16" x14ac:dyDescent="0.25">
      <c r="B262" s="15" t="str">
        <f ca="1"/>
        <v>10-Sep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 s="16">
        <v>1</v>
      </c>
      <c r="M262">
        <f ca="1"/>
        <v>37</v>
      </c>
      <c r="N262">
        <v>10</v>
      </c>
    </row>
    <row r="263" spans="2:16" x14ac:dyDescent="0.25">
      <c r="B263" s="15" t="str">
        <f ca="1"/>
        <v>11-Sep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 s="16">
        <v>1</v>
      </c>
      <c r="M263">
        <f ca="1"/>
        <v>37</v>
      </c>
      <c r="N263">
        <v>10</v>
      </c>
    </row>
    <row r="264" spans="2:16" x14ac:dyDescent="0.25">
      <c r="B264" s="15" t="str">
        <f ca="1"/>
        <v>12-Sep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 s="16">
        <v>1</v>
      </c>
      <c r="M264">
        <f ca="1"/>
        <v>37</v>
      </c>
      <c r="N264">
        <v>10</v>
      </c>
    </row>
    <row r="265" spans="2:16" x14ac:dyDescent="0.25">
      <c r="B265" s="15" t="str">
        <f ca="1"/>
        <v>13-Sep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 s="16">
        <v>1</v>
      </c>
      <c r="M265">
        <f ca="1"/>
        <v>37</v>
      </c>
      <c r="N265">
        <v>9</v>
      </c>
    </row>
    <row r="266" spans="2:16" x14ac:dyDescent="0.25">
      <c r="B266" s="15" t="str">
        <f ca="1"/>
        <v>14-Sep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 s="16">
        <v>1</v>
      </c>
      <c r="M266">
        <f ca="1"/>
        <v>38</v>
      </c>
      <c r="N266">
        <v>10</v>
      </c>
    </row>
    <row r="267" spans="2:16" x14ac:dyDescent="0.25">
      <c r="B267" s="15" t="str">
        <f ca="1"/>
        <v>15-Sep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 s="16">
        <v>1</v>
      </c>
      <c r="M267">
        <f ca="1"/>
        <v>38</v>
      </c>
      <c r="N267">
        <v>10</v>
      </c>
    </row>
    <row r="268" spans="2:16" x14ac:dyDescent="0.25">
      <c r="B268" s="15" t="str">
        <f ca="1"/>
        <v>16-Sep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 s="16">
        <v>1</v>
      </c>
      <c r="M268">
        <f ca="1"/>
        <v>38</v>
      </c>
      <c r="N268">
        <v>10</v>
      </c>
    </row>
    <row r="269" spans="2:16" x14ac:dyDescent="0.25">
      <c r="B269" s="15" t="str">
        <f ca="1"/>
        <v>17-Sep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 s="16">
        <v>1</v>
      </c>
      <c r="M269">
        <f ca="1"/>
        <v>38</v>
      </c>
      <c r="N269">
        <v>10</v>
      </c>
    </row>
    <row r="270" spans="2:16" x14ac:dyDescent="0.25">
      <c r="B270" s="15" t="str">
        <f ca="1"/>
        <v>18-Sep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 s="16">
        <v>1</v>
      </c>
      <c r="M270">
        <f ca="1"/>
        <v>38</v>
      </c>
      <c r="N270">
        <v>10</v>
      </c>
    </row>
    <row r="271" spans="2:16" x14ac:dyDescent="0.25">
      <c r="B271" s="15" t="str">
        <f ca="1"/>
        <v>19-Sep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 s="16">
        <v>1</v>
      </c>
      <c r="M271">
        <f ca="1"/>
        <v>38</v>
      </c>
      <c r="N271">
        <v>9</v>
      </c>
    </row>
    <row r="272" spans="2:16" x14ac:dyDescent="0.25">
      <c r="B272" s="15" t="str">
        <f ca="1"/>
        <v>20-Sep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 s="16">
        <v>1</v>
      </c>
      <c r="M272">
        <f ca="1"/>
        <v>38</v>
      </c>
      <c r="N272">
        <v>10</v>
      </c>
    </row>
    <row r="273" spans="2:14" x14ac:dyDescent="0.25">
      <c r="B273" s="15" t="str">
        <f ca="1"/>
        <v>21-Sep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 s="16">
        <v>1</v>
      </c>
      <c r="M273">
        <f ca="1"/>
        <v>39</v>
      </c>
      <c r="N273">
        <v>10</v>
      </c>
    </row>
    <row r="274" spans="2:14" x14ac:dyDescent="0.25">
      <c r="B274" s="15" t="str">
        <f ca="1"/>
        <v>22-Sep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 s="16">
        <v>1</v>
      </c>
      <c r="M274">
        <f ca="1"/>
        <v>39</v>
      </c>
      <c r="N274">
        <v>10</v>
      </c>
    </row>
    <row r="275" spans="2:14" x14ac:dyDescent="0.25">
      <c r="B275" s="15" t="str">
        <f ca="1"/>
        <v>23-Sep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 s="16">
        <v>1</v>
      </c>
      <c r="M275">
        <f ca="1"/>
        <v>39</v>
      </c>
      <c r="N275">
        <v>9</v>
      </c>
    </row>
    <row r="276" spans="2:14" x14ac:dyDescent="0.25">
      <c r="B276" s="15" t="str">
        <f ca="1"/>
        <v>24-Sep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 s="16">
        <v>1</v>
      </c>
      <c r="M276">
        <f ca="1"/>
        <v>39</v>
      </c>
      <c r="N276">
        <v>10</v>
      </c>
    </row>
    <row r="277" spans="2:14" x14ac:dyDescent="0.25">
      <c r="B277" s="15" t="str">
        <f ca="1"/>
        <v>25-Sep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 s="16">
        <v>1</v>
      </c>
      <c r="M277">
        <f ca="1"/>
        <v>39</v>
      </c>
      <c r="N277">
        <v>10</v>
      </c>
    </row>
    <row r="278" spans="2:14" x14ac:dyDescent="0.25">
      <c r="B278" s="15" t="str">
        <f ca="1"/>
        <v>26-Sep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 s="16">
        <v>1</v>
      </c>
      <c r="M278">
        <f ca="1"/>
        <v>39</v>
      </c>
      <c r="N278">
        <v>10</v>
      </c>
    </row>
    <row r="279" spans="2:14" x14ac:dyDescent="0.25">
      <c r="B279" s="15" t="str">
        <f ca="1"/>
        <v>27-Sep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 s="16">
        <v>1</v>
      </c>
      <c r="M279">
        <f ca="1"/>
        <v>39</v>
      </c>
      <c r="N279">
        <v>9</v>
      </c>
    </row>
    <row r="280" spans="2:14" x14ac:dyDescent="0.25">
      <c r="B280" s="15" t="str">
        <f ca="1"/>
        <v>28-Sep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 s="16">
        <v>1</v>
      </c>
      <c r="M280">
        <f ca="1"/>
        <v>40</v>
      </c>
      <c r="N280">
        <v>9</v>
      </c>
    </row>
    <row r="281" spans="2:14" x14ac:dyDescent="0.25">
      <c r="B281" s="15" t="str">
        <f ca="1"/>
        <v>29-Sep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 s="16">
        <v>1</v>
      </c>
      <c r="M281">
        <f ca="1"/>
        <v>40</v>
      </c>
      <c r="N281">
        <v>10</v>
      </c>
    </row>
    <row r="282" spans="2:14" x14ac:dyDescent="0.25">
      <c r="B282" s="15" t="str">
        <f ca="1"/>
        <v>30-Sep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 s="16">
        <v>1</v>
      </c>
      <c r="M282">
        <f ca="1"/>
        <v>40</v>
      </c>
      <c r="N282">
        <v>10</v>
      </c>
    </row>
    <row r="283" spans="2:14" x14ac:dyDescent="0.25">
      <c r="B283" s="15" t="str">
        <f ca="1"/>
        <v>01-Oct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 s="16">
        <v>1</v>
      </c>
      <c r="M283">
        <f ca="1"/>
        <v>40</v>
      </c>
      <c r="N283">
        <v>10</v>
      </c>
    </row>
    <row r="284" spans="2:14" x14ac:dyDescent="0.25">
      <c r="B284" s="15" t="str">
        <f ca="1"/>
        <v>02-Oct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 s="16">
        <v>1</v>
      </c>
      <c r="M284">
        <f ca="1"/>
        <v>40</v>
      </c>
      <c r="N284">
        <v>9</v>
      </c>
    </row>
    <row r="285" spans="2:14" x14ac:dyDescent="0.25">
      <c r="B285" s="15" t="str">
        <f ca="1"/>
        <v>03-Oct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 s="16">
        <v>1</v>
      </c>
      <c r="M285">
        <f ca="1"/>
        <v>40</v>
      </c>
      <c r="N285">
        <v>9</v>
      </c>
    </row>
    <row r="286" spans="2:14" x14ac:dyDescent="0.25">
      <c r="B286" s="15" t="str">
        <f ca="1"/>
        <v>04-Oct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 s="16">
        <v>1</v>
      </c>
      <c r="M286">
        <f ca="1"/>
        <v>40</v>
      </c>
      <c r="N286">
        <v>10</v>
      </c>
    </row>
    <row r="287" spans="2:14" x14ac:dyDescent="0.25">
      <c r="B287" s="15" t="str">
        <f ca="1"/>
        <v>05-Oct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 s="16">
        <v>1</v>
      </c>
      <c r="M287">
        <f ca="1"/>
        <v>41</v>
      </c>
      <c r="N287">
        <v>9</v>
      </c>
    </row>
    <row r="288" spans="2:14" x14ac:dyDescent="0.25">
      <c r="B288" s="15" t="str">
        <f ca="1"/>
        <v>06-Oct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 s="16">
        <v>1</v>
      </c>
      <c r="M288">
        <f ca="1"/>
        <v>41</v>
      </c>
      <c r="N288">
        <v>10</v>
      </c>
    </row>
    <row r="289" spans="2:14" x14ac:dyDescent="0.25">
      <c r="B289" s="15" t="str">
        <f ca="1"/>
        <v>07-Oct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 s="16">
        <v>1</v>
      </c>
      <c r="M289">
        <f ca="1"/>
        <v>41</v>
      </c>
      <c r="N289">
        <v>9</v>
      </c>
    </row>
    <row r="290" spans="2:14" x14ac:dyDescent="0.25">
      <c r="B290" s="15" t="str">
        <f ca="1"/>
        <v>08-Oct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 s="16">
        <v>1</v>
      </c>
      <c r="M290">
        <f ca="1"/>
        <v>41</v>
      </c>
      <c r="N290">
        <v>10</v>
      </c>
    </row>
    <row r="291" spans="2:14" x14ac:dyDescent="0.25">
      <c r="B291" s="15" t="str">
        <f ca="1"/>
        <v>09-Oct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 s="16">
        <v>1</v>
      </c>
      <c r="M291">
        <f ca="1"/>
        <v>41</v>
      </c>
      <c r="N291">
        <v>10</v>
      </c>
    </row>
    <row r="292" spans="2:14" x14ac:dyDescent="0.25">
      <c r="B292" s="15" t="str">
        <f ca="1"/>
        <v>10-Oct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 s="16">
        <v>1</v>
      </c>
      <c r="M292">
        <f ca="1"/>
        <v>41</v>
      </c>
      <c r="N292">
        <v>9</v>
      </c>
    </row>
    <row r="293" spans="2:14" x14ac:dyDescent="0.25">
      <c r="B293" s="15" t="str">
        <f ca="1"/>
        <v>11-Oct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 s="16">
        <v>1</v>
      </c>
      <c r="M293">
        <f ca="1"/>
        <v>41</v>
      </c>
      <c r="N293">
        <v>9</v>
      </c>
    </row>
    <row r="294" spans="2:14" x14ac:dyDescent="0.25">
      <c r="B294" s="15" t="str">
        <f ca="1"/>
        <v>12-Oct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 s="16">
        <v>1</v>
      </c>
      <c r="M294">
        <f ca="1"/>
        <v>42</v>
      </c>
      <c r="N294">
        <v>9</v>
      </c>
    </row>
    <row r="295" spans="2:14" x14ac:dyDescent="0.25">
      <c r="B295" s="15" t="str">
        <f ca="1"/>
        <v>13-Oct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 s="16">
        <v>1</v>
      </c>
      <c r="M295">
        <f ca="1"/>
        <v>42</v>
      </c>
      <c r="N295">
        <v>10</v>
      </c>
    </row>
    <row r="296" spans="2:14" x14ac:dyDescent="0.25">
      <c r="B296" s="15" t="str">
        <f ca="1"/>
        <v>14-Oct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 s="16">
        <v>1</v>
      </c>
      <c r="M296">
        <f ca="1"/>
        <v>42</v>
      </c>
      <c r="N296">
        <v>10</v>
      </c>
    </row>
    <row r="297" spans="2:14" x14ac:dyDescent="0.25">
      <c r="B297" s="15" t="str">
        <f ca="1"/>
        <v>15-Oct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 s="16">
        <v>1</v>
      </c>
      <c r="M297">
        <f ca="1"/>
        <v>42</v>
      </c>
      <c r="N297">
        <v>9</v>
      </c>
    </row>
    <row r="298" spans="2:14" x14ac:dyDescent="0.25">
      <c r="B298" s="15" t="str">
        <f ca="1"/>
        <v>16-Oct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 s="16">
        <v>1</v>
      </c>
      <c r="M298">
        <f ca="1"/>
        <v>42</v>
      </c>
      <c r="N298">
        <v>10</v>
      </c>
    </row>
    <row r="299" spans="2:14" x14ac:dyDescent="0.25">
      <c r="B299" s="15" t="str">
        <f ca="1"/>
        <v>17-Oct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 s="16">
        <v>1</v>
      </c>
      <c r="M299">
        <f ca="1"/>
        <v>42</v>
      </c>
      <c r="N299">
        <v>9</v>
      </c>
    </row>
    <row r="300" spans="2:14" x14ac:dyDescent="0.25">
      <c r="B300" s="15" t="str">
        <f ca="1"/>
        <v>18-Oct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 s="16">
        <v>1</v>
      </c>
      <c r="M300">
        <f ca="1"/>
        <v>42</v>
      </c>
      <c r="N300">
        <v>10</v>
      </c>
    </row>
    <row r="301" spans="2:14" x14ac:dyDescent="0.25">
      <c r="B301" s="15" t="str">
        <f ca="1"/>
        <v>19-Oct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 s="16">
        <v>1</v>
      </c>
      <c r="M301">
        <f ca="1"/>
        <v>43</v>
      </c>
      <c r="N301">
        <v>10</v>
      </c>
    </row>
    <row r="302" spans="2:14" x14ac:dyDescent="0.25">
      <c r="B302" s="15" t="str">
        <f ca="1"/>
        <v>20-Oct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 s="16">
        <v>1</v>
      </c>
      <c r="M302">
        <f ca="1"/>
        <v>43</v>
      </c>
      <c r="N302">
        <v>10</v>
      </c>
    </row>
    <row r="303" spans="2:14" x14ac:dyDescent="0.25">
      <c r="B303" s="15" t="str">
        <f ca="1"/>
        <v>21-Oct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 s="16">
        <v>1</v>
      </c>
      <c r="M303">
        <f ca="1"/>
        <v>43</v>
      </c>
      <c r="N303">
        <v>9</v>
      </c>
    </row>
    <row r="304" spans="2:14" x14ac:dyDescent="0.25">
      <c r="B304" s="15" t="str">
        <f ca="1"/>
        <v>22-Oct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 s="16">
        <v>1</v>
      </c>
      <c r="M304">
        <f ca="1"/>
        <v>43</v>
      </c>
      <c r="N304">
        <v>10</v>
      </c>
    </row>
    <row r="305" spans="2:14" x14ac:dyDescent="0.25">
      <c r="B305" s="15" t="str">
        <f ca="1"/>
        <v>23-Oct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 s="16">
        <v>1</v>
      </c>
      <c r="M305">
        <f ca="1"/>
        <v>43</v>
      </c>
      <c r="N305">
        <v>9</v>
      </c>
    </row>
    <row r="306" spans="2:14" x14ac:dyDescent="0.25">
      <c r="B306" s="15" t="str">
        <f ca="1"/>
        <v>24-Oct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 s="16">
        <v>1</v>
      </c>
      <c r="M306">
        <f ca="1"/>
        <v>43</v>
      </c>
      <c r="N306">
        <v>9</v>
      </c>
    </row>
    <row r="307" spans="2:14" x14ac:dyDescent="0.25">
      <c r="B307" s="15" t="str">
        <f ca="1"/>
        <v>25-Oct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 s="16">
        <v>1</v>
      </c>
      <c r="M307">
        <f ca="1"/>
        <v>43</v>
      </c>
      <c r="N307">
        <v>10</v>
      </c>
    </row>
    <row r="308" spans="2:14" x14ac:dyDescent="0.25">
      <c r="B308" s="15" t="str">
        <f ca="1"/>
        <v>26-Oct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 s="16">
        <v>1</v>
      </c>
      <c r="M308">
        <f ca="1"/>
        <v>44</v>
      </c>
      <c r="N308">
        <v>9</v>
      </c>
    </row>
    <row r="309" spans="2:14" x14ac:dyDescent="0.25">
      <c r="B309" s="15" t="str">
        <f ca="1"/>
        <v>27-Oct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 s="16">
        <v>1</v>
      </c>
      <c r="M309">
        <f ca="1"/>
        <v>44</v>
      </c>
      <c r="N309">
        <v>10</v>
      </c>
    </row>
    <row r="310" spans="2:14" x14ac:dyDescent="0.25">
      <c r="B310" s="15" t="str">
        <f ca="1"/>
        <v>28-Oct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 s="16">
        <v>1</v>
      </c>
      <c r="M310">
        <f ca="1"/>
        <v>44</v>
      </c>
      <c r="N310">
        <v>10</v>
      </c>
    </row>
    <row r="311" spans="2:14" x14ac:dyDescent="0.25">
      <c r="B311" s="15" t="str">
        <f ca="1"/>
        <v>29-Oct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 s="16">
        <v>1</v>
      </c>
      <c r="M311">
        <f ca="1"/>
        <v>44</v>
      </c>
      <c r="N311">
        <v>10</v>
      </c>
    </row>
    <row r="312" spans="2:14" x14ac:dyDescent="0.25">
      <c r="B312" s="15" t="str">
        <f ca="1"/>
        <v>30-Oct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 s="16">
        <v>1</v>
      </c>
      <c r="M312">
        <f ca="1"/>
        <v>44</v>
      </c>
      <c r="N312">
        <v>10</v>
      </c>
    </row>
    <row r="313" spans="2:14" x14ac:dyDescent="0.25">
      <c r="B313" s="15" t="str">
        <f ca="1"/>
        <v>31-Oct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 s="16">
        <v>1</v>
      </c>
      <c r="M313">
        <f ca="1"/>
        <v>44</v>
      </c>
      <c r="N313">
        <v>10</v>
      </c>
    </row>
    <row r="314" spans="2:14" x14ac:dyDescent="0.25">
      <c r="B314" s="15" t="str">
        <f ca="1"/>
        <v>01-Nov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 s="16">
        <v>1</v>
      </c>
      <c r="M314">
        <f ca="1"/>
        <v>44</v>
      </c>
      <c r="N314">
        <v>10</v>
      </c>
    </row>
    <row r="315" spans="2:14" x14ac:dyDescent="0.25">
      <c r="B315" s="15" t="str">
        <f ca="1"/>
        <v>02-Nov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 s="16">
        <v>1</v>
      </c>
      <c r="M315">
        <f ca="1"/>
        <v>45</v>
      </c>
      <c r="N315">
        <v>10</v>
      </c>
    </row>
    <row r="316" spans="2:14" x14ac:dyDescent="0.25">
      <c r="B316" s="15" t="str">
        <f ca="1"/>
        <v>03-Nov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 s="16">
        <v>1</v>
      </c>
      <c r="M316">
        <f ca="1"/>
        <v>45</v>
      </c>
      <c r="N316">
        <v>10</v>
      </c>
    </row>
    <row r="317" spans="2:14" x14ac:dyDescent="0.25">
      <c r="B317" s="15" t="str">
        <f ca="1"/>
        <v>04-Nov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 s="16">
        <v>1</v>
      </c>
      <c r="M317">
        <f ca="1"/>
        <v>45</v>
      </c>
      <c r="N317">
        <v>9</v>
      </c>
    </row>
    <row r="318" spans="2:14" x14ac:dyDescent="0.25">
      <c r="B318" s="15" t="str">
        <f ca="1"/>
        <v>05-Nov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 s="16">
        <v>1</v>
      </c>
      <c r="M318">
        <f ca="1"/>
        <v>45</v>
      </c>
      <c r="N318">
        <v>10</v>
      </c>
    </row>
    <row r="319" spans="2:14" x14ac:dyDescent="0.25">
      <c r="B319" s="15" t="str">
        <f ca="1"/>
        <v>06-Nov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 s="16">
        <v>1</v>
      </c>
      <c r="M319">
        <f ca="1"/>
        <v>45</v>
      </c>
      <c r="N319">
        <v>10</v>
      </c>
    </row>
    <row r="320" spans="2:14" x14ac:dyDescent="0.25">
      <c r="B320" s="15" t="str">
        <f ca="1"/>
        <v>07-Nov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 s="16">
        <v>1</v>
      </c>
      <c r="M320">
        <f ca="1"/>
        <v>45</v>
      </c>
      <c r="N320">
        <v>9</v>
      </c>
    </row>
    <row r="321" spans="2:14" x14ac:dyDescent="0.25">
      <c r="B321" s="15" t="str">
        <f ca="1"/>
        <v>08-Nov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 s="16">
        <v>1</v>
      </c>
      <c r="M321">
        <f ca="1"/>
        <v>45</v>
      </c>
      <c r="N321">
        <v>9</v>
      </c>
    </row>
    <row r="322" spans="2:14" x14ac:dyDescent="0.25">
      <c r="B322" s="15" t="str">
        <f ca="1"/>
        <v>09-Nov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 s="16">
        <v>1</v>
      </c>
      <c r="M322">
        <f ca="1"/>
        <v>46</v>
      </c>
      <c r="N322">
        <v>10</v>
      </c>
    </row>
    <row r="323" spans="2:14" x14ac:dyDescent="0.25">
      <c r="B323" s="15" t="str">
        <f ca="1"/>
        <v>10-Nov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 s="16">
        <v>1</v>
      </c>
      <c r="M323">
        <f ca="1"/>
        <v>46</v>
      </c>
      <c r="N323">
        <v>9</v>
      </c>
    </row>
    <row r="324" spans="2:14" x14ac:dyDescent="0.25">
      <c r="B324" s="15" t="str">
        <f ca="1"/>
        <v>11-Nov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 s="16">
        <v>1</v>
      </c>
      <c r="M324">
        <f ca="1"/>
        <v>46</v>
      </c>
      <c r="N324">
        <v>10</v>
      </c>
    </row>
    <row r="325" spans="2:14" x14ac:dyDescent="0.25">
      <c r="B325" s="15" t="str">
        <f ca="1"/>
        <v>12-Nov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 s="16">
        <v>1</v>
      </c>
      <c r="M325">
        <f ca="1"/>
        <v>46</v>
      </c>
      <c r="N325">
        <v>9</v>
      </c>
    </row>
    <row r="326" spans="2:14" x14ac:dyDescent="0.25">
      <c r="B326" s="15" t="str">
        <f ca="1"/>
        <v>13-Nov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 s="16">
        <v>1</v>
      </c>
      <c r="M326">
        <f ca="1"/>
        <v>46</v>
      </c>
      <c r="N326">
        <v>10</v>
      </c>
    </row>
    <row r="327" spans="2:14" x14ac:dyDescent="0.25">
      <c r="B327" s="15" t="str">
        <f ca="1"/>
        <v>14-Nov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 s="16">
        <v>1</v>
      </c>
      <c r="M327">
        <f ca="1"/>
        <v>46</v>
      </c>
      <c r="N327">
        <v>9</v>
      </c>
    </row>
    <row r="328" spans="2:14" x14ac:dyDescent="0.25">
      <c r="B328" s="15" t="str">
        <f ca="1"/>
        <v>15-Nov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 s="16">
        <v>1</v>
      </c>
      <c r="M328">
        <f ca="1"/>
        <v>46</v>
      </c>
      <c r="N328">
        <v>10</v>
      </c>
    </row>
    <row r="329" spans="2:14" x14ac:dyDescent="0.25">
      <c r="B329" s="15" t="str">
        <f ca="1"/>
        <v>16-Nov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 s="16">
        <v>1</v>
      </c>
      <c r="M329">
        <f ca="1"/>
        <v>47</v>
      </c>
      <c r="N329">
        <v>9</v>
      </c>
    </row>
    <row r="330" spans="2:14" x14ac:dyDescent="0.25">
      <c r="B330" s="15" t="str">
        <f ca="1"/>
        <v>17-Nov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 s="16">
        <v>1</v>
      </c>
      <c r="M330">
        <f ca="1"/>
        <v>47</v>
      </c>
      <c r="N330">
        <v>9</v>
      </c>
    </row>
    <row r="331" spans="2:14" x14ac:dyDescent="0.25">
      <c r="B331" s="15" t="str">
        <f ca="1"/>
        <v>18-Nov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 s="16">
        <v>1</v>
      </c>
      <c r="M331">
        <f ca="1"/>
        <v>47</v>
      </c>
      <c r="N331">
        <v>10</v>
      </c>
    </row>
    <row r="332" spans="2:14" x14ac:dyDescent="0.25">
      <c r="B332" s="15" t="str">
        <f ca="1"/>
        <v>19-Nov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 s="16">
        <v>1</v>
      </c>
      <c r="M332">
        <f ca="1"/>
        <v>47</v>
      </c>
      <c r="N332">
        <v>9</v>
      </c>
    </row>
    <row r="333" spans="2:14" x14ac:dyDescent="0.25">
      <c r="B333" s="15" t="str">
        <f ca="1"/>
        <v>20-Nov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 s="16">
        <v>1</v>
      </c>
      <c r="M333">
        <f ca="1"/>
        <v>47</v>
      </c>
      <c r="N333">
        <v>8</v>
      </c>
    </row>
    <row r="334" spans="2:14" x14ac:dyDescent="0.25">
      <c r="B334" s="15" t="str">
        <f ca="1"/>
        <v>21-Nov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 s="16">
        <v>1</v>
      </c>
      <c r="M334">
        <f ca="1"/>
        <v>47</v>
      </c>
      <c r="N334">
        <v>9</v>
      </c>
    </row>
    <row r="335" spans="2:14" x14ac:dyDescent="0.25">
      <c r="B335" s="15" t="str">
        <f ca="1"/>
        <v>22-Nov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 s="16">
        <v>1</v>
      </c>
      <c r="M335">
        <f ca="1"/>
        <v>47</v>
      </c>
      <c r="N335">
        <v>10</v>
      </c>
    </row>
    <row r="336" spans="2:14" x14ac:dyDescent="0.25">
      <c r="B336" s="15" t="str">
        <f ca="1"/>
        <v>23-Nov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 s="16">
        <v>1</v>
      </c>
      <c r="M336">
        <f ca="1"/>
        <v>48</v>
      </c>
      <c r="N336">
        <v>10</v>
      </c>
    </row>
    <row r="337" spans="2:31" x14ac:dyDescent="0.25">
      <c r="B337" s="15" t="str">
        <f ca="1"/>
        <v>24-Nov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 s="16">
        <v>1</v>
      </c>
      <c r="M337">
        <f ca="1"/>
        <v>48</v>
      </c>
      <c r="N337">
        <v>10</v>
      </c>
    </row>
    <row r="338" spans="2:31" x14ac:dyDescent="0.25">
      <c r="B338" s="15" t="str">
        <f ca="1"/>
        <v>25-Nov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 s="16">
        <v>1</v>
      </c>
      <c r="M338">
        <f ca="1"/>
        <v>48</v>
      </c>
      <c r="N338">
        <v>9</v>
      </c>
    </row>
    <row r="339" spans="2:31" x14ac:dyDescent="0.25">
      <c r="B339" s="15" t="str">
        <f ca="1"/>
        <v>26-Nov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 s="16">
        <v>1</v>
      </c>
      <c r="M339">
        <f ca="1"/>
        <v>48</v>
      </c>
      <c r="N339">
        <v>9</v>
      </c>
    </row>
    <row r="340" spans="2:31" x14ac:dyDescent="0.25">
      <c r="B340" s="15" t="str">
        <f ca="1"/>
        <v>27-Nov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 s="16">
        <v>1</v>
      </c>
      <c r="M340">
        <f ca="1"/>
        <v>48</v>
      </c>
      <c r="N340">
        <v>8</v>
      </c>
    </row>
    <row r="341" spans="2:31" x14ac:dyDescent="0.25">
      <c r="B341" s="15" t="str">
        <f ca="1"/>
        <v>28-Nov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 s="16">
        <v>1</v>
      </c>
      <c r="M341">
        <f ca="1"/>
        <v>48</v>
      </c>
      <c r="N341">
        <v>9</v>
      </c>
    </row>
    <row r="342" spans="2:31" x14ac:dyDescent="0.25">
      <c r="B342" s="15" t="str">
        <f ca="1"/>
        <v>29-Nov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 s="16">
        <v>1</v>
      </c>
      <c r="M342">
        <f ca="1"/>
        <v>48</v>
      </c>
      <c r="N342">
        <v>9</v>
      </c>
    </row>
    <row r="343" spans="2:31" x14ac:dyDescent="0.25">
      <c r="B343" s="15" t="str">
        <f ca="1"/>
        <v>30-Nov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 s="16">
        <v>1</v>
      </c>
      <c r="M343">
        <f ca="1"/>
        <v>49</v>
      </c>
      <c r="N343">
        <v>10</v>
      </c>
    </row>
    <row r="344" spans="2:31" x14ac:dyDescent="0.25">
      <c r="B344" s="15" t="str">
        <f ca="1"/>
        <v>01-Dec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 s="16">
        <v>1</v>
      </c>
      <c r="M344">
        <f ca="1"/>
        <v>49</v>
      </c>
      <c r="N344">
        <v>10</v>
      </c>
    </row>
    <row r="345" spans="2:31" x14ac:dyDescent="0.25">
      <c r="B345" s="15" t="str">
        <f ca="1"/>
        <v>02-Dec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 s="16">
        <v>1</v>
      </c>
      <c r="M345">
        <f ca="1"/>
        <v>49</v>
      </c>
      <c r="N345">
        <v>9</v>
      </c>
    </row>
    <row r="346" spans="2:31" x14ac:dyDescent="0.25">
      <c r="B346" s="15" t="str">
        <f ca="1"/>
        <v>03-Dec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 s="16">
        <v>1</v>
      </c>
      <c r="M346">
        <f ca="1"/>
        <v>49</v>
      </c>
      <c r="N346">
        <v>9</v>
      </c>
    </row>
    <row r="347" spans="2:31" x14ac:dyDescent="0.25">
      <c r="B347" s="15" t="str">
        <f ca="1"/>
        <v>04-Dec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 s="16">
        <v>1</v>
      </c>
      <c r="M347">
        <f ca="1"/>
        <v>49</v>
      </c>
      <c r="N347">
        <v>9</v>
      </c>
    </row>
    <row r="348" spans="2:31" x14ac:dyDescent="0.25">
      <c r="B348" s="15" t="str">
        <f ca="1"/>
        <v>05-Dec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 s="16">
        <v>1</v>
      </c>
      <c r="M348">
        <f ca="1"/>
        <v>49</v>
      </c>
      <c r="N348">
        <v>10</v>
      </c>
    </row>
    <row r="349" spans="2:31" x14ac:dyDescent="0.25">
      <c r="B349" s="15" t="str">
        <f ca="1"/>
        <v>06-Dec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 s="16">
        <v>1</v>
      </c>
      <c r="M349">
        <f ca="1"/>
        <v>49</v>
      </c>
      <c r="N349">
        <v>9</v>
      </c>
    </row>
    <row r="350" spans="2:31" x14ac:dyDescent="0.25">
      <c r="B350" s="15" t="str">
        <f ca="1"/>
        <v>07-Dec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 s="16">
        <v>1</v>
      </c>
      <c r="M350">
        <f ca="1"/>
        <v>50</v>
      </c>
      <c r="N350">
        <v>10</v>
      </c>
    </row>
    <row r="351" spans="2:31" x14ac:dyDescent="0.25">
      <c r="B351" s="15" t="str">
        <f ca="1"/>
        <v>08-Dec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 s="16">
        <v>1</v>
      </c>
      <c r="M351">
        <f ca="1"/>
        <v>50</v>
      </c>
      <c r="N351">
        <v>9</v>
      </c>
      <c r="AE351" t="s">
        <v>78</v>
      </c>
    </row>
    <row r="352" spans="2:31" x14ac:dyDescent="0.25">
      <c r="B352" s="15" t="str">
        <f ca="1"/>
        <v>09-Dec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 s="16">
        <v>1</v>
      </c>
      <c r="M352">
        <f ca="1"/>
        <v>50</v>
      </c>
      <c r="N352">
        <v>10</v>
      </c>
    </row>
    <row r="353" spans="2:16" x14ac:dyDescent="0.25">
      <c r="B353" s="15" t="str">
        <f ca="1"/>
        <v>10-Dec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 s="16">
        <v>1</v>
      </c>
      <c r="M353">
        <f ca="1"/>
        <v>50</v>
      </c>
      <c r="N353">
        <v>9</v>
      </c>
    </row>
    <row r="354" spans="2:16" x14ac:dyDescent="0.25">
      <c r="B354" s="15" t="str">
        <f ca="1"/>
        <v>11-Dec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 s="16">
        <v>1</v>
      </c>
      <c r="M354">
        <f ca="1"/>
        <v>50</v>
      </c>
      <c r="N354">
        <v>10</v>
      </c>
    </row>
    <row r="355" spans="2:16" x14ac:dyDescent="0.25">
      <c r="B355" s="15" t="str">
        <f ca="1"/>
        <v>12-Dec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0</v>
      </c>
      <c r="J355" s="16">
        <v>0</v>
      </c>
      <c r="K355" s="16">
        <v>1</v>
      </c>
      <c r="L355" s="16">
        <v>1</v>
      </c>
      <c r="M355">
        <f ca="1"/>
        <v>50</v>
      </c>
      <c r="N355">
        <v>7</v>
      </c>
    </row>
    <row r="357" spans="2:16" x14ac:dyDescent="0.25">
      <c r="P357" t="s">
        <v>35</v>
      </c>
    </row>
    <row r="358" spans="2:16" x14ac:dyDescent="0.25">
      <c r="P358" t="s">
        <v>36</v>
      </c>
    </row>
    <row r="359" spans="2:16" x14ac:dyDescent="0.25">
      <c r="P359" t="s">
        <v>40</v>
      </c>
    </row>
    <row r="360" spans="2:16" x14ac:dyDescent="0.25">
      <c r="P360" t="s">
        <v>47</v>
      </c>
    </row>
  </sheetData>
  <sortState xmlns:xlrd2="http://schemas.microsoft.com/office/spreadsheetml/2017/richdata2" ref="R24:R60">
    <sortCondition ref="R24:R60"/>
  </sortState>
  <conditionalFormatting sqref="O9">
    <cfRule type="expression" dxfId="17" priority="25" stopIfTrue="1">
      <formula>MOD(ROW(O9)-ROW($B$9),2)</formula>
    </cfRule>
  </conditionalFormatting>
  <conditionalFormatting sqref="P10:Z57">
    <cfRule type="expression" dxfId="16" priority="64">
      <formula>MOD(ROW(P10)-ROW($P$258),2)</formula>
    </cfRule>
  </conditionalFormatting>
  <conditionalFormatting sqref="P45">
    <cfRule type="expression" dxfId="15" priority="20">
      <formula>MOD(ROW(P45)-ROW($P$258),2)</formula>
    </cfRule>
  </conditionalFormatting>
  <conditionalFormatting sqref="P46:P52">
    <cfRule type="expression" dxfId="14" priority="19">
      <formula>MOD(ROW(P46)-ROW($P$258),2)</formula>
    </cfRule>
  </conditionalFormatting>
  <conditionalFormatting sqref="Q46:Z46">
    <cfRule type="expression" dxfId="13" priority="18">
      <formula>MOD(ROW(Q46)-ROW($P$258),2)</formula>
    </cfRule>
  </conditionalFormatting>
  <conditionalFormatting sqref="P48:Z48">
    <cfRule type="expression" dxfId="12" priority="17">
      <formula>MOD(ROW(P48)-ROW($P$258),2)</formula>
    </cfRule>
  </conditionalFormatting>
  <conditionalFormatting sqref="Q48:Z48">
    <cfRule type="expression" dxfId="11" priority="16">
      <formula>MOD(ROW(Q48)-ROW($P$258),2)</formula>
    </cfRule>
  </conditionalFormatting>
  <conditionalFormatting sqref="P49:Z49">
    <cfRule type="expression" dxfId="10" priority="14">
      <formula>MOD(ROW(P49)-ROW($P$258),2)</formula>
    </cfRule>
  </conditionalFormatting>
  <conditionalFormatting sqref="P50:Z50">
    <cfRule type="expression" dxfId="9" priority="13">
      <formula>MOD(ROW(P50)-ROW($P$258),2)</formula>
    </cfRule>
  </conditionalFormatting>
  <conditionalFormatting sqref="Q50:Z50">
    <cfRule type="expression" dxfId="8" priority="12">
      <formula>MOD(ROW(Q50)-ROW($P$258),2)</formula>
    </cfRule>
  </conditionalFormatting>
  <conditionalFormatting sqref="P51:Z51">
    <cfRule type="expression" dxfId="7" priority="10">
      <formula>MOD(ROW(P51)-ROW($P$258),2)</formula>
    </cfRule>
  </conditionalFormatting>
  <conditionalFormatting sqref="P52:Z52">
    <cfRule type="expression" dxfId="6" priority="9">
      <formula>MOD(ROW(P52)-ROW($P$258),2)</formula>
    </cfRule>
  </conditionalFormatting>
  <conditionalFormatting sqref="P52:Z52">
    <cfRule type="expression" dxfId="5" priority="8">
      <formula>MOD(ROW(P52)-ROW($P$258),2)</formula>
    </cfRule>
  </conditionalFormatting>
  <conditionalFormatting sqref="Q52:Z52">
    <cfRule type="expression" dxfId="4" priority="7">
      <formula>MOD(ROW(Q52)-ROW($P$258),2)</formula>
    </cfRule>
  </conditionalFormatting>
  <conditionalFormatting sqref="Q54:Z54">
    <cfRule type="expression" dxfId="3" priority="2">
      <formula>MOD(ROW(Q54)-ROW($P$258),2)</formula>
    </cfRule>
  </conditionalFormatting>
  <conditionalFormatting sqref="Q53:Z53">
    <cfRule type="expression" dxfId="2" priority="1">
      <formula>MOD(ROW(Q53)-ROW($P$258),2)</formula>
    </cfRule>
  </conditionalFormatting>
  <conditionalFormatting sqref="B10:L355">
    <cfRule type="expression" dxfId="1" priority="65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H13" sqref="H13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25</v>
      </c>
    </row>
    <row r="6" spans="1:2" x14ac:dyDescent="0.25">
      <c r="A6" s="8" t="b">
        <v>0</v>
      </c>
      <c r="B6" t="s">
        <v>26</v>
      </c>
    </row>
    <row r="7" spans="1:2" x14ac:dyDescent="0.25">
      <c r="A7" s="8" t="b">
        <v>0</v>
      </c>
      <c r="B7" t="s">
        <v>27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AA354"/>
  <sheetViews>
    <sheetView tabSelected="1" topLeftCell="D4" workbookViewId="0">
      <pane ySplit="5" topLeftCell="A345" activePane="bottomLeft" state="frozen"/>
      <selection activeCell="A4" sqref="A4"/>
      <selection pane="bottomLeft" activeCell="AC352" sqref="AC352"/>
    </sheetView>
  </sheetViews>
  <sheetFormatPr defaultRowHeight="13.2" x14ac:dyDescent="0.25"/>
  <cols>
    <col min="5" max="23" width="3.33203125" style="5" customWidth="1"/>
    <col min="24" max="26" width="3.33203125" customWidth="1"/>
  </cols>
  <sheetData>
    <row r="7" spans="4:25" ht="13.8" thickBot="1" x14ac:dyDescent="0.3"/>
    <row r="8" spans="4:25" ht="132" thickBot="1" x14ac:dyDescent="0.3">
      <c r="D8" s="3" t="s">
        <v>0</v>
      </c>
      <c r="E8" s="18" t="s">
        <v>2</v>
      </c>
      <c r="F8" s="6" t="s">
        <v>21</v>
      </c>
      <c r="G8" s="18" t="s">
        <v>3</v>
      </c>
      <c r="H8" s="2" t="s">
        <v>22</v>
      </c>
      <c r="I8" s="18" t="s">
        <v>12</v>
      </c>
      <c r="J8" s="18" t="s">
        <v>20</v>
      </c>
      <c r="K8" s="2" t="s">
        <v>17</v>
      </c>
      <c r="L8" s="18" t="s">
        <v>18</v>
      </c>
      <c r="M8" s="2" t="s">
        <v>23</v>
      </c>
      <c r="N8" s="19" t="s">
        <v>33</v>
      </c>
      <c r="O8" s="19" t="s">
        <v>41</v>
      </c>
      <c r="P8" s="19" t="s">
        <v>39</v>
      </c>
      <c r="Q8" s="2" t="s">
        <v>28</v>
      </c>
      <c r="R8" s="18" t="s">
        <v>30</v>
      </c>
      <c r="S8" s="19" t="s">
        <v>38</v>
      </c>
      <c r="T8" s="23" t="s">
        <v>44</v>
      </c>
      <c r="U8" s="23" t="s">
        <v>45</v>
      </c>
      <c r="V8" s="23" t="s">
        <v>46</v>
      </c>
      <c r="W8" s="18" t="s">
        <v>19</v>
      </c>
    </row>
    <row r="9" spans="4:25" ht="13.8" thickTop="1" x14ac:dyDescent="0.25">
      <c r="D9" t="str" cm="1">
        <f t="array" aca="1" ref="D9:D354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Y9" cm="1">
        <f t="array" ref="Y9:Y354">_xlfn.BYROW(_xlfn.DROP(_xlnm.Print_Area,,1),_xleta.SUM)</f>
        <v>0</v>
      </c>
    </row>
    <row r="10" spans="4:25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Y10">
        <v>0</v>
      </c>
    </row>
    <row r="11" spans="4:25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Y11">
        <v>0</v>
      </c>
    </row>
    <row r="12" spans="4:25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Y12">
        <v>0</v>
      </c>
    </row>
    <row r="13" spans="4:25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Y13">
        <v>0</v>
      </c>
    </row>
    <row r="14" spans="4:25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Y14">
        <v>0</v>
      </c>
    </row>
    <row r="15" spans="4:25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Y15">
        <v>0</v>
      </c>
    </row>
    <row r="16" spans="4:25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Y16">
        <v>0</v>
      </c>
    </row>
    <row r="17" spans="4:25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Y17">
        <v>0</v>
      </c>
    </row>
    <row r="18" spans="4:25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Y18">
        <v>0</v>
      </c>
    </row>
    <row r="19" spans="4:25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Y19">
        <v>0</v>
      </c>
    </row>
    <row r="20" spans="4:25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Y20">
        <v>2</v>
      </c>
    </row>
    <row r="21" spans="4:25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Y21">
        <v>2</v>
      </c>
    </row>
    <row r="22" spans="4:25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Y22">
        <v>2</v>
      </c>
    </row>
    <row r="23" spans="4:25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Y23">
        <v>2</v>
      </c>
    </row>
    <row r="24" spans="4:25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Y24">
        <v>2</v>
      </c>
    </row>
    <row r="25" spans="4:25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Y25">
        <v>2</v>
      </c>
    </row>
    <row r="26" spans="4:25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Y26">
        <v>2</v>
      </c>
    </row>
    <row r="27" spans="4:25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Y27">
        <v>2</v>
      </c>
    </row>
    <row r="28" spans="4:25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Y28">
        <v>2</v>
      </c>
    </row>
    <row r="29" spans="4:25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Y29">
        <v>2</v>
      </c>
    </row>
    <row r="30" spans="4:25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Y30">
        <v>2</v>
      </c>
    </row>
    <row r="31" spans="4:25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Y31">
        <v>2</v>
      </c>
    </row>
    <row r="32" spans="4:25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Y32">
        <v>2</v>
      </c>
    </row>
    <row r="33" spans="4:25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Y33">
        <v>2</v>
      </c>
    </row>
    <row r="34" spans="4:25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Y34">
        <v>2</v>
      </c>
    </row>
    <row r="35" spans="4:25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Y35">
        <v>2</v>
      </c>
    </row>
    <row r="36" spans="4:25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Y36">
        <v>2</v>
      </c>
    </row>
    <row r="37" spans="4:25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Y37">
        <v>2</v>
      </c>
    </row>
    <row r="38" spans="4:25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Y38">
        <v>2</v>
      </c>
    </row>
    <row r="39" spans="4:25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Y39">
        <v>1</v>
      </c>
    </row>
    <row r="40" spans="4:25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Y40">
        <v>1</v>
      </c>
    </row>
    <row r="41" spans="4:25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Y41">
        <v>1</v>
      </c>
    </row>
    <row r="42" spans="4:25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Y42">
        <v>1</v>
      </c>
    </row>
    <row r="43" spans="4:25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Y43">
        <v>1</v>
      </c>
    </row>
    <row r="44" spans="4:25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Y44">
        <v>1</v>
      </c>
    </row>
    <row r="45" spans="4:25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Y45">
        <v>0</v>
      </c>
    </row>
    <row r="46" spans="4:25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Y46">
        <v>0</v>
      </c>
    </row>
    <row r="47" spans="4:25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Y47">
        <v>0</v>
      </c>
    </row>
    <row r="48" spans="4:25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Y48">
        <v>0</v>
      </c>
    </row>
    <row r="49" spans="4:25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Y49">
        <v>0</v>
      </c>
    </row>
    <row r="50" spans="4:25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Y50">
        <v>0</v>
      </c>
    </row>
    <row r="51" spans="4:25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Y51">
        <v>1</v>
      </c>
    </row>
    <row r="52" spans="4:25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Y52">
        <v>1</v>
      </c>
    </row>
    <row r="53" spans="4:25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Y53">
        <v>1</v>
      </c>
    </row>
    <row r="54" spans="4:25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Y54">
        <v>1</v>
      </c>
    </row>
    <row r="55" spans="4:25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Y55">
        <v>1</v>
      </c>
    </row>
    <row r="56" spans="4:25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Y56">
        <v>2</v>
      </c>
    </row>
    <row r="57" spans="4:25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Y57">
        <v>2</v>
      </c>
    </row>
    <row r="58" spans="4:25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Y58">
        <v>2</v>
      </c>
    </row>
    <row r="59" spans="4:25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Y59">
        <v>2</v>
      </c>
    </row>
    <row r="60" spans="4:25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Y60">
        <v>2</v>
      </c>
    </row>
    <row r="61" spans="4:25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Y61">
        <v>2</v>
      </c>
    </row>
    <row r="62" spans="4:25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Y62">
        <v>2</v>
      </c>
    </row>
    <row r="63" spans="4:25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Y63">
        <v>2</v>
      </c>
    </row>
    <row r="64" spans="4:25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Y64">
        <v>2</v>
      </c>
    </row>
    <row r="65" spans="4:25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Y65">
        <v>2</v>
      </c>
    </row>
    <row r="66" spans="4:25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Y66">
        <v>2</v>
      </c>
    </row>
    <row r="67" spans="4:25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Y67">
        <v>2</v>
      </c>
    </row>
    <row r="68" spans="4:25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Y68">
        <v>2</v>
      </c>
    </row>
    <row r="69" spans="4:25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Y69">
        <v>2</v>
      </c>
    </row>
    <row r="70" spans="4:25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Y70">
        <v>2</v>
      </c>
    </row>
    <row r="71" spans="4:25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Y71">
        <v>2</v>
      </c>
    </row>
    <row r="72" spans="4:25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Y72">
        <v>2</v>
      </c>
    </row>
    <row r="73" spans="4:25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Y73">
        <v>2</v>
      </c>
    </row>
    <row r="74" spans="4:25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Y74">
        <v>2</v>
      </c>
    </row>
    <row r="75" spans="4:25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Y75">
        <v>3</v>
      </c>
    </row>
    <row r="76" spans="4:25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Y76">
        <v>3</v>
      </c>
    </row>
    <row r="77" spans="4:25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1</v>
      </c>
      <c r="Y77">
        <v>4</v>
      </c>
    </row>
    <row r="78" spans="4:25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1</v>
      </c>
      <c r="Y78">
        <v>4</v>
      </c>
    </row>
    <row r="79" spans="4:25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1</v>
      </c>
      <c r="Y79">
        <v>3</v>
      </c>
    </row>
    <row r="80" spans="4:25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1</v>
      </c>
      <c r="Y80">
        <v>4</v>
      </c>
    </row>
    <row r="81" spans="4:25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1</v>
      </c>
      <c r="Y81">
        <v>3</v>
      </c>
    </row>
    <row r="82" spans="4:25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1</v>
      </c>
      <c r="Y82">
        <v>4</v>
      </c>
    </row>
    <row r="83" spans="4:25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1</v>
      </c>
      <c r="Y83">
        <v>4</v>
      </c>
    </row>
    <row r="84" spans="4:25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1</v>
      </c>
      <c r="Y84">
        <v>4</v>
      </c>
    </row>
    <row r="85" spans="4:25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1</v>
      </c>
      <c r="Y85">
        <v>3</v>
      </c>
    </row>
    <row r="86" spans="4:25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1</v>
      </c>
      <c r="Y86">
        <v>3</v>
      </c>
    </row>
    <row r="87" spans="4:25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1</v>
      </c>
      <c r="Y87">
        <v>3</v>
      </c>
    </row>
    <row r="88" spans="4:25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1</v>
      </c>
      <c r="Y88">
        <v>3</v>
      </c>
    </row>
    <row r="89" spans="4:25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1</v>
      </c>
      <c r="Y89">
        <v>3</v>
      </c>
    </row>
    <row r="90" spans="4:25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1</v>
      </c>
      <c r="Y90">
        <v>3</v>
      </c>
    </row>
    <row r="91" spans="4:25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Y91">
        <v>0</v>
      </c>
    </row>
    <row r="92" spans="4:25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Y92">
        <v>2</v>
      </c>
    </row>
    <row r="93" spans="4:25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Y93">
        <v>2</v>
      </c>
    </row>
    <row r="94" spans="4:25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Y94">
        <v>2</v>
      </c>
    </row>
    <row r="95" spans="4:25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Y95">
        <v>2</v>
      </c>
    </row>
    <row r="96" spans="4:25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Y96">
        <v>3</v>
      </c>
    </row>
    <row r="97" spans="4:25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Y97">
        <v>3</v>
      </c>
    </row>
    <row r="98" spans="4:25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Y98">
        <v>3</v>
      </c>
    </row>
    <row r="99" spans="4:25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Y99">
        <v>3</v>
      </c>
    </row>
    <row r="100" spans="4:25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Y100">
        <v>2</v>
      </c>
    </row>
    <row r="101" spans="4:25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Y101">
        <v>2</v>
      </c>
    </row>
    <row r="102" spans="4:25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Y102">
        <v>2</v>
      </c>
    </row>
    <row r="103" spans="4:25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Y103">
        <v>2</v>
      </c>
    </row>
    <row r="104" spans="4:25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Y104">
        <v>2</v>
      </c>
    </row>
    <row r="105" spans="4:25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Y105">
        <v>2</v>
      </c>
    </row>
    <row r="106" spans="4:25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Y106">
        <v>2</v>
      </c>
    </row>
    <row r="107" spans="4:25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Y107">
        <v>2</v>
      </c>
    </row>
    <row r="108" spans="4:25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Y108">
        <v>2</v>
      </c>
    </row>
    <row r="109" spans="4:25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Y109">
        <v>2</v>
      </c>
    </row>
    <row r="110" spans="4:25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Y110">
        <v>2</v>
      </c>
    </row>
    <row r="111" spans="4:25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Y111">
        <v>2</v>
      </c>
    </row>
    <row r="112" spans="4:25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Y112">
        <v>2</v>
      </c>
    </row>
    <row r="113" spans="4:25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Y113">
        <v>2</v>
      </c>
    </row>
    <row r="114" spans="4:25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Y114">
        <v>2</v>
      </c>
    </row>
    <row r="115" spans="4:25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Y115">
        <v>2</v>
      </c>
    </row>
    <row r="116" spans="4:25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Y116">
        <v>2</v>
      </c>
    </row>
    <row r="117" spans="4:25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Y117">
        <v>2</v>
      </c>
    </row>
    <row r="118" spans="4:25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Y118">
        <v>2</v>
      </c>
    </row>
    <row r="119" spans="4:25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Y119">
        <v>2</v>
      </c>
    </row>
    <row r="120" spans="4:25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Y120">
        <v>2</v>
      </c>
    </row>
    <row r="121" spans="4:25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Y121">
        <v>2</v>
      </c>
    </row>
    <row r="122" spans="4:25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Y122">
        <v>2</v>
      </c>
    </row>
    <row r="123" spans="4:25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Y123">
        <v>2</v>
      </c>
    </row>
    <row r="124" spans="4:25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Y124">
        <v>2</v>
      </c>
    </row>
    <row r="125" spans="4:25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Y125">
        <v>2</v>
      </c>
    </row>
    <row r="126" spans="4:25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Y126">
        <v>2</v>
      </c>
    </row>
    <row r="127" spans="4:25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Y127">
        <v>2</v>
      </c>
    </row>
    <row r="128" spans="4:25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Y128">
        <v>2</v>
      </c>
    </row>
    <row r="129" spans="4:25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Y129">
        <v>2</v>
      </c>
    </row>
    <row r="130" spans="4:25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Y130">
        <v>2</v>
      </c>
    </row>
    <row r="131" spans="4:25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Y131">
        <v>2</v>
      </c>
    </row>
    <row r="132" spans="4:25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Y132">
        <v>2</v>
      </c>
    </row>
    <row r="133" spans="4:25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Y133">
        <v>2</v>
      </c>
    </row>
    <row r="134" spans="4:25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Y134">
        <v>3</v>
      </c>
    </row>
    <row r="135" spans="4:25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Y135">
        <v>3</v>
      </c>
    </row>
    <row r="136" spans="4:25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Y136">
        <v>3</v>
      </c>
    </row>
    <row r="137" spans="4:25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Y137">
        <v>2</v>
      </c>
    </row>
    <row r="138" spans="4:25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Y138">
        <v>3</v>
      </c>
    </row>
    <row r="139" spans="4:25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Y139">
        <v>3</v>
      </c>
    </row>
    <row r="140" spans="4:25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Y140">
        <v>3</v>
      </c>
    </row>
    <row r="141" spans="4:25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Y141">
        <v>3</v>
      </c>
    </row>
    <row r="142" spans="4:25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Y142">
        <v>3</v>
      </c>
    </row>
    <row r="143" spans="4:25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Y143">
        <v>3</v>
      </c>
    </row>
    <row r="144" spans="4:25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Y144">
        <v>3</v>
      </c>
    </row>
    <row r="145" spans="4:25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Y145">
        <v>3</v>
      </c>
    </row>
    <row r="146" spans="4:25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Y146">
        <v>3</v>
      </c>
    </row>
    <row r="147" spans="4:25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Y147">
        <v>3</v>
      </c>
    </row>
    <row r="148" spans="4:25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Y148">
        <v>3</v>
      </c>
    </row>
    <row r="149" spans="4:25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Y149">
        <v>3</v>
      </c>
    </row>
    <row r="150" spans="4:25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Y150">
        <v>3</v>
      </c>
    </row>
    <row r="151" spans="4:25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Y151">
        <v>3</v>
      </c>
    </row>
    <row r="152" spans="4:25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Y152">
        <v>3</v>
      </c>
    </row>
    <row r="153" spans="4:25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Y153">
        <v>3</v>
      </c>
    </row>
    <row r="154" spans="4:25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Y154">
        <v>3</v>
      </c>
    </row>
    <row r="155" spans="4:25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Y155">
        <v>2</v>
      </c>
    </row>
    <row r="156" spans="4:25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Y156">
        <v>2</v>
      </c>
    </row>
    <row r="157" spans="4:25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Y157">
        <v>2</v>
      </c>
    </row>
    <row r="158" spans="4:25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Y158">
        <v>2</v>
      </c>
    </row>
    <row r="159" spans="4:25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Y159">
        <v>2</v>
      </c>
    </row>
    <row r="160" spans="4:25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Y160">
        <v>1</v>
      </c>
    </row>
    <row r="161" spans="4:27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Y161">
        <v>1</v>
      </c>
    </row>
    <row r="162" spans="4:27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Y162">
        <v>1</v>
      </c>
    </row>
    <row r="163" spans="4:27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Y163">
        <v>1</v>
      </c>
    </row>
    <row r="164" spans="4:27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Y164">
        <v>1</v>
      </c>
    </row>
    <row r="165" spans="4:27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Y165">
        <v>1</v>
      </c>
    </row>
    <row r="166" spans="4:27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Y166">
        <v>1</v>
      </c>
    </row>
    <row r="167" spans="4:27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Y167">
        <v>1</v>
      </c>
    </row>
    <row r="168" spans="4:27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Y168">
        <v>1</v>
      </c>
    </row>
    <row r="169" spans="4:27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Y169">
        <v>1</v>
      </c>
    </row>
    <row r="170" spans="4:27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Y170">
        <v>1</v>
      </c>
    </row>
    <row r="171" spans="4:27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Y171">
        <v>1</v>
      </c>
    </row>
    <row r="172" spans="4:27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Y172">
        <v>1</v>
      </c>
    </row>
    <row r="173" spans="4:27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Y173">
        <v>1</v>
      </c>
    </row>
    <row r="174" spans="4:27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Y174">
        <v>1</v>
      </c>
    </row>
    <row r="175" spans="4:27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Y175">
        <v>1</v>
      </c>
      <c r="AA175" t="s">
        <v>37</v>
      </c>
    </row>
    <row r="176" spans="4:27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Y176">
        <v>1</v>
      </c>
    </row>
    <row r="177" spans="4:25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Y177">
        <v>2</v>
      </c>
    </row>
    <row r="178" spans="4:25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Y178">
        <v>2</v>
      </c>
    </row>
    <row r="179" spans="4:25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Y179">
        <v>2</v>
      </c>
    </row>
    <row r="180" spans="4:25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Y180">
        <v>2</v>
      </c>
    </row>
    <row r="181" spans="4:25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Y181">
        <v>2</v>
      </c>
    </row>
    <row r="182" spans="4:25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Y182">
        <v>2</v>
      </c>
    </row>
    <row r="183" spans="4:25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Y183">
        <v>3</v>
      </c>
    </row>
    <row r="184" spans="4:25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Y184">
        <v>1</v>
      </c>
    </row>
    <row r="185" spans="4:25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Y185">
        <v>3</v>
      </c>
    </row>
    <row r="186" spans="4:25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Y186">
        <v>1</v>
      </c>
    </row>
    <row r="187" spans="4:25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Y187">
        <v>3</v>
      </c>
    </row>
    <row r="188" spans="4:25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Y188">
        <v>1</v>
      </c>
    </row>
    <row r="189" spans="4:25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Y189">
        <v>3</v>
      </c>
    </row>
    <row r="190" spans="4:25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Y190">
        <v>3</v>
      </c>
    </row>
    <row r="191" spans="4:25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Y191">
        <v>2</v>
      </c>
    </row>
    <row r="192" spans="4:25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Y192">
        <v>3</v>
      </c>
    </row>
    <row r="193" spans="4:25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Y193">
        <v>3</v>
      </c>
    </row>
    <row r="194" spans="4:25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Y194">
        <v>3</v>
      </c>
    </row>
    <row r="195" spans="4:25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Y195">
        <v>3</v>
      </c>
    </row>
    <row r="196" spans="4:25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Y196">
        <v>3</v>
      </c>
    </row>
    <row r="197" spans="4:25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Y197">
        <v>3</v>
      </c>
    </row>
    <row r="198" spans="4:25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Y198">
        <v>3</v>
      </c>
    </row>
    <row r="199" spans="4:25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Y199">
        <v>3</v>
      </c>
    </row>
    <row r="200" spans="4:25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Y200">
        <v>3</v>
      </c>
    </row>
    <row r="201" spans="4:25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Y201">
        <v>3</v>
      </c>
    </row>
    <row r="202" spans="4:25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Y202">
        <v>3</v>
      </c>
    </row>
    <row r="203" spans="4:25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Y203">
        <v>3</v>
      </c>
    </row>
    <row r="204" spans="4:25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Y204">
        <v>3</v>
      </c>
    </row>
    <row r="205" spans="4:25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Y205">
        <v>3</v>
      </c>
    </row>
    <row r="206" spans="4:25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Y206">
        <v>3</v>
      </c>
    </row>
    <row r="207" spans="4:25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Y207">
        <v>3</v>
      </c>
    </row>
    <row r="208" spans="4:25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Y208">
        <v>3</v>
      </c>
    </row>
    <row r="209" spans="4:25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Y209">
        <v>3</v>
      </c>
    </row>
    <row r="210" spans="4:25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Y210">
        <v>3</v>
      </c>
    </row>
    <row r="211" spans="4:25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Y211">
        <v>2</v>
      </c>
    </row>
    <row r="212" spans="4:25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Y212">
        <v>2</v>
      </c>
    </row>
    <row r="213" spans="4:25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Y213">
        <v>2</v>
      </c>
    </row>
    <row r="214" spans="4:25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Y214">
        <v>2</v>
      </c>
    </row>
    <row r="215" spans="4:25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Y215">
        <v>2</v>
      </c>
    </row>
    <row r="216" spans="4:25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Y216">
        <v>2</v>
      </c>
    </row>
    <row r="217" spans="4:25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Y217">
        <v>2</v>
      </c>
    </row>
    <row r="218" spans="4:25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Y218">
        <v>2</v>
      </c>
    </row>
    <row r="219" spans="4:25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Y219">
        <v>2</v>
      </c>
    </row>
    <row r="220" spans="4:25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Y220">
        <v>2</v>
      </c>
    </row>
    <row r="221" spans="4:25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Y221">
        <v>2</v>
      </c>
    </row>
    <row r="222" spans="4:25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Y222">
        <v>2</v>
      </c>
    </row>
    <row r="223" spans="4:25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Y223">
        <v>3</v>
      </c>
    </row>
    <row r="224" spans="4:25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Y224">
        <v>3</v>
      </c>
    </row>
    <row r="225" spans="4:25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Y225">
        <v>2</v>
      </c>
    </row>
    <row r="226" spans="4:25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Y226">
        <v>2</v>
      </c>
    </row>
    <row r="227" spans="4:25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Y227">
        <v>2</v>
      </c>
    </row>
    <row r="228" spans="4:25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Y228">
        <v>2</v>
      </c>
    </row>
    <row r="229" spans="4:25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Y229">
        <v>2</v>
      </c>
    </row>
    <row r="230" spans="4:25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Y230">
        <v>0</v>
      </c>
    </row>
    <row r="231" spans="4:25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Y231">
        <v>0</v>
      </c>
    </row>
    <row r="232" spans="4:25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Y232">
        <v>0</v>
      </c>
    </row>
    <row r="233" spans="4:25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Y233">
        <v>2</v>
      </c>
    </row>
    <row r="234" spans="4:25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Y234">
        <v>2</v>
      </c>
    </row>
    <row r="235" spans="4:25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Y235">
        <v>2</v>
      </c>
    </row>
    <row r="236" spans="4:25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Y236">
        <v>2</v>
      </c>
    </row>
    <row r="237" spans="4:25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Y237">
        <v>2</v>
      </c>
    </row>
    <row r="238" spans="4:25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Y238">
        <v>2</v>
      </c>
    </row>
    <row r="239" spans="4:25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Y239">
        <v>2</v>
      </c>
    </row>
    <row r="240" spans="4:25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Y240">
        <v>2</v>
      </c>
    </row>
    <row r="241" spans="4:25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Y241">
        <v>2</v>
      </c>
    </row>
    <row r="242" spans="4:25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Y242">
        <v>2</v>
      </c>
    </row>
    <row r="243" spans="4:25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Y243">
        <v>2</v>
      </c>
    </row>
    <row r="244" spans="4:25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Y244">
        <v>2</v>
      </c>
    </row>
    <row r="245" spans="4:25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Y245">
        <v>2</v>
      </c>
    </row>
    <row r="246" spans="4:25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Y246">
        <v>2</v>
      </c>
    </row>
    <row r="247" spans="4:25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Y247">
        <v>2</v>
      </c>
    </row>
    <row r="248" spans="4:25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Y248">
        <v>2</v>
      </c>
    </row>
    <row r="249" spans="4:25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Y249">
        <v>2</v>
      </c>
    </row>
    <row r="250" spans="4:25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Y250">
        <v>2</v>
      </c>
    </row>
    <row r="251" spans="4:25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Y251">
        <v>2</v>
      </c>
    </row>
    <row r="252" spans="4:25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Y252">
        <v>2</v>
      </c>
    </row>
    <row r="253" spans="4:25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Y253">
        <v>2</v>
      </c>
    </row>
    <row r="254" spans="4:25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Y254">
        <v>2</v>
      </c>
    </row>
    <row r="255" spans="4:25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Y255">
        <v>2</v>
      </c>
    </row>
    <row r="256" spans="4:25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Y256">
        <v>2</v>
      </c>
    </row>
    <row r="257" spans="4:25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Y257">
        <v>2</v>
      </c>
    </row>
    <row r="258" spans="4:25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Y258">
        <v>2</v>
      </c>
    </row>
    <row r="259" spans="4:25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Y259">
        <v>2</v>
      </c>
    </row>
    <row r="260" spans="4:25" x14ac:dyDescent="0.25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Y260">
        <v>2</v>
      </c>
    </row>
    <row r="261" spans="4:25" x14ac:dyDescent="0.25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Y261">
        <v>2</v>
      </c>
    </row>
    <row r="262" spans="4:25" x14ac:dyDescent="0.25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Y262">
        <v>2</v>
      </c>
    </row>
    <row r="263" spans="4:25" x14ac:dyDescent="0.25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Y263">
        <v>2</v>
      </c>
    </row>
    <row r="264" spans="4:25" x14ac:dyDescent="0.25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Y264">
        <v>2</v>
      </c>
    </row>
    <row r="265" spans="4:25" x14ac:dyDescent="0.25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Y265">
        <v>2</v>
      </c>
    </row>
    <row r="266" spans="4:25" x14ac:dyDescent="0.25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Y266">
        <v>2</v>
      </c>
    </row>
    <row r="267" spans="4:25" x14ac:dyDescent="0.25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Y267">
        <v>2</v>
      </c>
    </row>
    <row r="268" spans="4:25" x14ac:dyDescent="0.25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Y268">
        <v>2</v>
      </c>
    </row>
    <row r="269" spans="4:25" x14ac:dyDescent="0.25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Y269">
        <v>2</v>
      </c>
    </row>
    <row r="270" spans="4:25" x14ac:dyDescent="0.25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Y270">
        <v>2</v>
      </c>
    </row>
    <row r="271" spans="4:25" x14ac:dyDescent="0.25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Y271">
        <v>2</v>
      </c>
    </row>
    <row r="272" spans="4:25" x14ac:dyDescent="0.25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Y272">
        <v>2</v>
      </c>
    </row>
    <row r="273" spans="4:25" x14ac:dyDescent="0.25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Y273">
        <v>2</v>
      </c>
    </row>
    <row r="274" spans="4:25" x14ac:dyDescent="0.25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Y274">
        <v>2</v>
      </c>
    </row>
    <row r="275" spans="4:25" x14ac:dyDescent="0.25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Y275">
        <v>2</v>
      </c>
    </row>
    <row r="276" spans="4:25" x14ac:dyDescent="0.25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Y276">
        <v>2</v>
      </c>
    </row>
    <row r="277" spans="4:25" x14ac:dyDescent="0.25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Y277">
        <v>2</v>
      </c>
    </row>
    <row r="278" spans="4:25" x14ac:dyDescent="0.25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Y278">
        <v>2</v>
      </c>
    </row>
    <row r="279" spans="4:25" x14ac:dyDescent="0.25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Y279">
        <v>2</v>
      </c>
    </row>
    <row r="280" spans="4:25" x14ac:dyDescent="0.25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Y280">
        <v>2</v>
      </c>
    </row>
    <row r="281" spans="4:25" x14ac:dyDescent="0.25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Y281">
        <v>2</v>
      </c>
    </row>
    <row r="282" spans="4:25" x14ac:dyDescent="0.25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Y282">
        <v>2</v>
      </c>
    </row>
    <row r="283" spans="4:25" x14ac:dyDescent="0.25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Y283">
        <v>2</v>
      </c>
    </row>
    <row r="284" spans="4:25" x14ac:dyDescent="0.25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Y284">
        <v>2</v>
      </c>
    </row>
    <row r="285" spans="4:25" x14ac:dyDescent="0.25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Y285">
        <v>2</v>
      </c>
    </row>
    <row r="286" spans="4:25" x14ac:dyDescent="0.25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Y286">
        <v>2</v>
      </c>
    </row>
    <row r="287" spans="4:25" x14ac:dyDescent="0.25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Y287">
        <v>2</v>
      </c>
    </row>
    <row r="288" spans="4:25" x14ac:dyDescent="0.25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Y288">
        <v>2</v>
      </c>
    </row>
    <row r="289" spans="4:25" x14ac:dyDescent="0.25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Y289">
        <v>2</v>
      </c>
    </row>
    <row r="290" spans="4:25" x14ac:dyDescent="0.25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Y290">
        <v>2</v>
      </c>
    </row>
    <row r="291" spans="4:25" x14ac:dyDescent="0.25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Y291">
        <v>2</v>
      </c>
    </row>
    <row r="292" spans="4:25" x14ac:dyDescent="0.25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Y292">
        <v>2</v>
      </c>
    </row>
    <row r="293" spans="4:25" x14ac:dyDescent="0.25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Y293">
        <v>2</v>
      </c>
    </row>
    <row r="294" spans="4:25" x14ac:dyDescent="0.25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Y294">
        <v>2</v>
      </c>
    </row>
    <row r="295" spans="4:25" x14ac:dyDescent="0.25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Y295">
        <v>2</v>
      </c>
    </row>
    <row r="296" spans="4:25" x14ac:dyDescent="0.25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Y296">
        <v>2</v>
      </c>
    </row>
    <row r="297" spans="4:25" x14ac:dyDescent="0.25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Y297">
        <v>2</v>
      </c>
    </row>
    <row r="298" spans="4:25" x14ac:dyDescent="0.25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Y298">
        <v>2</v>
      </c>
    </row>
    <row r="299" spans="4:25" x14ac:dyDescent="0.25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Y299">
        <v>2</v>
      </c>
    </row>
    <row r="300" spans="4:25" x14ac:dyDescent="0.25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Y300">
        <v>2</v>
      </c>
    </row>
    <row r="301" spans="4:25" x14ac:dyDescent="0.25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Y301">
        <v>2</v>
      </c>
    </row>
    <row r="302" spans="4:25" x14ac:dyDescent="0.25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Y302">
        <v>2</v>
      </c>
    </row>
    <row r="303" spans="4:25" x14ac:dyDescent="0.25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Y303">
        <v>2</v>
      </c>
    </row>
    <row r="304" spans="4:25" x14ac:dyDescent="0.25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Y304">
        <v>2</v>
      </c>
    </row>
    <row r="305" spans="4:25" x14ac:dyDescent="0.25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Y305">
        <v>2</v>
      </c>
    </row>
    <row r="306" spans="4:25" x14ac:dyDescent="0.25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Y306">
        <v>2</v>
      </c>
    </row>
    <row r="307" spans="4:25" x14ac:dyDescent="0.25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Y307">
        <v>2</v>
      </c>
    </row>
    <row r="308" spans="4:25" x14ac:dyDescent="0.25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Y308">
        <v>2</v>
      </c>
    </row>
    <row r="309" spans="4:25" x14ac:dyDescent="0.25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Y309">
        <v>2</v>
      </c>
    </row>
    <row r="310" spans="4:25" x14ac:dyDescent="0.25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Y310">
        <v>2</v>
      </c>
    </row>
    <row r="311" spans="4:25" x14ac:dyDescent="0.25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Y311">
        <v>2</v>
      </c>
    </row>
    <row r="312" spans="4:25" x14ac:dyDescent="0.25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Y312">
        <v>2</v>
      </c>
    </row>
    <row r="313" spans="4:25" x14ac:dyDescent="0.25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Y313">
        <v>2</v>
      </c>
    </row>
    <row r="314" spans="4:25" x14ac:dyDescent="0.25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Y314">
        <v>2</v>
      </c>
    </row>
    <row r="315" spans="4:25" x14ac:dyDescent="0.25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Y315">
        <v>2</v>
      </c>
    </row>
    <row r="316" spans="4:25" x14ac:dyDescent="0.25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Y316">
        <v>2</v>
      </c>
    </row>
    <row r="317" spans="4:25" x14ac:dyDescent="0.25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Y317">
        <v>2</v>
      </c>
    </row>
    <row r="318" spans="4:25" x14ac:dyDescent="0.25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Y318">
        <v>2</v>
      </c>
    </row>
    <row r="319" spans="4:25" x14ac:dyDescent="0.25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Y319">
        <v>2</v>
      </c>
    </row>
    <row r="320" spans="4:25" x14ac:dyDescent="0.25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Y320">
        <v>2</v>
      </c>
    </row>
    <row r="321" spans="4:25" x14ac:dyDescent="0.25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Y321">
        <v>2</v>
      </c>
    </row>
    <row r="322" spans="4:25" x14ac:dyDescent="0.25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Y322">
        <v>2</v>
      </c>
    </row>
    <row r="323" spans="4:25" x14ac:dyDescent="0.25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Y323">
        <v>2</v>
      </c>
    </row>
    <row r="324" spans="4:25" x14ac:dyDescent="0.25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Y324">
        <v>2</v>
      </c>
    </row>
    <row r="325" spans="4:25" x14ac:dyDescent="0.25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Y325">
        <v>2</v>
      </c>
    </row>
    <row r="326" spans="4:25" x14ac:dyDescent="0.25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Y326">
        <v>2</v>
      </c>
    </row>
    <row r="327" spans="4:25" x14ac:dyDescent="0.25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Y327">
        <v>2</v>
      </c>
    </row>
    <row r="328" spans="4:25" x14ac:dyDescent="0.25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Y328">
        <v>2</v>
      </c>
    </row>
    <row r="329" spans="4:25" x14ac:dyDescent="0.25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Y329">
        <v>2</v>
      </c>
    </row>
    <row r="330" spans="4:25" x14ac:dyDescent="0.25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Y330">
        <v>2</v>
      </c>
    </row>
    <row r="331" spans="4:25" x14ac:dyDescent="0.25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Y331">
        <v>2</v>
      </c>
    </row>
    <row r="332" spans="4:25" x14ac:dyDescent="0.25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Y332">
        <v>2</v>
      </c>
    </row>
    <row r="333" spans="4:25" x14ac:dyDescent="0.25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Y333">
        <v>2</v>
      </c>
    </row>
    <row r="334" spans="4:25" x14ac:dyDescent="0.25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Y334">
        <v>3</v>
      </c>
    </row>
    <row r="335" spans="4:25" x14ac:dyDescent="0.25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Y335">
        <v>3</v>
      </c>
    </row>
    <row r="336" spans="4:25" x14ac:dyDescent="0.25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Y336">
        <v>3</v>
      </c>
    </row>
    <row r="337" spans="4:25" x14ac:dyDescent="0.25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Y337">
        <v>3</v>
      </c>
    </row>
    <row r="338" spans="4:25" x14ac:dyDescent="0.25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Y338">
        <v>3</v>
      </c>
    </row>
    <row r="339" spans="4:25" x14ac:dyDescent="0.25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Y339">
        <v>3</v>
      </c>
    </row>
    <row r="340" spans="4:25" x14ac:dyDescent="0.25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Y340">
        <v>3</v>
      </c>
    </row>
    <row r="341" spans="4:25" x14ac:dyDescent="0.25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Y341">
        <v>3</v>
      </c>
    </row>
    <row r="342" spans="4:25" x14ac:dyDescent="0.25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Y342">
        <v>3</v>
      </c>
    </row>
    <row r="343" spans="4:25" x14ac:dyDescent="0.25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Y343">
        <v>3</v>
      </c>
    </row>
    <row r="344" spans="4:25" x14ac:dyDescent="0.25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Y344">
        <v>3</v>
      </c>
    </row>
    <row r="345" spans="4:25" x14ac:dyDescent="0.25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Y345">
        <v>3</v>
      </c>
    </row>
    <row r="346" spans="4:25" x14ac:dyDescent="0.25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Y346">
        <v>3</v>
      </c>
    </row>
    <row r="347" spans="4:25" x14ac:dyDescent="0.25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Y347">
        <v>3</v>
      </c>
    </row>
    <row r="348" spans="4:25" x14ac:dyDescent="0.25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Y348">
        <v>3</v>
      </c>
    </row>
    <row r="349" spans="4:25" x14ac:dyDescent="0.25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Y349">
        <v>3</v>
      </c>
    </row>
    <row r="350" spans="4:25" x14ac:dyDescent="0.25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Y350">
        <v>3</v>
      </c>
    </row>
    <row r="351" spans="4:25" x14ac:dyDescent="0.25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Y351">
        <v>3</v>
      </c>
    </row>
    <row r="352" spans="4:25" x14ac:dyDescent="0.25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Y352">
        <v>3</v>
      </c>
    </row>
    <row r="353" spans="4:25" x14ac:dyDescent="0.25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Y353">
        <v>3</v>
      </c>
    </row>
    <row r="354" spans="4:25" x14ac:dyDescent="0.25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Y354">
        <v>3</v>
      </c>
    </row>
  </sheetData>
  <conditionalFormatting sqref="D9:W339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dimension ref="A1:R64"/>
  <sheetViews>
    <sheetView topLeftCell="A40" workbookViewId="0">
      <selection activeCell="G52" sqref="G52"/>
    </sheetView>
  </sheetViews>
  <sheetFormatPr defaultRowHeight="13.2" x14ac:dyDescent="0.25"/>
  <sheetData>
    <row r="1" spans="1:3" x14ac:dyDescent="0.25">
      <c r="A1" s="27" t="s">
        <v>51</v>
      </c>
      <c r="B1" s="26" t="s">
        <v>50</v>
      </c>
      <c r="C1" s="26"/>
    </row>
    <row r="2" spans="1:3" x14ac:dyDescent="0.25">
      <c r="A2" s="27" t="s">
        <v>49</v>
      </c>
      <c r="B2" s="26"/>
      <c r="C2" s="26"/>
    </row>
    <row r="3" spans="1:3" x14ac:dyDescent="0.25">
      <c r="A3" s="27" t="s">
        <v>48</v>
      </c>
      <c r="B3" s="26" t="str" cm="1">
        <f t="array" aca="1" ref="B3" ca="1">HD_Date</f>
        <v>12-Dec-2025</v>
      </c>
      <c r="C3" s="26"/>
    </row>
    <row r="43" spans="4:12" x14ac:dyDescent="0.25">
      <c r="E43" t="s">
        <v>52</v>
      </c>
      <c r="F43" t="s">
        <v>52</v>
      </c>
      <c r="G43" t="s">
        <v>52</v>
      </c>
      <c r="H43" t="s">
        <v>53</v>
      </c>
    </row>
    <row r="44" spans="4:12" x14ac:dyDescent="0.25">
      <c r="D44" t="s">
        <v>52</v>
      </c>
      <c r="F44" t="s">
        <v>55</v>
      </c>
      <c r="G44" t="s">
        <v>55</v>
      </c>
      <c r="H44" t="s">
        <v>54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5">
      <c r="D45" t="s">
        <v>52</v>
      </c>
      <c r="E45" t="s">
        <v>55</v>
      </c>
      <c r="G45" t="s">
        <v>55</v>
      </c>
      <c r="H45" t="s">
        <v>54</v>
      </c>
      <c r="J45" t="str">
        <v>BB</v>
      </c>
      <c r="K45" t="str">
        <v>BR</v>
      </c>
      <c r="L45">
        <v>6</v>
      </c>
    </row>
    <row r="46" spans="4:12" x14ac:dyDescent="0.25">
      <c r="D46" t="s">
        <v>52</v>
      </c>
      <c r="E46" t="s">
        <v>55</v>
      </c>
      <c r="F46" t="s">
        <v>55</v>
      </c>
      <c r="H46" t="s">
        <v>54</v>
      </c>
      <c r="J46" t="str">
        <v>BB</v>
      </c>
      <c r="K46" t="str">
        <v>Total</v>
      </c>
      <c r="L46">
        <v>12</v>
      </c>
    </row>
    <row r="47" spans="4:12" x14ac:dyDescent="0.25">
      <c r="D47" t="s">
        <v>53</v>
      </c>
      <c r="E47" t="s">
        <v>54</v>
      </c>
      <c r="F47" t="s">
        <v>54</v>
      </c>
      <c r="G47" t="s">
        <v>54</v>
      </c>
      <c r="J47" t="str">
        <v>BB</v>
      </c>
    </row>
    <row r="48" spans="4:12" x14ac:dyDescent="0.25">
      <c r="J48" t="str">
        <v>BB</v>
      </c>
    </row>
    <row r="49" spans="4:18" x14ac:dyDescent="0.25">
      <c r="J49" t="str">
        <v>BB</v>
      </c>
    </row>
    <row r="50" spans="4:18" x14ac:dyDescent="0.25">
      <c r="J50" t="str">
        <v>BR</v>
      </c>
    </row>
    <row r="51" spans="4:18" x14ac:dyDescent="0.25">
      <c r="J51" t="str">
        <v>BR</v>
      </c>
    </row>
    <row r="52" spans="4:18" x14ac:dyDescent="0.25">
      <c r="J52" t="str">
        <v>BR</v>
      </c>
    </row>
    <row r="53" spans="4:18" x14ac:dyDescent="0.25">
      <c r="J53" t="str">
        <v>BR</v>
      </c>
    </row>
    <row r="54" spans="4:18" x14ac:dyDescent="0.25">
      <c r="J54" t="str">
        <v>BR</v>
      </c>
    </row>
    <row r="55" spans="4:18" x14ac:dyDescent="0.25">
      <c r="J55" t="str">
        <v>BR</v>
      </c>
    </row>
    <row r="58" spans="4:18" x14ac:dyDescent="0.25">
      <c r="E58" t="s">
        <v>52</v>
      </c>
      <c r="F58" t="s">
        <v>52</v>
      </c>
      <c r="G58" t="s">
        <v>53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57</v>
      </c>
    </row>
    <row r="59" spans="4:18" x14ac:dyDescent="0.25">
      <c r="D59" t="s">
        <v>52</v>
      </c>
      <c r="F59" t="s">
        <v>55</v>
      </c>
      <c r="G59" t="s">
        <v>54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58</v>
      </c>
    </row>
    <row r="60" spans="4:18" x14ac:dyDescent="0.25">
      <c r="D60" t="s">
        <v>52</v>
      </c>
      <c r="E60" t="s">
        <v>55</v>
      </c>
      <c r="G60" t="s">
        <v>54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56</v>
      </c>
    </row>
    <row r="61" spans="4:18" x14ac:dyDescent="0.25">
      <c r="D61" t="s">
        <v>52</v>
      </c>
      <c r="E61" t="s">
        <v>55</v>
      </c>
      <c r="F61" t="s">
        <v>55</v>
      </c>
      <c r="J61" t="str">
        <v>BB</v>
      </c>
      <c r="K61" t="str">
        <v>Total</v>
      </c>
      <c r="L61">
        <v>6</v>
      </c>
    </row>
    <row r="62" spans="4:18" x14ac:dyDescent="0.25">
      <c r="J62" t="str">
        <v>BB</v>
      </c>
    </row>
    <row r="63" spans="4:18" x14ac:dyDescent="0.25">
      <c r="J63" t="str">
        <v>BR</v>
      </c>
    </row>
    <row r="64" spans="4:18" x14ac:dyDescent="0.25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dimension ref="B2:Q8"/>
  <sheetViews>
    <sheetView topLeftCell="A19" workbookViewId="0">
      <selection activeCell="J10" sqref="J10"/>
    </sheetView>
  </sheetViews>
  <sheetFormatPr defaultRowHeight="13.2" x14ac:dyDescent="0.25"/>
  <cols>
    <col min="2" max="2" width="7.88671875" customWidth="1"/>
    <col min="3" max="3" width="10.88671875" customWidth="1"/>
    <col min="4" max="4" width="8.88671875" customWidth="1"/>
    <col min="5" max="5" width="12.88671875" customWidth="1"/>
    <col min="6" max="6" width="5.88671875" customWidth="1"/>
  </cols>
  <sheetData>
    <row r="2" spans="2:17" x14ac:dyDescent="0.25">
      <c r="B2" t="s">
        <v>59</v>
      </c>
      <c r="C2" t="s">
        <v>60</v>
      </c>
      <c r="D2" t="s">
        <v>61</v>
      </c>
      <c r="E2" t="s">
        <v>62</v>
      </c>
      <c r="F2" t="s">
        <v>63</v>
      </c>
    </row>
    <row r="3" spans="2:17" x14ac:dyDescent="0.25">
      <c r="B3" t="s">
        <v>64</v>
      </c>
      <c r="C3" t="s">
        <v>70</v>
      </c>
      <c r="E3" t="s">
        <v>74</v>
      </c>
      <c r="H3">
        <f>Report!I3511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5">
      <c r="B4" t="s">
        <v>65</v>
      </c>
      <c r="C4" t="s">
        <v>71</v>
      </c>
      <c r="E4" t="s">
        <v>75</v>
      </c>
    </row>
    <row r="5" spans="2:17" x14ac:dyDescent="0.25">
      <c r="B5" t="s">
        <v>66</v>
      </c>
      <c r="E5" t="s">
        <v>76</v>
      </c>
    </row>
    <row r="6" spans="2:17" x14ac:dyDescent="0.25">
      <c r="B6" t="s">
        <v>67</v>
      </c>
      <c r="C6" t="s">
        <v>72</v>
      </c>
    </row>
    <row r="7" spans="2:17" x14ac:dyDescent="0.25">
      <c r="B7" t="s">
        <v>68</v>
      </c>
      <c r="E7" t="s">
        <v>74</v>
      </c>
    </row>
    <row r="8" spans="2:17" x14ac:dyDescent="0.25">
      <c r="B8" t="s">
        <v>69</v>
      </c>
      <c r="C8" t="s">
        <v>73</v>
      </c>
      <c r="E8" t="s">
        <v>77</v>
      </c>
    </row>
  </sheetData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Report</vt:lpstr>
      <vt:lpstr>PointTraining</vt:lpstr>
      <vt:lpstr>LongTermTraining</vt:lpstr>
      <vt:lpstr>Sheet1</vt:lpstr>
      <vt:lpstr>Sheet2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Dawn Biegert</cp:lastModifiedBy>
  <cp:lastPrinted>2025-01-13T03:35:14Z</cp:lastPrinted>
  <dcterms:created xsi:type="dcterms:W3CDTF">2021-09-27T12:19:57Z</dcterms:created>
  <dcterms:modified xsi:type="dcterms:W3CDTF">2025-12-13T02:40:53Z</dcterms:modified>
</cp:coreProperties>
</file>