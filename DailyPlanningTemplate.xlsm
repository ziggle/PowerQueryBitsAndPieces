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88E24580-9290-4343-A019-87C192247D98}" xr6:coauthVersionLast="47" xr6:coauthVersionMax="47" xr10:uidLastSave="{00000000-0000-0000-0000-000000000000}"/>
  <bookViews>
    <workbookView xWindow="-108" yWindow="-108" windowWidth="23256" windowHeight="12456" activeTab="4" xr2:uid="{AD5FE48E-9CE6-4EDE-8F69-E8FD3B4EAF42}"/>
  </bookViews>
  <sheets>
    <sheet name="Report" sheetId="1" r:id="rId1"/>
    <sheet name="LongTermTraining" sheetId="3" r:id="rId2"/>
    <sheet name="PointTraining" sheetId="4" r:id="rId3"/>
    <sheet name="RAOBF" sheetId="8" r:id="rId4"/>
    <sheet name="BP_Data" sheetId="9" r:id="rId5"/>
    <sheet name="Sheet1" sheetId="5" r:id="rId6"/>
    <sheet name="Sheet2" sheetId="6" r:id="rId7"/>
    <sheet name="SH3_Correction_Table" sheetId="7" r:id="rId8"/>
  </sheets>
  <definedNames>
    <definedName name="__xL">RAOBF!$C$12</definedName>
    <definedName name="_AOB">RAOBF!$C$1</definedName>
    <definedName name="_B">RAOBF!$C$2</definedName>
    <definedName name="_date">_xlfn.DROP(_xlfn._TRO_ALL(Report!$B:$B),12)</definedName>
    <definedName name="_xlnm._FilterDatabase" localSheetId="4" hidden="1">BP_Data!$A$3:$M$3</definedName>
    <definedName name="_xlnm._FilterDatabase" localSheetId="0" hidden="1">Report!$O$24:$O$60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>Report!$C$9:$K$9</definedName>
    <definedName name="_nYpSKnot">0.562603</definedName>
    <definedName name="_R">RAOBF!$C$3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1">_xlfn.DROP(_xlfn.TRIMRANGE(LongTermTraining!$D:$X),1)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2" i="9" l="1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I30" i="8"/>
  <c r="S26" i="8"/>
  <c r="C10" i="8"/>
  <c r="I25" i="8"/>
  <c r="I26" i="8" s="1"/>
  <c r="K27" i="8"/>
  <c r="I24" i="8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B10" i="1" a="1"/>
  <c r="P9" i="1" l="1"/>
  <c r="F8" i="8"/>
  <c r="C12" i="8"/>
  <c r="C11" i="8"/>
  <c r="J59" i="5"/>
  <c r="K59" i="5" a="1"/>
  <c r="J44" i="5"/>
  <c r="K44" i="5" a="1"/>
  <c r="D9" i="3"/>
  <c r="Z9" i="3"/>
  <c r="M10" i="1"/>
  <c r="L21" i="1" a="1"/>
  <c r="B10" i="1"/>
  <c r="C191" i="8" l="1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L21" i="1"/>
  <c r="O10" i="1" s="1" a="1"/>
  <c r="F17" i="8" l="1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<sst xmlns="http://schemas.openxmlformats.org/spreadsheetml/2006/main" count="234" uniqueCount="171">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</sst>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;;;\ @"/>
    <numFmt numFmtId="165" formatCode="0.00000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38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7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6"/>
      <tableStyleElement type="headerRow" dxfId="35"/>
      <tableStyleElement type="totalRow" dxfId="34"/>
      <tableStyleElement type="firstColumnStripe" dxfId="33"/>
      <tableStyleElement type="firstHeaderCell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Biegert Table Standard" pivot="0" count="7" xr9:uid="{95B43237-2845-4068-A415-A5A3E7804959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23/09/relationships/Python" Target="python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321</xdr:row>
          <xdr:rowOff>152400</xdr:rowOff>
        </xdr:from>
        <xdr:to>
          <xdr:col>24</xdr:col>
          <xdr:colOff>19050</xdr:colOff>
          <xdr:row>372</xdr:row>
          <xdr:rowOff>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42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07736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66" activePane="bottomLeft" state="frozen"/>
      <selection pane="bottomLeft" activeCell="AC9" sqref="AC9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3" width="3.33203125" customWidth="1"/>
    <col min="15" max="15" width="19.109375" customWidth="1"/>
    <col min="16" max="23" width="3.33203125" style="5" bestFit="1" customWidth="1"/>
    <col min="24" max="24" width="3.33203125" style="5" customWidth="1"/>
  </cols>
  <sheetData>
    <row r="5" spans="1:26" ht="13.8" x14ac:dyDescent="0.3">
      <c r="O5" s="10"/>
    </row>
    <row r="7" spans="1:26" ht="4.8" customHeight="1" thickBot="1" x14ac:dyDescent="0.3"/>
    <row r="8" spans="1:26" ht="13.8" hidden="1" thickBot="1" x14ac:dyDescent="0.3"/>
    <row r="9" spans="1:26" ht="121.2" thickBot="1" x14ac:dyDescent="0.3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8" thickTop="1" x14ac:dyDescent="0.25">
      <c r="B10" s="11" t="str" cm="1">
        <f t="array" aca="1" ref="B10:B372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2">_xlfn.BYROW(_xlfn.DROP(Banded,,1),_xleta.SUM)</f>
        <v>0</v>
      </c>
      <c r="O10" s="7" cm="1">
        <f t="array" aca="1" ref="O10:X60" ca="1">_xlfn.PIVOTBY(ix,,data,_xleta.SUM,0,0)</f>
        <v>3</v>
      </c>
      <c r="P10" s="5">
        <f ca="1"/>
        <v>7</v>
      </c>
      <c r="Q10" s="5">
        <f ca="1"/>
        <v>0</v>
      </c>
      <c r="R10" s="5">
        <f ca="1"/>
        <v>4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6</v>
      </c>
    </row>
    <row r="11" spans="1:26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0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Z11" t="s">
        <v>13</v>
      </c>
    </row>
    <row r="12" spans="1:26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0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Z12" t="s">
        <v>14</v>
      </c>
    </row>
    <row r="13" spans="1:26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0</v>
      </c>
      <c r="R13" s="5">
        <f ca="1"/>
        <v>2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Z13" t="s">
        <v>15</v>
      </c>
    </row>
    <row r="14" spans="1:26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0</v>
      </c>
      <c r="R14" s="5">
        <f ca="1"/>
        <v>4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6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0</v>
      </c>
      <c r="R15" s="5">
        <f ca="1"/>
        <v>4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6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0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0</v>
      </c>
      <c r="R17" s="5">
        <f ca="1"/>
        <v>4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0</v>
      </c>
      <c r="R18" s="5">
        <f ca="1"/>
        <v>5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0</v>
      </c>
      <c r="R19" s="5">
        <f ca="1"/>
        <v>4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0</v>
      </c>
      <c r="R20" s="5">
        <f ca="1"/>
        <v>5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 cm="1">
        <f t="array" aca="1" ref="L21:L372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0</v>
      </c>
      <c r="R21" s="5">
        <f ca="1"/>
        <v>6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0</v>
      </c>
      <c r="R22" s="5">
        <f ca="1"/>
        <v>5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f ca="1"/>
        <v>3</v>
      </c>
      <c r="M23">
        <v>8</v>
      </c>
      <c r="O23" s="7">
        <f ca="1"/>
        <v>16</v>
      </c>
      <c r="P23" s="5">
        <f ca="1"/>
        <v>7</v>
      </c>
      <c r="Q23" s="5">
        <f ca="1"/>
        <v>0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f ca="1"/>
        <v>3</v>
      </c>
      <c r="M24">
        <v>8</v>
      </c>
      <c r="O24" s="7">
        <f ca="1"/>
        <v>17</v>
      </c>
      <c r="P24" s="5">
        <f ca="1"/>
        <v>7</v>
      </c>
      <c r="Q24" s="5">
        <f ca="1"/>
        <v>0</v>
      </c>
      <c r="R24" s="5">
        <f ca="1"/>
        <v>4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f ca="1"/>
        <v>3</v>
      </c>
      <c r="M25">
        <v>7</v>
      </c>
      <c r="O25" s="7">
        <f ca="1"/>
        <v>18</v>
      </c>
      <c r="P25" s="5">
        <f ca="1"/>
        <v>7</v>
      </c>
      <c r="Q25" s="5">
        <f ca="1"/>
        <v>0</v>
      </c>
      <c r="R25" s="5">
        <f ca="1"/>
        <v>5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f ca="1"/>
        <v>3</v>
      </c>
      <c r="M26">
        <v>8</v>
      </c>
      <c r="O26" s="7">
        <f ca="1"/>
        <v>19</v>
      </c>
      <c r="P26" s="5">
        <f ca="1"/>
        <v>7</v>
      </c>
      <c r="Q26" s="5">
        <f ca="1"/>
        <v>0</v>
      </c>
      <c r="R26" s="5">
        <f ca="1"/>
        <v>3</v>
      </c>
      <c r="S26" s="5">
        <f ca="1"/>
        <v>6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f ca="1"/>
        <v>3</v>
      </c>
      <c r="M27">
        <v>8</v>
      </c>
      <c r="O27" s="7">
        <f ca="1"/>
        <v>20</v>
      </c>
      <c r="P27" s="5">
        <f ca="1"/>
        <v>7</v>
      </c>
      <c r="Q27" s="5">
        <f ca="1"/>
        <v>0</v>
      </c>
      <c r="R27" s="5">
        <f ca="1"/>
        <v>5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f ca="1"/>
        <v>4</v>
      </c>
      <c r="M28">
        <v>8</v>
      </c>
      <c r="O28" s="7">
        <f ca="1"/>
        <v>21</v>
      </c>
      <c r="P28" s="5">
        <f ca="1"/>
        <v>7</v>
      </c>
      <c r="Q28" s="5">
        <f ca="1"/>
        <v>0</v>
      </c>
      <c r="R28" s="5">
        <f ca="1"/>
        <v>4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f ca="1"/>
        <v>4</v>
      </c>
      <c r="M29">
        <v>7</v>
      </c>
      <c r="O29" s="7">
        <f ca="1"/>
        <v>22</v>
      </c>
      <c r="P29" s="5">
        <f ca="1"/>
        <v>7</v>
      </c>
      <c r="Q29" s="5">
        <f ca="1"/>
        <v>0</v>
      </c>
      <c r="R29" s="5">
        <f ca="1"/>
        <v>3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f ca="1"/>
        <v>4</v>
      </c>
      <c r="M30">
        <v>7</v>
      </c>
      <c r="O30" s="7">
        <f ca="1"/>
        <v>23</v>
      </c>
      <c r="P30" s="5">
        <f ca="1"/>
        <v>7</v>
      </c>
      <c r="Q30" s="5">
        <f ca="1"/>
        <v>0</v>
      </c>
      <c r="R30" s="5">
        <f ca="1"/>
        <v>5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f ca="1"/>
        <v>4</v>
      </c>
      <c r="M31">
        <v>7</v>
      </c>
      <c r="O31" s="7">
        <f ca="1"/>
        <v>24</v>
      </c>
      <c r="P31" s="5">
        <f ca="1"/>
        <v>7</v>
      </c>
      <c r="Q31" s="5">
        <f ca="1"/>
        <v>0</v>
      </c>
      <c r="R31" s="5">
        <f ca="1"/>
        <v>3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f ca="1"/>
        <v>4</v>
      </c>
      <c r="M32">
        <v>8</v>
      </c>
      <c r="O32" s="7">
        <f ca="1"/>
        <v>25</v>
      </c>
      <c r="P32" s="5">
        <f ca="1"/>
        <v>7</v>
      </c>
      <c r="Q32" s="5">
        <f ca="1"/>
        <v>0</v>
      </c>
      <c r="R32" s="5">
        <f ca="1"/>
        <v>4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f ca="1"/>
        <v>4</v>
      </c>
      <c r="M33">
        <v>8</v>
      </c>
      <c r="O33" s="7">
        <f ca="1"/>
        <v>26</v>
      </c>
      <c r="P33" s="5">
        <f ca="1"/>
        <v>7</v>
      </c>
      <c r="Q33" s="5">
        <f ca="1"/>
        <v>0</v>
      </c>
      <c r="R33" s="5">
        <f ca="1"/>
        <v>5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f ca="1"/>
        <v>4</v>
      </c>
      <c r="M34">
        <v>8</v>
      </c>
      <c r="O34" s="7">
        <f ca="1"/>
        <v>27</v>
      </c>
      <c r="P34" s="5">
        <f ca="1"/>
        <v>7</v>
      </c>
      <c r="Q34" s="5">
        <f ca="1"/>
        <v>0</v>
      </c>
      <c r="R34" s="5">
        <f ca="1"/>
        <v>4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f ca="1"/>
        <v>5</v>
      </c>
      <c r="M35">
        <v>8</v>
      </c>
      <c r="O35" s="7">
        <f ca="1"/>
        <v>28</v>
      </c>
      <c r="P35" s="5">
        <f ca="1"/>
        <v>7</v>
      </c>
      <c r="Q35" s="5">
        <f ca="1"/>
        <v>0</v>
      </c>
      <c r="R35" s="5">
        <f ca="1"/>
        <v>5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f ca="1"/>
        <v>5</v>
      </c>
      <c r="M36">
        <v>8</v>
      </c>
      <c r="O36" s="7">
        <f ca="1"/>
        <v>29</v>
      </c>
      <c r="P36" s="5">
        <f ca="1"/>
        <v>7</v>
      </c>
      <c r="Q36" s="5">
        <f ca="1"/>
        <v>0</v>
      </c>
      <c r="R36" s="5">
        <f ca="1"/>
        <v>4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f ca="1"/>
        <v>5</v>
      </c>
      <c r="M37">
        <v>7</v>
      </c>
      <c r="O37" s="7">
        <f ca="1"/>
        <v>30</v>
      </c>
      <c r="P37" s="5">
        <f ca="1"/>
        <v>7</v>
      </c>
      <c r="Q37" s="5">
        <f ca="1"/>
        <v>0</v>
      </c>
      <c r="R37" s="5">
        <f ca="1"/>
        <v>5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f ca="1"/>
        <v>5</v>
      </c>
      <c r="M38">
        <v>7</v>
      </c>
      <c r="O38" s="7">
        <f ca="1"/>
        <v>31</v>
      </c>
      <c r="P38" s="5">
        <f ca="1"/>
        <v>7</v>
      </c>
      <c r="Q38" s="5">
        <f ca="1"/>
        <v>0</v>
      </c>
      <c r="R38" s="5">
        <f ca="1"/>
        <v>4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f ca="1"/>
        <v>5</v>
      </c>
      <c r="M39">
        <v>7</v>
      </c>
      <c r="O39" s="7">
        <f ca="1"/>
        <v>32</v>
      </c>
      <c r="P39" s="5">
        <f ca="1"/>
        <v>7</v>
      </c>
      <c r="Q39" s="5">
        <f ca="1"/>
        <v>0</v>
      </c>
      <c r="R39" s="5">
        <f ca="1"/>
        <v>4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f ca="1"/>
        <v>5</v>
      </c>
      <c r="M40">
        <v>8</v>
      </c>
      <c r="O40" s="7">
        <f ca="1"/>
        <v>33</v>
      </c>
      <c r="P40" s="5">
        <f ca="1"/>
        <v>7</v>
      </c>
      <c r="Q40" s="5">
        <f ca="1"/>
        <v>0</v>
      </c>
      <c r="R40" s="5">
        <f ca="1"/>
        <v>5</v>
      </c>
      <c r="S40" s="5">
        <f ca="1"/>
        <v>7</v>
      </c>
      <c r="T40" s="5">
        <f ca="1"/>
        <v>4</v>
      </c>
      <c r="U40" s="5">
        <f ca="1"/>
        <v>4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f ca="1"/>
        <v>5</v>
      </c>
      <c r="M41">
        <v>8</v>
      </c>
      <c r="O41" s="7">
        <f ca="1"/>
        <v>34</v>
      </c>
      <c r="P41" s="5">
        <f ca="1"/>
        <v>7</v>
      </c>
      <c r="Q41" s="5">
        <f ca="1"/>
        <v>0</v>
      </c>
      <c r="R41" s="5">
        <f ca="1"/>
        <v>4</v>
      </c>
      <c r="S41" s="5">
        <f ca="1"/>
        <v>7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</row>
    <row r="42" spans="2:24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f ca="1"/>
        <v>6</v>
      </c>
      <c r="M42">
        <v>8</v>
      </c>
      <c r="O42" s="7">
        <f ca="1"/>
        <v>35</v>
      </c>
      <c r="P42" s="5">
        <f ca="1"/>
        <v>7</v>
      </c>
      <c r="Q42" s="5">
        <f ca="1"/>
        <v>0</v>
      </c>
      <c r="R42" s="5">
        <f ca="1"/>
        <v>3</v>
      </c>
      <c r="S42" s="5">
        <f ca="1"/>
        <v>7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</row>
    <row r="43" spans="2:24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f ca="1"/>
        <v>6</v>
      </c>
      <c r="M43">
        <v>7</v>
      </c>
      <c r="O43" s="7">
        <f ca="1"/>
        <v>36</v>
      </c>
      <c r="P43" s="5">
        <f ca="1"/>
        <v>7</v>
      </c>
      <c r="Q43" s="5">
        <f ca="1"/>
        <v>2</v>
      </c>
      <c r="R43" s="5">
        <f ca="1"/>
        <v>4</v>
      </c>
      <c r="S43" s="5">
        <f ca="1"/>
        <v>7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</row>
    <row r="44" spans="2:24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f ca="1"/>
        <v>6</v>
      </c>
      <c r="M44">
        <v>7</v>
      </c>
      <c r="O44" s="7">
        <f ca="1"/>
        <v>37</v>
      </c>
      <c r="P44" s="5">
        <f ca="1"/>
        <v>7</v>
      </c>
      <c r="Q44" s="5">
        <f ca="1"/>
        <v>7</v>
      </c>
      <c r="R44" s="5">
        <f ca="1"/>
        <v>5</v>
      </c>
      <c r="S44" s="5">
        <f ca="1"/>
        <v>7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</row>
    <row r="45" spans="2:24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f ca="1"/>
        <v>6</v>
      </c>
      <c r="M45">
        <v>7</v>
      </c>
      <c r="O45" s="7">
        <f ca="1"/>
        <v>38</v>
      </c>
      <c r="P45" s="5">
        <f ca="1"/>
        <v>7</v>
      </c>
      <c r="Q45" s="5">
        <f ca="1"/>
        <v>7</v>
      </c>
      <c r="R45" s="5">
        <f ca="1"/>
        <v>6</v>
      </c>
      <c r="S45" s="5">
        <f ca="1"/>
        <v>7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</row>
    <row r="46" spans="2:24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f ca="1"/>
        <v>6</v>
      </c>
      <c r="M46">
        <v>7</v>
      </c>
      <c r="O46" s="7">
        <f ca="1"/>
        <v>39</v>
      </c>
      <c r="P46" s="5">
        <f ca="1"/>
        <v>7</v>
      </c>
      <c r="Q46" s="5">
        <f ca="1"/>
        <v>7</v>
      </c>
      <c r="R46" s="5">
        <f ca="1"/>
        <v>5</v>
      </c>
      <c r="S46" s="5">
        <f ca="1"/>
        <v>7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</row>
    <row r="47" spans="2:24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f ca="1"/>
        <v>6</v>
      </c>
      <c r="M47">
        <v>7</v>
      </c>
      <c r="O47" s="7">
        <f ca="1"/>
        <v>40</v>
      </c>
      <c r="P47" s="5">
        <f ca="1"/>
        <v>7</v>
      </c>
      <c r="Q47" s="5">
        <f ca="1"/>
        <v>7</v>
      </c>
      <c r="R47" s="5">
        <f ca="1"/>
        <v>4</v>
      </c>
      <c r="S47" s="5">
        <f ca="1"/>
        <v>7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</row>
    <row r="48" spans="2:24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f ca="1"/>
        <v>6</v>
      </c>
      <c r="M48">
        <v>8</v>
      </c>
      <c r="O48" s="7">
        <f ca="1"/>
        <v>41</v>
      </c>
      <c r="P48" s="5">
        <f ca="1"/>
        <v>7</v>
      </c>
      <c r="Q48" s="5">
        <f ca="1"/>
        <v>7</v>
      </c>
      <c r="R48" s="5">
        <f ca="1"/>
        <v>3</v>
      </c>
      <c r="S48" s="5">
        <f ca="1"/>
        <v>7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</row>
    <row r="49" spans="2:2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f ca="1"/>
        <v>7</v>
      </c>
      <c r="M49">
        <v>7</v>
      </c>
      <c r="O49" s="7">
        <f ca="1"/>
        <v>42</v>
      </c>
      <c r="P49" s="5">
        <f ca="1"/>
        <v>7</v>
      </c>
      <c r="Q49" s="5">
        <f ca="1"/>
        <v>7</v>
      </c>
      <c r="R49" s="5">
        <f ca="1"/>
        <v>4</v>
      </c>
      <c r="S49" s="5">
        <f ca="1"/>
        <v>7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</row>
    <row r="50" spans="2:2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f ca="1"/>
        <v>7</v>
      </c>
      <c r="M50">
        <v>7</v>
      </c>
      <c r="O50" s="7">
        <f ca="1"/>
        <v>43</v>
      </c>
      <c r="P50" s="5">
        <f ca="1"/>
        <v>7</v>
      </c>
      <c r="Q50" s="5">
        <f ca="1"/>
        <v>7</v>
      </c>
      <c r="R50" s="5">
        <f ca="1"/>
        <v>4</v>
      </c>
      <c r="S50" s="5">
        <f ca="1"/>
        <v>7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</row>
    <row r="51" spans="2:2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f ca="1"/>
        <v>7</v>
      </c>
      <c r="M51">
        <v>8</v>
      </c>
      <c r="O51" s="7">
        <f ca="1"/>
        <v>44</v>
      </c>
      <c r="P51" s="5">
        <f ca="1"/>
        <v>7</v>
      </c>
      <c r="Q51" s="5">
        <f ca="1"/>
        <v>7</v>
      </c>
      <c r="R51" s="5">
        <f ca="1"/>
        <v>6</v>
      </c>
      <c r="S51" s="5">
        <f ca="1"/>
        <v>7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</row>
    <row r="52" spans="2:2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f ca="1"/>
        <v>7</v>
      </c>
      <c r="M52">
        <v>8</v>
      </c>
      <c r="O52" s="7">
        <f ca="1"/>
        <v>45</v>
      </c>
      <c r="P52" s="5">
        <f ca="1"/>
        <v>7</v>
      </c>
      <c r="Q52" s="5">
        <f ca="1"/>
        <v>7</v>
      </c>
      <c r="R52" s="5">
        <f ca="1"/>
        <v>4</v>
      </c>
      <c r="S52" s="5">
        <f ca="1"/>
        <v>7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</row>
    <row r="53" spans="2:2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f ca="1"/>
        <v>7</v>
      </c>
      <c r="M53">
        <v>7</v>
      </c>
      <c r="O53" s="7">
        <f ca="1"/>
        <v>46</v>
      </c>
      <c r="P53" s="5">
        <f ca="1"/>
        <v>7</v>
      </c>
      <c r="Q53" s="5">
        <f ca="1"/>
        <v>7</v>
      </c>
      <c r="R53" s="5">
        <f ca="1"/>
        <v>4</v>
      </c>
      <c r="S53" s="5">
        <f ca="1"/>
        <v>7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</row>
    <row r="54" spans="2:2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f ca="1"/>
        <v>7</v>
      </c>
      <c r="M54">
        <v>8</v>
      </c>
      <c r="O54" s="7">
        <f ca="1"/>
        <v>47</v>
      </c>
      <c r="P54" s="5">
        <f ca="1"/>
        <v>7</v>
      </c>
      <c r="Q54" s="5">
        <f ca="1"/>
        <v>7</v>
      </c>
      <c r="R54" s="5">
        <f ca="1"/>
        <v>2</v>
      </c>
      <c r="S54" s="5">
        <f ca="1"/>
        <v>6</v>
      </c>
      <c r="T54" s="5">
        <f ca="1"/>
        <v>7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</row>
    <row r="55" spans="2:2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f ca="1"/>
        <v>7</v>
      </c>
      <c r="M55">
        <v>8</v>
      </c>
      <c r="O55" s="7">
        <f ca="1"/>
        <v>48</v>
      </c>
      <c r="P55" s="5">
        <f ca="1"/>
        <v>7</v>
      </c>
      <c r="Q55" s="5">
        <f ca="1"/>
        <v>7</v>
      </c>
      <c r="R55" s="5">
        <f ca="1"/>
        <v>4</v>
      </c>
      <c r="S55" s="5">
        <f ca="1"/>
        <v>4</v>
      </c>
      <c r="T55" s="5">
        <f ca="1"/>
        <v>7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</row>
    <row r="56" spans="2:2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8</v>
      </c>
      <c r="O56" s="7">
        <f ca="1"/>
        <v>49</v>
      </c>
      <c r="P56" s="5">
        <f ca="1"/>
        <v>7</v>
      </c>
      <c r="Q56" s="5">
        <f ca="1"/>
        <v>7</v>
      </c>
      <c r="R56" s="5">
        <f ca="1"/>
        <v>3</v>
      </c>
      <c r="S56" s="5">
        <f ca="1"/>
        <v>7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</row>
    <row r="57" spans="2:2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f ca="1"/>
        <v>8</v>
      </c>
      <c r="M57">
        <v>8</v>
      </c>
      <c r="O57" s="7">
        <f ca="1"/>
        <v>50</v>
      </c>
      <c r="P57" s="5">
        <f ca="1"/>
        <v>7</v>
      </c>
      <c r="Q57" s="5">
        <f ca="1"/>
        <v>7</v>
      </c>
      <c r="R57" s="5">
        <f ca="1"/>
        <v>4</v>
      </c>
      <c r="S57" s="5">
        <f ca="1"/>
        <v>7</v>
      </c>
      <c r="T57" s="5">
        <f ca="1"/>
        <v>7</v>
      </c>
      <c r="U57" s="5">
        <f ca="1"/>
        <v>7</v>
      </c>
      <c r="V57" s="5">
        <f ca="1"/>
        <v>7</v>
      </c>
      <c r="W57" s="5">
        <f ca="1"/>
        <v>7</v>
      </c>
      <c r="X57" s="5">
        <f ca="1"/>
        <v>7</v>
      </c>
    </row>
    <row r="58" spans="2:2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f ca="1"/>
        <v>8</v>
      </c>
      <c r="M58">
        <v>7</v>
      </c>
      <c r="O58" s="7">
        <f ca="1"/>
        <v>51</v>
      </c>
      <c r="P58" s="5">
        <f ca="1"/>
        <v>7</v>
      </c>
      <c r="Q58" s="5">
        <f ca="1"/>
        <v>7</v>
      </c>
      <c r="R58" s="5">
        <f ca="1"/>
        <v>4</v>
      </c>
      <c r="S58" s="5">
        <f ca="1"/>
        <v>7</v>
      </c>
      <c r="T58" s="5">
        <f ca="1"/>
        <v>7</v>
      </c>
      <c r="U58" s="5">
        <f ca="1"/>
        <v>7</v>
      </c>
      <c r="V58" s="5">
        <f ca="1"/>
        <v>7</v>
      </c>
      <c r="W58" s="5">
        <f ca="1"/>
        <v>7</v>
      </c>
      <c r="X58" s="5">
        <f ca="1"/>
        <v>7</v>
      </c>
    </row>
    <row r="59" spans="2:2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f ca="1"/>
        <v>8</v>
      </c>
      <c r="M59">
        <v>7</v>
      </c>
      <c r="O59" s="7">
        <f ca="1"/>
        <v>52</v>
      </c>
      <c r="P59" s="5">
        <f ca="1"/>
        <v>7</v>
      </c>
      <c r="Q59" s="5">
        <f ca="1"/>
        <v>7</v>
      </c>
      <c r="R59" s="5">
        <f ca="1"/>
        <v>3</v>
      </c>
      <c r="S59" s="5">
        <f ca="1"/>
        <v>6</v>
      </c>
      <c r="T59" s="5">
        <f ca="1"/>
        <v>7</v>
      </c>
      <c r="U59" s="5">
        <f ca="1"/>
        <v>7</v>
      </c>
      <c r="V59" s="5">
        <f ca="1"/>
        <v>7</v>
      </c>
      <c r="W59" s="5">
        <f ca="1"/>
        <v>7</v>
      </c>
      <c r="X59" s="5">
        <f ca="1"/>
        <v>7</v>
      </c>
    </row>
    <row r="60" spans="2:2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f ca="1"/>
        <v>8</v>
      </c>
      <c r="M60">
        <v>7</v>
      </c>
      <c r="O60" s="7">
        <f ca="1"/>
        <v>53</v>
      </c>
      <c r="P60" s="5">
        <f ca="1"/>
        <v>2</v>
      </c>
      <c r="Q60" s="5">
        <f ca="1"/>
        <v>2</v>
      </c>
      <c r="R60" s="5">
        <f ca="1"/>
        <v>1</v>
      </c>
      <c r="S60" s="5">
        <f ca="1"/>
        <v>2</v>
      </c>
      <c r="T60" s="5">
        <f ca="1"/>
        <v>2</v>
      </c>
      <c r="U60" s="5">
        <f ca="1"/>
        <v>2</v>
      </c>
      <c r="V60" s="5">
        <f ca="1"/>
        <v>2</v>
      </c>
      <c r="W60" s="5">
        <f ca="1"/>
        <v>2</v>
      </c>
      <c r="X60" s="5">
        <f ca="1"/>
        <v>2</v>
      </c>
    </row>
    <row r="61" spans="2:2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f ca="1"/>
        <v>8</v>
      </c>
      <c r="M61">
        <v>8</v>
      </c>
    </row>
    <row r="62" spans="2:2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f ca="1"/>
        <v>8</v>
      </c>
      <c r="M62">
        <v>8</v>
      </c>
    </row>
    <row r="63" spans="2:2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f ca="1"/>
        <v>9</v>
      </c>
      <c r="M63">
        <v>8</v>
      </c>
    </row>
    <row r="64" spans="2:2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f ca="1"/>
        <v>9</v>
      </c>
      <c r="M64">
        <v>7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f ca="1"/>
        <v>9</v>
      </c>
      <c r="M65">
        <v>7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f ca="1"/>
        <v>9</v>
      </c>
      <c r="M66">
        <v>7</v>
      </c>
    </row>
    <row r="67" spans="2:13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8</v>
      </c>
    </row>
    <row r="68" spans="2:13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f ca="1"/>
        <v>9</v>
      </c>
      <c r="M68">
        <v>8</v>
      </c>
    </row>
    <row r="69" spans="2:13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8</v>
      </c>
    </row>
    <row r="70" spans="2:13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8</v>
      </c>
    </row>
    <row r="71" spans="2:13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8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7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7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7</v>
      </c>
    </row>
    <row r="75" spans="2:13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8</v>
      </c>
    </row>
    <row r="76" spans="2:13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8</v>
      </c>
    </row>
    <row r="77" spans="2:13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8</v>
      </c>
    </row>
    <row r="78" spans="2:13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8</v>
      </c>
    </row>
    <row r="79" spans="2:13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8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7</v>
      </c>
    </row>
    <row r="81" spans="2:13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8</v>
      </c>
    </row>
    <row r="82" spans="2:13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8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7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7</v>
      </c>
    </row>
    <row r="85" spans="2:13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8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7</v>
      </c>
    </row>
    <row r="87" spans="2:13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8</v>
      </c>
    </row>
    <row r="88" spans="2:13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8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7</v>
      </c>
    </row>
    <row r="90" spans="2:13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8</v>
      </c>
    </row>
    <row r="91" spans="2:13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8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7</v>
      </c>
    </row>
    <row r="93" spans="2:13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8</v>
      </c>
    </row>
    <row r="94" spans="2:13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8</v>
      </c>
    </row>
    <row r="95" spans="2:13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8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7</v>
      </c>
    </row>
    <row r="97" spans="2:13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8</v>
      </c>
    </row>
    <row r="98" spans="2:13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8</v>
      </c>
    </row>
    <row r="99" spans="2:13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8</v>
      </c>
    </row>
    <row r="100" spans="2:13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8</v>
      </c>
    </row>
    <row r="101" spans="2:13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8</v>
      </c>
    </row>
    <row r="102" spans="2:13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8</v>
      </c>
    </row>
    <row r="103" spans="2:13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8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7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7</v>
      </c>
    </row>
    <row r="106" spans="2:13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8</v>
      </c>
    </row>
    <row r="107" spans="2:13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8</v>
      </c>
    </row>
    <row r="108" spans="2:13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8</v>
      </c>
    </row>
    <row r="109" spans="2:13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8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7</v>
      </c>
    </row>
    <row r="111" spans="2:13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8</v>
      </c>
    </row>
    <row r="112" spans="2:13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8</v>
      </c>
    </row>
    <row r="113" spans="2:25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8</v>
      </c>
    </row>
    <row r="114" spans="2:25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8</v>
      </c>
    </row>
    <row r="115" spans="2:25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8</v>
      </c>
    </row>
    <row r="116" spans="2:25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8</v>
      </c>
    </row>
    <row r="117" spans="2:25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8</v>
      </c>
    </row>
    <row r="118" spans="2:25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8</v>
      </c>
    </row>
    <row r="119" spans="2:25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7</v>
      </c>
    </row>
    <row r="120" spans="2:25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8</v>
      </c>
    </row>
    <row r="121" spans="2:25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8</v>
      </c>
    </row>
    <row r="122" spans="2:25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8</v>
      </c>
    </row>
    <row r="123" spans="2:25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8</v>
      </c>
    </row>
    <row r="124" spans="2:25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7</v>
      </c>
      <c r="Y124" t="s">
        <v>28</v>
      </c>
    </row>
    <row r="125" spans="2:25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7</v>
      </c>
    </row>
    <row r="126" spans="2:25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7</v>
      </c>
    </row>
    <row r="127" spans="2:25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8</v>
      </c>
    </row>
    <row r="128" spans="2:25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8</v>
      </c>
    </row>
    <row r="129" spans="1:13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8</v>
      </c>
    </row>
    <row r="130" spans="1:13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8</v>
      </c>
    </row>
    <row r="131" spans="1:13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8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7</v>
      </c>
    </row>
    <row r="133" spans="1:13" x14ac:dyDescent="0.25">
      <c r="A133" t="s">
        <v>30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6</v>
      </c>
    </row>
    <row r="134" spans="1:13" x14ac:dyDescent="0.25">
      <c r="A134" t="s">
        <v>31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7</v>
      </c>
    </row>
    <row r="135" spans="1:13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8</v>
      </c>
    </row>
    <row r="136" spans="1:13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8</v>
      </c>
    </row>
    <row r="137" spans="1:13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8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7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7</v>
      </c>
    </row>
    <row r="140" spans="1:13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8</v>
      </c>
    </row>
    <row r="141" spans="1:13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8</v>
      </c>
    </row>
    <row r="142" spans="1:13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8</v>
      </c>
    </row>
    <row r="143" spans="1:13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8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7</v>
      </c>
    </row>
    <row r="145" spans="2:14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8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7</v>
      </c>
    </row>
    <row r="147" spans="2:14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8</v>
      </c>
    </row>
    <row r="148" spans="2:14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8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7</v>
      </c>
    </row>
    <row r="150" spans="2:14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8</v>
      </c>
    </row>
    <row r="151" spans="2:14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8</v>
      </c>
      <c r="N151" t="s">
        <v>33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7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7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7</v>
      </c>
    </row>
    <row r="155" spans="2:14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8</v>
      </c>
    </row>
    <row r="156" spans="2:14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8</v>
      </c>
    </row>
    <row r="157" spans="2:14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8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7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7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7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7</v>
      </c>
    </row>
    <row r="162" spans="2:13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8</v>
      </c>
    </row>
    <row r="163" spans="2:13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8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7</v>
      </c>
    </row>
    <row r="165" spans="2:13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8</v>
      </c>
    </row>
    <row r="166" spans="2:13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8</v>
      </c>
    </row>
    <row r="167" spans="2:13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8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7</v>
      </c>
    </row>
    <row r="169" spans="2:13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8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7</v>
      </c>
    </row>
    <row r="171" spans="2:13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8</v>
      </c>
    </row>
    <row r="172" spans="2:13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8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7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7</v>
      </c>
    </row>
    <row r="175" spans="2:13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8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7</v>
      </c>
    </row>
    <row r="177" spans="2:13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8</v>
      </c>
    </row>
    <row r="178" spans="2:13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8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7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7</v>
      </c>
    </row>
    <row r="181" spans="2:13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8</v>
      </c>
    </row>
    <row r="182" spans="2:13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8</v>
      </c>
    </row>
    <row r="183" spans="2:13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8</v>
      </c>
    </row>
    <row r="184" spans="2:13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8</v>
      </c>
    </row>
    <row r="185" spans="2:13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8</v>
      </c>
    </row>
    <row r="186" spans="2:13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8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7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7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7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7</v>
      </c>
    </row>
    <row r="191" spans="2:13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8</v>
      </c>
    </row>
    <row r="192" spans="2:13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8</v>
      </c>
    </row>
    <row r="193" spans="2:13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8</v>
      </c>
    </row>
    <row r="194" spans="2:13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8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7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7</v>
      </c>
    </row>
    <row r="197" spans="2:13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8</v>
      </c>
    </row>
    <row r="198" spans="2:13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8</v>
      </c>
    </row>
    <row r="199" spans="2:13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8</v>
      </c>
    </row>
    <row r="200" spans="2:13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8</v>
      </c>
    </row>
    <row r="201" spans="2:13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8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7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7</v>
      </c>
    </row>
    <row r="204" spans="2:13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8</v>
      </c>
    </row>
    <row r="205" spans="2:13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8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7</v>
      </c>
    </row>
    <row r="207" spans="2:13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8</v>
      </c>
    </row>
    <row r="208" spans="2:13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8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7</v>
      </c>
    </row>
    <row r="210" spans="2:24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8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7</v>
      </c>
    </row>
    <row r="212" spans="2:24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8</v>
      </c>
    </row>
    <row r="213" spans="2:24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8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7</v>
      </c>
    </row>
    <row r="215" spans="2:24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8</v>
      </c>
    </row>
    <row r="216" spans="2:24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8</v>
      </c>
    </row>
    <row r="217" spans="2:24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8</v>
      </c>
    </row>
    <row r="218" spans="2:24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7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7</v>
      </c>
    </row>
    <row r="221" spans="2:24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8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7</v>
      </c>
    </row>
    <row r="223" spans="2:24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8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7</v>
      </c>
    </row>
    <row r="225" spans="2:13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8</v>
      </c>
    </row>
    <row r="226" spans="2:13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8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7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7</v>
      </c>
    </row>
    <row r="229" spans="2:13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8</v>
      </c>
    </row>
    <row r="230" spans="2:13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8</v>
      </c>
    </row>
    <row r="231" spans="2:13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f ca="1"/>
        <v>33</v>
      </c>
      <c r="M231">
        <v>6</v>
      </c>
    </row>
    <row r="232" spans="2:13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f ca="1"/>
        <v>33</v>
      </c>
      <c r="M232">
        <v>6</v>
      </c>
    </row>
    <row r="233" spans="2:13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f ca="1"/>
        <v>33</v>
      </c>
      <c r="M233">
        <v>5</v>
      </c>
    </row>
    <row r="234" spans="2:13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7</v>
      </c>
    </row>
    <row r="235" spans="2:13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8</v>
      </c>
    </row>
    <row r="236" spans="2:13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8</v>
      </c>
    </row>
    <row r="237" spans="2:13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8</v>
      </c>
    </row>
    <row r="238" spans="2:13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7</v>
      </c>
    </row>
    <row r="239" spans="2:13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8</v>
      </c>
    </row>
    <row r="240" spans="2:13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8</v>
      </c>
    </row>
    <row r="241" spans="2:13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f ca="1"/>
        <v>34</v>
      </c>
      <c r="M241">
        <v>7</v>
      </c>
    </row>
    <row r="242" spans="2:13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f ca="1"/>
        <v>34</v>
      </c>
      <c r="M242">
        <v>8</v>
      </c>
    </row>
    <row r="243" spans="2:13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f ca="1"/>
        <v>34</v>
      </c>
      <c r="M243">
        <v>7</v>
      </c>
    </row>
    <row r="244" spans="2:13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f ca="1"/>
        <v>34</v>
      </c>
      <c r="M244">
        <v>8</v>
      </c>
    </row>
    <row r="245" spans="2:13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f ca="1"/>
        <v>35</v>
      </c>
      <c r="M245">
        <v>7</v>
      </c>
    </row>
    <row r="246" spans="2:13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f ca="1"/>
        <v>35</v>
      </c>
      <c r="M246">
        <v>8</v>
      </c>
    </row>
    <row r="247" spans="2:13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f ca="1"/>
        <v>35</v>
      </c>
      <c r="M247">
        <v>8</v>
      </c>
    </row>
    <row r="248" spans="2:13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f ca="1"/>
        <v>35</v>
      </c>
      <c r="M248">
        <v>7</v>
      </c>
    </row>
    <row r="249" spans="2:13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f ca="1"/>
        <v>35</v>
      </c>
      <c r="M249">
        <v>8</v>
      </c>
    </row>
    <row r="250" spans="2:13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f ca="1"/>
        <v>35</v>
      </c>
      <c r="M250">
        <v>7</v>
      </c>
    </row>
    <row r="251" spans="2:13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f ca="1"/>
        <v>35</v>
      </c>
      <c r="M251">
        <v>7</v>
      </c>
    </row>
    <row r="252" spans="2:13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f ca="1"/>
        <v>36</v>
      </c>
      <c r="M252">
        <v>7</v>
      </c>
    </row>
    <row r="253" spans="2:13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f ca="1"/>
        <v>36</v>
      </c>
      <c r="M253">
        <v>7</v>
      </c>
    </row>
    <row r="254" spans="2:13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f ca="1"/>
        <v>36</v>
      </c>
      <c r="M254">
        <v>8</v>
      </c>
    </row>
    <row r="255" spans="2:13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f ca="1"/>
        <v>36</v>
      </c>
      <c r="M255">
        <v>8</v>
      </c>
    </row>
    <row r="256" spans="2:13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f ca="1"/>
        <v>36</v>
      </c>
      <c r="M256">
        <v>8</v>
      </c>
    </row>
    <row r="257" spans="2:13" x14ac:dyDescent="0.25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f ca="1"/>
        <v>36</v>
      </c>
      <c r="M257">
        <v>8</v>
      </c>
    </row>
    <row r="258" spans="2:13" x14ac:dyDescent="0.25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f ca="1"/>
        <v>36</v>
      </c>
      <c r="M258">
        <v>9</v>
      </c>
    </row>
    <row r="259" spans="2:13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f ca="1"/>
        <v>37</v>
      </c>
      <c r="M259">
        <v>8</v>
      </c>
    </row>
    <row r="260" spans="2:13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f ca="1"/>
        <v>37</v>
      </c>
      <c r="M260">
        <v>9</v>
      </c>
    </row>
    <row r="261" spans="2:13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f ca="1"/>
        <v>37</v>
      </c>
      <c r="M261">
        <v>9</v>
      </c>
    </row>
    <row r="262" spans="2:13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f ca="1"/>
        <v>37</v>
      </c>
      <c r="M262">
        <v>9</v>
      </c>
    </row>
    <row r="263" spans="2:13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f ca="1"/>
        <v>37</v>
      </c>
      <c r="M263">
        <v>9</v>
      </c>
    </row>
    <row r="264" spans="2:13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f ca="1"/>
        <v>37</v>
      </c>
      <c r="M264">
        <v>9</v>
      </c>
    </row>
    <row r="265" spans="2:13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f ca="1"/>
        <v>37</v>
      </c>
      <c r="M265">
        <v>8</v>
      </c>
    </row>
    <row r="266" spans="2:13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f ca="1"/>
        <v>38</v>
      </c>
      <c r="M266">
        <v>9</v>
      </c>
    </row>
    <row r="267" spans="2:13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f ca="1"/>
        <v>38</v>
      </c>
      <c r="M267">
        <v>9</v>
      </c>
    </row>
    <row r="268" spans="2:13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f ca="1"/>
        <v>38</v>
      </c>
      <c r="M268">
        <v>9</v>
      </c>
    </row>
    <row r="269" spans="2:13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f ca="1"/>
        <v>38</v>
      </c>
      <c r="M269">
        <v>9</v>
      </c>
    </row>
    <row r="270" spans="2:13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f ca="1"/>
        <v>38</v>
      </c>
      <c r="M270">
        <v>9</v>
      </c>
    </row>
    <row r="271" spans="2:13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f ca="1"/>
        <v>38</v>
      </c>
      <c r="M271">
        <v>8</v>
      </c>
    </row>
    <row r="272" spans="2:13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f ca="1"/>
        <v>38</v>
      </c>
      <c r="M272">
        <v>9</v>
      </c>
    </row>
    <row r="273" spans="2:13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f ca="1"/>
        <v>39</v>
      </c>
      <c r="M273">
        <v>9</v>
      </c>
    </row>
    <row r="274" spans="2:13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f ca="1"/>
        <v>39</v>
      </c>
      <c r="M274">
        <v>9</v>
      </c>
    </row>
    <row r="275" spans="2:13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f ca="1"/>
        <v>39</v>
      </c>
      <c r="M275">
        <v>8</v>
      </c>
    </row>
    <row r="276" spans="2:13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f ca="1"/>
        <v>39</v>
      </c>
      <c r="M276">
        <v>9</v>
      </c>
    </row>
    <row r="277" spans="2:13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f ca="1"/>
        <v>39</v>
      </c>
      <c r="M277">
        <v>9</v>
      </c>
    </row>
    <row r="278" spans="2:13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f ca="1"/>
        <v>39</v>
      </c>
      <c r="M278">
        <v>9</v>
      </c>
    </row>
    <row r="279" spans="2:13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f ca="1"/>
        <v>39</v>
      </c>
      <c r="M279">
        <v>8</v>
      </c>
    </row>
    <row r="280" spans="2:13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f ca="1"/>
        <v>40</v>
      </c>
      <c r="M280">
        <v>8</v>
      </c>
    </row>
    <row r="281" spans="2:13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f ca="1"/>
        <v>40</v>
      </c>
      <c r="M281">
        <v>9</v>
      </c>
    </row>
    <row r="282" spans="2:13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f ca="1"/>
        <v>40</v>
      </c>
      <c r="M282">
        <v>9</v>
      </c>
    </row>
    <row r="283" spans="2:13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f ca="1"/>
        <v>40</v>
      </c>
      <c r="M283">
        <v>9</v>
      </c>
    </row>
    <row r="284" spans="2:13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f ca="1"/>
        <v>40</v>
      </c>
      <c r="M284">
        <v>8</v>
      </c>
    </row>
    <row r="285" spans="2:13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f ca="1"/>
        <v>40</v>
      </c>
      <c r="M285">
        <v>8</v>
      </c>
    </row>
    <row r="286" spans="2:13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f ca="1"/>
        <v>40</v>
      </c>
      <c r="M286">
        <v>9</v>
      </c>
    </row>
    <row r="287" spans="2:13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f ca="1"/>
        <v>41</v>
      </c>
      <c r="M287">
        <v>8</v>
      </c>
    </row>
    <row r="288" spans="2:13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f ca="1"/>
        <v>41</v>
      </c>
      <c r="M288">
        <v>9</v>
      </c>
    </row>
    <row r="289" spans="2:13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f ca="1"/>
        <v>41</v>
      </c>
      <c r="M289">
        <v>8</v>
      </c>
    </row>
    <row r="290" spans="2:13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f ca="1"/>
        <v>41</v>
      </c>
      <c r="M290">
        <v>9</v>
      </c>
    </row>
    <row r="291" spans="2:13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f ca="1"/>
        <v>41</v>
      </c>
      <c r="M291">
        <v>9</v>
      </c>
    </row>
    <row r="292" spans="2:13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f ca="1"/>
        <v>41</v>
      </c>
      <c r="M292">
        <v>8</v>
      </c>
    </row>
    <row r="293" spans="2:13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f ca="1"/>
        <v>41</v>
      </c>
      <c r="M293">
        <v>8</v>
      </c>
    </row>
    <row r="294" spans="2:13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f ca="1"/>
        <v>42</v>
      </c>
      <c r="M294">
        <v>8</v>
      </c>
    </row>
    <row r="295" spans="2:13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f ca="1"/>
        <v>42</v>
      </c>
      <c r="M295">
        <v>9</v>
      </c>
    </row>
    <row r="296" spans="2:13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f ca="1"/>
        <v>42</v>
      </c>
      <c r="M296">
        <v>9</v>
      </c>
    </row>
    <row r="297" spans="2:13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f ca="1"/>
        <v>42</v>
      </c>
      <c r="M297">
        <v>8</v>
      </c>
    </row>
    <row r="298" spans="2:13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f ca="1"/>
        <v>42</v>
      </c>
      <c r="M298">
        <v>9</v>
      </c>
    </row>
    <row r="299" spans="2:13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f ca="1"/>
        <v>42</v>
      </c>
      <c r="M299">
        <v>8</v>
      </c>
    </row>
    <row r="300" spans="2:13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f ca="1"/>
        <v>42</v>
      </c>
      <c r="M300">
        <v>9</v>
      </c>
    </row>
    <row r="301" spans="2:13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f ca="1"/>
        <v>43</v>
      </c>
      <c r="M301">
        <v>9</v>
      </c>
    </row>
    <row r="302" spans="2:13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f ca="1"/>
        <v>43</v>
      </c>
      <c r="M302">
        <v>9</v>
      </c>
    </row>
    <row r="303" spans="2:13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f ca="1"/>
        <v>43</v>
      </c>
      <c r="M303">
        <v>8</v>
      </c>
    </row>
    <row r="304" spans="2:13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f ca="1"/>
        <v>43</v>
      </c>
      <c r="M304">
        <v>9</v>
      </c>
    </row>
    <row r="305" spans="2:13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f ca="1"/>
        <v>43</v>
      </c>
      <c r="M305">
        <v>8</v>
      </c>
    </row>
    <row r="306" spans="2:13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f ca="1"/>
        <v>43</v>
      </c>
      <c r="M306">
        <v>8</v>
      </c>
    </row>
    <row r="307" spans="2:13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f ca="1"/>
        <v>43</v>
      </c>
      <c r="M307">
        <v>9</v>
      </c>
    </row>
    <row r="308" spans="2:13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f ca="1"/>
        <v>44</v>
      </c>
      <c r="M308">
        <v>8</v>
      </c>
    </row>
    <row r="309" spans="2:13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f ca="1"/>
        <v>44</v>
      </c>
      <c r="M309">
        <v>9</v>
      </c>
    </row>
    <row r="310" spans="2:13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f ca="1"/>
        <v>44</v>
      </c>
      <c r="M310">
        <v>9</v>
      </c>
    </row>
    <row r="311" spans="2:13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f ca="1"/>
        <v>44</v>
      </c>
      <c r="M311">
        <v>9</v>
      </c>
    </row>
    <row r="312" spans="2:13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f ca="1"/>
        <v>44</v>
      </c>
      <c r="M312">
        <v>9</v>
      </c>
    </row>
    <row r="313" spans="2:13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f ca="1"/>
        <v>44</v>
      </c>
      <c r="M313">
        <v>9</v>
      </c>
    </row>
    <row r="314" spans="2:13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f ca="1"/>
        <v>44</v>
      </c>
      <c r="M314">
        <v>9</v>
      </c>
    </row>
    <row r="315" spans="2:13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f ca="1"/>
        <v>45</v>
      </c>
      <c r="M315">
        <v>9</v>
      </c>
    </row>
    <row r="316" spans="2:13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f ca="1"/>
        <v>45</v>
      </c>
      <c r="M316">
        <v>9</v>
      </c>
    </row>
    <row r="317" spans="2:13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f ca="1"/>
        <v>45</v>
      </c>
      <c r="M317">
        <v>8</v>
      </c>
    </row>
    <row r="318" spans="2:13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f ca="1"/>
        <v>45</v>
      </c>
      <c r="M318">
        <v>9</v>
      </c>
    </row>
    <row r="319" spans="2:13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f ca="1"/>
        <v>45</v>
      </c>
      <c r="M319">
        <v>9</v>
      </c>
    </row>
    <row r="320" spans="2:13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f ca="1"/>
        <v>45</v>
      </c>
      <c r="M320">
        <v>8</v>
      </c>
    </row>
    <row r="321" spans="2:13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f ca="1"/>
        <v>45</v>
      </c>
      <c r="M321">
        <v>8</v>
      </c>
    </row>
    <row r="322" spans="2:13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f ca="1"/>
        <v>46</v>
      </c>
      <c r="M322">
        <v>9</v>
      </c>
    </row>
    <row r="323" spans="2:13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f ca="1"/>
        <v>46</v>
      </c>
      <c r="M323">
        <v>8</v>
      </c>
    </row>
    <row r="324" spans="2:13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f ca="1"/>
        <v>46</v>
      </c>
      <c r="M324">
        <v>9</v>
      </c>
    </row>
    <row r="325" spans="2:13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f ca="1"/>
        <v>46</v>
      </c>
      <c r="M325">
        <v>8</v>
      </c>
    </row>
    <row r="326" spans="2:13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f ca="1"/>
        <v>46</v>
      </c>
      <c r="M326">
        <v>9</v>
      </c>
    </row>
    <row r="327" spans="2:13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f ca="1"/>
        <v>46</v>
      </c>
      <c r="M327">
        <v>8</v>
      </c>
    </row>
    <row r="328" spans="2:13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f ca="1"/>
        <v>46</v>
      </c>
      <c r="M328">
        <v>9</v>
      </c>
    </row>
    <row r="329" spans="2:13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f ca="1"/>
        <v>47</v>
      </c>
      <c r="M329">
        <v>8</v>
      </c>
    </row>
    <row r="330" spans="2:13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f ca="1"/>
        <v>47</v>
      </c>
      <c r="M330">
        <v>8</v>
      </c>
    </row>
    <row r="331" spans="2:13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f ca="1"/>
        <v>47</v>
      </c>
      <c r="M331">
        <v>9</v>
      </c>
    </row>
    <row r="332" spans="2:13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f ca="1"/>
        <v>47</v>
      </c>
      <c r="M332">
        <v>8</v>
      </c>
    </row>
    <row r="333" spans="2:13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f ca="1"/>
        <v>47</v>
      </c>
      <c r="M333">
        <v>7</v>
      </c>
    </row>
    <row r="334" spans="2:13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f ca="1"/>
        <v>47</v>
      </c>
      <c r="M334">
        <v>8</v>
      </c>
    </row>
    <row r="335" spans="2:13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f ca="1"/>
        <v>47</v>
      </c>
      <c r="M335">
        <v>9</v>
      </c>
    </row>
    <row r="336" spans="2:13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f ca="1"/>
        <v>48</v>
      </c>
      <c r="M336">
        <v>9</v>
      </c>
    </row>
    <row r="337" spans="2:29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f ca="1"/>
        <v>48</v>
      </c>
      <c r="M337">
        <v>9</v>
      </c>
    </row>
    <row r="338" spans="2:29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f ca="1"/>
        <v>48</v>
      </c>
      <c r="M338">
        <v>8</v>
      </c>
    </row>
    <row r="339" spans="2:29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f ca="1"/>
        <v>48</v>
      </c>
      <c r="M339">
        <v>8</v>
      </c>
    </row>
    <row r="340" spans="2:29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f ca="1"/>
        <v>48</v>
      </c>
      <c r="M340">
        <v>7</v>
      </c>
    </row>
    <row r="341" spans="2:29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f ca="1"/>
        <v>48</v>
      </c>
      <c r="M341">
        <v>8</v>
      </c>
    </row>
    <row r="342" spans="2:29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f ca="1"/>
        <v>48</v>
      </c>
      <c r="M342">
        <v>8</v>
      </c>
    </row>
    <row r="343" spans="2:29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f ca="1"/>
        <v>49</v>
      </c>
      <c r="M343">
        <v>9</v>
      </c>
    </row>
    <row r="344" spans="2:29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f ca="1"/>
        <v>49</v>
      </c>
      <c r="M344">
        <v>9</v>
      </c>
    </row>
    <row r="345" spans="2:29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f ca="1"/>
        <v>49</v>
      </c>
      <c r="M345">
        <v>8</v>
      </c>
    </row>
    <row r="346" spans="2:29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f ca="1"/>
        <v>49</v>
      </c>
      <c r="M346">
        <v>8</v>
      </c>
    </row>
    <row r="347" spans="2:29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f ca="1"/>
        <v>49</v>
      </c>
      <c r="M347">
        <v>8</v>
      </c>
    </row>
    <row r="348" spans="2:29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f ca="1"/>
        <v>49</v>
      </c>
      <c r="M348">
        <v>9</v>
      </c>
    </row>
    <row r="349" spans="2:29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f ca="1"/>
        <v>49</v>
      </c>
      <c r="M349">
        <v>8</v>
      </c>
    </row>
    <row r="350" spans="2:29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f ca="1"/>
        <v>50</v>
      </c>
      <c r="M350">
        <v>9</v>
      </c>
    </row>
    <row r="351" spans="2:29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f ca="1"/>
        <v>50</v>
      </c>
      <c r="M351">
        <v>8</v>
      </c>
      <c r="AC351" t="s">
        <v>76</v>
      </c>
    </row>
    <row r="352" spans="2:29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f ca="1"/>
        <v>50</v>
      </c>
      <c r="M352">
        <v>9</v>
      </c>
    </row>
    <row r="353" spans="2:13" x14ac:dyDescent="0.25">
      <c r="B353" s="15" t="str">
        <f ca="1"/>
        <v>10-Dec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f ca="1"/>
        <v>50</v>
      </c>
      <c r="M353">
        <v>8</v>
      </c>
    </row>
    <row r="354" spans="2:13" x14ac:dyDescent="0.25">
      <c r="B354" s="15" t="str">
        <f ca="1"/>
        <v>11-Dec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f ca="1"/>
        <v>50</v>
      </c>
      <c r="M354">
        <v>9</v>
      </c>
    </row>
    <row r="355" spans="2:13" x14ac:dyDescent="0.25">
      <c r="B355" s="15" t="str">
        <f ca="1"/>
        <v>12-Dec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f ca="1"/>
        <v>50</v>
      </c>
      <c r="M355">
        <v>8</v>
      </c>
    </row>
    <row r="356" spans="2:13" x14ac:dyDescent="0.25">
      <c r="B356" s="15" t="str">
        <f ca="1"/>
        <v>13-Dec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f ca="1"/>
        <v>50</v>
      </c>
      <c r="M356">
        <v>9</v>
      </c>
    </row>
    <row r="357" spans="2:13" x14ac:dyDescent="0.25">
      <c r="B357" s="15" t="str">
        <f ca="1"/>
        <v>14-Dec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f ca="1"/>
        <v>51</v>
      </c>
      <c r="M357">
        <v>8</v>
      </c>
    </row>
    <row r="358" spans="2:13" x14ac:dyDescent="0.25">
      <c r="B358" s="15" t="str">
        <f ca="1"/>
        <v>15-Dec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f ca="1"/>
        <v>51</v>
      </c>
      <c r="M358">
        <v>9</v>
      </c>
    </row>
    <row r="359" spans="2:13" x14ac:dyDescent="0.25">
      <c r="B359" s="15" t="str">
        <f ca="1"/>
        <v>16-Dec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f ca="1"/>
        <v>51</v>
      </c>
      <c r="M359">
        <v>8</v>
      </c>
    </row>
    <row r="360" spans="2:13" x14ac:dyDescent="0.25">
      <c r="B360" s="15" t="str">
        <f ca="1"/>
        <v>17-Dec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f ca="1"/>
        <v>51</v>
      </c>
      <c r="M360">
        <v>9</v>
      </c>
    </row>
    <row r="361" spans="2:13" x14ac:dyDescent="0.25">
      <c r="B361" s="15" t="str">
        <f ca="1"/>
        <v>18-Dec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f ca="1"/>
        <v>51</v>
      </c>
      <c r="M361">
        <v>9</v>
      </c>
    </row>
    <row r="362" spans="2:13" x14ac:dyDescent="0.25">
      <c r="B362" s="15" t="str">
        <f ca="1"/>
        <v>19-Dec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f ca="1"/>
        <v>51</v>
      </c>
      <c r="M362">
        <v>8</v>
      </c>
    </row>
    <row r="363" spans="2:13" x14ac:dyDescent="0.25">
      <c r="B363" s="15" t="str">
        <f ca="1"/>
        <v>20-Dec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f ca="1"/>
        <v>51</v>
      </c>
      <c r="M363">
        <v>9</v>
      </c>
    </row>
    <row r="364" spans="2:13" x14ac:dyDescent="0.25">
      <c r="B364" s="15" t="str">
        <f ca="1"/>
        <v>21-Dec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f ca="1"/>
        <v>52</v>
      </c>
      <c r="M364">
        <v>9</v>
      </c>
    </row>
    <row r="365" spans="2:13" x14ac:dyDescent="0.25">
      <c r="B365" s="15" t="str">
        <f ca="1"/>
        <v>22-Dec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f ca="1"/>
        <v>52</v>
      </c>
      <c r="M365">
        <v>9</v>
      </c>
    </row>
    <row r="366" spans="2:13" x14ac:dyDescent="0.25">
      <c r="B366" s="15" t="str">
        <f ca="1"/>
        <v>23-Dec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f ca="1"/>
        <v>52</v>
      </c>
      <c r="M366">
        <v>9</v>
      </c>
    </row>
    <row r="367" spans="2:13" x14ac:dyDescent="0.25">
      <c r="B367" s="15" t="str">
        <f ca="1"/>
        <v>24-Dec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f ca="1"/>
        <v>52</v>
      </c>
      <c r="M367">
        <v>8</v>
      </c>
    </row>
    <row r="368" spans="2:13" x14ac:dyDescent="0.25">
      <c r="B368" s="15" t="str">
        <f ca="1"/>
        <v>25-Dec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f ca="1"/>
        <v>52</v>
      </c>
      <c r="M368">
        <v>7</v>
      </c>
    </row>
    <row r="369" spans="2:15" x14ac:dyDescent="0.25">
      <c r="B369" s="15" t="str">
        <f ca="1"/>
        <v>26-Dec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f ca="1"/>
        <v>52</v>
      </c>
      <c r="M369">
        <v>8</v>
      </c>
    </row>
    <row r="370" spans="2:15" x14ac:dyDescent="0.25">
      <c r="B370" s="15" t="str">
        <f ca="1"/>
        <v>27-Dec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f ca="1"/>
        <v>52</v>
      </c>
      <c r="M370">
        <v>8</v>
      </c>
    </row>
    <row r="371" spans="2:15" x14ac:dyDescent="0.25">
      <c r="B371" s="15" t="str">
        <f ca="1"/>
        <v>28-Dec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f ca="1"/>
        <v>53</v>
      </c>
      <c r="M371">
        <v>9</v>
      </c>
    </row>
    <row r="372" spans="2:15" x14ac:dyDescent="0.25">
      <c r="B372" s="15" t="str">
        <f ca="1"/>
        <v>29-Dec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f ca="1"/>
        <v>53</v>
      </c>
      <c r="M372">
        <v>8</v>
      </c>
    </row>
    <row r="375" spans="2:15" x14ac:dyDescent="0.25">
      <c r="J375" s="5"/>
      <c r="O375" t="s">
        <v>34</v>
      </c>
    </row>
    <row r="376" spans="2:15" x14ac:dyDescent="0.25">
      <c r="O376" t="s">
        <v>35</v>
      </c>
    </row>
    <row r="377" spans="2:15" x14ac:dyDescent="0.25">
      <c r="O377" t="s">
        <v>39</v>
      </c>
    </row>
    <row r="378" spans="2:15" x14ac:dyDescent="0.25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7" priority="25" stopIfTrue="1">
      <formula>MOD(ROW(N9)-ROW($B$9),2)</formula>
    </cfRule>
  </conditionalFormatting>
  <conditionalFormatting sqref="O10:X60">
    <cfRule type="expression" dxfId="16" priority="64">
      <formula>MOD(ROW(O10)-ROW($O$258),2)</formula>
    </cfRule>
  </conditionalFormatting>
  <conditionalFormatting sqref="O45">
    <cfRule type="expression" dxfId="15" priority="20">
      <formula>MOD(ROW(O45)-ROW($O$258),2)</formula>
    </cfRule>
  </conditionalFormatting>
  <conditionalFormatting sqref="O46:O52">
    <cfRule type="expression" dxfId="14" priority="19">
      <formula>MOD(ROW(O46)-ROW($O$258),2)</formula>
    </cfRule>
  </conditionalFormatting>
  <conditionalFormatting sqref="P46:X46">
    <cfRule type="expression" dxfId="13" priority="18">
      <formula>MOD(ROW(P46)-ROW($O$258),2)</formula>
    </cfRule>
  </conditionalFormatting>
  <conditionalFormatting sqref="O48:X48">
    <cfRule type="expression" dxfId="12" priority="17">
      <formula>MOD(ROW(O48)-ROW($O$258),2)</formula>
    </cfRule>
  </conditionalFormatting>
  <conditionalFormatting sqref="P48:X48">
    <cfRule type="expression" dxfId="11" priority="16">
      <formula>MOD(ROW(P48)-ROW($O$258),2)</formula>
    </cfRule>
  </conditionalFormatting>
  <conditionalFormatting sqref="O49:X49">
    <cfRule type="expression" dxfId="10" priority="14">
      <formula>MOD(ROW(O49)-ROW($O$258),2)</formula>
    </cfRule>
  </conditionalFormatting>
  <conditionalFormatting sqref="O50:X50">
    <cfRule type="expression" dxfId="9" priority="13">
      <formula>MOD(ROW(O50)-ROW($O$258),2)</formula>
    </cfRule>
  </conditionalFormatting>
  <conditionalFormatting sqref="P50:X50">
    <cfRule type="expression" dxfId="8" priority="12">
      <formula>MOD(ROW(P50)-ROW($O$258),2)</formula>
    </cfRule>
  </conditionalFormatting>
  <conditionalFormatting sqref="O51:X51">
    <cfRule type="expression" dxfId="7" priority="10">
      <formula>MOD(ROW(O51)-ROW($O$258),2)</formula>
    </cfRule>
  </conditionalFormatting>
  <conditionalFormatting sqref="O52:X52">
    <cfRule type="expression" dxfId="6" priority="9">
      <formula>MOD(ROW(O52)-ROW($O$258),2)</formula>
    </cfRule>
  </conditionalFormatting>
  <conditionalFormatting sqref="O52:X52">
    <cfRule type="expression" dxfId="5" priority="8">
      <formula>MOD(ROW(O52)-ROW($O$258),2)</formula>
    </cfRule>
  </conditionalFormatting>
  <conditionalFormatting sqref="P52:X52">
    <cfRule type="expression" dxfId="4" priority="7">
      <formula>MOD(ROW(P52)-ROW($O$258),2)</formula>
    </cfRule>
  </conditionalFormatting>
  <conditionalFormatting sqref="P54:X54">
    <cfRule type="expression" dxfId="3" priority="2">
      <formula>MOD(ROW(P54)-ROW($O$258),2)</formula>
    </cfRule>
  </conditionalFormatting>
  <conditionalFormatting sqref="P53:X53">
    <cfRule type="expression" dxfId="2" priority="1">
      <formula>MOD(ROW(P53)-ROW($O$258),2)</formula>
    </cfRule>
  </conditionalFormatting>
  <conditionalFormatting sqref="B10:K372 J375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B371"/>
  <sheetViews>
    <sheetView topLeftCell="A4" workbookViewId="0">
      <pane ySplit="5" topLeftCell="A364" activePane="bottomLeft" state="frozen"/>
      <selection activeCell="A4" sqref="A4"/>
      <selection pane="bottomLeft" activeCell="AD368" sqref="AD368"/>
    </sheetView>
  </sheetViews>
  <sheetFormatPr defaultRowHeight="13.2" x14ac:dyDescent="0.25"/>
  <cols>
    <col min="5" max="24" width="3.33203125" style="5" customWidth="1"/>
    <col min="25" max="27" width="3.33203125" customWidth="1"/>
  </cols>
  <sheetData>
    <row r="7" spans="4:26" ht="13.8" thickBot="1" x14ac:dyDescent="0.3"/>
    <row r="8" spans="4:26" ht="132" thickBot="1" x14ac:dyDescent="0.3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8" thickTop="1" x14ac:dyDescent="0.25">
      <c r="D9" t="str" cm="1">
        <f t="array" aca="1" ref="D9:D37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71">_xlfn.BYROW(_xlfn.DROP(_xlnm.Print_Area,,1),_xleta.SUM)</f>
        <v>0</v>
      </c>
    </row>
    <row r="10" spans="4:26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5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5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5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5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5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5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5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5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5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5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5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5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</sheetData>
  <conditionalFormatting sqref="D9:X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22" sqref="L22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24</v>
      </c>
    </row>
    <row r="6" spans="1:2" x14ac:dyDescent="0.25">
      <c r="A6" s="8" t="b">
        <v>0</v>
      </c>
      <c r="B6" t="s">
        <v>25</v>
      </c>
    </row>
    <row r="7" spans="1:2" x14ac:dyDescent="0.25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131</v>
      </c>
      <c r="C1">
        <v>10</v>
      </c>
      <c r="D1" t="s">
        <v>135</v>
      </c>
    </row>
    <row r="2" spans="2:6" x14ac:dyDescent="0.25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5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5">
      <c r="B4" t="s">
        <v>134</v>
      </c>
      <c r="C4">
        <v>100</v>
      </c>
      <c r="D4" t="s">
        <v>138</v>
      </c>
    </row>
    <row r="5" spans="2:6" x14ac:dyDescent="0.25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5">
      <c r="B6" t="s">
        <v>150</v>
      </c>
      <c r="C6">
        <v>0</v>
      </c>
      <c r="D6" t="s">
        <v>137</v>
      </c>
    </row>
    <row r="8" spans="2:6" x14ac:dyDescent="0.25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5">
      <c r="B9" t="s">
        <v>143</v>
      </c>
      <c r="C9" s="29">
        <f>_R*COS(_B*PI()/180)</f>
        <v>1732.0508075688774</v>
      </c>
      <c r="D9" t="s">
        <v>138</v>
      </c>
    </row>
    <row r="10" spans="2:6" x14ac:dyDescent="0.25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5">
      <c r="B11" t="s">
        <v>145</v>
      </c>
      <c r="C11">
        <f>-SIN(PI()/180*_Theta)*_L</f>
        <v>-76.604444311897808</v>
      </c>
    </row>
    <row r="12" spans="2:6" x14ac:dyDescent="0.25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5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5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5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5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5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5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5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5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5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5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5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5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5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5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5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5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5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5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5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5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5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5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5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5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5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5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5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5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5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5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5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5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5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5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5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5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5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5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5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5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5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5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5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5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5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5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5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5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5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5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5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5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5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5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5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5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5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5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5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5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5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5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5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5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5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5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5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5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5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5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5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5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5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5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5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5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5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5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5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5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5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5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5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5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5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5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5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5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5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5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5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5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5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5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5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5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5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5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5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5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5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5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5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5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5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5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5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5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5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5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5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5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5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5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5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5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5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5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5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5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5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5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5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5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5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5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5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5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5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5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5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5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5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5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5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5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5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5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5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5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5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5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5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5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5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5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5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5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5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5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5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5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5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5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5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5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5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5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5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5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5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5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5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5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5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5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5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5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5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5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5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5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5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5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5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5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5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5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5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5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5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5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5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5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5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5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5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5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5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5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5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5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5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5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5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5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5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5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5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5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5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5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tabSelected="1" workbookViewId="0">
      <selection activeCell="G16" sqref="G16"/>
    </sheetView>
  </sheetViews>
  <sheetFormatPr defaultRowHeight="13.2" x14ac:dyDescent="0.25"/>
  <cols>
    <col min="1" max="1" width="17.21875" bestFit="1" customWidth="1"/>
    <col min="2" max="2" width="17.2187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33203125" customWidth="1"/>
  </cols>
  <sheetData>
    <row r="1" spans="1:13" x14ac:dyDescent="0.25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5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8" thickBot="1" x14ac:dyDescent="0.3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8" thickTop="1" x14ac:dyDescent="0.25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5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5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5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5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5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5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5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5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49</v>
      </c>
      <c r="B1" s="26" t="s">
        <v>48</v>
      </c>
      <c r="C1" s="26"/>
    </row>
    <row r="2" spans="1:3" x14ac:dyDescent="0.25">
      <c r="A2" s="27" t="s">
        <v>47</v>
      </c>
      <c r="B2" s="26"/>
      <c r="C2" s="26"/>
    </row>
    <row r="3" spans="1:3" x14ac:dyDescent="0.25">
      <c r="A3" s="27" t="s">
        <v>46</v>
      </c>
      <c r="B3" s="26" t="str" cm="1">
        <f t="array" aca="1" ref="B3" ca="1">HD_Date</f>
        <v>29-Dec-2025</v>
      </c>
      <c r="C3" s="26"/>
    </row>
    <row r="43" spans="4:12" x14ac:dyDescent="0.25">
      <c r="E43" t="s">
        <v>50</v>
      </c>
      <c r="F43" t="s">
        <v>50</v>
      </c>
      <c r="G43" t="s">
        <v>50</v>
      </c>
      <c r="H43" t="s">
        <v>51</v>
      </c>
    </row>
    <row r="44" spans="4:12" x14ac:dyDescent="0.25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5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5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5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5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5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5">
      <c r="B3" t="s">
        <v>62</v>
      </c>
      <c r="C3" t="s">
        <v>68</v>
      </c>
      <c r="E3" t="s">
        <v>72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63</v>
      </c>
      <c r="C4" t="s">
        <v>69</v>
      </c>
      <c r="E4" t="s">
        <v>73</v>
      </c>
    </row>
    <row r="5" spans="2:17" x14ac:dyDescent="0.25">
      <c r="B5" t="s">
        <v>64</v>
      </c>
      <c r="E5" t="s">
        <v>74</v>
      </c>
    </row>
    <row r="6" spans="2:17" x14ac:dyDescent="0.25">
      <c r="B6" t="s">
        <v>65</v>
      </c>
      <c r="C6" t="s">
        <v>70</v>
      </c>
    </row>
    <row r="7" spans="2:17" x14ac:dyDescent="0.25">
      <c r="B7" t="s">
        <v>66</v>
      </c>
      <c r="E7" t="s">
        <v>72</v>
      </c>
    </row>
    <row r="8" spans="2:17" x14ac:dyDescent="0.25">
      <c r="B8" t="s">
        <v>67</v>
      </c>
      <c r="C8" t="s">
        <v>71</v>
      </c>
      <c r="E8" t="s">
        <v>75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R2" sqref="R2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5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5">
      <c r="A3" s="27" t="s">
        <v>46</v>
      </c>
      <c r="B3" s="26" t="str" cm="1">
        <f t="array" aca="1" ref="B3" ca="1">HD_Date</f>
        <v>29-Dec-2025</v>
      </c>
      <c r="C3" s="26"/>
    </row>
    <row r="6" spans="1:28" x14ac:dyDescent="0.25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5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5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5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5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5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5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5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</vt:i4>
      </vt:variant>
    </vt:vector>
  </HeadingPairs>
  <TitlesOfParts>
    <vt:vector size="21" baseType="lpstr">
      <vt:lpstr>Report</vt:lpstr>
      <vt:lpstr>LongTermTraining</vt:lpstr>
      <vt:lpstr>PointTraining</vt:lpstr>
      <vt:lpstr>RAOBF</vt:lpstr>
      <vt:lpstr>BP_Data</vt:lpstr>
      <vt:lpstr>Sheet1</vt:lpstr>
      <vt:lpstr>Sheet2</vt:lpstr>
      <vt:lpstr>SH3_Correction_Table</vt:lpstr>
      <vt:lpstr>__xL</vt:lpstr>
      <vt:lpstr>_AOB</vt:lpstr>
      <vt:lpstr>_B</vt:lpstr>
      <vt:lpstr>_L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2025-12-30T04:31:33Z</dcterms:modified>
</cp:coreProperties>
</file>