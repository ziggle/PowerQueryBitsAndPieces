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tables/table1.xml" ContentType="application/vnd.openxmlformats-officedocument.spreadsheetml.table+xml"/>
  <Override PartName="/xl/drawings/drawing6.xml" ContentType="application/vnd.openxmlformats-officedocument.drawing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xl/python.xml" ContentType="application/vnd.ms-excel.pytho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xl/webextensions/webextension3.xml" ContentType="application/vnd.ms-office.webextension+xml"/>
  <Override PartName="/xl/webextensions/webextension4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8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bieg\Dropbox\GitHub\PowerQueryBitsAndPieces\"/>
    </mc:Choice>
  </mc:AlternateContent>
  <xr:revisionPtr revIDLastSave="0" documentId="13_ncr:1_{E70B9C5F-4FFE-4030-B83A-13DEADCE520E}" xr6:coauthVersionLast="47" xr6:coauthVersionMax="47" xr10:uidLastSave="{00000000-0000-0000-0000-000000000000}"/>
  <bookViews>
    <workbookView xWindow="-33072" yWindow="3060" windowWidth="34560" windowHeight="18648" activeTab="1" xr2:uid="{AD5FE48E-9CE6-4EDE-8F69-E8FD3B4EAF42}"/>
  </bookViews>
  <sheets>
    <sheet name="2025" sheetId="1" r:id="rId1"/>
    <sheet name="2026" sheetId="11" r:id="rId2"/>
    <sheet name="LongTermTraining" sheetId="3" r:id="rId3"/>
    <sheet name="Sheet4" sheetId="12" r:id="rId4"/>
    <sheet name="PointTraining" sheetId="4" r:id="rId5"/>
    <sheet name="RAOBF" sheetId="8" r:id="rId6"/>
    <sheet name="BP_Data" sheetId="9" r:id="rId7"/>
    <sheet name="Sheet1" sheetId="5" r:id="rId8"/>
    <sheet name="Sheet2" sheetId="6" r:id="rId9"/>
    <sheet name="Sheet3" sheetId="10" r:id="rId10"/>
    <sheet name="SH3_Correction_Table" sheetId="7" r:id="rId11"/>
  </sheets>
  <definedNames>
    <definedName name="__xL">RAOBF!$C$12</definedName>
    <definedName name="_AOB">RAOBF!$C$1</definedName>
    <definedName name="_B">RAOBF!$C$2</definedName>
    <definedName name="_d">_xlfn.DROP(_xlfn._TRO_ALL('2026'!$C:$K),1)</definedName>
    <definedName name="_date" localSheetId="1">_xlfn.DROP(_xlfn._TRO_ALL('2026'!$B:$B),12)</definedName>
    <definedName name="_date">_xlfn.DROP(_xlfn._TRO_ALL('2026'!$B:$B),1)</definedName>
    <definedName name="_xlnm._FilterDatabase" localSheetId="0" hidden="1">'2025'!$O$24:$O$60</definedName>
    <definedName name="_xlnm._FilterDatabase" localSheetId="1" hidden="1">'2026'!$O$19:$O$55</definedName>
    <definedName name="_xlnm._FilterDatabase" localSheetId="6" hidden="1">BP_Data!$A$3:$M$3</definedName>
    <definedName name="_xlnm._FilterDatabase" localSheetId="9" hidden="1">Sheet3!$B$5:$E$16</definedName>
    <definedName name="_xlnm._FilterDatabase" localSheetId="3" hidden="1">Sheet4!$C$5:$C$13</definedName>
    <definedName name="_fInt">_xlfn.LAMBDA(_xlpm.x,_xlpm.xdat,_xlpm.ydat,      _xlfn.LET(          _xlpm.xmin, _xlfn.XLOOKUP(_xlpm.x,_xlpm.xdat,_xlpm.xdat,,-1),          _xlpm.xmax, _xlfn.XLOOKUP(_xlpm.x,_xlpm.xdat,_xlpm.xdat,,1),          _xlpm.ymin, _xlfn.XLOOKUP(_xlpm.x,_xlpm.xdat,_xlpm.ydat,,-1),          _xlpm.ymax, _xlfn.XLOOKUP(_xlpm.x,_xlpm.xdat,_xlpm.ydat,,1),          IF(_xlpm.xmin=_xlpm.xmax,_xlpm.ymin,                      (_xlpm.ymin*(_xlpm.xmax-_xlpm.x)+_xlpm.ymax*(_xlpm.x-_xlpm.xmin))/(_xlpm.xmax-_xlpm.xmin))      ) )</definedName>
    <definedName name="_L">RAOBF!$C$4</definedName>
    <definedName name="_nHd" localSheetId="1">'2026'!$C$4:$K$4</definedName>
    <definedName name="_nHd">'2025'!$C$9:$K$9</definedName>
    <definedName name="_nYpSKnot">0.562603</definedName>
    <definedName name="_R">RAOBF!$C$3</definedName>
    <definedName name="_rpt" localSheetId="1">_xlfn.DROP(_xlfn._TRO_ALL('2026'!$O:$X),1)</definedName>
    <definedName name="_Theta">RAOBF!$C$10</definedName>
    <definedName name="_v">RAOBF!$C$5</definedName>
    <definedName name="_vSub">RAOBF!$C$6</definedName>
    <definedName name="_vyps">RAOBF!$C$13</definedName>
    <definedName name="_xleta.COUNTA" hidden="1" xlm="1">#NAME?</definedName>
    <definedName name="_xleta.SUM" hidden="1" xlm="1">#NAME?</definedName>
    <definedName name="_xleta.WEEKNUM" hidden="1" xlm="1">#NAME?</definedName>
    <definedName name="_xlpm.d" hidden="1" xlm="1">#NAME?</definedName>
    <definedName name="_xlpm.dt" hidden="1" xlm="1">#NAME?</definedName>
    <definedName name="_xlpm.m" hidden="1" xlm="1">#NAME?</definedName>
    <definedName name="_xlpm.x" hidden="1" xlm="1">#NAME?</definedName>
    <definedName name="_xlpm.xdat" hidden="1" xlm="1">#NAME?</definedName>
    <definedName name="_xlpm.xmax" hidden="1" xlm="1">#NAME?</definedName>
    <definedName name="_xlpm.xmin" hidden="1" xlm="1">#NAME?</definedName>
    <definedName name="_xlpm.y" hidden="1" xlm="1">#NAME?</definedName>
    <definedName name="_xlpm.ydat" hidden="1" xlm="1">#NAME?</definedName>
    <definedName name="_xlpm.ymax" hidden="1" xlm="1">#NAME?</definedName>
    <definedName name="_xlpm.ymin" hidden="1" xlm="1">#NAME?</definedName>
    <definedName name="_xShip">RAOBF!$C$8</definedName>
    <definedName name="_yL">RAOBF!$C$11</definedName>
    <definedName name="_yShip">RAOBF!$C$9</definedName>
    <definedName name="Banded" localSheetId="1">_xlfn.DROP(_xlfn.TRIMRANGE('2026'!$B:$K),1)</definedName>
    <definedName name="Banded">_xlfn.DROP(_xlfn.TRIMRANGE('2025'!$B:$K),1)</definedName>
    <definedName name="Banded2" localSheetId="1">_xlfn._TRO_ALL('2026'!$O:$X)</definedName>
    <definedName name="Banded2">_xlfn._TRO_ALL('2025'!$O:$X)</definedName>
    <definedName name="data" localSheetId="1">'2026'!$L$5</definedName>
    <definedName name="data">_xlfn.DROP(Banded,11,1)</definedName>
    <definedName name="Dynamic" localSheetId="1">_xlfn.VSTACK('2026'!$O$4:$X$4,'2026'!Banded2)</definedName>
    <definedName name="Dynamic">_xlfn.VSTACK('2025'!$O$9:$X$9,Banded2)</definedName>
    <definedName name="fmt" localSheetId="0">_xlfn.DROP(_xlfn._TRO_ALL('2025'!$C:$K),12)</definedName>
    <definedName name="fmt" localSheetId="1">_xlfn.DROP(_xlfn._TRO_ALL('2026'!$C:$K),12)</definedName>
    <definedName name="HD_Date">_xlfn.LET(_xlpm.dt, TODAY(),      _xlpm.y,  YEAR(_xlpm.dt),      _xlpm.m,  MONTH(_xlpm.dt),      _xlpm.d,  DAY(_xlpm.dt),      TEXT(DATE(_xlpm.y,_xlpm.m,_xlpm.d),"dd-mmm-yyyy")     )</definedName>
    <definedName name="ix" localSheetId="1">_xlfn.DROP(_xlfn._TRO_ALL('2026'!$L:$L),1)</definedName>
    <definedName name="ix">_xlfn.DROP(_xlfn._TRO_ALL('2025'!$L:$L),0)</definedName>
    <definedName name="_xlnm.Print_Area" localSheetId="0">_xlfn.DROP(_xlfn._TRO_ALL('2025'!$B:$K),1)</definedName>
    <definedName name="_xlnm.Print_Area" localSheetId="1">_xlfn.DROP(_xlfn._TRO_ALL('2026'!$B:$K),1)</definedName>
    <definedName name="_xlnm.Print_Area" localSheetId="2">_xlfn.DROP(_xlfn.TRIMRANGE(LongTermTraining!$D:$Y),1)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A9" i="3" l="1" a="1"/>
  <c r="H36" i="6" a="1"/>
  <c r="H36" i="6" s="1"/>
  <c r="B5" i="11" a="1"/>
  <c r="M5" i="11" a="1"/>
  <c r="P4" i="11" a="1"/>
  <c r="P4" i="11" s="1"/>
  <c r="K12" i="9" a="1"/>
  <c r="K12" i="9" s="1"/>
  <c r="L12" i="9" a="1"/>
  <c r="L12" i="9" s="1"/>
  <c r="K11" i="9" a="1"/>
  <c r="K11" i="9" s="1"/>
  <c r="L11" i="9" a="1"/>
  <c r="L11" i="9" s="1"/>
  <c r="K7" i="9" a="1"/>
  <c r="K7" i="9" s="1"/>
  <c r="L7" i="9" a="1"/>
  <c r="L7" i="9" s="1"/>
  <c r="K9" i="9" a="1"/>
  <c r="K9" i="9" s="1"/>
  <c r="L9" i="9" a="1"/>
  <c r="L9" i="9" s="1"/>
  <c r="K5" i="9" a="1"/>
  <c r="K5" i="9" s="1"/>
  <c r="L5" i="9" a="1"/>
  <c r="L5" i="9" s="1"/>
  <c r="L4" i="9" a="1"/>
  <c r="L4" i="9" s="1"/>
  <c r="L6" i="9" a="1"/>
  <c r="L6" i="9" s="1"/>
  <c r="L10" i="9" a="1"/>
  <c r="L10" i="9" s="1"/>
  <c r="L8" i="9" a="1"/>
  <c r="L8" i="9" s="1"/>
  <c r="K10" i="9" a="1"/>
  <c r="K10" i="9" s="1"/>
  <c r="K4" i="9" a="1"/>
  <c r="K4" i="9" s="1"/>
  <c r="K6" i="9" a="1"/>
  <c r="K6" i="9" s="1"/>
  <c r="K8" i="9" a="1"/>
  <c r="K8" i="9" s="1"/>
  <c r="I32" i="8"/>
  <c r="S26" i="8"/>
  <c r="C10" i="8"/>
  <c r="I25" i="8"/>
  <c r="I24" i="8"/>
  <c r="K27" i="8" s="1"/>
  <c r="E17" i="8"/>
  <c r="H19" i="8"/>
  <c r="F3" i="8"/>
  <c r="F10" i="8"/>
  <c r="F2" i="8"/>
  <c r="F5" i="8"/>
  <c r="C8" i="8"/>
  <c r="C9" i="8"/>
  <c r="E18" i="8"/>
  <c r="E19" i="8"/>
  <c r="E20" i="8"/>
  <c r="E21" i="8"/>
  <c r="E22" i="8"/>
  <c r="E23" i="8"/>
  <c r="E24" i="8"/>
  <c r="E25" i="8"/>
  <c r="E26" i="8"/>
  <c r="E27" i="8"/>
  <c r="E28" i="8"/>
  <c r="E29" i="8"/>
  <c r="E30" i="8"/>
  <c r="E31" i="8"/>
  <c r="E32" i="8"/>
  <c r="E33" i="8"/>
  <c r="E34" i="8"/>
  <c r="E35" i="8"/>
  <c r="E36" i="8"/>
  <c r="E37" i="8"/>
  <c r="E38" i="8"/>
  <c r="E39" i="8"/>
  <c r="E40" i="8"/>
  <c r="E41" i="8"/>
  <c r="E42" i="8"/>
  <c r="E43" i="8"/>
  <c r="E44" i="8"/>
  <c r="E45" i="8"/>
  <c r="E46" i="8"/>
  <c r="E47" i="8"/>
  <c r="E48" i="8"/>
  <c r="E49" i="8"/>
  <c r="E50" i="8"/>
  <c r="E51" i="8"/>
  <c r="E52" i="8"/>
  <c r="E53" i="8"/>
  <c r="E54" i="8"/>
  <c r="E55" i="8"/>
  <c r="E56" i="8"/>
  <c r="E57" i="8"/>
  <c r="E58" i="8"/>
  <c r="E59" i="8"/>
  <c r="E60" i="8"/>
  <c r="E61" i="8"/>
  <c r="E62" i="8"/>
  <c r="E63" i="8"/>
  <c r="E64" i="8"/>
  <c r="E65" i="8"/>
  <c r="E66" i="8"/>
  <c r="E67" i="8"/>
  <c r="E68" i="8"/>
  <c r="E69" i="8"/>
  <c r="E70" i="8"/>
  <c r="E71" i="8"/>
  <c r="E72" i="8"/>
  <c r="E73" i="8"/>
  <c r="E74" i="8"/>
  <c r="E75" i="8"/>
  <c r="E76" i="8"/>
  <c r="E77" i="8"/>
  <c r="E78" i="8"/>
  <c r="E79" i="8"/>
  <c r="E80" i="8"/>
  <c r="E81" i="8"/>
  <c r="E82" i="8"/>
  <c r="E83" i="8"/>
  <c r="E84" i="8"/>
  <c r="E85" i="8"/>
  <c r="E86" i="8"/>
  <c r="E87" i="8"/>
  <c r="E88" i="8"/>
  <c r="E89" i="8"/>
  <c r="E90" i="8"/>
  <c r="E91" i="8"/>
  <c r="E92" i="8"/>
  <c r="E93" i="8"/>
  <c r="E94" i="8"/>
  <c r="E95" i="8"/>
  <c r="E96" i="8"/>
  <c r="E97" i="8"/>
  <c r="E98" i="8"/>
  <c r="E99" i="8"/>
  <c r="E100" i="8"/>
  <c r="E101" i="8"/>
  <c r="E102" i="8"/>
  <c r="E103" i="8"/>
  <c r="E104" i="8"/>
  <c r="E105" i="8"/>
  <c r="E106" i="8"/>
  <c r="E107" i="8"/>
  <c r="E108" i="8"/>
  <c r="E109" i="8"/>
  <c r="E110" i="8"/>
  <c r="E111" i="8"/>
  <c r="E112" i="8"/>
  <c r="E113" i="8"/>
  <c r="E114" i="8"/>
  <c r="E115" i="8"/>
  <c r="E116" i="8"/>
  <c r="E117" i="8"/>
  <c r="E118" i="8"/>
  <c r="E119" i="8"/>
  <c r="E120" i="8"/>
  <c r="E121" i="8"/>
  <c r="E122" i="8"/>
  <c r="E123" i="8"/>
  <c r="E124" i="8"/>
  <c r="E125" i="8"/>
  <c r="E126" i="8"/>
  <c r="E127" i="8"/>
  <c r="E128" i="8"/>
  <c r="E129" i="8"/>
  <c r="E130" i="8"/>
  <c r="E131" i="8"/>
  <c r="E132" i="8"/>
  <c r="E133" i="8"/>
  <c r="E134" i="8"/>
  <c r="E135" i="8"/>
  <c r="E136" i="8"/>
  <c r="E137" i="8"/>
  <c r="E138" i="8"/>
  <c r="E139" i="8"/>
  <c r="E140" i="8"/>
  <c r="E141" i="8"/>
  <c r="E142" i="8"/>
  <c r="E143" i="8"/>
  <c r="E144" i="8"/>
  <c r="E145" i="8"/>
  <c r="E146" i="8"/>
  <c r="E147" i="8"/>
  <c r="E148" i="8"/>
  <c r="E149" i="8"/>
  <c r="E150" i="8"/>
  <c r="E151" i="8"/>
  <c r="E152" i="8"/>
  <c r="E153" i="8"/>
  <c r="E154" i="8"/>
  <c r="E155" i="8"/>
  <c r="E156" i="8"/>
  <c r="E157" i="8"/>
  <c r="E158" i="8"/>
  <c r="E159" i="8"/>
  <c r="E160" i="8"/>
  <c r="E161" i="8"/>
  <c r="E162" i="8"/>
  <c r="E163" i="8"/>
  <c r="E164" i="8"/>
  <c r="E165" i="8"/>
  <c r="E166" i="8"/>
  <c r="E167" i="8"/>
  <c r="E168" i="8"/>
  <c r="E169" i="8"/>
  <c r="E170" i="8"/>
  <c r="E171" i="8"/>
  <c r="E172" i="8"/>
  <c r="E173" i="8"/>
  <c r="E174" i="8"/>
  <c r="E175" i="8"/>
  <c r="E176" i="8"/>
  <c r="E177" i="8"/>
  <c r="E178" i="8"/>
  <c r="E179" i="8"/>
  <c r="E180" i="8"/>
  <c r="E181" i="8"/>
  <c r="E182" i="8"/>
  <c r="E183" i="8"/>
  <c r="E184" i="8"/>
  <c r="E185" i="8"/>
  <c r="E186" i="8"/>
  <c r="E187" i="8"/>
  <c r="E188" i="8"/>
  <c r="E189" i="8"/>
  <c r="E190" i="8"/>
  <c r="E191" i="8"/>
  <c r="E192" i="8"/>
  <c r="E193" i="8"/>
  <c r="E194" i="8"/>
  <c r="E195" i="8"/>
  <c r="E196" i="8"/>
  <c r="E197" i="8"/>
  <c r="E198" i="8"/>
  <c r="E199" i="8"/>
  <c r="E200" i="8"/>
  <c r="E201" i="8"/>
  <c r="E202" i="8"/>
  <c r="E203" i="8"/>
  <c r="E204" i="8"/>
  <c r="E205" i="8"/>
  <c r="E206" i="8"/>
  <c r="E207" i="8"/>
  <c r="E208" i="8"/>
  <c r="E209" i="8"/>
  <c r="E210" i="8"/>
  <c r="E211" i="8"/>
  <c r="E212" i="8"/>
  <c r="E213" i="8"/>
  <c r="E214" i="8"/>
  <c r="E215" i="8"/>
  <c r="E216" i="8"/>
  <c r="C13" i="8"/>
  <c r="B17" i="8" a="1"/>
  <c r="B17" i="8" s="1"/>
  <c r="W22" i="7"/>
  <c r="X22" i="7"/>
  <c r="Y22" i="7"/>
  <c r="Z22" i="7"/>
  <c r="AA22" i="7"/>
  <c r="AB22" i="7"/>
  <c r="W23" i="7"/>
  <c r="X23" i="7"/>
  <c r="Y23" i="7"/>
  <c r="Z23" i="7"/>
  <c r="AA23" i="7"/>
  <c r="AB23" i="7"/>
  <c r="W24" i="7"/>
  <c r="X24" i="7"/>
  <c r="Y24" i="7"/>
  <c r="Z24" i="7"/>
  <c r="AA24" i="7"/>
  <c r="AB24" i="7"/>
  <c r="W25" i="7"/>
  <c r="X25" i="7"/>
  <c r="Y25" i="7"/>
  <c r="Z25" i="7"/>
  <c r="AA25" i="7"/>
  <c r="AB25" i="7"/>
  <c r="W26" i="7"/>
  <c r="X26" i="7"/>
  <c r="Y26" i="7"/>
  <c r="Z26" i="7"/>
  <c r="AA26" i="7"/>
  <c r="AB26" i="7"/>
  <c r="W27" i="7"/>
  <c r="X27" i="7"/>
  <c r="Y27" i="7"/>
  <c r="Z27" i="7"/>
  <c r="AA27" i="7"/>
  <c r="AB27" i="7"/>
  <c r="W28" i="7"/>
  <c r="X28" i="7"/>
  <c r="Y28" i="7"/>
  <c r="Z28" i="7"/>
  <c r="AA28" i="7"/>
  <c r="AB28" i="7"/>
  <c r="W29" i="7"/>
  <c r="X29" i="7"/>
  <c r="Y29" i="7"/>
  <c r="Z29" i="7"/>
  <c r="AA29" i="7"/>
  <c r="AB29" i="7"/>
  <c r="W30" i="7"/>
  <c r="X30" i="7"/>
  <c r="Y30" i="7"/>
  <c r="Z30" i="7"/>
  <c r="AA30" i="7"/>
  <c r="AB30" i="7"/>
  <c r="W31" i="7"/>
  <c r="X31" i="7"/>
  <c r="Y31" i="7"/>
  <c r="Z31" i="7"/>
  <c r="AA31" i="7"/>
  <c r="AB31" i="7"/>
  <c r="V23" i="7"/>
  <c r="V24" i="7"/>
  <c r="V25" i="7"/>
  <c r="V26" i="7"/>
  <c r="V27" i="7"/>
  <c r="V28" i="7"/>
  <c r="V29" i="7"/>
  <c r="V30" i="7"/>
  <c r="V31" i="7"/>
  <c r="V22" i="7"/>
  <c r="U22" i="7" a="1"/>
  <c r="U22" i="7" s="1"/>
  <c r="U21" i="7" a="1"/>
  <c r="U21" i="7" s="1"/>
  <c r="B3" i="7" a="1"/>
  <c r="B3" i="7" s="1"/>
  <c r="H3" i="6"/>
  <c r="M3" i="6" a="1"/>
  <c r="M3" i="6" s="1"/>
  <c r="P60" i="5"/>
  <c r="P58" i="5"/>
  <c r="O60" i="5"/>
  <c r="O58" i="5"/>
  <c r="N58" i="5"/>
  <c r="J59" i="5" a="1"/>
  <c r="J44" i="5" a="1"/>
  <c r="B3" i="5" a="1"/>
  <c r="B3" i="5" s="1"/>
  <c r="P9" i="1" a="1"/>
  <c r="D9" i="3" a="1"/>
  <c r="M10" i="1" a="1"/>
  <c r="AA9" i="3" l="1"/>
  <c r="B5" i="11"/>
  <c r="L5" i="11" a="1"/>
  <c r="M5" i="11"/>
  <c r="I26" i="8"/>
  <c r="I30" i="8" s="1"/>
  <c r="P9" i="1"/>
  <c r="F8" i="8"/>
  <c r="C12" i="8"/>
  <c r="C11" i="8"/>
  <c r="J59" i="5"/>
  <c r="K59" i="5" a="1"/>
  <c r="J44" i="5"/>
  <c r="K44" i="5" a="1"/>
  <c r="D9" i="3"/>
  <c r="M10" i="1"/>
  <c r="L5" i="11" l="1"/>
  <c r="O5" i="11" s="1" a="1"/>
  <c r="C191" i="8"/>
  <c r="C210" i="8"/>
  <c r="C211" i="8"/>
  <c r="C149" i="8"/>
  <c r="C208" i="8"/>
  <c r="C212" i="8"/>
  <c r="D104" i="8"/>
  <c r="F12" i="8"/>
  <c r="C216" i="8"/>
  <c r="C194" i="8"/>
  <c r="C88" i="8"/>
  <c r="C140" i="8"/>
  <c r="C213" i="8"/>
  <c r="C61" i="8"/>
  <c r="C94" i="8"/>
  <c r="C105" i="8"/>
  <c r="C84" i="8"/>
  <c r="C179" i="8"/>
  <c r="C142" i="8"/>
  <c r="C101" i="8"/>
  <c r="C193" i="8"/>
  <c r="C181" i="8"/>
  <c r="C99" i="8"/>
  <c r="C148" i="8"/>
  <c r="C204" i="8"/>
  <c r="C90" i="8"/>
  <c r="C189" i="8"/>
  <c r="C93" i="8"/>
  <c r="C150" i="8"/>
  <c r="C177" i="8"/>
  <c r="C180" i="8"/>
  <c r="C186" i="8"/>
  <c r="C206" i="8"/>
  <c r="C95" i="8"/>
  <c r="C97" i="8"/>
  <c r="C92" i="8"/>
  <c r="C100" i="8"/>
  <c r="C102" i="8"/>
  <c r="C104" i="8"/>
  <c r="C106" i="8"/>
  <c r="C139" i="8"/>
  <c r="C207" i="8"/>
  <c r="D182" i="8"/>
  <c r="D191" i="8"/>
  <c r="D200" i="8"/>
  <c r="D210" i="8"/>
  <c r="D214" i="8"/>
  <c r="D206" i="8"/>
  <c r="D215" i="8"/>
  <c r="D216" i="8"/>
  <c r="D202" i="8"/>
  <c r="D203" i="8"/>
  <c r="D188" i="8"/>
  <c r="C83" i="8"/>
  <c r="C85" i="8"/>
  <c r="C87" i="8"/>
  <c r="C89" i="8"/>
  <c r="C91" i="8"/>
  <c r="C143" i="8"/>
  <c r="C145" i="8"/>
  <c r="C64" i="8"/>
  <c r="C65" i="8"/>
  <c r="C66" i="8"/>
  <c r="C103" i="8"/>
  <c r="C55" i="8"/>
  <c r="C56" i="8"/>
  <c r="C57" i="8"/>
  <c r="C59" i="8"/>
  <c r="D135" i="8"/>
  <c r="D140" i="8"/>
  <c r="D147" i="8"/>
  <c r="D212" i="8"/>
  <c r="D17" i="8"/>
  <c r="C50" i="8"/>
  <c r="C51" i="8"/>
  <c r="C52" i="8"/>
  <c r="C53" i="8"/>
  <c r="C58" i="8"/>
  <c r="C60" i="8"/>
  <c r="C215" i="8"/>
  <c r="C62" i="8"/>
  <c r="C63" i="8"/>
  <c r="C152" i="8"/>
  <c r="C185" i="8"/>
  <c r="D60" i="8"/>
  <c r="D94" i="8"/>
  <c r="D96" i="8"/>
  <c r="D99" i="8"/>
  <c r="D102" i="8"/>
  <c r="D105" i="8"/>
  <c r="D62" i="8"/>
  <c r="D63" i="8"/>
  <c r="D64" i="8"/>
  <c r="D65" i="8"/>
  <c r="D207" i="8"/>
  <c r="D66" i="8"/>
  <c r="C18" i="8"/>
  <c r="C40" i="8"/>
  <c r="C19" i="8"/>
  <c r="C116" i="8"/>
  <c r="C20" i="8"/>
  <c r="C41" i="8"/>
  <c r="C21" i="8"/>
  <c r="C117" i="8"/>
  <c r="C22" i="8"/>
  <c r="C42" i="8"/>
  <c r="C23" i="8"/>
  <c r="C118" i="8"/>
  <c r="C24" i="8"/>
  <c r="C46" i="8"/>
  <c r="C25" i="8"/>
  <c r="C119" i="8"/>
  <c r="C26" i="8"/>
  <c r="C47" i="8"/>
  <c r="C27" i="8"/>
  <c r="C28" i="8"/>
  <c r="C120" i="8"/>
  <c r="C29" i="8"/>
  <c r="C48" i="8"/>
  <c r="C30" i="8"/>
  <c r="C121" i="8"/>
  <c r="C49" i="8"/>
  <c r="C122" i="8"/>
  <c r="C34" i="8"/>
  <c r="C35" i="8"/>
  <c r="C36" i="8"/>
  <c r="C37" i="8"/>
  <c r="C38" i="8"/>
  <c r="C54" i="8"/>
  <c r="C123" i="8"/>
  <c r="C43" i="8"/>
  <c r="C124" i="8"/>
  <c r="C153" i="8"/>
  <c r="C44" i="8"/>
  <c r="C45" i="8"/>
  <c r="C154" i="8"/>
  <c r="C156" i="8"/>
  <c r="C161" i="8"/>
  <c r="C125" i="8"/>
  <c r="C126" i="8"/>
  <c r="C127" i="8"/>
  <c r="C128" i="8"/>
  <c r="C129" i="8"/>
  <c r="C67" i="8"/>
  <c r="C130" i="8"/>
  <c r="C68" i="8"/>
  <c r="C131" i="8"/>
  <c r="C69" i="8"/>
  <c r="C132" i="8"/>
  <c r="C70" i="8"/>
  <c r="C133" i="8"/>
  <c r="C71" i="8"/>
  <c r="C134" i="8"/>
  <c r="C72" i="8"/>
  <c r="C136" i="8"/>
  <c r="C73" i="8"/>
  <c r="C138" i="8"/>
  <c r="C74" i="8"/>
  <c r="C141" i="8"/>
  <c r="C75" i="8"/>
  <c r="C178" i="8"/>
  <c r="C76" i="8"/>
  <c r="C182" i="8"/>
  <c r="C77" i="8"/>
  <c r="C155" i="8"/>
  <c r="C78" i="8"/>
  <c r="C158" i="8"/>
  <c r="C79" i="8"/>
  <c r="C174" i="8"/>
  <c r="C80" i="8"/>
  <c r="C190" i="8"/>
  <c r="C17" i="8"/>
  <c r="C151" i="8"/>
  <c r="C163" i="8"/>
  <c r="C147" i="8"/>
  <c r="C164" i="8"/>
  <c r="C184" i="8"/>
  <c r="C187" i="8"/>
  <c r="C165" i="8"/>
  <c r="C107" i="8"/>
  <c r="C108" i="8"/>
  <c r="C109" i="8"/>
  <c r="C166" i="8"/>
  <c r="C167" i="8"/>
  <c r="C168" i="8"/>
  <c r="C169" i="8"/>
  <c r="C160" i="8"/>
  <c r="C162" i="8"/>
  <c r="C175" i="8"/>
  <c r="C170" i="8"/>
  <c r="C171" i="8"/>
  <c r="C172" i="8"/>
  <c r="C173" i="8"/>
  <c r="C81" i="8"/>
  <c r="C192" i="8"/>
  <c r="C82" i="8"/>
  <c r="C205" i="8"/>
  <c r="C86" i="8"/>
  <c r="C214" i="8"/>
  <c r="C195" i="8"/>
  <c r="C96" i="8"/>
  <c r="C98" i="8"/>
  <c r="C196" i="8"/>
  <c r="C197" i="8"/>
  <c r="C176" i="8"/>
  <c r="C198" i="8"/>
  <c r="C201" i="8"/>
  <c r="C199" i="8"/>
  <c r="C200" i="8"/>
  <c r="C135" i="8"/>
  <c r="C137" i="8"/>
  <c r="C157" i="8"/>
  <c r="C159" i="8"/>
  <c r="C144" i="8"/>
  <c r="C146" i="8"/>
  <c r="C183" i="8"/>
  <c r="C188" i="8"/>
  <c r="C202" i="8"/>
  <c r="C203" i="8"/>
  <c r="C110" i="8"/>
  <c r="C209" i="8"/>
  <c r="C111" i="8"/>
  <c r="C31" i="8"/>
  <c r="C112" i="8"/>
  <c r="C32" i="8"/>
  <c r="C113" i="8"/>
  <c r="C33" i="8"/>
  <c r="C114" i="8"/>
  <c r="C39" i="8"/>
  <c r="C115" i="8"/>
  <c r="D18" i="8"/>
  <c r="D19" i="8"/>
  <c r="D20" i="8"/>
  <c r="D21" i="8"/>
  <c r="D22" i="8"/>
  <c r="D23" i="8"/>
  <c r="D24" i="8"/>
  <c r="D25" i="8"/>
  <c r="D26" i="8"/>
  <c r="D28" i="8"/>
  <c r="D29" i="8"/>
  <c r="D30" i="8"/>
  <c r="D31" i="8"/>
  <c r="D32" i="8"/>
  <c r="D38" i="8"/>
  <c r="D39" i="8"/>
  <c r="D41" i="8"/>
  <c r="D42" i="8"/>
  <c r="D43" i="8"/>
  <c r="D46" i="8"/>
  <c r="D47" i="8"/>
  <c r="D48" i="8"/>
  <c r="D54" i="8"/>
  <c r="D55" i="8"/>
  <c r="D56" i="8"/>
  <c r="D58" i="8"/>
  <c r="D59" i="8"/>
  <c r="D67" i="8"/>
  <c r="D68" i="8"/>
  <c r="D69" i="8"/>
  <c r="D70" i="8"/>
  <c r="D71" i="8"/>
  <c r="D72" i="8"/>
  <c r="D73" i="8"/>
  <c r="D74" i="8"/>
  <c r="D75" i="8"/>
  <c r="D76" i="8"/>
  <c r="D77" i="8"/>
  <c r="D78" i="8"/>
  <c r="D79" i="8"/>
  <c r="D80" i="8"/>
  <c r="D100" i="8"/>
  <c r="D136" i="8"/>
  <c r="D142" i="8"/>
  <c r="D179" i="8"/>
  <c r="D208" i="8"/>
  <c r="D154" i="8"/>
  <c r="D155" i="8"/>
  <c r="D157" i="8"/>
  <c r="D159" i="8"/>
  <c r="D40" i="8"/>
  <c r="D92" i="8"/>
  <c r="D205" i="8"/>
  <c r="D90" i="8"/>
  <c r="D81" i="8"/>
  <c r="D83" i="8"/>
  <c r="D88" i="8"/>
  <c r="D91" i="8"/>
  <c r="D103" i="8"/>
  <c r="D138" i="8"/>
  <c r="D181" i="8"/>
  <c r="D106" i="8"/>
  <c r="D107" i="8"/>
  <c r="D108" i="8"/>
  <c r="D109" i="8"/>
  <c r="D161" i="8"/>
  <c r="D174" i="8"/>
  <c r="D93" i="8"/>
  <c r="D180" i="8"/>
  <c r="D87" i="8"/>
  <c r="D178" i="8"/>
  <c r="D110" i="8"/>
  <c r="D111" i="8"/>
  <c r="D112" i="8"/>
  <c r="D113" i="8"/>
  <c r="D114" i="8"/>
  <c r="D115" i="8"/>
  <c r="D116" i="8"/>
  <c r="D117" i="8"/>
  <c r="D118" i="8"/>
  <c r="D119" i="8"/>
  <c r="D120" i="8"/>
  <c r="D121" i="8"/>
  <c r="D122" i="8"/>
  <c r="D123" i="8"/>
  <c r="D169" i="8"/>
  <c r="D143" i="8"/>
  <c r="D170" i="8"/>
  <c r="D146" i="8"/>
  <c r="D171" i="8"/>
  <c r="D148" i="8"/>
  <c r="D172" i="8"/>
  <c r="D128" i="8"/>
  <c r="D173" i="8"/>
  <c r="D175" i="8"/>
  <c r="D82" i="8"/>
  <c r="D134" i="8"/>
  <c r="D185" i="8"/>
  <c r="D61" i="8"/>
  <c r="D152" i="8"/>
  <c r="D211" i="8"/>
  <c r="D153" i="8"/>
  <c r="D129" i="8"/>
  <c r="D195" i="8"/>
  <c r="D156" i="8"/>
  <c r="D196" i="8"/>
  <c r="D124" i="8"/>
  <c r="D197" i="8"/>
  <c r="D160" i="8"/>
  <c r="D198" i="8"/>
  <c r="D130" i="8"/>
  <c r="D199" i="8"/>
  <c r="D187" i="8"/>
  <c r="D209" i="8"/>
  <c r="D213" i="8"/>
  <c r="D86" i="8"/>
  <c r="D85" i="8"/>
  <c r="D97" i="8"/>
  <c r="D183" i="8"/>
  <c r="D84" i="8"/>
  <c r="D95" i="8"/>
  <c r="D137" i="8"/>
  <c r="D139" i="8"/>
  <c r="D141" i="8"/>
  <c r="D184" i="8"/>
  <c r="D186" i="8"/>
  <c r="D149" i="8"/>
  <c r="D176" i="8"/>
  <c r="D158" i="8"/>
  <c r="D201" i="8"/>
  <c r="D189" i="8"/>
  <c r="D190" i="8"/>
  <c r="D192" i="8"/>
  <c r="D194" i="8"/>
  <c r="D131" i="8"/>
  <c r="D125" i="8"/>
  <c r="D151" i="8"/>
  <c r="D27" i="8"/>
  <c r="D132" i="8"/>
  <c r="D163" i="8"/>
  <c r="D162" i="8"/>
  <c r="D33" i="8"/>
  <c r="D34" i="8"/>
  <c r="D35" i="8"/>
  <c r="D36" i="8"/>
  <c r="D37" i="8"/>
  <c r="D164" i="8"/>
  <c r="D133" i="8"/>
  <c r="D165" i="8"/>
  <c r="D126" i="8"/>
  <c r="D44" i="8"/>
  <c r="D45" i="8"/>
  <c r="D166" i="8"/>
  <c r="D177" i="8"/>
  <c r="D167" i="8"/>
  <c r="D127" i="8"/>
  <c r="D49" i="8"/>
  <c r="D50" i="8"/>
  <c r="D51" i="8"/>
  <c r="D168" i="8"/>
  <c r="D150" i="8"/>
  <c r="D53" i="8"/>
  <c r="D98" i="8"/>
  <c r="D145" i="8"/>
  <c r="D193" i="8"/>
  <c r="D89" i="8"/>
  <c r="D52" i="8"/>
  <c r="D57" i="8"/>
  <c r="D144" i="8"/>
  <c r="D101" i="8"/>
  <c r="D204" i="8"/>
  <c r="K59" i="5"/>
  <c r="K44" i="5"/>
  <c r="O10" i="1" a="1"/>
  <c r="O5" i="11" l="1"/>
  <c r="F17" i="8"/>
  <c r="F68" i="8"/>
  <c r="F132" i="8"/>
  <c r="F34" i="8"/>
  <c r="F35" i="8"/>
  <c r="F36" i="8"/>
  <c r="F37" i="8"/>
  <c r="F43" i="8"/>
  <c r="F153" i="8"/>
  <c r="F46" i="8"/>
  <c r="F54" i="8"/>
  <c r="F42" i="8"/>
  <c r="F67" i="8"/>
  <c r="F134" i="8"/>
  <c r="F128" i="8"/>
  <c r="F48" i="8"/>
  <c r="F151" i="8"/>
  <c r="F163" i="8"/>
  <c r="F104" i="8"/>
  <c r="F27" i="8"/>
  <c r="F185" i="8"/>
  <c r="F69" i="8"/>
  <c r="F47" i="8"/>
  <c r="F50" i="8"/>
  <c r="F59" i="8"/>
  <c r="F26" i="8"/>
  <c r="F28" i="8"/>
  <c r="F161" i="8"/>
  <c r="F72" i="8"/>
  <c r="F136" i="8"/>
  <c r="F73" i="8"/>
  <c r="F215" i="8"/>
  <c r="F45" i="8"/>
  <c r="F154" i="8"/>
  <c r="F156" i="8"/>
  <c r="F125" i="8"/>
  <c r="F126" i="8"/>
  <c r="F127" i="8"/>
  <c r="F131" i="8"/>
  <c r="F162" i="8"/>
  <c r="F139" i="8"/>
  <c r="F44" i="8"/>
  <c r="F70" i="8"/>
  <c r="F71" i="8"/>
  <c r="F182" i="8"/>
  <c r="F188" i="8"/>
  <c r="F177" i="8"/>
  <c r="F55" i="8"/>
  <c r="F58" i="8"/>
  <c r="F95" i="8"/>
  <c r="F100" i="8"/>
  <c r="F106" i="8"/>
  <c r="F56" i="8"/>
  <c r="F152" i="8"/>
  <c r="F200" i="8"/>
  <c r="F124" i="8"/>
  <c r="F129" i="8"/>
  <c r="F181" i="8"/>
  <c r="F83" i="8"/>
  <c r="F91" i="8"/>
  <c r="F103" i="8"/>
  <c r="F97" i="8"/>
  <c r="F92" i="8"/>
  <c r="F133" i="8"/>
  <c r="F174" i="8"/>
  <c r="F164" i="8"/>
  <c r="F198" i="8"/>
  <c r="F199" i="8"/>
  <c r="F183" i="8"/>
  <c r="F82" i="8"/>
  <c r="F25" i="8"/>
  <c r="F38" i="8"/>
  <c r="F130" i="8"/>
  <c r="F196" i="8"/>
  <c r="F197" i="8"/>
  <c r="F135" i="8"/>
  <c r="F33" i="8"/>
  <c r="F39" i="8"/>
  <c r="F216" i="8"/>
  <c r="F88" i="8"/>
  <c r="F61" i="8"/>
  <c r="F93" i="8"/>
  <c r="F180" i="8"/>
  <c r="F206" i="8"/>
  <c r="F66" i="8"/>
  <c r="F41" i="8"/>
  <c r="F213" i="8"/>
  <c r="F105" i="8"/>
  <c r="F142" i="8"/>
  <c r="F193" i="8"/>
  <c r="F148" i="8"/>
  <c r="F90" i="8"/>
  <c r="F207" i="8"/>
  <c r="F85" i="8"/>
  <c r="F87" i="8"/>
  <c r="F89" i="8"/>
  <c r="F143" i="8"/>
  <c r="F145" i="8"/>
  <c r="F64" i="8"/>
  <c r="F65" i="8"/>
  <c r="F57" i="8"/>
  <c r="F51" i="8"/>
  <c r="F52" i="8"/>
  <c r="F53" i="8"/>
  <c r="F60" i="8"/>
  <c r="F63" i="8"/>
  <c r="F62" i="8"/>
  <c r="F18" i="8"/>
  <c r="F40" i="8"/>
  <c r="F19" i="8"/>
  <c r="F116" i="8"/>
  <c r="F20" i="8"/>
  <c r="F21" i="8"/>
  <c r="F117" i="8"/>
  <c r="F22" i="8"/>
  <c r="F23" i="8"/>
  <c r="F118" i="8"/>
  <c r="F24" i="8"/>
  <c r="F119" i="8"/>
  <c r="F123" i="8"/>
  <c r="F120" i="8"/>
  <c r="F29" i="8"/>
  <c r="F30" i="8"/>
  <c r="F121" i="8"/>
  <c r="F49" i="8"/>
  <c r="F122" i="8"/>
  <c r="F138" i="8"/>
  <c r="F74" i="8"/>
  <c r="F141" i="8"/>
  <c r="F75" i="8"/>
  <c r="F178" i="8"/>
  <c r="F76" i="8"/>
  <c r="F77" i="8"/>
  <c r="F155" i="8"/>
  <c r="F78" i="8"/>
  <c r="F158" i="8"/>
  <c r="F79" i="8"/>
  <c r="F80" i="8"/>
  <c r="F190" i="8"/>
  <c r="F147" i="8"/>
  <c r="F184" i="8"/>
  <c r="F144" i="8"/>
  <c r="F187" i="8"/>
  <c r="F165" i="8"/>
  <c r="F107" i="8"/>
  <c r="F108" i="8"/>
  <c r="F109" i="8"/>
  <c r="F166" i="8"/>
  <c r="F167" i="8"/>
  <c r="F168" i="8"/>
  <c r="F169" i="8"/>
  <c r="F160" i="8"/>
  <c r="F175" i="8"/>
  <c r="F170" i="8"/>
  <c r="F171" i="8"/>
  <c r="F172" i="8"/>
  <c r="F173" i="8"/>
  <c r="F81" i="8"/>
  <c r="F192" i="8"/>
  <c r="F205" i="8"/>
  <c r="F137" i="8"/>
  <c r="F157" i="8"/>
  <c r="F146" i="8"/>
  <c r="F86" i="8"/>
  <c r="F214" i="8"/>
  <c r="F195" i="8"/>
  <c r="F96" i="8"/>
  <c r="F98" i="8"/>
  <c r="F176" i="8"/>
  <c r="F201" i="8"/>
  <c r="F159" i="8"/>
  <c r="F202" i="8"/>
  <c r="F203" i="8"/>
  <c r="F110" i="8"/>
  <c r="F209" i="8"/>
  <c r="F111" i="8"/>
  <c r="F31" i="8"/>
  <c r="F112" i="8"/>
  <c r="F32" i="8"/>
  <c r="F113" i="8"/>
  <c r="F114" i="8"/>
  <c r="F115" i="8"/>
  <c r="F191" i="8"/>
  <c r="F210" i="8"/>
  <c r="F211" i="8"/>
  <c r="F149" i="8"/>
  <c r="F208" i="8"/>
  <c r="F212" i="8"/>
  <c r="F194" i="8"/>
  <c r="F140" i="8"/>
  <c r="F94" i="8"/>
  <c r="F84" i="8"/>
  <c r="F179" i="8"/>
  <c r="F101" i="8"/>
  <c r="F99" i="8"/>
  <c r="F204" i="8"/>
  <c r="F189" i="8"/>
  <c r="F150" i="8"/>
  <c r="F186" i="8"/>
  <c r="F102" i="8"/>
  <c r="O10" i="1"/>
  <c r="I22" i="8" l="1" a="1"/>
  <c r="I22" i="8" s="1"/>
  <c r="M22" i="8" s="1"/>
  <c r="M23" i="8" s="1"/>
  <c r="M24" i="8" s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python.xml><?xml version="1.0" encoding="utf-8"?>
<python xmlns="http://schemas.microsoft.com/office/spreadsheetml/2023/python">
  <environmentDefinition id="{882DD1B0-6546-4DFA-8A08-902A380B44EA}">
    <initialization>
      <code xml:space="preserve">import numpy as np
import pandas as pd
import matplotlib.pyplot as plt
import seaborn as sns
import statsmodels as sm
import excel
import warnings
warnings.simplefilter('ignore')
excel.set_xl_scalar_conversion(excel.convert_to_scalar)
excel.set_xl_array_conversion(excel.convert_to_dataframe)
</code>
    </initialization>
  </environmentDefinition>
</python>
</file>

<file path=xl/sharedStrings.xml><?xml version="1.0" encoding="utf-8"?>
<sst xmlns="http://schemas.openxmlformats.org/spreadsheetml/2006/main" count="650" uniqueCount="553">
  <si>
    <t>Day</t>
  </si>
  <si>
    <t>Task</t>
  </si>
  <si>
    <t>Javascript Class</t>
  </si>
  <si>
    <t>Power Automate Class</t>
  </si>
  <si>
    <t>Weight Lift</t>
  </si>
  <si>
    <t>German Grammar</t>
  </si>
  <si>
    <t>German Vocab</t>
  </si>
  <si>
    <t>CSS Drill</t>
  </si>
  <si>
    <t>Walk</t>
  </si>
  <si>
    <t>German Story Audio</t>
  </si>
  <si>
    <t>German Story Reading</t>
  </si>
  <si>
    <t>Excel Drill</t>
  </si>
  <si>
    <t>Figma</t>
  </si>
  <si>
    <t xml:space="preserve">I need to come up with a general </t>
  </si>
  <si>
    <t xml:space="preserve">format that allows me to complete </t>
  </si>
  <si>
    <t>courses and not take a penalty.</t>
  </si>
  <si>
    <t>A/B Testing</t>
  </si>
  <si>
    <t>Kalman</t>
  </si>
  <si>
    <t>PQ Book</t>
  </si>
  <si>
    <t>Photography</t>
  </si>
  <si>
    <t>Javascript Project</t>
  </si>
  <si>
    <t>Power Automate Project</t>
  </si>
  <si>
    <t>Bayesian Text</t>
  </si>
  <si>
    <t>Daily Task Count</t>
  </si>
  <si>
    <t>Recipe cards from Ken Puls</t>
  </si>
  <si>
    <t>Setup work on Bayesian text</t>
  </si>
  <si>
    <t>Writeup Chi-Square notes</t>
  </si>
  <si>
    <t>Power Conversion Class</t>
  </si>
  <si>
    <t>``</t>
  </si>
  <si>
    <t>Bayesian Regression</t>
  </si>
  <si>
    <t>Sick</t>
  </si>
  <si>
    <t>Recov</t>
  </si>
  <si>
    <t>Navigation</t>
  </si>
  <si>
    <t xml:space="preserve"> </t>
  </si>
  <si>
    <t>Book The bootstrap and jackknife</t>
  </si>
  <si>
    <t>I need to get all these different methods documented.</t>
  </si>
  <si>
    <t>Chess?</t>
  </si>
  <si>
    <t>Illustration</t>
  </si>
  <si>
    <t>Mapping</t>
  </si>
  <si>
    <t>GIS and Krita in progress</t>
  </si>
  <si>
    <t>Bayesian Staztistics</t>
  </si>
  <si>
    <t>Meds</t>
  </si>
  <si>
    <t>Dynamic Programming</t>
  </si>
  <si>
    <t>Fusion Training</t>
  </si>
  <si>
    <t>Logic</t>
  </si>
  <si>
    <t>Did 2 excel challenges</t>
  </si>
  <si>
    <t>DATE:</t>
  </si>
  <si>
    <t>SUBJECT:</t>
  </si>
  <si>
    <t>Mark Biegert</t>
  </si>
  <si>
    <t>FROM:</t>
  </si>
  <si>
    <t>B</t>
  </si>
  <si>
    <t>R</t>
  </si>
  <si>
    <t>BR</t>
  </si>
  <si>
    <t>BB</t>
  </si>
  <si>
    <t>This is the correct approach.</t>
  </si>
  <si>
    <t xml:space="preserve">Why is this not a binomial problem? </t>
  </si>
  <si>
    <t>The probabilites are not fixed because the each selection alters the population.</t>
  </si>
  <si>
    <t>Staff</t>
  </si>
  <si>
    <t>Activity</t>
  </si>
  <si>
    <t>Salary</t>
  </si>
  <si>
    <t>Department</t>
  </si>
  <si>
    <t>Age</t>
  </si>
  <si>
    <t>James</t>
  </si>
  <si>
    <t>Douglas</t>
  </si>
  <si>
    <t>Emily</t>
  </si>
  <si>
    <t>Dinah</t>
  </si>
  <si>
    <t>Brian</t>
  </si>
  <si>
    <t>Ellen</t>
  </si>
  <si>
    <t>PB</t>
  </si>
  <si>
    <t>TA</t>
  </si>
  <si>
    <t>CD</t>
  </si>
  <si>
    <t>CB</t>
  </si>
  <si>
    <t>HR</t>
  </si>
  <si>
    <t>FINANCE</t>
  </si>
  <si>
    <t>IT</t>
  </si>
  <si>
    <t>ADMIN</t>
  </si>
  <si>
    <t>f</t>
  </si>
  <si>
    <t>1 _</t>
  </si>
  <si>
    <t>0,18</t>
  </si>
  <si>
    <t>0,26</t>
  </si>
  <si>
    <t>0,35</t>
  </si>
  <si>
    <t>0,44</t>
  </si>
  <si>
    <t>0,52</t>
  </si>
  <si>
    <t>0,61</t>
  </si>
  <si>
    <t>0,7</t>
  </si>
  <si>
    <t>0,53</t>
  </si>
  <si>
    <t>0,88</t>
  </si>
  <si>
    <t>1,06</t>
  </si>
  <si>
    <t>1,23</t>
  </si>
  <si>
    <t>1,41</t>
  </si>
  <si>
    <t>0,54</t>
  </si>
  <si>
    <t>0,8</t>
  </si>
  <si>
    <t>1,07</t>
  </si>
  <si>
    <t>1,34</t>
  </si>
  <si>
    <t>1,6</t>
  </si>
  <si>
    <t>1,88</t>
  </si>
  <si>
    <t>2,14</t>
  </si>
  <si>
    <t>0,73</t>
  </si>
  <si>
    <t>1,09</t>
  </si>
  <si>
    <t>1,46</t>
  </si>
  <si>
    <t>1,82</t>
  </si>
  <si>
    <t>2,18</t>
  </si>
  <si>
    <t>2,55</t>
  </si>
  <si>
    <t>2,91</t>
  </si>
  <si>
    <t>0,93</t>
  </si>
  <si>
    <t>1,4</t>
  </si>
  <si>
    <t>1,87</t>
  </si>
  <si>
    <t>2,33</t>
  </si>
  <si>
    <t>2,8</t>
  </si>
  <si>
    <t>3,26</t>
  </si>
  <si>
    <t>3,73</t>
  </si>
  <si>
    <t>1,15</t>
  </si>
  <si>
    <t>1,73</t>
  </si>
  <si>
    <t>2,3</t>
  </si>
  <si>
    <t>2,89</t>
  </si>
  <si>
    <t>3,46</t>
  </si>
  <si>
    <t>4,04</t>
  </si>
  <si>
    <t>4,62</t>
  </si>
  <si>
    <t>2,1</t>
  </si>
  <si>
    <t>4,2</t>
  </si>
  <si>
    <t>4,9</t>
  </si>
  <si>
    <t>1,67</t>
  </si>
  <si>
    <t>2,52</t>
  </si>
  <si>
    <t>3,36</t>
  </si>
  <si>
    <t>5,03</t>
  </si>
  <si>
    <t>5,87</t>
  </si>
  <si>
    <t>6,71</t>
  </si>
  <si>
    <t>Video</t>
  </si>
  <si>
    <t>Forum Post</t>
  </si>
  <si>
    <t>Link</t>
  </si>
  <si>
    <t>Source of the table</t>
  </si>
  <si>
    <t>_AOB</t>
  </si>
  <si>
    <t>_B</t>
  </si>
  <si>
    <t>_R</t>
  </si>
  <si>
    <t>_L</t>
  </si>
  <si>
    <t>deg</t>
  </si>
  <si>
    <t>_v</t>
  </si>
  <si>
    <t>knots</t>
  </si>
  <si>
    <t>yards</t>
  </si>
  <si>
    <t>Time (s)</t>
  </si>
  <si>
    <t>ShipX</t>
  </si>
  <si>
    <t>ShipY</t>
  </si>
  <si>
    <t>_xShip</t>
  </si>
  <si>
    <t>_yShip</t>
  </si>
  <si>
    <t>_xL</t>
  </si>
  <si>
    <t>_yL</t>
  </si>
  <si>
    <t>_Theta</t>
  </si>
  <si>
    <t>degrees</t>
  </si>
  <si>
    <t>_vyps</t>
  </si>
  <si>
    <t>yards/sec</t>
  </si>
  <si>
    <t>_vSub</t>
  </si>
  <si>
    <t>SubY</t>
  </si>
  <si>
    <t>Angle</t>
  </si>
  <si>
    <t>This is making sense.I need to determine how to esitmate the velocity still.</t>
  </si>
  <si>
    <t>yard/sec</t>
  </si>
  <si>
    <t>perpendicular</t>
  </si>
  <si>
    <t>actual</t>
  </si>
  <si>
    <t>Special Cases</t>
  </si>
  <si>
    <t>Moving away along the bearing</t>
  </si>
  <si>
    <t>Chemistry</t>
  </si>
  <si>
    <t>Ave</t>
  </si>
  <si>
    <t>Systolic</t>
  </si>
  <si>
    <t>Diastolic</t>
  </si>
  <si>
    <t>Date/Time</t>
  </si>
  <si>
    <t>Reading</t>
  </si>
  <si>
    <t>Mean</t>
  </si>
  <si>
    <t>Meter</t>
  </si>
  <si>
    <t>OMRON</t>
  </si>
  <si>
    <t>TRU</t>
  </si>
  <si>
    <t>Notes</t>
  </si>
  <si>
    <t>Took 4 single measurements on OMRON</t>
  </si>
  <si>
    <t>01-Jan</t>
  </si>
  <si>
    <t>02-Jan</t>
  </si>
  <si>
    <t>03-Jan</t>
  </si>
  <si>
    <t>04-Jan</t>
  </si>
  <si>
    <t>05-Jan</t>
  </si>
  <si>
    <t>06-Jan</t>
  </si>
  <si>
    <t>07-Jan</t>
  </si>
  <si>
    <t>08-Jan</t>
  </si>
  <si>
    <t>09-Jan</t>
  </si>
  <si>
    <t>10-Jan</t>
  </si>
  <si>
    <t>11-Jan</t>
  </si>
  <si>
    <t>12-Jan</t>
  </si>
  <si>
    <t>13-Jan</t>
  </si>
  <si>
    <t>14-Jan</t>
  </si>
  <si>
    <t>15-Jan</t>
  </si>
  <si>
    <t>16-Jan</t>
  </si>
  <si>
    <t>17-Jan</t>
  </si>
  <si>
    <t>18-Jan</t>
  </si>
  <si>
    <t>19-Jan</t>
  </si>
  <si>
    <t>20-Jan</t>
  </si>
  <si>
    <t>21-Jan</t>
  </si>
  <si>
    <t>22-Jan</t>
  </si>
  <si>
    <t>23-Jan</t>
  </si>
  <si>
    <t>24-Jan</t>
  </si>
  <si>
    <t>25-Jan</t>
  </si>
  <si>
    <t>26-Jan</t>
  </si>
  <si>
    <t>27-Jan</t>
  </si>
  <si>
    <t>28-Jan</t>
  </si>
  <si>
    <t>29-Jan</t>
  </si>
  <si>
    <t>30-Jan</t>
  </si>
  <si>
    <t>31-Jan</t>
  </si>
  <si>
    <t>01-Feb</t>
  </si>
  <si>
    <t>02-Feb</t>
  </si>
  <si>
    <t>03-Feb</t>
  </si>
  <si>
    <t>04-Feb</t>
  </si>
  <si>
    <t>05-Feb</t>
  </si>
  <si>
    <t>06-Feb</t>
  </si>
  <si>
    <t>07-Feb</t>
  </si>
  <si>
    <t>08-Feb</t>
  </si>
  <si>
    <t>09-Feb</t>
  </si>
  <si>
    <t>10-Feb</t>
  </si>
  <si>
    <t>11-Feb</t>
  </si>
  <si>
    <t>12-Feb</t>
  </si>
  <si>
    <t>13-Feb</t>
  </si>
  <si>
    <t>14-Feb</t>
  </si>
  <si>
    <t>15-Feb</t>
  </si>
  <si>
    <t>16-Feb</t>
  </si>
  <si>
    <t>17-Feb</t>
  </si>
  <si>
    <t>18-Feb</t>
  </si>
  <si>
    <t>19-Feb</t>
  </si>
  <si>
    <t>20-Feb</t>
  </si>
  <si>
    <t>21-Feb</t>
  </si>
  <si>
    <t>22-Feb</t>
  </si>
  <si>
    <t>23-Feb</t>
  </si>
  <si>
    <t>24-Feb</t>
  </si>
  <si>
    <t>25-Feb</t>
  </si>
  <si>
    <t>26-Feb</t>
  </si>
  <si>
    <t>27-Feb</t>
  </si>
  <si>
    <t>28-Feb</t>
  </si>
  <si>
    <t>01-Mar</t>
  </si>
  <si>
    <t>02-Mar</t>
  </si>
  <si>
    <t>03-Mar</t>
  </si>
  <si>
    <t>04-Mar</t>
  </si>
  <si>
    <t>05-Mar</t>
  </si>
  <si>
    <t>06-Mar</t>
  </si>
  <si>
    <t>07-Mar</t>
  </si>
  <si>
    <t>08-Mar</t>
  </si>
  <si>
    <t>09-Mar</t>
  </si>
  <si>
    <t>10-Mar</t>
  </si>
  <si>
    <t>11-Mar</t>
  </si>
  <si>
    <t>12-Mar</t>
  </si>
  <si>
    <t>13-Mar</t>
  </si>
  <si>
    <t>14-Mar</t>
  </si>
  <si>
    <t>15-Mar</t>
  </si>
  <si>
    <t>16-Mar</t>
  </si>
  <si>
    <t>17-Mar</t>
  </si>
  <si>
    <t>18-Mar</t>
  </si>
  <si>
    <t>19-Mar</t>
  </si>
  <si>
    <t>20-Mar</t>
  </si>
  <si>
    <t>21-Mar</t>
  </si>
  <si>
    <t>22-Mar</t>
  </si>
  <si>
    <t>23-Mar</t>
  </si>
  <si>
    <t>24-Mar</t>
  </si>
  <si>
    <t>25-Mar</t>
  </si>
  <si>
    <t>26-Mar</t>
  </si>
  <si>
    <t>27-Mar</t>
  </si>
  <si>
    <t>28-Mar</t>
  </si>
  <si>
    <t>29-Mar</t>
  </si>
  <si>
    <t>30-Mar</t>
  </si>
  <si>
    <t>31-Mar</t>
  </si>
  <si>
    <t>01-Apr</t>
  </si>
  <si>
    <t>02-Apr</t>
  </si>
  <si>
    <t>03-Apr</t>
  </si>
  <si>
    <t>04-Apr</t>
  </si>
  <si>
    <t>05-Apr</t>
  </si>
  <si>
    <t>06-Apr</t>
  </si>
  <si>
    <t>07-Apr</t>
  </si>
  <si>
    <t>08-Apr</t>
  </si>
  <si>
    <t>09-Apr</t>
  </si>
  <si>
    <t>10-Apr</t>
  </si>
  <si>
    <t>11-Apr</t>
  </si>
  <si>
    <t>12-Apr</t>
  </si>
  <si>
    <t>13-Apr</t>
  </si>
  <si>
    <t>14-Apr</t>
  </si>
  <si>
    <t>15-Apr</t>
  </si>
  <si>
    <t>16-Apr</t>
  </si>
  <si>
    <t>17-Apr</t>
  </si>
  <si>
    <t>18-Apr</t>
  </si>
  <si>
    <t>19-Apr</t>
  </si>
  <si>
    <t>20-Apr</t>
  </si>
  <si>
    <t>21-Apr</t>
  </si>
  <si>
    <t>22-Apr</t>
  </si>
  <si>
    <t>23-Apr</t>
  </si>
  <si>
    <t>24-Apr</t>
  </si>
  <si>
    <t>25-Apr</t>
  </si>
  <si>
    <t>26-Apr</t>
  </si>
  <si>
    <t>27-Apr</t>
  </si>
  <si>
    <t>28-Apr</t>
  </si>
  <si>
    <t>29-Apr</t>
  </si>
  <si>
    <t>30-Apr</t>
  </si>
  <si>
    <t>01-May</t>
  </si>
  <si>
    <t>02-May</t>
  </si>
  <si>
    <t>03-May</t>
  </si>
  <si>
    <t>04-May</t>
  </si>
  <si>
    <t>05-May</t>
  </si>
  <si>
    <t>06-May</t>
  </si>
  <si>
    <t>07-May</t>
  </si>
  <si>
    <t>08-May</t>
  </si>
  <si>
    <t>09-May</t>
  </si>
  <si>
    <t>10-May</t>
  </si>
  <si>
    <t>11-May</t>
  </si>
  <si>
    <t>12-May</t>
  </si>
  <si>
    <t>13-May</t>
  </si>
  <si>
    <t>14-May</t>
  </si>
  <si>
    <t>15-May</t>
  </si>
  <si>
    <t>16-May</t>
  </si>
  <si>
    <t>17-May</t>
  </si>
  <si>
    <t>18-May</t>
  </si>
  <si>
    <t>19-May</t>
  </si>
  <si>
    <t>20-May</t>
  </si>
  <si>
    <t>21-May</t>
  </si>
  <si>
    <t>22-May</t>
  </si>
  <si>
    <t>23-May</t>
  </si>
  <si>
    <t>24-May</t>
  </si>
  <si>
    <t>25-May</t>
  </si>
  <si>
    <t>26-May</t>
  </si>
  <si>
    <t>27-May</t>
  </si>
  <si>
    <t>28-May</t>
  </si>
  <si>
    <t>29-May</t>
  </si>
  <si>
    <t>30-May</t>
  </si>
  <si>
    <t>31-May</t>
  </si>
  <si>
    <t>01-Jun</t>
  </si>
  <si>
    <t>02-Jun</t>
  </si>
  <si>
    <t>03-Jun</t>
  </si>
  <si>
    <t>04-Jun</t>
  </si>
  <si>
    <t>05-Jun</t>
  </si>
  <si>
    <t>06-Jun</t>
  </si>
  <si>
    <t>07-Jun</t>
  </si>
  <si>
    <t>08-Jun</t>
  </si>
  <si>
    <t>09-Jun</t>
  </si>
  <si>
    <t>10-Jun</t>
  </si>
  <si>
    <t>11-Jun</t>
  </si>
  <si>
    <t>12-Jun</t>
  </si>
  <si>
    <t>13-Jun</t>
  </si>
  <si>
    <t>14-Jun</t>
  </si>
  <si>
    <t>15-Jun</t>
  </si>
  <si>
    <t>16-Jun</t>
  </si>
  <si>
    <t>17-Jun</t>
  </si>
  <si>
    <t>18-Jun</t>
  </si>
  <si>
    <t>19-Jun</t>
  </si>
  <si>
    <t>20-Jun</t>
  </si>
  <si>
    <t>21-Jun</t>
  </si>
  <si>
    <t>22-Jun</t>
  </si>
  <si>
    <t>23-Jun</t>
  </si>
  <si>
    <t>24-Jun</t>
  </si>
  <si>
    <t>25-Jun</t>
  </si>
  <si>
    <t>26-Jun</t>
  </si>
  <si>
    <t>27-Jun</t>
  </si>
  <si>
    <t>28-Jun</t>
  </si>
  <si>
    <t>29-Jun</t>
  </si>
  <si>
    <t>30-Jun</t>
  </si>
  <si>
    <t>01-Jul</t>
  </si>
  <si>
    <t>02-Jul</t>
  </si>
  <si>
    <t>03-Jul</t>
  </si>
  <si>
    <t>04-Jul</t>
  </si>
  <si>
    <t>05-Jul</t>
  </si>
  <si>
    <t>06-Jul</t>
  </si>
  <si>
    <t>07-Jul</t>
  </si>
  <si>
    <t>08-Jul</t>
  </si>
  <si>
    <t>09-Jul</t>
  </si>
  <si>
    <t>10-Jul</t>
  </si>
  <si>
    <t>11-Jul</t>
  </si>
  <si>
    <t>12-Jul</t>
  </si>
  <si>
    <t>13-Jul</t>
  </si>
  <si>
    <t>14-Jul</t>
  </si>
  <si>
    <t>15-Jul</t>
  </si>
  <si>
    <t>16-Jul</t>
  </si>
  <si>
    <t>17-Jul</t>
  </si>
  <si>
    <t>18-Jul</t>
  </si>
  <si>
    <t>19-Jul</t>
  </si>
  <si>
    <t>20-Jul</t>
  </si>
  <si>
    <t>21-Jul</t>
  </si>
  <si>
    <t>22-Jul</t>
  </si>
  <si>
    <t>23-Jul</t>
  </si>
  <si>
    <t>24-Jul</t>
  </si>
  <si>
    <t>25-Jul</t>
  </si>
  <si>
    <t>26-Jul</t>
  </si>
  <si>
    <t>27-Jul</t>
  </si>
  <si>
    <t>28-Jul</t>
  </si>
  <si>
    <t>29-Jul</t>
  </si>
  <si>
    <t>30-Jul</t>
  </si>
  <si>
    <t>31-Jul</t>
  </si>
  <si>
    <t>01-Aug</t>
  </si>
  <si>
    <t>02-Aug</t>
  </si>
  <si>
    <t>03-Aug</t>
  </si>
  <si>
    <t>04-Aug</t>
  </si>
  <si>
    <t>05-Aug</t>
  </si>
  <si>
    <t>06-Aug</t>
  </si>
  <si>
    <t>07-Aug</t>
  </si>
  <si>
    <t>08-Aug</t>
  </si>
  <si>
    <t>09-Aug</t>
  </si>
  <si>
    <t>10-Aug</t>
  </si>
  <si>
    <t>11-Aug</t>
  </si>
  <si>
    <t>12-Aug</t>
  </si>
  <si>
    <t>13-Aug</t>
  </si>
  <si>
    <t>14-Aug</t>
  </si>
  <si>
    <t>15-Aug</t>
  </si>
  <si>
    <t>16-Aug</t>
  </si>
  <si>
    <t>17-Aug</t>
  </si>
  <si>
    <t>18-Aug</t>
  </si>
  <si>
    <t>19-Aug</t>
  </si>
  <si>
    <t>20-Aug</t>
  </si>
  <si>
    <t>21-Aug</t>
  </si>
  <si>
    <t>22-Aug</t>
  </si>
  <si>
    <t>23-Aug</t>
  </si>
  <si>
    <t>24-Aug</t>
  </si>
  <si>
    <t>25-Aug</t>
  </si>
  <si>
    <t>26-Aug</t>
  </si>
  <si>
    <t>27-Aug</t>
  </si>
  <si>
    <t>28-Aug</t>
  </si>
  <si>
    <t>29-Aug</t>
  </si>
  <si>
    <t>30-Aug</t>
  </si>
  <si>
    <t>31-Aug</t>
  </si>
  <si>
    <t>01-Sep</t>
  </si>
  <si>
    <t>02-Sep</t>
  </si>
  <si>
    <t>03-Sep</t>
  </si>
  <si>
    <t>04-Sep</t>
  </si>
  <si>
    <t>05-Sep</t>
  </si>
  <si>
    <t>06-Sep</t>
  </si>
  <si>
    <t>07-Sep</t>
  </si>
  <si>
    <t>08-Sep</t>
  </si>
  <si>
    <t>09-Sep</t>
  </si>
  <si>
    <t>10-Sep</t>
  </si>
  <si>
    <t>11-Sep</t>
  </si>
  <si>
    <t>12-Sep</t>
  </si>
  <si>
    <t>13-Sep</t>
  </si>
  <si>
    <t>14-Sep</t>
  </si>
  <si>
    <t>15-Sep</t>
  </si>
  <si>
    <t>16-Sep</t>
  </si>
  <si>
    <t>17-Sep</t>
  </si>
  <si>
    <t>18-Sep</t>
  </si>
  <si>
    <t>19-Sep</t>
  </si>
  <si>
    <t>20-Sep</t>
  </si>
  <si>
    <t>21-Sep</t>
  </si>
  <si>
    <t>22-Sep</t>
  </si>
  <si>
    <t>23-Sep</t>
  </si>
  <si>
    <t>24-Sep</t>
  </si>
  <si>
    <t>25-Sep</t>
  </si>
  <si>
    <t>26-Sep</t>
  </si>
  <si>
    <t>27-Sep</t>
  </si>
  <si>
    <t>28-Sep</t>
  </si>
  <si>
    <t>29-Sep</t>
  </si>
  <si>
    <t>30-Sep</t>
  </si>
  <si>
    <t>01-Oct</t>
  </si>
  <si>
    <t>02-Oct</t>
  </si>
  <si>
    <t>03-Oct</t>
  </si>
  <si>
    <t>04-Oct</t>
  </si>
  <si>
    <t>05-Oct</t>
  </si>
  <si>
    <t>06-Oct</t>
  </si>
  <si>
    <t>07-Oct</t>
  </si>
  <si>
    <t>08-Oct</t>
  </si>
  <si>
    <t>09-Oct</t>
  </si>
  <si>
    <t>10-Oct</t>
  </si>
  <si>
    <t>11-Oct</t>
  </si>
  <si>
    <t>12-Oct</t>
  </si>
  <si>
    <t>13-Oct</t>
  </si>
  <si>
    <t>14-Oct</t>
  </si>
  <si>
    <t>15-Oct</t>
  </si>
  <si>
    <t>16-Oct</t>
  </si>
  <si>
    <t>17-Oct</t>
  </si>
  <si>
    <t>18-Oct</t>
  </si>
  <si>
    <t>19-Oct</t>
  </si>
  <si>
    <t>20-Oct</t>
  </si>
  <si>
    <t>21-Oct</t>
  </si>
  <si>
    <t>22-Oct</t>
  </si>
  <si>
    <t>23-Oct</t>
  </si>
  <si>
    <t>24-Oct</t>
  </si>
  <si>
    <t>25-Oct</t>
  </si>
  <si>
    <t>26-Oct</t>
  </si>
  <si>
    <t>27-Oct</t>
  </si>
  <si>
    <t>28-Oct</t>
  </si>
  <si>
    <t>29-Oct</t>
  </si>
  <si>
    <t>30-Oct</t>
  </si>
  <si>
    <t>31-Oct</t>
  </si>
  <si>
    <t>01-Nov</t>
  </si>
  <si>
    <t>02-Nov</t>
  </si>
  <si>
    <t>03-Nov</t>
  </si>
  <si>
    <t>04-Nov</t>
  </si>
  <si>
    <t>05-Nov</t>
  </si>
  <si>
    <t>06-Nov</t>
  </si>
  <si>
    <t>07-Nov</t>
  </si>
  <si>
    <t>08-Nov</t>
  </si>
  <si>
    <t>09-Nov</t>
  </si>
  <si>
    <t>10-Nov</t>
  </si>
  <si>
    <t>11-Nov</t>
  </si>
  <si>
    <t>12-Nov</t>
  </si>
  <si>
    <t>13-Nov</t>
  </si>
  <si>
    <t>14-Nov</t>
  </si>
  <si>
    <t>15-Nov</t>
  </si>
  <si>
    <t>16-Nov</t>
  </si>
  <si>
    <t>17-Nov</t>
  </si>
  <si>
    <t>18-Nov</t>
  </si>
  <si>
    <t>19-Nov</t>
  </si>
  <si>
    <t>20-Nov</t>
  </si>
  <si>
    <t>21-Nov</t>
  </si>
  <si>
    <t>22-Nov</t>
  </si>
  <si>
    <t>23-Nov</t>
  </si>
  <si>
    <t>24-Nov</t>
  </si>
  <si>
    <t>25-Nov</t>
  </si>
  <si>
    <t>26-Nov</t>
  </si>
  <si>
    <t>27-Nov</t>
  </si>
  <si>
    <t>28-Nov</t>
  </si>
  <si>
    <t>29-Nov</t>
  </si>
  <si>
    <t>30-Nov</t>
  </si>
  <si>
    <t>01-Dec</t>
  </si>
  <si>
    <t>02-Dec</t>
  </si>
  <si>
    <t>03-Dec</t>
  </si>
  <si>
    <t>04-Dec</t>
  </si>
  <si>
    <t>05-Dec</t>
  </si>
  <si>
    <t>06-Dec</t>
  </si>
  <si>
    <t>07-Dec</t>
  </si>
  <si>
    <t>08-Dec</t>
  </si>
  <si>
    <t>09-Dec</t>
  </si>
  <si>
    <t>10-Dec</t>
  </si>
  <si>
    <t>11-Dec</t>
  </si>
  <si>
    <t>12-Dec</t>
  </si>
  <si>
    <t>13-Dec</t>
  </si>
  <si>
    <t>14-Dec</t>
  </si>
  <si>
    <t>15-Dec</t>
  </si>
  <si>
    <t>16-Dec</t>
  </si>
  <si>
    <t>17-Dec</t>
  </si>
  <si>
    <t>18-Dec</t>
  </si>
  <si>
    <t>19-Dec</t>
  </si>
  <si>
    <t>20-Dec</t>
  </si>
  <si>
    <t>21-Dec</t>
  </si>
  <si>
    <t>22-Dec</t>
  </si>
  <si>
    <t>23-Dec</t>
  </si>
  <si>
    <t>24-Dec</t>
  </si>
  <si>
    <t>25-Dec</t>
  </si>
  <si>
    <t>26-Dec</t>
  </si>
  <si>
    <t>27-Dec</t>
  </si>
  <si>
    <t>28-Dec</t>
  </si>
  <si>
    <t>29-Dec</t>
  </si>
  <si>
    <t>30-Dec</t>
  </si>
  <si>
    <t>31-Dec</t>
  </si>
  <si>
    <t>Weeknum</t>
  </si>
  <si>
    <t>German Conjugation</t>
  </si>
  <si>
    <t>German Crossword</t>
  </si>
  <si>
    <t>German Reading/W Practice</t>
  </si>
  <si>
    <t>Week</t>
  </si>
  <si>
    <t>A</t>
  </si>
  <si>
    <t>C</t>
  </si>
  <si>
    <t>Value</t>
  </si>
  <si>
    <t>Mark</t>
  </si>
  <si>
    <t>Craig</t>
  </si>
  <si>
    <t>Tim</t>
  </si>
  <si>
    <t>Pat</t>
  </si>
  <si>
    <t>D</t>
  </si>
  <si>
    <t>Katee</t>
  </si>
  <si>
    <t>Randy</t>
  </si>
  <si>
    <t>???</t>
  </si>
  <si>
    <t>Electrochemistry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</si>
</sst>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164" formatCode=";;;\ @"/>
    <numFmt numFmtId="165" formatCode="0.00000"/>
    <numFmt numFmtId="166" formatCode=";;;&quot; &quot;@"/>
  </numFmts>
  <fonts count="16" x14ac:knownFonts="1">
    <font>
      <sz val="10"/>
      <color theme="1"/>
      <name val="Consolas"/>
      <family val="2"/>
      <scheme val="minor"/>
    </font>
    <font>
      <sz val="18"/>
      <color theme="3"/>
      <name val="Consolas"/>
      <family val="2"/>
      <scheme val="major"/>
    </font>
    <font>
      <b/>
      <sz val="11"/>
      <color theme="3"/>
      <name val="Consolas"/>
      <family val="2"/>
      <scheme val="minor"/>
    </font>
    <font>
      <b/>
      <sz val="11"/>
      <color theme="1"/>
      <name val="Consolas"/>
      <family val="2"/>
      <scheme val="minor"/>
    </font>
    <font>
      <i/>
      <sz val="10"/>
      <color theme="1"/>
      <name val="Consolas"/>
      <family val="2"/>
      <scheme val="minor"/>
    </font>
    <font>
      <b/>
      <sz val="10"/>
      <color theme="1"/>
      <name val="Consolas"/>
      <family val="2"/>
      <scheme val="minor"/>
    </font>
    <font>
      <sz val="10"/>
      <color theme="1"/>
      <name val="Consolas"/>
      <family val="2"/>
      <scheme val="minor"/>
    </font>
    <font>
      <b/>
      <sz val="10"/>
      <color rgb="FF7030A0"/>
      <name val="Consolas"/>
      <family val="2"/>
      <scheme val="minor"/>
    </font>
    <font>
      <sz val="11"/>
      <color rgb="FF0070C0"/>
      <name val="Consolas"/>
      <family val="2"/>
      <scheme val="minor"/>
    </font>
    <font>
      <sz val="10"/>
      <color rgb="FF0070C0"/>
      <name val="Consolas"/>
      <family val="2"/>
      <scheme val="minor"/>
    </font>
    <font>
      <u/>
      <sz val="10"/>
      <color rgb="FF00B050"/>
      <name val="Consolas"/>
      <family val="2"/>
      <scheme val="minor"/>
    </font>
    <font>
      <b/>
      <sz val="10"/>
      <color theme="1"/>
      <name val="Consolas"/>
      <family val="3"/>
      <scheme val="minor"/>
    </font>
    <font>
      <i/>
      <sz val="10"/>
      <color rgb="FF7F7F7F"/>
      <name val="Aptos Mono"/>
      <family val="2"/>
    </font>
    <font>
      <b/>
      <sz val="10"/>
      <color rgb="FF0070C0"/>
      <name val="Consolas"/>
      <family val="3"/>
      <scheme val="minor"/>
    </font>
    <font>
      <b/>
      <sz val="10"/>
      <color rgb="FF00B050"/>
      <name val="Consolas"/>
      <family val="3"/>
      <scheme val="minor"/>
    </font>
    <font>
      <sz val="10"/>
      <color theme="0"/>
      <name val="Consolas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BEEC9"/>
        <bgColor indexed="64"/>
      </patternFill>
    </fill>
    <fill>
      <patternFill patternType="solid">
        <fgColor rgb="FFEBFFEB"/>
        <bgColor indexed="64"/>
      </patternFill>
    </fill>
    <fill>
      <patternFill patternType="solid">
        <fgColor rgb="FFCC66FF"/>
        <bgColor indexed="64"/>
      </patternFill>
    </fill>
  </fills>
  <borders count="16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double">
        <color theme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 style="medium">
        <color auto="1"/>
      </top>
      <bottom style="double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double">
        <color indexed="64"/>
      </top>
      <bottom/>
      <diagonal/>
    </border>
    <border>
      <left/>
      <right style="thin">
        <color auto="1"/>
      </right>
      <top style="medium">
        <color auto="1"/>
      </top>
      <bottom style="double">
        <color indexed="64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double">
        <color auto="1"/>
      </bottom>
      <diagonal/>
    </border>
    <border>
      <left/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/>
      <bottom/>
      <diagonal/>
    </border>
    <border>
      <left/>
      <right/>
      <top/>
      <bottom style="double">
        <color indexed="64"/>
      </bottom>
      <diagonal/>
    </border>
  </borders>
  <cellStyleXfs count="15">
    <xf numFmtId="0" fontId="0" fillId="0" borderId="0"/>
    <xf numFmtId="0" fontId="1" fillId="0" borderId="0" applyNumberFormat="0" applyFill="0" applyBorder="0" applyAlignment="0" applyProtection="0"/>
    <xf numFmtId="0" fontId="3" fillId="2" borderId="0" applyNumberFormat="0" applyAlignment="0" applyProtection="0"/>
    <xf numFmtId="0" fontId="4" fillId="2" borderId="0" applyNumberFormat="0" applyAlignment="0" applyProtection="0"/>
    <xf numFmtId="0" fontId="2" fillId="0" borderId="1" applyNumberFormat="0" applyFill="0" applyAlignment="0" applyProtection="0"/>
    <xf numFmtId="0" fontId="2" fillId="0" borderId="0" applyNumberFormat="0" applyFill="0" applyBorder="0" applyAlignment="0" applyProtection="0"/>
    <xf numFmtId="0" fontId="5" fillId="0" borderId="2" applyNumberFormat="0" applyFill="0" applyAlignment="0" applyProtection="0"/>
    <xf numFmtId="0" fontId="5" fillId="3" borderId="0" applyNumberFormat="0" applyAlignment="0" applyProtection="0"/>
    <xf numFmtId="0" fontId="7" fillId="0" borderId="0" applyNumberFormat="0" applyAlignment="0" applyProtection="0"/>
    <xf numFmtId="0" fontId="8" fillId="0" borderId="0" applyNumberFormat="0" applyFill="0" applyAlignment="0" applyProtection="0"/>
    <xf numFmtId="0" fontId="6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6" fillId="7" borderId="0" applyNumberFormat="0" applyAlignment="0" applyProtection="0"/>
  </cellStyleXfs>
  <cellXfs count="46">
    <xf numFmtId="0" fontId="0" fillId="0" borderId="0" xfId="0"/>
    <xf numFmtId="0" fontId="0" fillId="0" borderId="0" xfId="0" applyAlignment="1">
      <alignment textRotation="90"/>
    </xf>
    <xf numFmtId="164" fontId="11" fillId="5" borderId="4" xfId="0" applyNumberFormat="1" applyFont="1" applyFill="1" applyBorder="1" applyAlignment="1">
      <alignment horizontal="center" textRotation="90"/>
    </xf>
    <xf numFmtId="0" fontId="11" fillId="4" borderId="5" xfId="0" applyFont="1" applyFill="1" applyBorder="1" applyAlignment="1">
      <alignment horizontal="center" vertical="center"/>
    </xf>
    <xf numFmtId="164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"/>
    </xf>
    <xf numFmtId="164" fontId="11" fillId="5" borderId="11" xfId="0" applyNumberFormat="1" applyFont="1" applyFill="1" applyBorder="1" applyAlignment="1">
      <alignment horizontal="center" textRotation="90"/>
    </xf>
    <xf numFmtId="0" fontId="0" fillId="0" borderId="9" xfId="0" applyBorder="1"/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6" borderId="0" xfId="0" applyFill="1" applyAlignment="1">
      <alignment horizontal="center" textRotation="90"/>
    </xf>
    <xf numFmtId="0" fontId="12" fillId="0" borderId="0" xfId="13"/>
    <xf numFmtId="14" fontId="11" fillId="0" borderId="6" xfId="0" applyNumberFormat="1" applyFont="1" applyBorder="1" applyAlignment="1">
      <alignment horizontal="right"/>
    </xf>
    <xf numFmtId="0" fontId="0" fillId="0" borderId="3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11" fillId="0" borderId="6" xfId="0" applyFont="1" applyBorder="1" applyAlignment="1">
      <alignment horizontal="right"/>
    </xf>
    <xf numFmtId="0" fontId="0" fillId="0" borderId="3" xfId="0" applyBorder="1" applyAlignment="1">
      <alignment horizontal="center"/>
    </xf>
    <xf numFmtId="0" fontId="0" fillId="0" borderId="13" xfId="0" applyBorder="1" applyAlignment="1">
      <alignment horizontal="center"/>
    </xf>
    <xf numFmtId="164" fontId="13" fillId="5" borderId="12" xfId="0" applyNumberFormat="1" applyFont="1" applyFill="1" applyBorder="1" applyAlignment="1">
      <alignment horizontal="center" textRotation="90"/>
    </xf>
    <xf numFmtId="164" fontId="14" fillId="5" borderId="4" xfId="0" applyNumberFormat="1" applyFont="1" applyFill="1" applyBorder="1" applyAlignment="1">
      <alignment horizontal="center" textRotation="90"/>
    </xf>
    <xf numFmtId="0" fontId="0" fillId="0" borderId="13" xfId="0" quotePrefix="1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0" xfId="0" applyAlignment="1">
      <alignment horizontal="center" vertical="center"/>
    </xf>
    <xf numFmtId="164" fontId="14" fillId="5" borderId="7" xfId="0" applyNumberFormat="1" applyFont="1" applyFill="1" applyBorder="1" applyAlignment="1">
      <alignment horizontal="center" textRotation="90"/>
    </xf>
    <xf numFmtId="0" fontId="11" fillId="5" borderId="4" xfId="0" applyFont="1" applyFill="1" applyBorder="1" applyAlignment="1">
      <alignment horizontal="center" textRotation="90"/>
    </xf>
    <xf numFmtId="0" fontId="11" fillId="5" borderId="7" xfId="0" applyFont="1" applyFill="1" applyBorder="1" applyAlignment="1">
      <alignment horizontal="center" textRotation="90"/>
    </xf>
    <xf numFmtId="0" fontId="6" fillId="7" borderId="0" xfId="14"/>
    <xf numFmtId="0" fontId="5" fillId="3" borderId="0" xfId="7"/>
    <xf numFmtId="0" fontId="9" fillId="0" borderId="0" xfId="11"/>
    <xf numFmtId="1" fontId="0" fillId="0" borderId="0" xfId="0" applyNumberFormat="1"/>
    <xf numFmtId="165" fontId="0" fillId="0" borderId="0" xfId="0" applyNumberFormat="1"/>
    <xf numFmtId="22" fontId="0" fillId="0" borderId="0" xfId="0" applyNumberFormat="1"/>
    <xf numFmtId="0" fontId="11" fillId="8" borderId="15" xfId="0" applyFont="1" applyFill="1" applyBorder="1" applyAlignment="1">
      <alignment horizontal="center"/>
    </xf>
    <xf numFmtId="0" fontId="11" fillId="8" borderId="15" xfId="0" applyFont="1" applyFill="1" applyBorder="1"/>
    <xf numFmtId="0" fontId="11" fillId="4" borderId="0" xfId="0" applyFont="1" applyFill="1" applyAlignment="1">
      <alignment horizontal="center"/>
    </xf>
    <xf numFmtId="0" fontId="11" fillId="9" borderId="0" xfId="0" applyFont="1" applyFill="1" applyAlignment="1">
      <alignment horizontal="centerContinuous"/>
    </xf>
    <xf numFmtId="0" fontId="11" fillId="7" borderId="0" xfId="0" applyFont="1" applyFill="1" applyAlignment="1">
      <alignment horizontal="centerContinuous"/>
    </xf>
    <xf numFmtId="0" fontId="11" fillId="10" borderId="0" xfId="0" applyFont="1" applyFill="1" applyAlignment="1">
      <alignment horizontal="center"/>
    </xf>
    <xf numFmtId="0" fontId="0" fillId="0" borderId="9" xfId="0" applyBorder="1" applyAlignment="1">
      <alignment horizontal="center"/>
    </xf>
    <xf numFmtId="0" fontId="11" fillId="0" borderId="0" xfId="0" applyFont="1" applyAlignment="1">
      <alignment horizontal="center" textRotation="90"/>
    </xf>
    <xf numFmtId="0" fontId="15" fillId="0" borderId="0" xfId="0" applyFont="1" applyAlignment="1">
      <alignment horizontal="center"/>
    </xf>
    <xf numFmtId="0" fontId="0" fillId="0" borderId="0" xfId="0" applyAlignment="1">
      <alignment horizontal="right"/>
    </xf>
    <xf numFmtId="16" fontId="0" fillId="0" borderId="0" xfId="0" applyNumberFormat="1" applyAlignment="1">
      <alignment horizontal="right"/>
    </xf>
    <xf numFmtId="166" fontId="11" fillId="5" borderId="4" xfId="0" applyNumberFormat="1" applyFont="1" applyFill="1" applyBorder="1" applyAlignment="1">
      <alignment horizontal="center" textRotation="90"/>
    </xf>
    <xf numFmtId="166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Continuous"/>
    </xf>
  </cellXfs>
  <cellStyles count="15">
    <cellStyle name="Comment" xfId="8" xr:uid="{C4DDEBC2-DCD2-4316-AAE7-A5F6C47DBA99}"/>
    <cellStyle name="Explanatory Text" xfId="13" builtinId="53"/>
    <cellStyle name="Followed Hyperlink" xfId="10" builtinId="9" hidden="1"/>
    <cellStyle name="Followed Hyperlink" xfId="12" builtinId="9" customBuiltin="1"/>
    <cellStyle name="Heading 1" xfId="2" builtinId="16" customBuiltin="1"/>
    <cellStyle name="Heading 2" xfId="3" builtinId="17" customBuiltin="1"/>
    <cellStyle name="Heading 3" xfId="4" builtinId="18" hidden="1"/>
    <cellStyle name="Heading 4" xfId="5" builtinId="19" hidden="1"/>
    <cellStyle name="Hyperlink" xfId="11" builtinId="8" customBuiltin="1"/>
    <cellStyle name="Intro_Hd" xfId="7" xr:uid="{84D0D410-758D-4384-B224-A500BAF57428}"/>
    <cellStyle name="Intro_Value" xfId="14" xr:uid="{F4E96D43-FEE3-4728-967A-D9BD72D35029}"/>
    <cellStyle name="Linked Cell" xfId="9" builtinId="24" customBuiltin="1"/>
    <cellStyle name="Normal" xfId="0" builtinId="0" customBuiltin="1"/>
    <cellStyle name="Title" xfId="1" builtinId="15" hidden="1"/>
    <cellStyle name="Total" xfId="6" builtinId="25" customBuiltin="1"/>
  </cellStyles>
  <dxfs count="43"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rgb="FFFBEEC9"/>
        </patternFill>
      </fill>
      <border>
        <left style="thin">
          <color auto="1"/>
        </left>
        <right style="thin">
          <color auto="1"/>
        </right>
      </border>
    </dxf>
    <dxf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</border>
    </dxf>
    <dxf>
      <border>
        <left/>
        <right/>
        <vertical/>
        <horizontal/>
      </border>
    </dxf>
    <dxf>
      <border>
        <right/>
        <vertical/>
        <horizontal/>
      </border>
    </dxf>
    <dxf>
      <fill>
        <patternFill>
          <bgColor theme="7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5117038483843"/>
          <bgColor rgb="FFFDF5E9"/>
        </patternFill>
      </fill>
    </dxf>
    <dxf>
      <font>
        <b/>
        <color theme="1"/>
      </font>
    </dxf>
    <dxf>
      <font>
        <b/>
        <color theme="1"/>
      </font>
    </dxf>
    <dxf>
      <font>
        <b val="0"/>
        <i val="0"/>
        <color theme="1"/>
      </font>
      <fill>
        <patternFill patternType="none">
          <bgColor auto="1"/>
        </patternFill>
      </fill>
      <border>
        <top style="double">
          <color theme="1"/>
        </top>
      </border>
    </dxf>
    <dxf>
      <font>
        <b/>
        <i val="0"/>
        <color theme="1"/>
      </font>
      <fill>
        <patternFill patternType="solid">
          <fgColor theme="0"/>
          <bgColor theme="8" tint="0.79995117038483843"/>
        </patternFill>
      </fill>
      <border>
        <bottom style="double">
          <color auto="1"/>
        </bottom>
      </border>
    </dxf>
    <dxf>
      <font>
        <b val="0"/>
        <i val="0"/>
        <color theme="1"/>
      </font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ont>
        <b/>
        <color theme="1"/>
      </font>
    </dxf>
    <dxf>
      <font>
        <b/>
        <color theme="1"/>
      </font>
      <fill>
        <patternFill>
          <bgColor rgb="FFEFFFEF"/>
        </patternFill>
      </fill>
    </dxf>
    <dxf>
      <font>
        <b/>
        <color theme="1"/>
      </font>
      <fill>
        <patternFill>
          <bgColor rgb="FFFFC000"/>
        </patternFill>
      </fill>
    </dxf>
    <dxf>
      <font>
        <b/>
        <color theme="1"/>
      </font>
      <fill>
        <patternFill patternType="solid">
          <fgColor theme="4" tint="0.59999389629810485"/>
          <bgColor rgb="FF00B050"/>
        </patternFill>
      </fill>
    </dxf>
    <dxf>
      <font>
        <b/>
        <color theme="1"/>
      </font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font>
        <b val="0"/>
        <i val="0"/>
        <color theme="1"/>
      </font>
      <fill>
        <patternFill>
          <bgColor theme="0" tint="-4.9989318521683403E-2"/>
        </patternFill>
      </fill>
    </dxf>
    <dxf>
      <border>
        <left style="thin">
          <color theme="4" tint="0.39997558519241921"/>
        </left>
        <right style="thin">
          <color theme="4" tint="0.39997558519241921"/>
        </right>
      </border>
    </dxf>
    <dxf>
      <font>
        <b/>
        <color theme="1"/>
      </font>
      <fill>
        <patternFill>
          <bgColor theme="0" tint="-4.9989318521683403E-2"/>
        </patternFill>
      </fill>
      <border>
        <top style="double">
          <color theme="1"/>
        </top>
        <bottom/>
      </border>
    </dxf>
    <dxf>
      <font>
        <b/>
        <i val="0"/>
        <color theme="1"/>
      </font>
      <fill>
        <patternFill patternType="solid">
          <fgColor theme="4"/>
          <bgColor theme="0" tint="-0.14996795556505021"/>
        </patternFill>
      </fill>
      <border>
        <top/>
        <bottom style="double">
          <color theme="1"/>
        </bottom>
      </border>
    </dxf>
    <dxf>
      <font>
        <color theme="1"/>
      </font>
    </dxf>
  </dxfs>
  <tableStyles count="2" defaultTableStyle="TableStyleMedium2" defaultPivotStyle="PivotStyleLight16">
    <tableStyle name="Biegert Standard Pivot Table" table="0" count="12" xr9:uid="{94886349-6B4A-4300-89B0-9F83C8B5183A}">
      <tableStyleElement type="wholeTable" dxfId="42"/>
      <tableStyleElement type="headerRow" dxfId="41"/>
      <tableStyleElement type="totalRow" dxfId="40"/>
      <tableStyleElement type="firstColumnStripe" dxfId="39"/>
      <tableStyleElement type="firstHeaderCell" dxfId="38"/>
      <tableStyleElement type="firstSubtotalColumn" dxfId="37"/>
      <tableStyleElement type="firstSubtotalRow" dxfId="36"/>
      <tableStyleElement type="secondSubtotalRow" dxfId="35"/>
      <tableStyleElement type="firstRowSubheading" dxfId="34"/>
      <tableStyleElement type="secondRowSubheading" dxfId="33"/>
      <tableStyleElement type="pageFieldLabels" dxfId="32"/>
      <tableStyleElement type="pageFieldValues" dxfId="31"/>
    </tableStyle>
    <tableStyle name="Biegert Table Standard" pivot="0" count="7" xr9:uid="{95B43237-2845-4068-A415-A5A3E7804959}">
      <tableStyleElement type="wholeTable" dxfId="30"/>
      <tableStyleElement type="headerRow" dxfId="29"/>
      <tableStyleElement type="totalRow" dxfId="28"/>
      <tableStyleElement type="firstColumn" dxfId="27"/>
      <tableStyleElement type="lastColumn" dxfId="26"/>
      <tableStyleElement type="firstRowStripe" dxfId="25"/>
      <tableStyleElement type="firstColumnStripe" dxfId="24"/>
    </tableStyle>
  </tableStyles>
  <colors>
    <mruColors>
      <color rgb="FFCC66FF"/>
      <color rgb="FFEBFFEB"/>
      <color rgb="FF99CCFF"/>
      <color rgb="FFFBEEC9"/>
      <color rgb="FFCCFFCC"/>
      <color rgb="FFFF9999"/>
      <color rgb="FFEFFFE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18" Type="http://schemas.microsoft.com/office/2023/09/relationships/Python" Target="pytho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microsoft.com/office/2022/11/relationships/FeaturePropertyBag" Target="featurePropertyBag/featurePropertyBag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eetMetadata" Target="metadata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Target</a:t>
            </a:r>
            <a:r>
              <a:rPr lang="en-US" baseline="0"/>
              <a:t> Course 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7950131233595801"/>
          <c:y val="0.16849555263925342"/>
          <c:w val="0.68182605815049813"/>
          <c:h val="0.63118037328667254"/>
        </c:manualLayout>
      </c:layout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RAOBF!$C$17:$C$216</c:f>
              <c:numCache>
                <c:formatCode>General</c:formatCode>
                <c:ptCount val="200"/>
                <c:pt idx="0">
                  <c:v>935.72123903134593</c:v>
                </c:pt>
                <c:pt idx="1">
                  <c:v>936.44450787378025</c:v>
                </c:pt>
                <c:pt idx="2">
                  <c:v>937.16777671621458</c:v>
                </c:pt>
                <c:pt idx="3">
                  <c:v>937.8910455586489</c:v>
                </c:pt>
                <c:pt idx="4">
                  <c:v>938.61431440108311</c:v>
                </c:pt>
                <c:pt idx="5">
                  <c:v>939.33758324351743</c:v>
                </c:pt>
                <c:pt idx="6">
                  <c:v>940.06085208595175</c:v>
                </c:pt>
                <c:pt idx="7">
                  <c:v>940.78412092838607</c:v>
                </c:pt>
                <c:pt idx="8">
                  <c:v>941.5073897708204</c:v>
                </c:pt>
                <c:pt idx="9">
                  <c:v>942.23065861325472</c:v>
                </c:pt>
                <c:pt idx="10">
                  <c:v>942.95392745568893</c:v>
                </c:pt>
                <c:pt idx="11">
                  <c:v>943.67719629812325</c:v>
                </c:pt>
                <c:pt idx="12">
                  <c:v>944.40046514055757</c:v>
                </c:pt>
                <c:pt idx="13">
                  <c:v>945.12373398299189</c:v>
                </c:pt>
                <c:pt idx="14">
                  <c:v>945.84700282542622</c:v>
                </c:pt>
                <c:pt idx="15">
                  <c:v>946.57027166786054</c:v>
                </c:pt>
                <c:pt idx="16">
                  <c:v>947.29354051029486</c:v>
                </c:pt>
                <c:pt idx="17">
                  <c:v>948.01680935272907</c:v>
                </c:pt>
                <c:pt idx="18">
                  <c:v>948.74007819516339</c:v>
                </c:pt>
                <c:pt idx="19">
                  <c:v>949.46334703759771</c:v>
                </c:pt>
                <c:pt idx="20">
                  <c:v>950.18661588003204</c:v>
                </c:pt>
                <c:pt idx="21">
                  <c:v>950.90988472246636</c:v>
                </c:pt>
                <c:pt idx="22">
                  <c:v>951.63315356490068</c:v>
                </c:pt>
                <c:pt idx="23">
                  <c:v>952.35642240733489</c:v>
                </c:pt>
                <c:pt idx="24">
                  <c:v>953.07969124976921</c:v>
                </c:pt>
                <c:pt idx="25">
                  <c:v>953.80296009220353</c:v>
                </c:pt>
                <c:pt idx="26">
                  <c:v>954.52622893463786</c:v>
                </c:pt>
                <c:pt idx="27">
                  <c:v>955.24949777707218</c:v>
                </c:pt>
                <c:pt idx="28">
                  <c:v>955.9727666195065</c:v>
                </c:pt>
                <c:pt idx="29">
                  <c:v>956.69603546194082</c:v>
                </c:pt>
                <c:pt idx="30">
                  <c:v>957.41930430437503</c:v>
                </c:pt>
                <c:pt idx="31">
                  <c:v>958.14257314680935</c:v>
                </c:pt>
                <c:pt idx="32">
                  <c:v>958.86584198924368</c:v>
                </c:pt>
                <c:pt idx="33">
                  <c:v>959.589110831678</c:v>
                </c:pt>
                <c:pt idx="34">
                  <c:v>960.31237967411232</c:v>
                </c:pt>
                <c:pt idx="35">
                  <c:v>961.03564851654653</c:v>
                </c:pt>
                <c:pt idx="36">
                  <c:v>961.75891735898097</c:v>
                </c:pt>
                <c:pt idx="37">
                  <c:v>962.48218620141517</c:v>
                </c:pt>
                <c:pt idx="38">
                  <c:v>963.20545504384961</c:v>
                </c:pt>
                <c:pt idx="39">
                  <c:v>963.92872388628382</c:v>
                </c:pt>
                <c:pt idx="40">
                  <c:v>964.65199272871803</c:v>
                </c:pt>
                <c:pt idx="41">
                  <c:v>965.37526157115246</c:v>
                </c:pt>
                <c:pt idx="42">
                  <c:v>966.09853041358667</c:v>
                </c:pt>
                <c:pt idx="43">
                  <c:v>966.82179925602111</c:v>
                </c:pt>
                <c:pt idx="44">
                  <c:v>967.54506809845532</c:v>
                </c:pt>
                <c:pt idx="45">
                  <c:v>968.26833694088975</c:v>
                </c:pt>
                <c:pt idx="46">
                  <c:v>968.99160578332396</c:v>
                </c:pt>
                <c:pt idx="47">
                  <c:v>969.71487462575817</c:v>
                </c:pt>
                <c:pt idx="48">
                  <c:v>970.43814346819261</c:v>
                </c:pt>
                <c:pt idx="49">
                  <c:v>971.16141231062682</c:v>
                </c:pt>
                <c:pt idx="50">
                  <c:v>971.88468115306125</c:v>
                </c:pt>
                <c:pt idx="51">
                  <c:v>972.60794999549546</c:v>
                </c:pt>
                <c:pt idx="52">
                  <c:v>973.3312188379299</c:v>
                </c:pt>
                <c:pt idx="53">
                  <c:v>974.0544876803641</c:v>
                </c:pt>
                <c:pt idx="54">
                  <c:v>974.77775652279831</c:v>
                </c:pt>
                <c:pt idx="55">
                  <c:v>975.50102536523275</c:v>
                </c:pt>
                <c:pt idx="56">
                  <c:v>976.22429420766696</c:v>
                </c:pt>
                <c:pt idx="57">
                  <c:v>976.94756305010139</c:v>
                </c:pt>
                <c:pt idx="58">
                  <c:v>977.6708318925356</c:v>
                </c:pt>
                <c:pt idx="59">
                  <c:v>978.39410073496981</c:v>
                </c:pt>
                <c:pt idx="60">
                  <c:v>979.11736957740425</c:v>
                </c:pt>
                <c:pt idx="61">
                  <c:v>979.84063841983846</c:v>
                </c:pt>
                <c:pt idx="62">
                  <c:v>980.56390726227289</c:v>
                </c:pt>
                <c:pt idx="63">
                  <c:v>981.2871761047071</c:v>
                </c:pt>
                <c:pt idx="64">
                  <c:v>982.01044494714154</c:v>
                </c:pt>
                <c:pt idx="65">
                  <c:v>982.73371378957575</c:v>
                </c:pt>
                <c:pt idx="66">
                  <c:v>983.45698263200995</c:v>
                </c:pt>
                <c:pt idx="67">
                  <c:v>984.18025147444439</c:v>
                </c:pt>
                <c:pt idx="68">
                  <c:v>984.9035203168786</c:v>
                </c:pt>
                <c:pt idx="69">
                  <c:v>985.62678915931303</c:v>
                </c:pt>
                <c:pt idx="70">
                  <c:v>986.35005800174724</c:v>
                </c:pt>
                <c:pt idx="71">
                  <c:v>987.07332684418168</c:v>
                </c:pt>
                <c:pt idx="72">
                  <c:v>987.79659568661589</c:v>
                </c:pt>
                <c:pt idx="73">
                  <c:v>988.5198645290501</c:v>
                </c:pt>
                <c:pt idx="74">
                  <c:v>989.24313337148453</c:v>
                </c:pt>
                <c:pt idx="75">
                  <c:v>989.96640221391874</c:v>
                </c:pt>
                <c:pt idx="76">
                  <c:v>990.68967105635318</c:v>
                </c:pt>
                <c:pt idx="77">
                  <c:v>991.41293989878739</c:v>
                </c:pt>
                <c:pt idx="78">
                  <c:v>992.13620874122182</c:v>
                </c:pt>
                <c:pt idx="79">
                  <c:v>992.85947758365603</c:v>
                </c:pt>
                <c:pt idx="80">
                  <c:v>993.58274642609024</c:v>
                </c:pt>
                <c:pt idx="81">
                  <c:v>994.30601526852467</c:v>
                </c:pt>
                <c:pt idx="82">
                  <c:v>995.02928411095888</c:v>
                </c:pt>
                <c:pt idx="83">
                  <c:v>995.75255295339332</c:v>
                </c:pt>
                <c:pt idx="84">
                  <c:v>996.47582179582753</c:v>
                </c:pt>
                <c:pt idx="85">
                  <c:v>997.19909063826174</c:v>
                </c:pt>
                <c:pt idx="86">
                  <c:v>997.92235948069617</c:v>
                </c:pt>
                <c:pt idx="87">
                  <c:v>998.64562832313038</c:v>
                </c:pt>
                <c:pt idx="88">
                  <c:v>999.36889716556482</c:v>
                </c:pt>
                <c:pt idx="89">
                  <c:v>1000.092166007999</c:v>
                </c:pt>
                <c:pt idx="90">
                  <c:v>1000.8154348504335</c:v>
                </c:pt>
                <c:pt idx="91">
                  <c:v>1001.5387036928677</c:v>
                </c:pt>
                <c:pt idx="92">
                  <c:v>1002.2619725353019</c:v>
                </c:pt>
                <c:pt idx="93">
                  <c:v>1002.9852413777363</c:v>
                </c:pt>
                <c:pt idx="94">
                  <c:v>1003.7085102201705</c:v>
                </c:pt>
                <c:pt idx="95">
                  <c:v>1004.431779062605</c:v>
                </c:pt>
                <c:pt idx="96">
                  <c:v>1005.1550479050392</c:v>
                </c:pt>
                <c:pt idx="97">
                  <c:v>1005.8783167474736</c:v>
                </c:pt>
                <c:pt idx="98">
                  <c:v>1006.6015855899078</c:v>
                </c:pt>
                <c:pt idx="99">
                  <c:v>1007.324854432342</c:v>
                </c:pt>
                <c:pt idx="100">
                  <c:v>1008.0481232747765</c:v>
                </c:pt>
                <c:pt idx="101">
                  <c:v>1008.7713921172107</c:v>
                </c:pt>
                <c:pt idx="102">
                  <c:v>1009.4946609596451</c:v>
                </c:pt>
                <c:pt idx="103">
                  <c:v>1010.2179298020793</c:v>
                </c:pt>
                <c:pt idx="104">
                  <c:v>1010.9411986445137</c:v>
                </c:pt>
                <c:pt idx="105">
                  <c:v>1011.664467486948</c:v>
                </c:pt>
                <c:pt idx="106">
                  <c:v>1012.3877363293822</c:v>
                </c:pt>
                <c:pt idx="107">
                  <c:v>1013.1110051718166</c:v>
                </c:pt>
                <c:pt idx="108">
                  <c:v>1013.8342740142508</c:v>
                </c:pt>
                <c:pt idx="109">
                  <c:v>1014.5575428566852</c:v>
                </c:pt>
                <c:pt idx="110">
                  <c:v>1015.2808116991195</c:v>
                </c:pt>
                <c:pt idx="111">
                  <c:v>1016.0040805415537</c:v>
                </c:pt>
                <c:pt idx="112">
                  <c:v>1016.7273493839881</c:v>
                </c:pt>
                <c:pt idx="113">
                  <c:v>1017.4506182264223</c:v>
                </c:pt>
                <c:pt idx="114">
                  <c:v>1018.1738870688567</c:v>
                </c:pt>
                <c:pt idx="115">
                  <c:v>1018.897155911291</c:v>
                </c:pt>
                <c:pt idx="116">
                  <c:v>1019.6204247537254</c:v>
                </c:pt>
                <c:pt idx="117">
                  <c:v>1020.3436935961596</c:v>
                </c:pt>
                <c:pt idx="118">
                  <c:v>1021.0669624385938</c:v>
                </c:pt>
                <c:pt idx="119">
                  <c:v>1021.7902312810282</c:v>
                </c:pt>
                <c:pt idx="120">
                  <c:v>1022.5135001234624</c:v>
                </c:pt>
                <c:pt idx="121">
                  <c:v>1023.2367689658969</c:v>
                </c:pt>
                <c:pt idx="122">
                  <c:v>1023.9600378083311</c:v>
                </c:pt>
                <c:pt idx="123">
                  <c:v>1024.6833066507656</c:v>
                </c:pt>
                <c:pt idx="124">
                  <c:v>1025.4065754931999</c:v>
                </c:pt>
                <c:pt idx="125">
                  <c:v>1026.1298443356341</c:v>
                </c:pt>
                <c:pt idx="126">
                  <c:v>1026.8531131780685</c:v>
                </c:pt>
                <c:pt idx="127">
                  <c:v>1027.5763820205027</c:v>
                </c:pt>
                <c:pt idx="128">
                  <c:v>1028.2996508629371</c:v>
                </c:pt>
                <c:pt idx="129">
                  <c:v>1029.0229197053714</c:v>
                </c:pt>
                <c:pt idx="130">
                  <c:v>1029.7461885478058</c:v>
                </c:pt>
                <c:pt idx="131">
                  <c:v>1030.46945739024</c:v>
                </c:pt>
                <c:pt idx="132">
                  <c:v>1031.1927262326742</c:v>
                </c:pt>
                <c:pt idx="133">
                  <c:v>1031.9159950751086</c:v>
                </c:pt>
                <c:pt idx="134">
                  <c:v>1032.6392639175428</c:v>
                </c:pt>
                <c:pt idx="135">
                  <c:v>1033.3625327599773</c:v>
                </c:pt>
                <c:pt idx="136">
                  <c:v>1034.0858016024115</c:v>
                </c:pt>
                <c:pt idx="137">
                  <c:v>1034.8090704448459</c:v>
                </c:pt>
                <c:pt idx="138">
                  <c:v>1035.5323392872801</c:v>
                </c:pt>
                <c:pt idx="139">
                  <c:v>1036.2556081297143</c:v>
                </c:pt>
                <c:pt idx="140">
                  <c:v>1036.9788769721488</c:v>
                </c:pt>
                <c:pt idx="141">
                  <c:v>1037.702145814583</c:v>
                </c:pt>
                <c:pt idx="142">
                  <c:v>1038.4254146570174</c:v>
                </c:pt>
                <c:pt idx="143">
                  <c:v>1039.1486834994516</c:v>
                </c:pt>
                <c:pt idx="144">
                  <c:v>1039.8719523418858</c:v>
                </c:pt>
                <c:pt idx="145">
                  <c:v>1040.5952211843203</c:v>
                </c:pt>
                <c:pt idx="146">
                  <c:v>1041.3184900267545</c:v>
                </c:pt>
                <c:pt idx="147">
                  <c:v>1042.0417588691889</c:v>
                </c:pt>
                <c:pt idx="148">
                  <c:v>1042.7650277116231</c:v>
                </c:pt>
                <c:pt idx="149">
                  <c:v>1043.4882965540576</c:v>
                </c:pt>
                <c:pt idx="150">
                  <c:v>1044.2115653964918</c:v>
                </c:pt>
                <c:pt idx="151">
                  <c:v>1044.934834238926</c:v>
                </c:pt>
                <c:pt idx="152">
                  <c:v>1045.6581030813604</c:v>
                </c:pt>
                <c:pt idx="153">
                  <c:v>1046.3813719237946</c:v>
                </c:pt>
                <c:pt idx="154">
                  <c:v>1047.1046407662291</c:v>
                </c:pt>
                <c:pt idx="155">
                  <c:v>1047.8279096086633</c:v>
                </c:pt>
                <c:pt idx="156">
                  <c:v>1048.5511784510977</c:v>
                </c:pt>
                <c:pt idx="157">
                  <c:v>1049.2744472935319</c:v>
                </c:pt>
                <c:pt idx="158">
                  <c:v>1049.9977161359661</c:v>
                </c:pt>
                <c:pt idx="159">
                  <c:v>1050.7209849784006</c:v>
                </c:pt>
                <c:pt idx="160">
                  <c:v>1051.4442538208348</c:v>
                </c:pt>
                <c:pt idx="161">
                  <c:v>1052.1675226632692</c:v>
                </c:pt>
                <c:pt idx="162">
                  <c:v>1052.8907915057034</c:v>
                </c:pt>
                <c:pt idx="163">
                  <c:v>1053.6140603481376</c:v>
                </c:pt>
                <c:pt idx="164">
                  <c:v>1054.3373291905721</c:v>
                </c:pt>
                <c:pt idx="165">
                  <c:v>1055.0605980330063</c:v>
                </c:pt>
                <c:pt idx="166">
                  <c:v>1055.7838668754407</c:v>
                </c:pt>
                <c:pt idx="167">
                  <c:v>1056.5071357178749</c:v>
                </c:pt>
                <c:pt idx="168">
                  <c:v>1057.2304045603094</c:v>
                </c:pt>
                <c:pt idx="169">
                  <c:v>1057.9536734027436</c:v>
                </c:pt>
                <c:pt idx="170">
                  <c:v>1058.6769422451778</c:v>
                </c:pt>
                <c:pt idx="171">
                  <c:v>1059.4002110876122</c:v>
                </c:pt>
                <c:pt idx="172">
                  <c:v>1060.1234799300464</c:v>
                </c:pt>
                <c:pt idx="173">
                  <c:v>1060.8467487724809</c:v>
                </c:pt>
                <c:pt idx="174">
                  <c:v>1061.5700176149151</c:v>
                </c:pt>
                <c:pt idx="175">
                  <c:v>1062.2932864573495</c:v>
                </c:pt>
                <c:pt idx="176">
                  <c:v>1063.0165552997837</c:v>
                </c:pt>
                <c:pt idx="177">
                  <c:v>1063.7398241422179</c:v>
                </c:pt>
                <c:pt idx="178">
                  <c:v>1064.4630929846523</c:v>
                </c:pt>
                <c:pt idx="179">
                  <c:v>1065.1863618270866</c:v>
                </c:pt>
                <c:pt idx="180">
                  <c:v>1065.909630669521</c:v>
                </c:pt>
                <c:pt idx="181">
                  <c:v>1066.6328995119552</c:v>
                </c:pt>
                <c:pt idx="182">
                  <c:v>1067.3561683543894</c:v>
                </c:pt>
                <c:pt idx="183">
                  <c:v>1068.0794371968238</c:v>
                </c:pt>
                <c:pt idx="184">
                  <c:v>1068.8027060392581</c:v>
                </c:pt>
                <c:pt idx="185">
                  <c:v>1069.5259748816925</c:v>
                </c:pt>
                <c:pt idx="186">
                  <c:v>1070.2492437241267</c:v>
                </c:pt>
                <c:pt idx="187">
                  <c:v>1070.9725125665611</c:v>
                </c:pt>
                <c:pt idx="188">
                  <c:v>1071.6957814089953</c:v>
                </c:pt>
                <c:pt idx="189">
                  <c:v>1072.4190502514298</c:v>
                </c:pt>
                <c:pt idx="190">
                  <c:v>1073.142319093864</c:v>
                </c:pt>
                <c:pt idx="191">
                  <c:v>1073.8655879362982</c:v>
                </c:pt>
                <c:pt idx="192">
                  <c:v>1074.5888567787326</c:v>
                </c:pt>
                <c:pt idx="193">
                  <c:v>1075.3121256211668</c:v>
                </c:pt>
                <c:pt idx="194">
                  <c:v>1076.0353944636013</c:v>
                </c:pt>
                <c:pt idx="195">
                  <c:v>1076.7586633060355</c:v>
                </c:pt>
                <c:pt idx="196">
                  <c:v>1077.4819321484697</c:v>
                </c:pt>
                <c:pt idx="197">
                  <c:v>1078.2052009909041</c:v>
                </c:pt>
                <c:pt idx="198">
                  <c:v>1078.9284698333383</c:v>
                </c:pt>
                <c:pt idx="199">
                  <c:v>1079.6517386757728</c:v>
                </c:pt>
              </c:numCache>
            </c:numRef>
          </c:xVal>
          <c:yVal>
            <c:numRef>
              <c:f>RAOBF!$D$17:$D$216</c:f>
              <c:numCache>
                <c:formatCode>General</c:formatCode>
                <c:ptCount val="200"/>
                <c:pt idx="0">
                  <c:v>1655.4463632569796</c:v>
                </c:pt>
                <c:pt idx="1">
                  <c:v>1656.3083214983621</c:v>
                </c:pt>
                <c:pt idx="2">
                  <c:v>1657.1702797397447</c:v>
                </c:pt>
                <c:pt idx="3">
                  <c:v>1658.0322379811271</c:v>
                </c:pt>
                <c:pt idx="4">
                  <c:v>1658.8941962225097</c:v>
                </c:pt>
                <c:pt idx="5">
                  <c:v>1659.7561544638922</c:v>
                </c:pt>
                <c:pt idx="6">
                  <c:v>1660.6181127052748</c:v>
                </c:pt>
                <c:pt idx="7">
                  <c:v>1661.4800709466574</c:v>
                </c:pt>
                <c:pt idx="8">
                  <c:v>1662.3420291880398</c:v>
                </c:pt>
                <c:pt idx="9">
                  <c:v>1663.2039874294223</c:v>
                </c:pt>
                <c:pt idx="10">
                  <c:v>1664.0659456708049</c:v>
                </c:pt>
                <c:pt idx="11">
                  <c:v>1664.9279039121875</c:v>
                </c:pt>
                <c:pt idx="12">
                  <c:v>1665.7898621535701</c:v>
                </c:pt>
                <c:pt idx="13">
                  <c:v>1666.6518203949527</c:v>
                </c:pt>
                <c:pt idx="14">
                  <c:v>1667.513778636335</c:v>
                </c:pt>
                <c:pt idx="15">
                  <c:v>1668.3757368777176</c:v>
                </c:pt>
                <c:pt idx="16">
                  <c:v>1669.2376951191002</c:v>
                </c:pt>
                <c:pt idx="17">
                  <c:v>1670.0996533604828</c:v>
                </c:pt>
                <c:pt idx="18">
                  <c:v>1670.9616116018653</c:v>
                </c:pt>
                <c:pt idx="19">
                  <c:v>1671.8235698432477</c:v>
                </c:pt>
                <c:pt idx="20">
                  <c:v>1672.6855280846303</c:v>
                </c:pt>
                <c:pt idx="21">
                  <c:v>1673.5474863260129</c:v>
                </c:pt>
                <c:pt idx="22">
                  <c:v>1674.4094445673954</c:v>
                </c:pt>
                <c:pt idx="23">
                  <c:v>1675.271402808778</c:v>
                </c:pt>
                <c:pt idx="24">
                  <c:v>1676.1333610501604</c:v>
                </c:pt>
                <c:pt idx="25">
                  <c:v>1676.995319291543</c:v>
                </c:pt>
                <c:pt idx="26">
                  <c:v>1677.8572775329255</c:v>
                </c:pt>
                <c:pt idx="27">
                  <c:v>1678.7192357743081</c:v>
                </c:pt>
                <c:pt idx="28">
                  <c:v>1679.5811940156907</c:v>
                </c:pt>
                <c:pt idx="29">
                  <c:v>1680.4431522570733</c:v>
                </c:pt>
                <c:pt idx="30">
                  <c:v>1681.3051104984556</c:v>
                </c:pt>
                <c:pt idx="31">
                  <c:v>1682.1670687398382</c:v>
                </c:pt>
                <c:pt idx="32">
                  <c:v>1683.0290269812208</c:v>
                </c:pt>
                <c:pt idx="33">
                  <c:v>1683.8909852226034</c:v>
                </c:pt>
                <c:pt idx="34">
                  <c:v>1684.752943463986</c:v>
                </c:pt>
                <c:pt idx="35">
                  <c:v>1685.6149017053683</c:v>
                </c:pt>
                <c:pt idx="36">
                  <c:v>1686.4768599467509</c:v>
                </c:pt>
                <c:pt idx="37">
                  <c:v>1687.3388181881335</c:v>
                </c:pt>
                <c:pt idx="38">
                  <c:v>1688.2007764295161</c:v>
                </c:pt>
                <c:pt idx="39">
                  <c:v>1689.0627346708986</c:v>
                </c:pt>
                <c:pt idx="40">
                  <c:v>1689.924692912281</c:v>
                </c:pt>
                <c:pt idx="41">
                  <c:v>1690.7866511536636</c:v>
                </c:pt>
                <c:pt idx="42">
                  <c:v>1691.6486093950462</c:v>
                </c:pt>
                <c:pt idx="43">
                  <c:v>1692.5105676364287</c:v>
                </c:pt>
                <c:pt idx="44">
                  <c:v>1693.3725258778113</c:v>
                </c:pt>
                <c:pt idx="45">
                  <c:v>1694.2344841191939</c:v>
                </c:pt>
                <c:pt idx="46">
                  <c:v>1695.0964423605762</c:v>
                </c:pt>
                <c:pt idx="47">
                  <c:v>1695.9584006019588</c:v>
                </c:pt>
                <c:pt idx="48">
                  <c:v>1696.8203588433414</c:v>
                </c:pt>
                <c:pt idx="49">
                  <c:v>1697.682317084724</c:v>
                </c:pt>
                <c:pt idx="50">
                  <c:v>1698.5442753261066</c:v>
                </c:pt>
                <c:pt idx="51">
                  <c:v>1699.4062335674889</c:v>
                </c:pt>
                <c:pt idx="52">
                  <c:v>1700.2681918088715</c:v>
                </c:pt>
                <c:pt idx="53">
                  <c:v>1701.1301500502541</c:v>
                </c:pt>
                <c:pt idx="54">
                  <c:v>1701.9921082916367</c:v>
                </c:pt>
                <c:pt idx="55">
                  <c:v>1702.8540665330192</c:v>
                </c:pt>
                <c:pt idx="56">
                  <c:v>1703.7160247744016</c:v>
                </c:pt>
                <c:pt idx="57">
                  <c:v>1704.5779830157842</c:v>
                </c:pt>
                <c:pt idx="58">
                  <c:v>1705.4399412571668</c:v>
                </c:pt>
                <c:pt idx="59">
                  <c:v>1706.3018994985493</c:v>
                </c:pt>
                <c:pt idx="60">
                  <c:v>1707.1638577399319</c:v>
                </c:pt>
                <c:pt idx="61">
                  <c:v>1708.0258159813145</c:v>
                </c:pt>
                <c:pt idx="62">
                  <c:v>1708.8877742226969</c:v>
                </c:pt>
                <c:pt idx="63">
                  <c:v>1709.7497324640794</c:v>
                </c:pt>
                <c:pt idx="64">
                  <c:v>1710.611690705462</c:v>
                </c:pt>
                <c:pt idx="65">
                  <c:v>1711.4736489468446</c:v>
                </c:pt>
                <c:pt idx="66">
                  <c:v>1712.3356071882272</c:v>
                </c:pt>
                <c:pt idx="67">
                  <c:v>1713.1975654296095</c:v>
                </c:pt>
                <c:pt idx="68">
                  <c:v>1714.0595236709921</c:v>
                </c:pt>
                <c:pt idx="69">
                  <c:v>1714.9214819123747</c:v>
                </c:pt>
                <c:pt idx="70">
                  <c:v>1715.7834401537573</c:v>
                </c:pt>
                <c:pt idx="71">
                  <c:v>1716.6453983951399</c:v>
                </c:pt>
                <c:pt idx="72">
                  <c:v>1717.5073566365222</c:v>
                </c:pt>
                <c:pt idx="73">
                  <c:v>1718.3693148779048</c:v>
                </c:pt>
                <c:pt idx="74">
                  <c:v>1719.2312731192874</c:v>
                </c:pt>
                <c:pt idx="75">
                  <c:v>1720.09323136067</c:v>
                </c:pt>
                <c:pt idx="76">
                  <c:v>1720.9551896020525</c:v>
                </c:pt>
                <c:pt idx="77">
                  <c:v>1721.8171478434349</c:v>
                </c:pt>
                <c:pt idx="78">
                  <c:v>1722.6791060848175</c:v>
                </c:pt>
                <c:pt idx="79">
                  <c:v>1723.5410643262001</c:v>
                </c:pt>
                <c:pt idx="80">
                  <c:v>1724.4030225675826</c:v>
                </c:pt>
                <c:pt idx="81">
                  <c:v>1725.2649808089652</c:v>
                </c:pt>
                <c:pt idx="82">
                  <c:v>1726.1269390503478</c:v>
                </c:pt>
                <c:pt idx="83">
                  <c:v>1726.9888972917302</c:v>
                </c:pt>
                <c:pt idx="84">
                  <c:v>1727.8508555331127</c:v>
                </c:pt>
                <c:pt idx="85">
                  <c:v>1728.7128137744953</c:v>
                </c:pt>
                <c:pt idx="86">
                  <c:v>1729.5747720158779</c:v>
                </c:pt>
                <c:pt idx="87">
                  <c:v>1730.4367302572605</c:v>
                </c:pt>
                <c:pt idx="88">
                  <c:v>1731.2986884986428</c:v>
                </c:pt>
                <c:pt idx="89">
                  <c:v>1732.1606467400254</c:v>
                </c:pt>
                <c:pt idx="90">
                  <c:v>1733.022604981408</c:v>
                </c:pt>
                <c:pt idx="91">
                  <c:v>1733.8845632227906</c:v>
                </c:pt>
                <c:pt idx="92">
                  <c:v>1734.7465214641732</c:v>
                </c:pt>
                <c:pt idx="93">
                  <c:v>1735.6084797055557</c:v>
                </c:pt>
                <c:pt idx="94">
                  <c:v>1736.4704379469381</c:v>
                </c:pt>
                <c:pt idx="95">
                  <c:v>1737.3323961883207</c:v>
                </c:pt>
                <c:pt idx="96">
                  <c:v>1738.1943544297033</c:v>
                </c:pt>
                <c:pt idx="97">
                  <c:v>1739.0563126710858</c:v>
                </c:pt>
                <c:pt idx="98">
                  <c:v>1739.9182709124684</c:v>
                </c:pt>
                <c:pt idx="99">
                  <c:v>1740.7802291538508</c:v>
                </c:pt>
                <c:pt idx="100">
                  <c:v>1741.6421873952333</c:v>
                </c:pt>
                <c:pt idx="101">
                  <c:v>1742.5041456366159</c:v>
                </c:pt>
                <c:pt idx="102">
                  <c:v>1743.3661038779985</c:v>
                </c:pt>
                <c:pt idx="103">
                  <c:v>1744.2280621193811</c:v>
                </c:pt>
                <c:pt idx="104">
                  <c:v>1745.0900203607634</c:v>
                </c:pt>
                <c:pt idx="105">
                  <c:v>1745.951978602146</c:v>
                </c:pt>
                <c:pt idx="106">
                  <c:v>1746.8139368435286</c:v>
                </c:pt>
                <c:pt idx="107">
                  <c:v>1747.6758950849112</c:v>
                </c:pt>
                <c:pt idx="108">
                  <c:v>1748.5378533262938</c:v>
                </c:pt>
                <c:pt idx="109">
                  <c:v>1749.3998115676761</c:v>
                </c:pt>
                <c:pt idx="110">
                  <c:v>1750.2617698090587</c:v>
                </c:pt>
                <c:pt idx="111">
                  <c:v>1751.1237280504413</c:v>
                </c:pt>
                <c:pt idx="112">
                  <c:v>1751.9856862918239</c:v>
                </c:pt>
                <c:pt idx="113">
                  <c:v>1752.8476445332064</c:v>
                </c:pt>
                <c:pt idx="114">
                  <c:v>1753.709602774589</c:v>
                </c:pt>
                <c:pt idx="115">
                  <c:v>1754.5715610159714</c:v>
                </c:pt>
                <c:pt idx="116">
                  <c:v>1755.433519257354</c:v>
                </c:pt>
                <c:pt idx="117">
                  <c:v>1756.2954774987365</c:v>
                </c:pt>
                <c:pt idx="118">
                  <c:v>1757.1574357401191</c:v>
                </c:pt>
                <c:pt idx="119">
                  <c:v>1758.0193939815017</c:v>
                </c:pt>
                <c:pt idx="120">
                  <c:v>1758.8813522228841</c:v>
                </c:pt>
                <c:pt idx="121">
                  <c:v>1759.7433104642666</c:v>
                </c:pt>
                <c:pt idx="122">
                  <c:v>1760.6052687056492</c:v>
                </c:pt>
                <c:pt idx="123">
                  <c:v>1761.4672269470318</c:v>
                </c:pt>
                <c:pt idx="124">
                  <c:v>1762.3291851884144</c:v>
                </c:pt>
                <c:pt idx="125">
                  <c:v>1763.191143429797</c:v>
                </c:pt>
                <c:pt idx="126">
                  <c:v>1764.0531016711793</c:v>
                </c:pt>
                <c:pt idx="127">
                  <c:v>1764.9150599125619</c:v>
                </c:pt>
                <c:pt idx="128">
                  <c:v>1765.7770181539445</c:v>
                </c:pt>
                <c:pt idx="129">
                  <c:v>1766.6389763953271</c:v>
                </c:pt>
                <c:pt idx="130">
                  <c:v>1767.5009346367096</c:v>
                </c:pt>
                <c:pt idx="131">
                  <c:v>1768.362892878092</c:v>
                </c:pt>
                <c:pt idx="132">
                  <c:v>1769.2248511194746</c:v>
                </c:pt>
                <c:pt idx="133">
                  <c:v>1770.0868093608572</c:v>
                </c:pt>
                <c:pt idx="134">
                  <c:v>1770.9487676022397</c:v>
                </c:pt>
                <c:pt idx="135">
                  <c:v>1771.8107258436223</c:v>
                </c:pt>
                <c:pt idx="136">
                  <c:v>1772.6726840850047</c:v>
                </c:pt>
                <c:pt idx="137">
                  <c:v>1773.5346423263873</c:v>
                </c:pt>
                <c:pt idx="138">
                  <c:v>1774.3966005677698</c:v>
                </c:pt>
                <c:pt idx="139">
                  <c:v>1775.2585588091524</c:v>
                </c:pt>
                <c:pt idx="140">
                  <c:v>1776.120517050535</c:v>
                </c:pt>
                <c:pt idx="141">
                  <c:v>1776.9824752919174</c:v>
                </c:pt>
                <c:pt idx="142">
                  <c:v>1777.8444335332999</c:v>
                </c:pt>
                <c:pt idx="143">
                  <c:v>1778.7063917746825</c:v>
                </c:pt>
                <c:pt idx="144">
                  <c:v>1779.5683500160651</c:v>
                </c:pt>
                <c:pt idx="145">
                  <c:v>1780.4303082574477</c:v>
                </c:pt>
                <c:pt idx="146">
                  <c:v>1781.2922664988303</c:v>
                </c:pt>
                <c:pt idx="147">
                  <c:v>1782.1542247402126</c:v>
                </c:pt>
                <c:pt idx="148">
                  <c:v>1783.0161829815952</c:v>
                </c:pt>
                <c:pt idx="149">
                  <c:v>1783.8781412229778</c:v>
                </c:pt>
                <c:pt idx="150">
                  <c:v>1784.7400994643604</c:v>
                </c:pt>
                <c:pt idx="151">
                  <c:v>1785.6020577057429</c:v>
                </c:pt>
                <c:pt idx="152">
                  <c:v>1786.4640159471253</c:v>
                </c:pt>
                <c:pt idx="153">
                  <c:v>1787.3259741885079</c:v>
                </c:pt>
                <c:pt idx="154">
                  <c:v>1788.1879324298905</c:v>
                </c:pt>
                <c:pt idx="155">
                  <c:v>1789.049890671273</c:v>
                </c:pt>
                <c:pt idx="156">
                  <c:v>1789.9118489126556</c:v>
                </c:pt>
                <c:pt idx="157">
                  <c:v>1790.7738071540382</c:v>
                </c:pt>
                <c:pt idx="158">
                  <c:v>1791.6357653954205</c:v>
                </c:pt>
                <c:pt idx="159">
                  <c:v>1792.4977236368031</c:v>
                </c:pt>
                <c:pt idx="160">
                  <c:v>1793.3596818781857</c:v>
                </c:pt>
                <c:pt idx="161">
                  <c:v>1794.2216401195683</c:v>
                </c:pt>
                <c:pt idx="162">
                  <c:v>1795.0835983609506</c:v>
                </c:pt>
                <c:pt idx="163">
                  <c:v>1795.9455566023332</c:v>
                </c:pt>
                <c:pt idx="164">
                  <c:v>1796.8075148437158</c:v>
                </c:pt>
                <c:pt idx="165">
                  <c:v>1797.6694730850984</c:v>
                </c:pt>
                <c:pt idx="166">
                  <c:v>1798.531431326481</c:v>
                </c:pt>
                <c:pt idx="167">
                  <c:v>1799.3933895678636</c:v>
                </c:pt>
                <c:pt idx="168">
                  <c:v>1800.2553478092459</c:v>
                </c:pt>
                <c:pt idx="169">
                  <c:v>1801.1173060506285</c:v>
                </c:pt>
                <c:pt idx="170">
                  <c:v>1801.9792642920111</c:v>
                </c:pt>
                <c:pt idx="171">
                  <c:v>1802.8412225333936</c:v>
                </c:pt>
                <c:pt idx="172">
                  <c:v>1803.7031807747762</c:v>
                </c:pt>
                <c:pt idx="173">
                  <c:v>1804.5651390161586</c:v>
                </c:pt>
                <c:pt idx="174">
                  <c:v>1805.4270972575412</c:v>
                </c:pt>
                <c:pt idx="175">
                  <c:v>1806.2890554989237</c:v>
                </c:pt>
                <c:pt idx="176">
                  <c:v>1807.1510137403063</c:v>
                </c:pt>
                <c:pt idx="177">
                  <c:v>1808.0129719816889</c:v>
                </c:pt>
                <c:pt idx="178">
                  <c:v>1808.8749302230715</c:v>
                </c:pt>
                <c:pt idx="179">
                  <c:v>1809.7368884644538</c:v>
                </c:pt>
                <c:pt idx="180">
                  <c:v>1810.5988467058364</c:v>
                </c:pt>
                <c:pt idx="181">
                  <c:v>1811.460804947219</c:v>
                </c:pt>
                <c:pt idx="182">
                  <c:v>1812.3227631886016</c:v>
                </c:pt>
                <c:pt idx="183">
                  <c:v>1813.1847214299842</c:v>
                </c:pt>
                <c:pt idx="184">
                  <c:v>1814.0466796713665</c:v>
                </c:pt>
                <c:pt idx="185">
                  <c:v>1814.9086379127491</c:v>
                </c:pt>
                <c:pt idx="186">
                  <c:v>1815.7705961541317</c:v>
                </c:pt>
                <c:pt idx="187">
                  <c:v>1816.6325543955143</c:v>
                </c:pt>
                <c:pt idx="188">
                  <c:v>1817.4945126368968</c:v>
                </c:pt>
                <c:pt idx="189">
                  <c:v>1818.3564708782794</c:v>
                </c:pt>
                <c:pt idx="190">
                  <c:v>1819.2184291196618</c:v>
                </c:pt>
                <c:pt idx="191">
                  <c:v>1820.0803873610444</c:v>
                </c:pt>
                <c:pt idx="192">
                  <c:v>1820.9423456024269</c:v>
                </c:pt>
                <c:pt idx="193">
                  <c:v>1821.8043038438095</c:v>
                </c:pt>
                <c:pt idx="194">
                  <c:v>1822.6662620851919</c:v>
                </c:pt>
                <c:pt idx="195">
                  <c:v>1823.5282203265745</c:v>
                </c:pt>
                <c:pt idx="196">
                  <c:v>1824.390178567957</c:v>
                </c:pt>
                <c:pt idx="197">
                  <c:v>1825.2521368093396</c:v>
                </c:pt>
                <c:pt idx="198">
                  <c:v>1826.1140950507222</c:v>
                </c:pt>
                <c:pt idx="199">
                  <c:v>1826.9760532921048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1F-466C-BFCB-15D63CFA66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82144271"/>
        <c:axId val="1382150031"/>
      </c:scatterChart>
      <c:valAx>
        <c:axId val="1382144271"/>
        <c:scaling>
          <c:orientation val="minMax"/>
          <c:max val="200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X coordinate</a:t>
                </a:r>
              </a:p>
            </c:rich>
          </c:tx>
          <c:layout>
            <c:manualLayout>
              <c:xMode val="edge"/>
              <c:yMode val="edge"/>
              <c:x val="0.42042829369817669"/>
              <c:y val="0.8794876517260049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2150031"/>
        <c:crosses val="autoZero"/>
        <c:crossBetween val="midCat"/>
      </c:valAx>
      <c:valAx>
        <c:axId val="1382150031"/>
        <c:scaling>
          <c:orientation val="minMax"/>
          <c:max val="20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Y coordinate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214427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jpe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198120</xdr:colOff>
      <xdr:row>2</xdr:row>
      <xdr:rowOff>76200</xdr:rowOff>
    </xdr:from>
    <xdr:to>
      <xdr:col>27</xdr:col>
      <xdr:colOff>45720</xdr:colOff>
      <xdr:row>4</xdr:row>
      <xdr:rowOff>121920</xdr:rowOff>
    </xdr:to>
    <xdr:sp macro="[0]!FormatNamedArea" textlink="">
      <xdr:nvSpPr>
        <xdr:cNvPr id="4" name="Rectangle: Top Corners Rounded 3">
          <a:extLst>
            <a:ext uri="{FF2B5EF4-FFF2-40B4-BE49-F238E27FC236}">
              <a16:creationId xmlns:a16="http://schemas.microsoft.com/office/drawing/2014/main" id="{CEA684CE-E004-C6AC-51A9-B16E10A84BB1}"/>
            </a:ext>
          </a:extLst>
        </xdr:cNvPr>
        <xdr:cNvSpPr/>
      </xdr:nvSpPr>
      <xdr:spPr>
        <a:xfrm>
          <a:off x="9128760" y="411480"/>
          <a:ext cx="1066800" cy="381000"/>
        </a:xfrm>
        <a:prstGeom prst="round2Same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Format</a:t>
          </a:r>
        </a:p>
      </xdr:txBody>
    </xdr:sp>
    <xdr:clientData/>
  </xdr:twoCellAnchor>
  <xdr:oneCellAnchor>
    <xdr:from>
      <xdr:col>29</xdr:col>
      <xdr:colOff>449580</xdr:colOff>
      <xdr:row>3</xdr:row>
      <xdr:rowOff>68580</xdr:rowOff>
    </xdr:from>
    <xdr:ext cx="184731" cy="257506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80156D52-3F26-0BBE-B014-84AC42BF5393}"/>
            </a:ext>
          </a:extLst>
        </xdr:cNvPr>
        <xdr:cNvSpPr txBox="1"/>
      </xdr:nvSpPr>
      <xdr:spPr>
        <a:xfrm>
          <a:off x="118186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322</xdr:row>
          <xdr:rowOff>144780</xdr:rowOff>
        </xdr:from>
        <xdr:to>
          <xdr:col>24</xdr:col>
          <xdr:colOff>19050</xdr:colOff>
          <xdr:row>372</xdr:row>
          <xdr:rowOff>160020</xdr:rowOff>
        </xdr:to>
        <xdr:pic>
          <xdr:nvPicPr>
            <xdr:cNvPr id="8" name="Picture 7">
              <a:extLst>
                <a:ext uri="{FF2B5EF4-FFF2-40B4-BE49-F238E27FC236}">
                  <a16:creationId xmlns:a16="http://schemas.microsoft.com/office/drawing/2014/main" id="{E009A498-9B9B-0080-E1CD-90E9CD6A4F09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O$10:$X$60" spid="_x0000_s17140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343400" y="55237380"/>
              <a:ext cx="3387090" cy="839724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29</xdr:col>
      <xdr:colOff>449580</xdr:colOff>
      <xdr:row>0</xdr:row>
      <xdr:rowOff>0</xdr:rowOff>
    </xdr:from>
    <xdr:ext cx="184731" cy="257506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F1404CAB-9246-494A-A382-5C8A298CFB2C}"/>
            </a:ext>
          </a:extLst>
        </xdr:cNvPr>
        <xdr:cNvSpPr txBox="1"/>
      </xdr:nvSpPr>
      <xdr:spPr>
        <a:xfrm>
          <a:off x="112090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23</xdr:row>
          <xdr:rowOff>83820</xdr:rowOff>
        </xdr:from>
        <xdr:to>
          <xdr:col>24</xdr:col>
          <xdr:colOff>0</xdr:colOff>
          <xdr:row>41</xdr:row>
          <xdr:rowOff>34290</xdr:rowOff>
        </xdr:to>
        <xdr:pic>
          <xdr:nvPicPr>
            <xdr:cNvPr id="4" name="Picture 3">
              <a:extLst>
                <a:ext uri="{FF2B5EF4-FFF2-40B4-BE49-F238E27FC236}">
                  <a16:creationId xmlns:a16="http://schemas.microsoft.com/office/drawing/2014/main" id="{E3C74648-5700-10B2-4DFC-87C29FCAF27C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O$4:$X$10" spid="_x0000_s1473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434840" y="5189220"/>
              <a:ext cx="2415540" cy="282702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457200</xdr:colOff>
      <xdr:row>0</xdr:row>
      <xdr:rowOff>152400</xdr:rowOff>
    </xdr:from>
    <xdr:to>
      <xdr:col>13</xdr:col>
      <xdr:colOff>510540</xdr:colOff>
      <xdr:row>17</xdr:row>
      <xdr:rowOff>45720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1FE41913-335F-4CE4-83A7-2589C1F7514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119270</xdr:colOff>
      <xdr:row>38</xdr:row>
      <xdr:rowOff>139147</xdr:rowOff>
    </xdr:from>
    <xdr:to>
      <xdr:col>10</xdr:col>
      <xdr:colOff>596348</xdr:colOff>
      <xdr:row>44</xdr:row>
      <xdr:rowOff>13252</xdr:rowOff>
    </xdr:to>
    <xdr:cxnSp macro="">
      <xdr:nvCxnSpPr>
        <xdr:cNvPr id="4" name="Straight Connector 3">
          <a:extLst>
            <a:ext uri="{FF2B5EF4-FFF2-40B4-BE49-F238E27FC236}">
              <a16:creationId xmlns:a16="http://schemas.microsoft.com/office/drawing/2014/main" id="{8D1395AB-9FF2-1755-FD67-567E01F58F08}"/>
            </a:ext>
          </a:extLst>
        </xdr:cNvPr>
        <xdr:cNvCxnSpPr/>
      </xdr:nvCxnSpPr>
      <xdr:spPr>
        <a:xfrm flipH="1" flipV="1">
          <a:off x="5605670" y="6433930"/>
          <a:ext cx="1298713" cy="86801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132522</xdr:colOff>
      <xdr:row>38</xdr:row>
      <xdr:rowOff>145774</xdr:rowOff>
    </xdr:from>
    <xdr:to>
      <xdr:col>10</xdr:col>
      <xdr:colOff>602974</xdr:colOff>
      <xdr:row>39</xdr:row>
      <xdr:rowOff>13252</xdr:rowOff>
    </xdr:to>
    <xdr:cxnSp macro="">
      <xdr:nvCxnSpPr>
        <xdr:cNvPr id="6" name="Straight Connector 5">
          <a:extLst>
            <a:ext uri="{FF2B5EF4-FFF2-40B4-BE49-F238E27FC236}">
              <a16:creationId xmlns:a16="http://schemas.microsoft.com/office/drawing/2014/main" id="{9804CAFE-F7F5-D59A-0ECA-C3FE2F7CB794}"/>
            </a:ext>
          </a:extLst>
        </xdr:cNvPr>
        <xdr:cNvCxnSpPr/>
      </xdr:nvCxnSpPr>
      <xdr:spPr>
        <a:xfrm>
          <a:off x="5618922" y="6440557"/>
          <a:ext cx="1292087" cy="3313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7620</xdr:colOff>
      <xdr:row>12</xdr:row>
      <xdr:rowOff>0</xdr:rowOff>
    </xdr:from>
    <xdr:to>
      <xdr:col>18</xdr:col>
      <xdr:colOff>579120</xdr:colOff>
      <xdr:row>38</xdr:row>
      <xdr:rowOff>68580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A0D4EA5B-22F9-E235-ADC0-2CA41723C55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46020" y="2011680"/>
          <a:ext cx="9105900" cy="44272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10</xdr:col>
      <xdr:colOff>358140</xdr:colOff>
      <xdr:row>34</xdr:row>
      <xdr:rowOff>15240</xdr:rowOff>
    </xdr:from>
    <xdr:to>
      <xdr:col>11</xdr:col>
      <xdr:colOff>312420</xdr:colOff>
      <xdr:row>37</xdr:row>
      <xdr:rowOff>22860</xdr:rowOff>
    </xdr:to>
    <xdr:cxnSp macro="">
      <xdr:nvCxnSpPr>
        <xdr:cNvPr id="13" name="Straight Connector 12">
          <a:extLst>
            <a:ext uri="{FF2B5EF4-FFF2-40B4-BE49-F238E27FC236}">
              <a16:creationId xmlns:a16="http://schemas.microsoft.com/office/drawing/2014/main" id="{A52E89CB-4202-3F2C-19C2-F98F8E807BFB}"/>
            </a:ext>
          </a:extLst>
        </xdr:cNvPr>
        <xdr:cNvCxnSpPr/>
      </xdr:nvCxnSpPr>
      <xdr:spPr>
        <a:xfrm>
          <a:off x="6454140" y="5715000"/>
          <a:ext cx="563880" cy="51054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575310</xdr:colOff>
      <xdr:row>23</xdr:row>
      <xdr:rowOff>140970</xdr:rowOff>
    </xdr:from>
    <xdr:to>
      <xdr:col>11</xdr:col>
      <xdr:colOff>240030</xdr:colOff>
      <xdr:row>37</xdr:row>
      <xdr:rowOff>72390</xdr:rowOff>
    </xdr:to>
    <xdr:sp macro="" textlink="">
      <xdr:nvSpPr>
        <xdr:cNvPr id="17" name="Freeform: Shape 16">
          <a:extLst>
            <a:ext uri="{FF2B5EF4-FFF2-40B4-BE49-F238E27FC236}">
              <a16:creationId xmlns:a16="http://schemas.microsoft.com/office/drawing/2014/main" id="{5B92A665-EF03-C00F-9B04-16C05361EA0E}"/>
            </a:ext>
          </a:extLst>
        </xdr:cNvPr>
        <xdr:cNvSpPr/>
      </xdr:nvSpPr>
      <xdr:spPr>
        <a:xfrm rot="5400000">
          <a:off x="4450080" y="3779520"/>
          <a:ext cx="2278380" cy="2712720"/>
        </a:xfrm>
        <a:custGeom>
          <a:avLst/>
          <a:gdLst>
            <a:gd name="csX0" fmla="*/ 0 w 2278380"/>
            <a:gd name="csY0" fmla="*/ 2209800 h 2712720"/>
            <a:gd name="csX1" fmla="*/ 533400 w 2278380"/>
            <a:gd name="csY1" fmla="*/ 1684020 h 2712720"/>
            <a:gd name="csX2" fmla="*/ 15240 w 2278380"/>
            <a:gd name="csY2" fmla="*/ 1089660 h 2712720"/>
            <a:gd name="csX3" fmla="*/ 1188720 w 2278380"/>
            <a:gd name="csY3" fmla="*/ 0 h 2712720"/>
            <a:gd name="csX4" fmla="*/ 2278380 w 2278380"/>
            <a:gd name="csY4" fmla="*/ 1089660 h 2712720"/>
            <a:gd name="csX5" fmla="*/ 1714500 w 2278380"/>
            <a:gd name="csY5" fmla="*/ 1638300 h 2712720"/>
            <a:gd name="csX6" fmla="*/ 2209800 w 2278380"/>
            <a:gd name="csY6" fmla="*/ 2209800 h 2712720"/>
            <a:gd name="csX7" fmla="*/ 1676400 w 2278380"/>
            <a:gd name="csY7" fmla="*/ 2712720 h 2712720"/>
            <a:gd name="csX8" fmla="*/ 1127760 w 2278380"/>
            <a:gd name="csY8" fmla="*/ 2194560 h 2712720"/>
            <a:gd name="csX9" fmla="*/ 510540 w 2278380"/>
            <a:gd name="csY9" fmla="*/ 2705100 h 2712720"/>
            <a:gd name="csX10" fmla="*/ 0 w 2278380"/>
            <a:gd name="csY10" fmla="*/ 2209800 h 2712720"/>
          </a:gdLst>
          <a:ahLst/>
          <a:cxnLst>
            <a:cxn ang="0">
              <a:pos x="csX0" y="csY0"/>
            </a:cxn>
            <a:cxn ang="0">
              <a:pos x="csX1" y="csY1"/>
            </a:cxn>
            <a:cxn ang="0">
              <a:pos x="csX2" y="csY2"/>
            </a:cxn>
            <a:cxn ang="0">
              <a:pos x="csX3" y="csY3"/>
            </a:cxn>
            <a:cxn ang="0">
              <a:pos x="csX4" y="csY4"/>
            </a:cxn>
            <a:cxn ang="0">
              <a:pos x="csX5" y="csY5"/>
            </a:cxn>
            <a:cxn ang="0">
              <a:pos x="csX6" y="csY6"/>
            </a:cxn>
            <a:cxn ang="0">
              <a:pos x="csX7" y="csY7"/>
            </a:cxn>
            <a:cxn ang="0">
              <a:pos x="csX8" y="csY8"/>
            </a:cxn>
            <a:cxn ang="0">
              <a:pos x="csX9" y="csY9"/>
            </a:cxn>
            <a:cxn ang="0">
              <a:pos x="csX10" y="csY10"/>
            </a:cxn>
          </a:cxnLst>
          <a:rect l="l" t="t" r="r" b="b"/>
          <a:pathLst>
            <a:path w="2278380" h="2712720">
              <a:moveTo>
                <a:pt x="0" y="2209800"/>
              </a:moveTo>
              <a:lnTo>
                <a:pt x="533400" y="1684020"/>
              </a:lnTo>
              <a:lnTo>
                <a:pt x="15240" y="1089660"/>
              </a:lnTo>
              <a:lnTo>
                <a:pt x="1188720" y="0"/>
              </a:lnTo>
              <a:lnTo>
                <a:pt x="2278380" y="1089660"/>
              </a:lnTo>
              <a:lnTo>
                <a:pt x="1714500" y="1638300"/>
              </a:lnTo>
              <a:lnTo>
                <a:pt x="2209800" y="2209800"/>
              </a:lnTo>
              <a:lnTo>
                <a:pt x="1676400" y="2712720"/>
              </a:lnTo>
              <a:lnTo>
                <a:pt x="1127760" y="2194560"/>
              </a:lnTo>
              <a:lnTo>
                <a:pt x="510540" y="2705100"/>
              </a:lnTo>
              <a:lnTo>
                <a:pt x="0" y="2209800"/>
              </a:lnTo>
              <a:close/>
            </a:path>
          </a:pathLst>
        </a:cu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15</xdr:row>
      <xdr:rowOff>0</xdr:rowOff>
    </xdr:from>
    <xdr:to>
      <xdr:col>12</xdr:col>
      <xdr:colOff>387724</xdr:colOff>
      <xdr:row>29</xdr:row>
      <xdr:rowOff>158465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F1EEDE46-1EBF-86BD-E50D-8077FC4754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09600" y="2514600"/>
          <a:ext cx="7230484" cy="2505425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0</xdr:colOff>
      <xdr:row>5</xdr:row>
      <xdr:rowOff>0</xdr:rowOff>
    </xdr:from>
    <xdr:to>
      <xdr:col>18</xdr:col>
      <xdr:colOff>504305</xdr:colOff>
      <xdr:row>26</xdr:row>
      <xdr:rowOff>108131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3FCF439-21BD-AFE5-FCB5-0CF2576167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315200" y="838200"/>
          <a:ext cx="4161905" cy="3628571"/>
        </a:xfrm>
        <a:prstGeom prst="rect">
          <a:avLst/>
        </a:prstGeom>
      </xdr:spPr>
    </xdr:pic>
    <xdr:clientData/>
  </xdr:twoCellAnchor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7E876F7-C9E3-450C-96AE-EEFFFF7C85E8}" name="Table1" displayName="Table1" ref="B2:F8" totalsRowShown="0">
  <autoFilter ref="B2:F8" xr:uid="{77E876F7-C9E3-450C-96AE-EEFFFF7C85E8}"/>
  <tableColumns count="5">
    <tableColumn id="1" xr3:uid="{2D00EDFF-7B34-41D5-A29F-A9F627A1D3FA}" name="Staff"/>
    <tableColumn id="2" xr3:uid="{EB97E785-6E92-4363-90EF-11BE0AAB6675}" name="Activity"/>
    <tableColumn id="3" xr3:uid="{23C63B36-0D32-4BC2-93F7-EB072FB41401}" name="Salary"/>
    <tableColumn id="4" xr3:uid="{DB70EEF4-9A31-40DC-9BCF-C8522D9B79B1}" name="Department"/>
    <tableColumn id="5" xr3:uid="{F1D69B0A-E4AD-44D5-84F6-F1D6B215B2CA}" name="Ag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Biegert_Standard">
  <a:themeElements>
    <a:clrScheme name="Yellow Orange">
      <a:dk1>
        <a:sysClr val="windowText" lastClr="000000"/>
      </a:dk1>
      <a:lt1>
        <a:sysClr val="window" lastClr="FFFFFF"/>
      </a:lt1>
      <a:dk2>
        <a:srgbClr val="4E3B30"/>
      </a:dk2>
      <a:lt2>
        <a:srgbClr val="FBEEC9"/>
      </a:lt2>
      <a:accent1>
        <a:srgbClr val="F0A22E"/>
      </a:accent1>
      <a:accent2>
        <a:srgbClr val="A5644E"/>
      </a:accent2>
      <a:accent3>
        <a:srgbClr val="B58B80"/>
      </a:accent3>
      <a:accent4>
        <a:srgbClr val="C3986D"/>
      </a:accent4>
      <a:accent5>
        <a:srgbClr val="A19574"/>
      </a:accent5>
      <a:accent6>
        <a:srgbClr val="C17529"/>
      </a:accent6>
      <a:hlink>
        <a:srgbClr val="AD1F1F"/>
      </a:hlink>
      <a:folHlink>
        <a:srgbClr val="FFC42F"/>
      </a:folHlink>
    </a:clrScheme>
    <a:fontScheme name="Biegert Standard">
      <a:majorFont>
        <a:latin typeface="Consolas"/>
        <a:ea typeface=""/>
        <a:cs typeface=""/>
      </a:majorFont>
      <a:minorFont>
        <a:latin typeface="Consolas"/>
        <a:ea typeface=""/>
        <a:cs typeface=""/>
      </a:minorFont>
    </a:fontScheme>
    <a:fmtScheme name="Riblet">
      <a:fillStyleLst>
        <a:solidFill>
          <a:schemeClr val="phClr"/>
        </a:solidFill>
        <a:solidFill>
          <a:schemeClr val="phClr">
            <a:tint val="65000"/>
          </a:schemeClr>
        </a:solidFill>
        <a:solidFill>
          <a:schemeClr val="phClr">
            <a:shade val="80000"/>
            <a:satMod val="15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/>
          </a:solidFill>
          <a:prstDash val="solid"/>
        </a:ln>
        <a:ln w="58420" cap="flat" cmpd="thickThin" algn="ctr">
          <a:solidFill>
            <a:schemeClr val="phClr">
              <a:shade val="95000"/>
              <a:alpha val="50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38100" dir="2700000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31750" h="63500" prst="riblet"/>
          </a:sp3d>
        </a:effectStyle>
        <a:effectStyle>
          <a:effectLst>
            <a:outerShdw blurRad="50800" dist="38100" dir="2700000" algn="ctr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57150" h="114300" prst="riblet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3" Type="http://schemas.microsoft.com/office/2011/relationships/webextension" Target="webextension3.xml"/><Relationship Id="rId2" Type="http://schemas.microsoft.com/office/2011/relationships/webextension" Target="webextension2.xml"/><Relationship Id="rId1" Type="http://schemas.microsoft.com/office/2011/relationships/webextension" Target="webextension1.xml"/><Relationship Id="rId4" Type="http://schemas.microsoft.com/office/2011/relationships/webextension" Target="webextension4.xml"/></Relationships>
</file>

<file path=xl/webextensions/taskpanes.xml><?xml version="1.0" encoding="utf-8"?>
<wetp:taskpanes xmlns:wetp="http://schemas.microsoft.com/office/webextensions/taskpanes/2010/11">
  <wetp:taskpane dockstate="right" visibility="0" width="1269" row="3">
    <wetp:webextensionref xmlns:r="http://schemas.openxmlformats.org/officeDocument/2006/relationships" r:id="rId1"/>
  </wetp:taskpane>
  <wetp:taskpane dockstate="right" visibility="0" width="438" row="8">
    <wetp:webextensionref xmlns:r="http://schemas.openxmlformats.org/officeDocument/2006/relationships" r:id="rId2"/>
  </wetp:taskpane>
  <wetp:taskpane dockstate="right" visibility="0" width="438" row="9">
    <wetp:webextensionref xmlns:r="http://schemas.openxmlformats.org/officeDocument/2006/relationships" r:id="rId3"/>
  </wetp:taskpane>
  <wetp:taskpane dockstate="right" visibility="0" width="350" row="8">
    <wetp:webextensionref xmlns:r="http://schemas.openxmlformats.org/officeDocument/2006/relationships" r:id="rId4"/>
  </wetp:taskpane>
</wetp:taskpanes>
</file>

<file path=xl/webextensions/webextension1.xml><?xml version="1.0" encoding="utf-8"?>
<we:webextension xmlns:we="http://schemas.microsoft.com/office/webextensions/webextension/2010/11" id="{CF0BFCF7-580A-46F8-B3AF-2ED41BABC61B}">
  <we:reference id="wa200003696" version="1.3.0.0" store="en-US" storeType="OMEX"/>
  <we:alternateReferences>
    <we:reference id="wa200003696" version="1.3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19729247-8E0B-477F-873D-E966B6D93AC1}">
  <we:reference id="wa200006385" version="1.0.0.0" store="en-US" storeType="OMEX"/>
  <we:alternateReferences>
    <we:reference id="WA200006385" version="1.0.0.0" store="WA200006385" storeType="OMEX"/>
  </we:alternateReferences>
  <we:properties/>
  <we:bindings/>
  <we:snapshot xmlns:r="http://schemas.openxmlformats.org/officeDocument/2006/relationships"/>
</we:webextension>
</file>

<file path=xl/webextensions/webextension3.xml><?xml version="1.0" encoding="utf-8"?>
<we:webextension xmlns:we="http://schemas.microsoft.com/office/webextensions/webextension/2010/11" id="{1F3C2874-0D9B-4CCC-ACE3-DE4096BAA0F8}">
  <we:reference id="wa200001816" version="1.0.0.2" store="en-US" storeType="OMEX"/>
  <we:alternateReferences>
    <we:reference id="WA200001816" version="1.0.0.2" store="" storeType="OMEX"/>
  </we:alternateReferences>
  <we:properties/>
  <we:bindings/>
  <we:snapshot xmlns:r="http://schemas.openxmlformats.org/officeDocument/2006/relationships"/>
</we:webextension>
</file>

<file path=xl/webextensions/webextension4.xml><?xml version="1.0" encoding="utf-8"?>
<we:webextension xmlns:we="http://schemas.microsoft.com/office/webextensions/webextension/2010/11" id="{3295521F-47DD-4867-BD26-CFAA17EEA2ED}">
  <we:reference id="wa200005281" version="1.0.0.0" store="en-US" storeType="OMEX"/>
  <we:alternateReferences>
    <we:reference id="wa200005281" version="1.0.0.0" store="WA200005281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_xldudf_NUM_AI</we:customFunctionIds>
        <we:customFunctionIds>_xldudf_NUM_WRITE</we:customFunctionIds>
        <we:customFunctionIds>_xldudf_NUM_INFER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5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hyperlink" Target="https://www.youtube.com/watch?v=uwDOIO9WicU&amp;t=565s" TargetMode="External"/><Relationship Id="rId1" Type="http://schemas.openxmlformats.org/officeDocument/2006/relationships/hyperlink" Target="https://www.subsim.com/radioroom/showthread.php?t=236013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14D2F-F620-446A-92CE-0CB3C9FD0F74}">
  <sheetPr codeName="Sheet1">
    <tabColor rgb="FFCCFFCC"/>
  </sheetPr>
  <dimension ref="A5:AC378"/>
  <sheetViews>
    <sheetView workbookViewId="0">
      <pane ySplit="9" topLeftCell="A357" activePane="bottomLeft" state="frozen"/>
      <selection pane="bottomLeft" activeCell="V76" sqref="V76"/>
    </sheetView>
  </sheetViews>
  <sheetFormatPr defaultRowHeight="12.75" x14ac:dyDescent="0.2"/>
  <cols>
    <col min="3" max="4" width="3.28515625" customWidth="1"/>
    <col min="5" max="5" width="3.28515625" bestFit="1" customWidth="1"/>
    <col min="6" max="6" width="3.28515625" customWidth="1"/>
    <col min="7" max="9" width="3.28515625" bestFit="1" customWidth="1"/>
    <col min="10" max="13" width="3.28515625" customWidth="1"/>
    <col min="15" max="15" width="19.140625" customWidth="1"/>
    <col min="16" max="23" width="3.28515625" style="5" bestFit="1" customWidth="1"/>
    <col min="24" max="24" width="3.28515625" style="5" customWidth="1"/>
  </cols>
  <sheetData>
    <row r="5" spans="1:26" ht="13.5" x14ac:dyDescent="0.25">
      <c r="O5" s="10"/>
    </row>
    <row r="7" spans="1:26" ht="4.9000000000000004" customHeight="1" thickBot="1" x14ac:dyDescent="0.25"/>
    <row r="8" spans="1:26" ht="13.5" hidden="1" thickBot="1" x14ac:dyDescent="0.25"/>
    <row r="9" spans="1:26" ht="118.5" thickBot="1" x14ac:dyDescent="0.25">
      <c r="A9" t="s">
        <v>1</v>
      </c>
      <c r="B9" s="3" t="s">
        <v>0</v>
      </c>
      <c r="C9" s="2" t="s">
        <v>11</v>
      </c>
      <c r="D9" s="2" t="s">
        <v>41</v>
      </c>
      <c r="E9" s="2" t="s">
        <v>4</v>
      </c>
      <c r="F9" s="2" t="s">
        <v>8</v>
      </c>
      <c r="G9" s="2" t="s">
        <v>5</v>
      </c>
      <c r="H9" s="2" t="s">
        <v>6</v>
      </c>
      <c r="I9" s="2" t="s">
        <v>9</v>
      </c>
      <c r="J9" s="4" t="s">
        <v>10</v>
      </c>
      <c r="K9" s="2" t="s">
        <v>7</v>
      </c>
      <c r="L9" s="1"/>
      <c r="M9" s="9" t="s">
        <v>23</v>
      </c>
      <c r="N9" s="15"/>
      <c r="P9" s="24" t="str" cm="1">
        <f t="array" ref="P9:X9">_nHd</f>
        <v>Excel Drill</v>
      </c>
      <c r="Q9" s="24" t="str">
        <v>Meds</v>
      </c>
      <c r="R9" s="24" t="str">
        <v>Weight Lift</v>
      </c>
      <c r="S9" s="24" t="str">
        <v>Walk</v>
      </c>
      <c r="T9" s="24" t="str">
        <v>German Grammar</v>
      </c>
      <c r="U9" s="24" t="str">
        <v>German Vocab</v>
      </c>
      <c r="V9" s="24" t="str">
        <v>German Story Audio</v>
      </c>
      <c r="W9" s="24" t="str">
        <v>German Story Reading</v>
      </c>
      <c r="X9" s="25" t="str">
        <v>CSS Drill</v>
      </c>
    </row>
    <row r="10" spans="1:26" ht="13.5" thickTop="1" x14ac:dyDescent="0.2">
      <c r="B10" s="11" t="s">
        <v>171</v>
      </c>
      <c r="C10" s="12"/>
      <c r="D10" s="12"/>
      <c r="E10" s="12"/>
      <c r="F10" s="12"/>
      <c r="G10" s="12"/>
      <c r="H10" s="12"/>
      <c r="I10" s="12"/>
      <c r="J10" s="13"/>
      <c r="K10" s="14"/>
      <c r="M10" cm="1">
        <f t="array" ref="M10:M374">_xlfn.BYROW(_xlfn.DROP(Banded,,1),_xleta.SUM)</f>
        <v>0</v>
      </c>
      <c r="O10" s="7" cm="1">
        <f t="array" ref="O10:X60">_xlfn.PIVOTBY(ix,,data,_xleta.SUM,0,0)</f>
        <v>3</v>
      </c>
      <c r="P10" s="5">
        <v>6</v>
      </c>
      <c r="Q10" s="5">
        <v>0</v>
      </c>
      <c r="R10" s="5">
        <v>3</v>
      </c>
      <c r="S10" s="5">
        <v>6</v>
      </c>
      <c r="T10" s="5">
        <v>6</v>
      </c>
      <c r="U10" s="5">
        <v>6</v>
      </c>
      <c r="V10" s="5">
        <v>6</v>
      </c>
      <c r="W10" s="5">
        <v>6</v>
      </c>
      <c r="X10" s="5">
        <v>5</v>
      </c>
    </row>
    <row r="11" spans="1:26" ht="13.15" customHeight="1" x14ac:dyDescent="0.2">
      <c r="B11" s="15" t="s">
        <v>172</v>
      </c>
      <c r="C11" s="12"/>
      <c r="D11" s="12"/>
      <c r="E11" s="12"/>
      <c r="F11" s="12"/>
      <c r="G11" s="12"/>
      <c r="H11" s="12"/>
      <c r="I11" s="12"/>
      <c r="J11" s="13"/>
      <c r="K11" s="12"/>
      <c r="M11">
        <v>0</v>
      </c>
      <c r="O11" s="7">
        <v>4</v>
      </c>
      <c r="P11" s="5">
        <v>7</v>
      </c>
      <c r="Q11" s="5">
        <v>0</v>
      </c>
      <c r="R11" s="5">
        <v>4</v>
      </c>
      <c r="S11" s="5">
        <v>7</v>
      </c>
      <c r="T11" s="5">
        <v>7</v>
      </c>
      <c r="U11" s="5">
        <v>7</v>
      </c>
      <c r="V11" s="5">
        <v>7</v>
      </c>
      <c r="W11" s="5">
        <v>7</v>
      </c>
      <c r="X11" s="5">
        <v>7</v>
      </c>
      <c r="Z11" t="s">
        <v>13</v>
      </c>
    </row>
    <row r="12" spans="1:26" x14ac:dyDescent="0.2">
      <c r="B12" s="15" t="s">
        <v>173</v>
      </c>
      <c r="C12" s="12"/>
      <c r="D12" s="12"/>
      <c r="E12" s="12"/>
      <c r="F12" s="12"/>
      <c r="G12" s="12"/>
      <c r="H12" s="12"/>
      <c r="I12" s="12"/>
      <c r="J12" s="13"/>
      <c r="K12" s="12"/>
      <c r="M12">
        <v>0</v>
      </c>
      <c r="O12" s="7">
        <v>5</v>
      </c>
      <c r="P12" s="5">
        <v>7</v>
      </c>
      <c r="Q12" s="5">
        <v>0</v>
      </c>
      <c r="R12" s="5">
        <v>4</v>
      </c>
      <c r="S12" s="5">
        <v>7</v>
      </c>
      <c r="T12" s="5">
        <v>7</v>
      </c>
      <c r="U12" s="5">
        <v>7</v>
      </c>
      <c r="V12" s="5">
        <v>7</v>
      </c>
      <c r="W12" s="5">
        <v>7</v>
      </c>
      <c r="X12" s="5">
        <v>7</v>
      </c>
      <c r="Z12" t="s">
        <v>14</v>
      </c>
    </row>
    <row r="13" spans="1:26" x14ac:dyDescent="0.2">
      <c r="B13" s="15" t="s">
        <v>174</v>
      </c>
      <c r="C13" s="12"/>
      <c r="D13" s="12"/>
      <c r="E13" s="12"/>
      <c r="F13" s="12"/>
      <c r="G13" s="12"/>
      <c r="H13" s="12"/>
      <c r="I13" s="12"/>
      <c r="J13" s="13"/>
      <c r="K13" s="12"/>
      <c r="M13">
        <v>0</v>
      </c>
      <c r="O13" s="7">
        <v>6</v>
      </c>
      <c r="P13" s="5">
        <v>7</v>
      </c>
      <c r="Q13" s="5">
        <v>0</v>
      </c>
      <c r="R13" s="5">
        <v>2</v>
      </c>
      <c r="S13" s="5">
        <v>7</v>
      </c>
      <c r="T13" s="5">
        <v>7</v>
      </c>
      <c r="U13" s="5">
        <v>7</v>
      </c>
      <c r="V13" s="5">
        <v>7</v>
      </c>
      <c r="W13" s="5">
        <v>7</v>
      </c>
      <c r="X13" s="5">
        <v>7</v>
      </c>
      <c r="Z13" t="s">
        <v>15</v>
      </c>
    </row>
    <row r="14" spans="1:26" x14ac:dyDescent="0.2">
      <c r="B14" s="15" t="s">
        <v>175</v>
      </c>
      <c r="C14" s="12"/>
      <c r="D14" s="12"/>
      <c r="E14" s="12"/>
      <c r="F14" s="12"/>
      <c r="G14" s="12"/>
      <c r="H14" s="12"/>
      <c r="I14" s="12"/>
      <c r="J14" s="13"/>
      <c r="K14" s="12"/>
      <c r="M14">
        <v>0</v>
      </c>
      <c r="O14" s="7">
        <v>7</v>
      </c>
      <c r="P14" s="5">
        <v>7</v>
      </c>
      <c r="Q14" s="5">
        <v>0</v>
      </c>
      <c r="R14" s="5">
        <v>4</v>
      </c>
      <c r="S14" s="5">
        <v>7</v>
      </c>
      <c r="T14" s="5">
        <v>7</v>
      </c>
      <c r="U14" s="5">
        <v>7</v>
      </c>
      <c r="V14" s="5">
        <v>7</v>
      </c>
      <c r="W14" s="5">
        <v>7</v>
      </c>
      <c r="X14" s="5">
        <v>7</v>
      </c>
    </row>
    <row r="15" spans="1:26" x14ac:dyDescent="0.2">
      <c r="B15" s="15" t="s">
        <v>176</v>
      </c>
      <c r="C15" s="12"/>
      <c r="D15" s="12"/>
      <c r="E15" s="12"/>
      <c r="F15" s="12"/>
      <c r="G15" s="12"/>
      <c r="H15" s="12"/>
      <c r="I15" s="12"/>
      <c r="J15" s="13"/>
      <c r="K15" s="12"/>
      <c r="M15">
        <v>0</v>
      </c>
      <c r="O15" s="7">
        <v>8</v>
      </c>
      <c r="P15" s="5">
        <v>7</v>
      </c>
      <c r="Q15" s="5">
        <v>0</v>
      </c>
      <c r="R15" s="5">
        <v>4</v>
      </c>
      <c r="S15" s="5">
        <v>7</v>
      </c>
      <c r="T15" s="5">
        <v>7</v>
      </c>
      <c r="U15" s="5">
        <v>7</v>
      </c>
      <c r="V15" s="5">
        <v>7</v>
      </c>
      <c r="W15" s="5">
        <v>7</v>
      </c>
      <c r="X15" s="5">
        <v>7</v>
      </c>
    </row>
    <row r="16" spans="1:26" x14ac:dyDescent="0.2">
      <c r="B16" s="15" t="s">
        <v>177</v>
      </c>
      <c r="C16" s="12"/>
      <c r="D16" s="12"/>
      <c r="E16" s="12"/>
      <c r="F16" s="12"/>
      <c r="G16" s="12"/>
      <c r="H16" s="12"/>
      <c r="I16" s="12"/>
      <c r="J16" s="13"/>
      <c r="K16" s="12"/>
      <c r="M16">
        <v>0</v>
      </c>
      <c r="O16" s="7">
        <v>9</v>
      </c>
      <c r="P16" s="5">
        <v>7</v>
      </c>
      <c r="Q16" s="5">
        <v>0</v>
      </c>
      <c r="R16" s="5">
        <v>4</v>
      </c>
      <c r="S16" s="5">
        <v>7</v>
      </c>
      <c r="T16" s="5">
        <v>7</v>
      </c>
      <c r="U16" s="5">
        <v>7</v>
      </c>
      <c r="V16" s="5">
        <v>7</v>
      </c>
      <c r="W16" s="5">
        <v>7</v>
      </c>
      <c r="X16" s="5">
        <v>7</v>
      </c>
    </row>
    <row r="17" spans="2:24" x14ac:dyDescent="0.2">
      <c r="B17" s="15" t="s">
        <v>178</v>
      </c>
      <c r="C17" s="12"/>
      <c r="D17" s="12"/>
      <c r="E17" s="12"/>
      <c r="F17" s="12"/>
      <c r="G17" s="12"/>
      <c r="H17" s="12"/>
      <c r="J17" s="13"/>
      <c r="K17" s="12"/>
      <c r="M17">
        <v>0</v>
      </c>
      <c r="O17" s="7">
        <v>10</v>
      </c>
      <c r="P17" s="5">
        <v>7</v>
      </c>
      <c r="Q17" s="5">
        <v>0</v>
      </c>
      <c r="R17" s="5">
        <v>4</v>
      </c>
      <c r="S17" s="5">
        <v>7</v>
      </c>
      <c r="T17" s="5">
        <v>7</v>
      </c>
      <c r="U17" s="5">
        <v>7</v>
      </c>
      <c r="V17" s="5">
        <v>7</v>
      </c>
      <c r="W17" s="5">
        <v>7</v>
      </c>
      <c r="X17" s="5">
        <v>7</v>
      </c>
    </row>
    <row r="18" spans="2:24" x14ac:dyDescent="0.2">
      <c r="B18" s="15" t="s">
        <v>179</v>
      </c>
      <c r="C18" s="12"/>
      <c r="D18" s="12"/>
      <c r="E18" s="12"/>
      <c r="F18" s="12"/>
      <c r="G18" s="12"/>
      <c r="H18" s="12"/>
      <c r="I18" s="12"/>
      <c r="J18" s="13"/>
      <c r="K18" s="12"/>
      <c r="M18">
        <v>0</v>
      </c>
      <c r="O18" s="7">
        <v>11</v>
      </c>
      <c r="P18" s="5">
        <v>7</v>
      </c>
      <c r="Q18" s="5">
        <v>0</v>
      </c>
      <c r="R18" s="5">
        <v>6</v>
      </c>
      <c r="S18" s="5">
        <v>7</v>
      </c>
      <c r="T18" s="5">
        <v>7</v>
      </c>
      <c r="U18" s="5">
        <v>7</v>
      </c>
      <c r="V18" s="5">
        <v>7</v>
      </c>
      <c r="W18" s="5">
        <v>7</v>
      </c>
      <c r="X18" s="5">
        <v>7</v>
      </c>
    </row>
    <row r="19" spans="2:24" x14ac:dyDescent="0.2">
      <c r="B19" s="15" t="s">
        <v>180</v>
      </c>
      <c r="C19" s="12"/>
      <c r="D19" s="12"/>
      <c r="E19" s="12"/>
      <c r="F19" s="12"/>
      <c r="G19" s="12"/>
      <c r="H19" s="12"/>
      <c r="I19" s="12"/>
      <c r="J19" s="13"/>
      <c r="K19" s="12"/>
      <c r="M19">
        <v>0</v>
      </c>
      <c r="O19" s="7">
        <v>12</v>
      </c>
      <c r="P19" s="5">
        <v>7</v>
      </c>
      <c r="Q19" s="5">
        <v>0</v>
      </c>
      <c r="R19" s="5">
        <v>3</v>
      </c>
      <c r="S19" s="5">
        <v>7</v>
      </c>
      <c r="T19" s="5">
        <v>7</v>
      </c>
      <c r="U19" s="5">
        <v>7</v>
      </c>
      <c r="V19" s="5">
        <v>7</v>
      </c>
      <c r="W19" s="5">
        <v>7</v>
      </c>
      <c r="X19" s="5">
        <v>7</v>
      </c>
    </row>
    <row r="20" spans="2:24" x14ac:dyDescent="0.2">
      <c r="B20" s="15" t="s">
        <v>181</v>
      </c>
      <c r="C20" s="12"/>
      <c r="D20" s="12"/>
      <c r="E20" s="12"/>
      <c r="F20" s="12"/>
      <c r="G20" s="12"/>
      <c r="H20" s="12"/>
      <c r="I20" s="12"/>
      <c r="J20" s="13"/>
      <c r="K20" s="12"/>
      <c r="M20">
        <v>0</v>
      </c>
      <c r="O20" s="7">
        <v>13</v>
      </c>
      <c r="P20" s="5">
        <v>7</v>
      </c>
      <c r="Q20" s="5">
        <v>0</v>
      </c>
      <c r="R20" s="5">
        <v>5</v>
      </c>
      <c r="S20" s="5">
        <v>7</v>
      </c>
      <c r="T20" s="5">
        <v>7</v>
      </c>
      <c r="U20" s="5">
        <v>7</v>
      </c>
      <c r="V20" s="5">
        <v>7</v>
      </c>
      <c r="W20" s="5">
        <v>7</v>
      </c>
      <c r="X20" s="5">
        <v>7</v>
      </c>
    </row>
    <row r="21" spans="2:24" x14ac:dyDescent="0.2">
      <c r="B21" s="15" t="s">
        <v>182</v>
      </c>
      <c r="C21" s="12">
        <v>1</v>
      </c>
      <c r="D21" s="12">
        <v>0</v>
      </c>
      <c r="E21" s="12">
        <v>0</v>
      </c>
      <c r="F21" s="12">
        <v>1</v>
      </c>
      <c r="G21" s="12">
        <v>1</v>
      </c>
      <c r="H21" s="12">
        <v>1</v>
      </c>
      <c r="I21" s="12">
        <v>1</v>
      </c>
      <c r="J21" s="13">
        <v>1</v>
      </c>
      <c r="K21" s="12">
        <v>0</v>
      </c>
      <c r="L21">
        <v>3</v>
      </c>
      <c r="M21">
        <v>6</v>
      </c>
      <c r="O21" s="7">
        <v>14</v>
      </c>
      <c r="P21" s="5">
        <v>7</v>
      </c>
      <c r="Q21" s="5">
        <v>0</v>
      </c>
      <c r="R21" s="5">
        <v>7</v>
      </c>
      <c r="S21" s="5">
        <v>7</v>
      </c>
      <c r="T21" s="5">
        <v>7</v>
      </c>
      <c r="U21" s="5">
        <v>7</v>
      </c>
      <c r="V21" s="5">
        <v>7</v>
      </c>
      <c r="W21" s="5">
        <v>7</v>
      </c>
      <c r="X21" s="5">
        <v>7</v>
      </c>
    </row>
    <row r="22" spans="2:24" x14ac:dyDescent="0.2">
      <c r="B22" s="15" t="s">
        <v>183</v>
      </c>
      <c r="C22" s="12">
        <v>1</v>
      </c>
      <c r="D22" s="12">
        <v>0</v>
      </c>
      <c r="E22" s="12">
        <v>0</v>
      </c>
      <c r="F22" s="12">
        <v>1</v>
      </c>
      <c r="G22" s="12">
        <v>1</v>
      </c>
      <c r="H22" s="12">
        <v>1</v>
      </c>
      <c r="I22" s="12">
        <v>1</v>
      </c>
      <c r="J22" s="13">
        <v>1</v>
      </c>
      <c r="K22" s="12">
        <v>1</v>
      </c>
      <c r="L22">
        <v>3</v>
      </c>
      <c r="M22">
        <v>7</v>
      </c>
      <c r="O22" s="7">
        <v>15</v>
      </c>
      <c r="P22" s="5">
        <v>7</v>
      </c>
      <c r="Q22" s="5">
        <v>0</v>
      </c>
      <c r="R22" s="5">
        <v>4</v>
      </c>
      <c r="S22" s="5">
        <v>7</v>
      </c>
      <c r="T22" s="5">
        <v>7</v>
      </c>
      <c r="U22" s="5">
        <v>7</v>
      </c>
      <c r="V22" s="5">
        <v>7</v>
      </c>
      <c r="W22" s="5">
        <v>7</v>
      </c>
      <c r="X22" s="5">
        <v>7</v>
      </c>
    </row>
    <row r="23" spans="2:24" x14ac:dyDescent="0.2">
      <c r="B23" s="15" t="s">
        <v>184</v>
      </c>
      <c r="C23" s="12">
        <v>1</v>
      </c>
      <c r="D23" s="12">
        <v>0</v>
      </c>
      <c r="E23" s="12">
        <v>1</v>
      </c>
      <c r="F23" s="12">
        <v>1</v>
      </c>
      <c r="G23" s="12">
        <v>1</v>
      </c>
      <c r="H23" s="12">
        <v>1</v>
      </c>
      <c r="I23" s="12">
        <v>1</v>
      </c>
      <c r="J23" s="13">
        <v>1</v>
      </c>
      <c r="K23" s="12">
        <v>1</v>
      </c>
      <c r="L23">
        <v>3</v>
      </c>
      <c r="M23">
        <v>8</v>
      </c>
      <c r="O23" s="7">
        <v>16</v>
      </c>
      <c r="P23" s="5">
        <v>7</v>
      </c>
      <c r="Q23" s="5">
        <v>0</v>
      </c>
      <c r="R23" s="5">
        <v>7</v>
      </c>
      <c r="S23" s="5">
        <v>7</v>
      </c>
      <c r="T23" s="5">
        <v>7</v>
      </c>
      <c r="U23" s="5">
        <v>7</v>
      </c>
      <c r="V23" s="5">
        <v>7</v>
      </c>
      <c r="W23" s="5">
        <v>7</v>
      </c>
      <c r="X23" s="5">
        <v>7</v>
      </c>
    </row>
    <row r="24" spans="2:24" x14ac:dyDescent="0.2">
      <c r="B24" s="15" t="s">
        <v>185</v>
      </c>
      <c r="C24" s="12">
        <v>1</v>
      </c>
      <c r="D24" s="12">
        <v>0</v>
      </c>
      <c r="E24" s="12">
        <v>1</v>
      </c>
      <c r="F24" s="12">
        <v>1</v>
      </c>
      <c r="G24" s="12">
        <v>1</v>
      </c>
      <c r="H24" s="12">
        <v>1</v>
      </c>
      <c r="I24" s="12">
        <v>1</v>
      </c>
      <c r="J24" s="13">
        <v>1</v>
      </c>
      <c r="K24" s="12">
        <v>1</v>
      </c>
      <c r="L24">
        <v>3</v>
      </c>
      <c r="M24">
        <v>8</v>
      </c>
      <c r="O24" s="7">
        <v>17</v>
      </c>
      <c r="P24" s="5">
        <v>7</v>
      </c>
      <c r="Q24" s="5">
        <v>0</v>
      </c>
      <c r="R24" s="5">
        <v>5</v>
      </c>
      <c r="S24" s="5">
        <v>7</v>
      </c>
      <c r="T24" s="5">
        <v>7</v>
      </c>
      <c r="U24" s="5">
        <v>7</v>
      </c>
      <c r="V24" s="5">
        <v>7</v>
      </c>
      <c r="W24" s="5">
        <v>7</v>
      </c>
      <c r="X24" s="5">
        <v>7</v>
      </c>
    </row>
    <row r="25" spans="2:24" x14ac:dyDescent="0.2">
      <c r="B25" s="15" t="s">
        <v>186</v>
      </c>
      <c r="C25" s="12">
        <v>1</v>
      </c>
      <c r="D25" s="12">
        <v>0</v>
      </c>
      <c r="E25" s="12">
        <v>0</v>
      </c>
      <c r="F25" s="12">
        <v>1</v>
      </c>
      <c r="G25" s="12">
        <v>1</v>
      </c>
      <c r="H25" s="12">
        <v>1</v>
      </c>
      <c r="I25" s="12">
        <v>1</v>
      </c>
      <c r="J25" s="13">
        <v>1</v>
      </c>
      <c r="K25" s="12">
        <v>1</v>
      </c>
      <c r="L25">
        <v>3</v>
      </c>
      <c r="M25">
        <v>7</v>
      </c>
      <c r="O25" s="7">
        <v>18</v>
      </c>
      <c r="P25" s="5">
        <v>7</v>
      </c>
      <c r="Q25" s="5">
        <v>0</v>
      </c>
      <c r="R25" s="5">
        <v>5</v>
      </c>
      <c r="S25" s="5">
        <v>7</v>
      </c>
      <c r="T25" s="5">
        <v>7</v>
      </c>
      <c r="U25" s="5">
        <v>7</v>
      </c>
      <c r="V25" s="5">
        <v>7</v>
      </c>
      <c r="W25" s="5">
        <v>7</v>
      </c>
      <c r="X25" s="5">
        <v>7</v>
      </c>
    </row>
    <row r="26" spans="2:24" x14ac:dyDescent="0.2">
      <c r="B26" s="15" t="s">
        <v>187</v>
      </c>
      <c r="C26" s="12">
        <v>1</v>
      </c>
      <c r="D26" s="12">
        <v>0</v>
      </c>
      <c r="E26" s="12">
        <v>1</v>
      </c>
      <c r="F26" s="12">
        <v>1</v>
      </c>
      <c r="G26" s="12">
        <v>1</v>
      </c>
      <c r="H26" s="12">
        <v>1</v>
      </c>
      <c r="I26" s="12">
        <v>1</v>
      </c>
      <c r="J26" s="13">
        <v>1</v>
      </c>
      <c r="K26" s="12">
        <v>1</v>
      </c>
      <c r="L26">
        <v>3</v>
      </c>
      <c r="M26">
        <v>8</v>
      </c>
      <c r="O26" s="7">
        <v>19</v>
      </c>
      <c r="P26" s="5">
        <v>7</v>
      </c>
      <c r="Q26" s="5">
        <v>0</v>
      </c>
      <c r="R26" s="5">
        <v>3</v>
      </c>
      <c r="S26" s="5">
        <v>6</v>
      </c>
      <c r="T26" s="5">
        <v>7</v>
      </c>
      <c r="U26" s="5">
        <v>7</v>
      </c>
      <c r="V26" s="5">
        <v>7</v>
      </c>
      <c r="W26" s="5">
        <v>7</v>
      </c>
      <c r="X26" s="5">
        <v>7</v>
      </c>
    </row>
    <row r="27" spans="2:24" x14ac:dyDescent="0.2">
      <c r="B27" s="15" t="s">
        <v>188</v>
      </c>
      <c r="C27" s="12">
        <v>1</v>
      </c>
      <c r="D27" s="12">
        <v>0</v>
      </c>
      <c r="E27" s="12">
        <v>1</v>
      </c>
      <c r="F27" s="12">
        <v>1</v>
      </c>
      <c r="G27" s="12">
        <v>1</v>
      </c>
      <c r="H27" s="12">
        <v>1</v>
      </c>
      <c r="I27" s="12">
        <v>1</v>
      </c>
      <c r="J27" s="13">
        <v>1</v>
      </c>
      <c r="K27" s="12">
        <v>1</v>
      </c>
      <c r="L27">
        <v>4</v>
      </c>
      <c r="M27">
        <v>8</v>
      </c>
      <c r="O27" s="7">
        <v>20</v>
      </c>
      <c r="P27" s="5">
        <v>7</v>
      </c>
      <c r="Q27" s="5">
        <v>0</v>
      </c>
      <c r="R27" s="5">
        <v>5</v>
      </c>
      <c r="S27" s="5">
        <v>7</v>
      </c>
      <c r="T27" s="5">
        <v>7</v>
      </c>
      <c r="U27" s="5">
        <v>7</v>
      </c>
      <c r="V27" s="5">
        <v>7</v>
      </c>
      <c r="W27" s="5">
        <v>7</v>
      </c>
      <c r="X27" s="5">
        <v>7</v>
      </c>
    </row>
    <row r="28" spans="2:24" x14ac:dyDescent="0.2">
      <c r="B28" s="15" t="s">
        <v>189</v>
      </c>
      <c r="C28" s="12">
        <v>1</v>
      </c>
      <c r="D28" s="12">
        <v>0</v>
      </c>
      <c r="E28" s="12">
        <v>1</v>
      </c>
      <c r="F28" s="12">
        <v>1</v>
      </c>
      <c r="G28" s="12">
        <v>1</v>
      </c>
      <c r="H28" s="12">
        <v>1</v>
      </c>
      <c r="I28" s="12">
        <v>1</v>
      </c>
      <c r="J28" s="13">
        <v>1</v>
      </c>
      <c r="K28" s="12">
        <v>1</v>
      </c>
      <c r="L28">
        <v>4</v>
      </c>
      <c r="M28">
        <v>8</v>
      </c>
      <c r="O28" s="7">
        <v>21</v>
      </c>
      <c r="P28" s="5">
        <v>7</v>
      </c>
      <c r="Q28" s="5">
        <v>0</v>
      </c>
      <c r="R28" s="5">
        <v>4</v>
      </c>
      <c r="S28" s="5">
        <v>7</v>
      </c>
      <c r="T28" s="5">
        <v>7</v>
      </c>
      <c r="U28" s="5">
        <v>7</v>
      </c>
      <c r="V28" s="5">
        <v>7</v>
      </c>
      <c r="W28" s="5">
        <v>7</v>
      </c>
      <c r="X28" s="5">
        <v>7</v>
      </c>
    </row>
    <row r="29" spans="2:24" x14ac:dyDescent="0.2">
      <c r="B29" s="15" t="s">
        <v>190</v>
      </c>
      <c r="C29" s="12">
        <v>1</v>
      </c>
      <c r="D29" s="12">
        <v>0</v>
      </c>
      <c r="E29" s="12">
        <v>0</v>
      </c>
      <c r="F29" s="12">
        <v>1</v>
      </c>
      <c r="G29" s="12">
        <v>1</v>
      </c>
      <c r="H29" s="12">
        <v>1</v>
      </c>
      <c r="I29" s="12">
        <v>1</v>
      </c>
      <c r="J29" s="13">
        <v>1</v>
      </c>
      <c r="K29" s="12">
        <v>1</v>
      </c>
      <c r="L29">
        <v>4</v>
      </c>
      <c r="M29">
        <v>7</v>
      </c>
      <c r="O29" s="7">
        <v>22</v>
      </c>
      <c r="P29" s="5">
        <v>7</v>
      </c>
      <c r="Q29" s="5">
        <v>0</v>
      </c>
      <c r="R29" s="5">
        <v>3</v>
      </c>
      <c r="S29" s="5">
        <v>7</v>
      </c>
      <c r="T29" s="5">
        <v>7</v>
      </c>
      <c r="U29" s="5">
        <v>7</v>
      </c>
      <c r="V29" s="5">
        <v>7</v>
      </c>
      <c r="W29" s="5">
        <v>7</v>
      </c>
      <c r="X29" s="5">
        <v>7</v>
      </c>
    </row>
    <row r="30" spans="2:24" x14ac:dyDescent="0.2">
      <c r="B30" s="15" t="s">
        <v>191</v>
      </c>
      <c r="C30" s="12">
        <v>1</v>
      </c>
      <c r="D30" s="12">
        <v>0</v>
      </c>
      <c r="E30" s="12">
        <v>0</v>
      </c>
      <c r="F30" s="12">
        <v>1</v>
      </c>
      <c r="G30" s="12">
        <v>1</v>
      </c>
      <c r="H30" s="12">
        <v>1</v>
      </c>
      <c r="I30" s="12">
        <v>1</v>
      </c>
      <c r="J30" s="13">
        <v>1</v>
      </c>
      <c r="K30" s="12">
        <v>1</v>
      </c>
      <c r="L30">
        <v>4</v>
      </c>
      <c r="M30">
        <v>7</v>
      </c>
      <c r="O30" s="7">
        <v>23</v>
      </c>
      <c r="P30" s="5">
        <v>7</v>
      </c>
      <c r="Q30" s="5">
        <v>0</v>
      </c>
      <c r="R30" s="5">
        <v>4</v>
      </c>
      <c r="S30" s="5">
        <v>7</v>
      </c>
      <c r="T30" s="5">
        <v>7</v>
      </c>
      <c r="U30" s="5">
        <v>7</v>
      </c>
      <c r="V30" s="5">
        <v>7</v>
      </c>
      <c r="W30" s="5">
        <v>7</v>
      </c>
      <c r="X30" s="5">
        <v>7</v>
      </c>
    </row>
    <row r="31" spans="2:24" x14ac:dyDescent="0.2">
      <c r="B31" s="15" t="s">
        <v>192</v>
      </c>
      <c r="C31" s="12">
        <v>1</v>
      </c>
      <c r="D31" s="12">
        <v>0</v>
      </c>
      <c r="E31" s="12">
        <v>0</v>
      </c>
      <c r="F31" s="12">
        <v>1</v>
      </c>
      <c r="G31" s="12">
        <v>1</v>
      </c>
      <c r="H31" s="12">
        <v>1</v>
      </c>
      <c r="I31" s="12">
        <v>1</v>
      </c>
      <c r="J31" s="13">
        <v>1</v>
      </c>
      <c r="K31" s="12">
        <v>1</v>
      </c>
      <c r="L31">
        <v>4</v>
      </c>
      <c r="M31">
        <v>7</v>
      </c>
      <c r="O31" s="7">
        <v>24</v>
      </c>
      <c r="P31" s="5">
        <v>7</v>
      </c>
      <c r="Q31" s="5">
        <v>0</v>
      </c>
      <c r="R31" s="5">
        <v>4</v>
      </c>
      <c r="S31" s="5">
        <v>7</v>
      </c>
      <c r="T31" s="5">
        <v>7</v>
      </c>
      <c r="U31" s="5">
        <v>7</v>
      </c>
      <c r="V31" s="5">
        <v>7</v>
      </c>
      <c r="W31" s="5">
        <v>7</v>
      </c>
      <c r="X31" s="5">
        <v>7</v>
      </c>
    </row>
    <row r="32" spans="2:24" x14ac:dyDescent="0.2">
      <c r="B32" s="15" t="s">
        <v>193</v>
      </c>
      <c r="C32" s="12">
        <v>1</v>
      </c>
      <c r="D32" s="12">
        <v>0</v>
      </c>
      <c r="E32" s="12">
        <v>1</v>
      </c>
      <c r="F32" s="12">
        <v>1</v>
      </c>
      <c r="G32" s="12">
        <v>1</v>
      </c>
      <c r="H32" s="12">
        <v>1</v>
      </c>
      <c r="I32" s="12">
        <v>1</v>
      </c>
      <c r="J32" s="13">
        <v>1</v>
      </c>
      <c r="K32" s="12">
        <v>1</v>
      </c>
      <c r="L32">
        <v>4</v>
      </c>
      <c r="M32">
        <v>8</v>
      </c>
      <c r="O32" s="7">
        <v>25</v>
      </c>
      <c r="P32" s="5">
        <v>7</v>
      </c>
      <c r="Q32" s="5">
        <v>0</v>
      </c>
      <c r="R32" s="5">
        <v>3</v>
      </c>
      <c r="S32" s="5">
        <v>7</v>
      </c>
      <c r="T32" s="5">
        <v>7</v>
      </c>
      <c r="U32" s="5">
        <v>7</v>
      </c>
      <c r="V32" s="5">
        <v>7</v>
      </c>
      <c r="W32" s="5">
        <v>7</v>
      </c>
      <c r="X32" s="5">
        <v>7</v>
      </c>
    </row>
    <row r="33" spans="2:24" x14ac:dyDescent="0.2">
      <c r="B33" s="15" t="s">
        <v>194</v>
      </c>
      <c r="C33" s="12">
        <v>1</v>
      </c>
      <c r="D33" s="12">
        <v>0</v>
      </c>
      <c r="E33" s="12">
        <v>1</v>
      </c>
      <c r="F33" s="12">
        <v>1</v>
      </c>
      <c r="G33" s="12">
        <v>1</v>
      </c>
      <c r="H33" s="12">
        <v>1</v>
      </c>
      <c r="I33" s="12">
        <v>1</v>
      </c>
      <c r="J33" s="13">
        <v>1</v>
      </c>
      <c r="K33" s="12">
        <v>1</v>
      </c>
      <c r="L33">
        <v>4</v>
      </c>
      <c r="M33">
        <v>8</v>
      </c>
      <c r="O33" s="7">
        <v>26</v>
      </c>
      <c r="P33" s="5">
        <v>7</v>
      </c>
      <c r="Q33" s="5">
        <v>0</v>
      </c>
      <c r="R33" s="5">
        <v>6</v>
      </c>
      <c r="S33" s="5">
        <v>7</v>
      </c>
      <c r="T33" s="5">
        <v>7</v>
      </c>
      <c r="U33" s="5">
        <v>7</v>
      </c>
      <c r="V33" s="5">
        <v>7</v>
      </c>
      <c r="W33" s="5">
        <v>7</v>
      </c>
      <c r="X33" s="5">
        <v>7</v>
      </c>
    </row>
    <row r="34" spans="2:24" x14ac:dyDescent="0.2">
      <c r="B34" s="15" t="s">
        <v>195</v>
      </c>
      <c r="C34" s="12">
        <v>1</v>
      </c>
      <c r="D34" s="12">
        <v>0</v>
      </c>
      <c r="E34" s="12">
        <v>1</v>
      </c>
      <c r="F34" s="12">
        <v>1</v>
      </c>
      <c r="G34" s="12">
        <v>1</v>
      </c>
      <c r="H34" s="12">
        <v>1</v>
      </c>
      <c r="I34" s="12">
        <v>1</v>
      </c>
      <c r="J34" s="13">
        <v>1</v>
      </c>
      <c r="K34" s="12">
        <v>1</v>
      </c>
      <c r="L34">
        <v>5</v>
      </c>
      <c r="M34">
        <v>8</v>
      </c>
      <c r="O34" s="7">
        <v>27</v>
      </c>
      <c r="P34" s="5">
        <v>7</v>
      </c>
      <c r="Q34" s="5">
        <v>0</v>
      </c>
      <c r="R34" s="5">
        <v>4</v>
      </c>
      <c r="S34" s="5">
        <v>7</v>
      </c>
      <c r="T34" s="5">
        <v>7</v>
      </c>
      <c r="U34" s="5">
        <v>7</v>
      </c>
      <c r="V34" s="5">
        <v>7</v>
      </c>
      <c r="W34" s="5">
        <v>7</v>
      </c>
      <c r="X34" s="5">
        <v>7</v>
      </c>
    </row>
    <row r="35" spans="2:24" x14ac:dyDescent="0.2">
      <c r="B35" s="15" t="s">
        <v>196</v>
      </c>
      <c r="C35" s="12">
        <v>1</v>
      </c>
      <c r="D35" s="12">
        <v>0</v>
      </c>
      <c r="E35" s="12">
        <v>1</v>
      </c>
      <c r="F35" s="12">
        <v>1</v>
      </c>
      <c r="G35" s="12">
        <v>1</v>
      </c>
      <c r="H35" s="12">
        <v>1</v>
      </c>
      <c r="I35" s="12">
        <v>1</v>
      </c>
      <c r="J35" s="13">
        <v>1</v>
      </c>
      <c r="K35" s="12">
        <v>1</v>
      </c>
      <c r="L35">
        <v>5</v>
      </c>
      <c r="M35">
        <v>8</v>
      </c>
      <c r="O35" s="7">
        <v>28</v>
      </c>
      <c r="P35" s="5">
        <v>7</v>
      </c>
      <c r="Q35" s="5">
        <v>0</v>
      </c>
      <c r="R35" s="5">
        <v>5</v>
      </c>
      <c r="S35" s="5">
        <v>7</v>
      </c>
      <c r="T35" s="5">
        <v>7</v>
      </c>
      <c r="U35" s="5">
        <v>7</v>
      </c>
      <c r="V35" s="5">
        <v>7</v>
      </c>
      <c r="W35" s="5">
        <v>7</v>
      </c>
      <c r="X35" s="5">
        <v>7</v>
      </c>
    </row>
    <row r="36" spans="2:24" x14ac:dyDescent="0.2">
      <c r="B36" s="15" t="s">
        <v>197</v>
      </c>
      <c r="C36" s="12">
        <v>1</v>
      </c>
      <c r="D36" s="12">
        <v>0</v>
      </c>
      <c r="E36" s="12">
        <v>1</v>
      </c>
      <c r="F36" s="12">
        <v>1</v>
      </c>
      <c r="G36" s="12">
        <v>1</v>
      </c>
      <c r="H36" s="12">
        <v>1</v>
      </c>
      <c r="I36" s="12">
        <v>1</v>
      </c>
      <c r="J36" s="13">
        <v>1</v>
      </c>
      <c r="K36" s="12">
        <v>1</v>
      </c>
      <c r="L36">
        <v>5</v>
      </c>
      <c r="M36">
        <v>8</v>
      </c>
      <c r="O36" s="7">
        <v>29</v>
      </c>
      <c r="P36" s="5">
        <v>7</v>
      </c>
      <c r="Q36" s="5">
        <v>0</v>
      </c>
      <c r="R36" s="5">
        <v>4</v>
      </c>
      <c r="S36" s="5">
        <v>7</v>
      </c>
      <c r="T36" s="5">
        <v>7</v>
      </c>
      <c r="U36" s="5">
        <v>7</v>
      </c>
      <c r="V36" s="5">
        <v>7</v>
      </c>
      <c r="W36" s="5">
        <v>7</v>
      </c>
      <c r="X36" s="5">
        <v>7</v>
      </c>
    </row>
    <row r="37" spans="2:24" x14ac:dyDescent="0.2">
      <c r="B37" s="15" t="s">
        <v>198</v>
      </c>
      <c r="C37" s="12">
        <v>1</v>
      </c>
      <c r="D37" s="12">
        <v>0</v>
      </c>
      <c r="E37" s="12">
        <v>0</v>
      </c>
      <c r="F37" s="12">
        <v>1</v>
      </c>
      <c r="G37" s="12">
        <v>1</v>
      </c>
      <c r="H37" s="12">
        <v>1</v>
      </c>
      <c r="I37" s="12">
        <v>1</v>
      </c>
      <c r="J37" s="13">
        <v>1</v>
      </c>
      <c r="K37" s="12">
        <v>1</v>
      </c>
      <c r="L37">
        <v>5</v>
      </c>
      <c r="M37">
        <v>7</v>
      </c>
      <c r="O37" s="7">
        <v>30</v>
      </c>
      <c r="P37" s="5">
        <v>7</v>
      </c>
      <c r="Q37" s="5">
        <v>0</v>
      </c>
      <c r="R37" s="5">
        <v>4</v>
      </c>
      <c r="S37" s="5">
        <v>7</v>
      </c>
      <c r="T37" s="5">
        <v>7</v>
      </c>
      <c r="U37" s="5">
        <v>7</v>
      </c>
      <c r="V37" s="5">
        <v>7</v>
      </c>
      <c r="W37" s="5">
        <v>7</v>
      </c>
      <c r="X37" s="5">
        <v>7</v>
      </c>
    </row>
    <row r="38" spans="2:24" x14ac:dyDescent="0.2">
      <c r="B38" s="15" t="s">
        <v>199</v>
      </c>
      <c r="C38" s="12">
        <v>1</v>
      </c>
      <c r="D38" s="12">
        <v>0</v>
      </c>
      <c r="E38" s="12">
        <v>0</v>
      </c>
      <c r="F38" s="12">
        <v>1</v>
      </c>
      <c r="G38" s="12">
        <v>1</v>
      </c>
      <c r="H38" s="12">
        <v>1</v>
      </c>
      <c r="I38" s="12">
        <v>1</v>
      </c>
      <c r="J38" s="13">
        <v>1</v>
      </c>
      <c r="K38" s="12">
        <v>1</v>
      </c>
      <c r="L38">
        <v>5</v>
      </c>
      <c r="M38">
        <v>7</v>
      </c>
      <c r="O38" s="7">
        <v>31</v>
      </c>
      <c r="P38" s="5">
        <v>7</v>
      </c>
      <c r="Q38" s="5">
        <v>0</v>
      </c>
      <c r="R38" s="5">
        <v>4</v>
      </c>
      <c r="S38" s="5">
        <v>7</v>
      </c>
      <c r="T38" s="5">
        <v>7</v>
      </c>
      <c r="U38" s="5">
        <v>7</v>
      </c>
      <c r="V38" s="5">
        <v>7</v>
      </c>
      <c r="W38" s="5">
        <v>7</v>
      </c>
      <c r="X38" s="5">
        <v>7</v>
      </c>
    </row>
    <row r="39" spans="2:24" x14ac:dyDescent="0.2">
      <c r="B39" s="15" t="s">
        <v>200</v>
      </c>
      <c r="C39" s="12">
        <v>1</v>
      </c>
      <c r="D39" s="12">
        <v>0</v>
      </c>
      <c r="E39" s="12">
        <v>0</v>
      </c>
      <c r="F39" s="12">
        <v>1</v>
      </c>
      <c r="G39" s="12">
        <v>1</v>
      </c>
      <c r="H39" s="12">
        <v>1</v>
      </c>
      <c r="I39" s="12">
        <v>1</v>
      </c>
      <c r="J39" s="13">
        <v>1</v>
      </c>
      <c r="K39" s="12">
        <v>1</v>
      </c>
      <c r="L39">
        <v>5</v>
      </c>
      <c r="M39">
        <v>7</v>
      </c>
      <c r="O39" s="7">
        <v>32</v>
      </c>
      <c r="P39" s="5">
        <v>7</v>
      </c>
      <c r="Q39" s="5">
        <v>0</v>
      </c>
      <c r="R39" s="5">
        <v>4</v>
      </c>
      <c r="S39" s="5">
        <v>7</v>
      </c>
      <c r="T39" s="5">
        <v>7</v>
      </c>
      <c r="U39" s="5">
        <v>7</v>
      </c>
      <c r="V39" s="5">
        <v>7</v>
      </c>
      <c r="W39" s="5">
        <v>7</v>
      </c>
      <c r="X39" s="5">
        <v>7</v>
      </c>
    </row>
    <row r="40" spans="2:24" x14ac:dyDescent="0.2">
      <c r="B40" s="15" t="s">
        <v>201</v>
      </c>
      <c r="C40" s="12">
        <v>1</v>
      </c>
      <c r="D40" s="12">
        <v>0</v>
      </c>
      <c r="E40" s="12">
        <v>1</v>
      </c>
      <c r="F40" s="12">
        <v>1</v>
      </c>
      <c r="G40" s="12">
        <v>1</v>
      </c>
      <c r="H40" s="12">
        <v>1</v>
      </c>
      <c r="I40" s="12">
        <v>1</v>
      </c>
      <c r="J40" s="13">
        <v>1</v>
      </c>
      <c r="K40" s="12">
        <v>1</v>
      </c>
      <c r="L40">
        <v>5</v>
      </c>
      <c r="M40">
        <v>8</v>
      </c>
      <c r="O40" s="7">
        <v>33</v>
      </c>
      <c r="P40" s="5">
        <v>7</v>
      </c>
      <c r="Q40" s="5">
        <v>0</v>
      </c>
      <c r="R40" s="5">
        <v>5</v>
      </c>
      <c r="S40" s="5">
        <v>7</v>
      </c>
      <c r="T40" s="5">
        <v>4</v>
      </c>
      <c r="U40" s="5">
        <v>4</v>
      </c>
      <c r="V40" s="5">
        <v>7</v>
      </c>
      <c r="W40" s="5">
        <v>7</v>
      </c>
      <c r="X40" s="5">
        <v>7</v>
      </c>
    </row>
    <row r="41" spans="2:24" x14ac:dyDescent="0.2">
      <c r="B41" s="15" t="s">
        <v>202</v>
      </c>
      <c r="C41" s="12">
        <v>1</v>
      </c>
      <c r="D41" s="12">
        <v>0</v>
      </c>
      <c r="E41" s="12">
        <v>1</v>
      </c>
      <c r="F41" s="12">
        <v>1</v>
      </c>
      <c r="G41" s="12">
        <v>1</v>
      </c>
      <c r="H41" s="12">
        <v>1</v>
      </c>
      <c r="I41" s="12">
        <v>1</v>
      </c>
      <c r="J41" s="13">
        <v>1</v>
      </c>
      <c r="K41" s="12">
        <v>1</v>
      </c>
      <c r="L41">
        <v>6</v>
      </c>
      <c r="M41">
        <v>8</v>
      </c>
      <c r="O41" s="7">
        <v>34</v>
      </c>
      <c r="P41" s="5">
        <v>7</v>
      </c>
      <c r="Q41" s="5">
        <v>0</v>
      </c>
      <c r="R41" s="5">
        <v>4</v>
      </c>
      <c r="S41" s="5">
        <v>7</v>
      </c>
      <c r="T41" s="5">
        <v>7</v>
      </c>
      <c r="U41" s="5">
        <v>7</v>
      </c>
      <c r="V41" s="5">
        <v>7</v>
      </c>
      <c r="W41" s="5">
        <v>7</v>
      </c>
      <c r="X41" s="5">
        <v>7</v>
      </c>
    </row>
    <row r="42" spans="2:24" x14ac:dyDescent="0.2">
      <c r="B42" s="15" t="s">
        <v>203</v>
      </c>
      <c r="C42" s="12">
        <v>1</v>
      </c>
      <c r="D42" s="12">
        <v>0</v>
      </c>
      <c r="E42" s="12">
        <v>1</v>
      </c>
      <c r="F42" s="12">
        <v>1</v>
      </c>
      <c r="G42" s="12">
        <v>1</v>
      </c>
      <c r="H42" s="12">
        <v>1</v>
      </c>
      <c r="I42" s="12">
        <v>1</v>
      </c>
      <c r="J42" s="13">
        <v>1</v>
      </c>
      <c r="K42" s="12">
        <v>1</v>
      </c>
      <c r="L42">
        <v>6</v>
      </c>
      <c r="M42">
        <v>8</v>
      </c>
      <c r="O42" s="7">
        <v>35</v>
      </c>
      <c r="P42" s="5">
        <v>7</v>
      </c>
      <c r="Q42" s="5">
        <v>0</v>
      </c>
      <c r="R42" s="5">
        <v>4</v>
      </c>
      <c r="S42" s="5">
        <v>7</v>
      </c>
      <c r="T42" s="5">
        <v>7</v>
      </c>
      <c r="U42" s="5">
        <v>7</v>
      </c>
      <c r="V42" s="5">
        <v>7</v>
      </c>
      <c r="W42" s="5">
        <v>7</v>
      </c>
      <c r="X42" s="5">
        <v>7</v>
      </c>
    </row>
    <row r="43" spans="2:24" x14ac:dyDescent="0.2">
      <c r="B43" s="15" t="s">
        <v>204</v>
      </c>
      <c r="C43" s="12">
        <v>1</v>
      </c>
      <c r="D43" s="22">
        <v>0</v>
      </c>
      <c r="E43" s="5">
        <v>0</v>
      </c>
      <c r="F43" s="12">
        <v>1</v>
      </c>
      <c r="G43" s="12">
        <v>1</v>
      </c>
      <c r="H43" s="12">
        <v>1</v>
      </c>
      <c r="I43" s="12">
        <v>1</v>
      </c>
      <c r="J43" s="13">
        <v>1</v>
      </c>
      <c r="K43" s="12">
        <v>1</v>
      </c>
      <c r="L43">
        <v>6</v>
      </c>
      <c r="M43">
        <v>7</v>
      </c>
      <c r="O43" s="7">
        <v>36</v>
      </c>
      <c r="P43" s="5">
        <v>7</v>
      </c>
      <c r="Q43" s="5">
        <v>1</v>
      </c>
      <c r="R43" s="5">
        <v>3</v>
      </c>
      <c r="S43" s="5">
        <v>7</v>
      </c>
      <c r="T43" s="5">
        <v>7</v>
      </c>
      <c r="U43" s="5">
        <v>7</v>
      </c>
      <c r="V43" s="5">
        <v>7</v>
      </c>
      <c r="W43" s="5">
        <v>7</v>
      </c>
      <c r="X43" s="5">
        <v>7</v>
      </c>
    </row>
    <row r="44" spans="2:24" x14ac:dyDescent="0.2">
      <c r="B44" s="15" t="s">
        <v>205</v>
      </c>
      <c r="C44" s="12">
        <v>1</v>
      </c>
      <c r="D44" s="22">
        <v>0</v>
      </c>
      <c r="E44" s="5">
        <v>0</v>
      </c>
      <c r="F44" s="12">
        <v>1</v>
      </c>
      <c r="G44" s="12">
        <v>1</v>
      </c>
      <c r="H44" s="12">
        <v>1</v>
      </c>
      <c r="I44" s="12">
        <v>1</v>
      </c>
      <c r="J44" s="13">
        <v>1</v>
      </c>
      <c r="K44" s="12">
        <v>1</v>
      </c>
      <c r="L44">
        <v>6</v>
      </c>
      <c r="M44">
        <v>7</v>
      </c>
      <c r="O44" s="7">
        <v>37</v>
      </c>
      <c r="P44" s="5">
        <v>7</v>
      </c>
      <c r="Q44" s="5">
        <v>7</v>
      </c>
      <c r="R44" s="5">
        <v>6</v>
      </c>
      <c r="S44" s="5">
        <v>7</v>
      </c>
      <c r="T44" s="5">
        <v>7</v>
      </c>
      <c r="U44" s="5">
        <v>7</v>
      </c>
      <c r="V44" s="5">
        <v>7</v>
      </c>
      <c r="W44" s="5">
        <v>7</v>
      </c>
      <c r="X44" s="5">
        <v>7</v>
      </c>
    </row>
    <row r="45" spans="2:24" x14ac:dyDescent="0.2">
      <c r="B45" s="15" t="s">
        <v>206</v>
      </c>
      <c r="C45" s="12">
        <v>1</v>
      </c>
      <c r="D45" s="22">
        <v>0</v>
      </c>
      <c r="E45" s="5">
        <v>0</v>
      </c>
      <c r="F45" s="12">
        <v>1</v>
      </c>
      <c r="G45" s="12">
        <v>1</v>
      </c>
      <c r="H45" s="12">
        <v>1</v>
      </c>
      <c r="I45" s="12">
        <v>1</v>
      </c>
      <c r="J45" s="13">
        <v>1</v>
      </c>
      <c r="K45" s="12">
        <v>1</v>
      </c>
      <c r="L45">
        <v>6</v>
      </c>
      <c r="M45">
        <v>7</v>
      </c>
      <c r="O45" s="7">
        <v>38</v>
      </c>
      <c r="P45" s="5">
        <v>7</v>
      </c>
      <c r="Q45" s="5">
        <v>7</v>
      </c>
      <c r="R45" s="5">
        <v>5</v>
      </c>
      <c r="S45" s="5">
        <v>7</v>
      </c>
      <c r="T45" s="5">
        <v>7</v>
      </c>
      <c r="U45" s="5">
        <v>7</v>
      </c>
      <c r="V45" s="5">
        <v>7</v>
      </c>
      <c r="W45" s="5">
        <v>7</v>
      </c>
      <c r="X45" s="5">
        <v>7</v>
      </c>
    </row>
    <row r="46" spans="2:24" x14ac:dyDescent="0.2">
      <c r="B46" s="15" t="s">
        <v>207</v>
      </c>
      <c r="C46" s="12">
        <v>1</v>
      </c>
      <c r="D46" s="22">
        <v>0</v>
      </c>
      <c r="E46" s="5">
        <v>0</v>
      </c>
      <c r="F46" s="12">
        <v>1</v>
      </c>
      <c r="G46" s="12">
        <v>1</v>
      </c>
      <c r="H46" s="12">
        <v>1</v>
      </c>
      <c r="I46" s="12">
        <v>1</v>
      </c>
      <c r="J46" s="13">
        <v>1</v>
      </c>
      <c r="K46" s="12">
        <v>1</v>
      </c>
      <c r="L46">
        <v>6</v>
      </c>
      <c r="M46">
        <v>7</v>
      </c>
      <c r="O46" s="7">
        <v>39</v>
      </c>
      <c r="P46" s="5">
        <v>7</v>
      </c>
      <c r="Q46" s="5">
        <v>7</v>
      </c>
      <c r="R46" s="5">
        <v>6</v>
      </c>
      <c r="S46" s="5">
        <v>7</v>
      </c>
      <c r="T46" s="5">
        <v>7</v>
      </c>
      <c r="U46" s="5">
        <v>7</v>
      </c>
      <c r="V46" s="5">
        <v>7</v>
      </c>
      <c r="W46" s="5">
        <v>7</v>
      </c>
      <c r="X46" s="5">
        <v>7</v>
      </c>
    </row>
    <row r="47" spans="2:24" x14ac:dyDescent="0.2">
      <c r="B47" s="15" t="s">
        <v>208</v>
      </c>
      <c r="C47" s="12">
        <v>1</v>
      </c>
      <c r="D47" s="22">
        <v>0</v>
      </c>
      <c r="E47" s="5">
        <v>0</v>
      </c>
      <c r="F47" s="12">
        <v>1</v>
      </c>
      <c r="G47" s="12">
        <v>1</v>
      </c>
      <c r="H47" s="12">
        <v>1</v>
      </c>
      <c r="I47" s="12">
        <v>1</v>
      </c>
      <c r="J47" s="13">
        <v>1</v>
      </c>
      <c r="K47" s="12">
        <v>1</v>
      </c>
      <c r="L47">
        <v>6</v>
      </c>
      <c r="M47">
        <v>7</v>
      </c>
      <c r="O47" s="7">
        <v>40</v>
      </c>
      <c r="P47" s="5">
        <v>7</v>
      </c>
      <c r="Q47" s="5">
        <v>7</v>
      </c>
      <c r="R47" s="5">
        <v>3</v>
      </c>
      <c r="S47" s="5">
        <v>7</v>
      </c>
      <c r="T47" s="5">
        <v>7</v>
      </c>
      <c r="U47" s="5">
        <v>7</v>
      </c>
      <c r="V47" s="5">
        <v>7</v>
      </c>
      <c r="W47" s="5">
        <v>7</v>
      </c>
      <c r="X47" s="5">
        <v>7</v>
      </c>
    </row>
    <row r="48" spans="2:24" x14ac:dyDescent="0.2">
      <c r="B48" s="15" t="s">
        <v>209</v>
      </c>
      <c r="C48" s="12">
        <v>1</v>
      </c>
      <c r="D48" s="12">
        <v>0</v>
      </c>
      <c r="E48" s="12">
        <v>1</v>
      </c>
      <c r="F48" s="12">
        <v>1</v>
      </c>
      <c r="G48" s="12">
        <v>1</v>
      </c>
      <c r="H48" s="12">
        <v>1</v>
      </c>
      <c r="I48" s="12">
        <v>1</v>
      </c>
      <c r="J48" s="13">
        <v>1</v>
      </c>
      <c r="K48" s="12">
        <v>1</v>
      </c>
      <c r="L48">
        <v>7</v>
      </c>
      <c r="M48">
        <v>8</v>
      </c>
      <c r="O48" s="7">
        <v>41</v>
      </c>
      <c r="P48" s="5">
        <v>7</v>
      </c>
      <c r="Q48" s="5">
        <v>7</v>
      </c>
      <c r="R48" s="5">
        <v>4</v>
      </c>
      <c r="S48" s="5">
        <v>7</v>
      </c>
      <c r="T48" s="5">
        <v>7</v>
      </c>
      <c r="U48" s="5">
        <v>7</v>
      </c>
      <c r="V48" s="5">
        <v>7</v>
      </c>
      <c r="W48" s="5">
        <v>7</v>
      </c>
      <c r="X48" s="5">
        <v>7</v>
      </c>
    </row>
    <row r="49" spans="2:24" x14ac:dyDescent="0.2">
      <c r="B49" s="15" t="s">
        <v>210</v>
      </c>
      <c r="C49" s="12">
        <v>1</v>
      </c>
      <c r="D49" s="12">
        <v>0</v>
      </c>
      <c r="E49" s="12">
        <v>0</v>
      </c>
      <c r="F49" s="12">
        <v>1</v>
      </c>
      <c r="G49" s="12">
        <v>1</v>
      </c>
      <c r="H49" s="12">
        <v>1</v>
      </c>
      <c r="I49" s="12">
        <v>1</v>
      </c>
      <c r="J49" s="13">
        <v>1</v>
      </c>
      <c r="K49" s="12">
        <v>1</v>
      </c>
      <c r="L49">
        <v>7</v>
      </c>
      <c r="M49">
        <v>7</v>
      </c>
      <c r="O49" s="7">
        <v>42</v>
      </c>
      <c r="P49" s="5">
        <v>7</v>
      </c>
      <c r="Q49" s="5">
        <v>7</v>
      </c>
      <c r="R49" s="5">
        <v>3</v>
      </c>
      <c r="S49" s="5">
        <v>7</v>
      </c>
      <c r="T49" s="5">
        <v>7</v>
      </c>
      <c r="U49" s="5">
        <v>7</v>
      </c>
      <c r="V49" s="5">
        <v>7</v>
      </c>
      <c r="W49" s="5">
        <v>7</v>
      </c>
      <c r="X49" s="5">
        <v>7</v>
      </c>
    </row>
    <row r="50" spans="2:24" x14ac:dyDescent="0.2">
      <c r="B50" s="15" t="s">
        <v>211</v>
      </c>
      <c r="C50" s="12">
        <v>1</v>
      </c>
      <c r="D50" s="12">
        <v>0</v>
      </c>
      <c r="E50" s="12">
        <v>0</v>
      </c>
      <c r="F50" s="12">
        <v>1</v>
      </c>
      <c r="G50" s="12">
        <v>1</v>
      </c>
      <c r="H50" s="12">
        <v>1</v>
      </c>
      <c r="I50" s="12">
        <v>1</v>
      </c>
      <c r="J50" s="13">
        <v>1</v>
      </c>
      <c r="K50" s="12">
        <v>1</v>
      </c>
      <c r="L50">
        <v>7</v>
      </c>
      <c r="M50">
        <v>7</v>
      </c>
      <c r="O50" s="7">
        <v>43</v>
      </c>
      <c r="P50" s="5">
        <v>7</v>
      </c>
      <c r="Q50" s="5">
        <v>7</v>
      </c>
      <c r="R50" s="5">
        <v>4</v>
      </c>
      <c r="S50" s="5">
        <v>7</v>
      </c>
      <c r="T50" s="5">
        <v>7</v>
      </c>
      <c r="U50" s="5">
        <v>7</v>
      </c>
      <c r="V50" s="5">
        <v>7</v>
      </c>
      <c r="W50" s="5">
        <v>7</v>
      </c>
      <c r="X50" s="5">
        <v>7</v>
      </c>
    </row>
    <row r="51" spans="2:24" x14ac:dyDescent="0.2">
      <c r="B51" s="15" t="s">
        <v>212</v>
      </c>
      <c r="C51" s="12">
        <v>1</v>
      </c>
      <c r="D51" s="12">
        <v>0</v>
      </c>
      <c r="E51" s="12">
        <v>1</v>
      </c>
      <c r="F51" s="12">
        <v>1</v>
      </c>
      <c r="G51" s="12">
        <v>1</v>
      </c>
      <c r="H51" s="12">
        <v>1</v>
      </c>
      <c r="I51" s="12">
        <v>1</v>
      </c>
      <c r="J51" s="13">
        <v>1</v>
      </c>
      <c r="K51" s="12">
        <v>1</v>
      </c>
      <c r="L51">
        <v>7</v>
      </c>
      <c r="M51">
        <v>8</v>
      </c>
      <c r="O51" s="7">
        <v>44</v>
      </c>
      <c r="P51" s="5">
        <v>7</v>
      </c>
      <c r="Q51" s="5">
        <v>7</v>
      </c>
      <c r="R51" s="5">
        <v>6</v>
      </c>
      <c r="S51" s="5">
        <v>7</v>
      </c>
      <c r="T51" s="5">
        <v>7</v>
      </c>
      <c r="U51" s="5">
        <v>7</v>
      </c>
      <c r="V51" s="5">
        <v>7</v>
      </c>
      <c r="W51" s="5">
        <v>7</v>
      </c>
      <c r="X51" s="5">
        <v>7</v>
      </c>
    </row>
    <row r="52" spans="2:24" x14ac:dyDescent="0.2">
      <c r="B52" s="15" t="s">
        <v>213</v>
      </c>
      <c r="C52" s="12">
        <v>1</v>
      </c>
      <c r="D52" s="12">
        <v>0</v>
      </c>
      <c r="E52" s="12">
        <v>1</v>
      </c>
      <c r="F52" s="12">
        <v>1</v>
      </c>
      <c r="G52" s="12">
        <v>1</v>
      </c>
      <c r="H52" s="12">
        <v>1</v>
      </c>
      <c r="I52" s="12">
        <v>1</v>
      </c>
      <c r="J52" s="13">
        <v>1</v>
      </c>
      <c r="K52" s="12">
        <v>1</v>
      </c>
      <c r="L52">
        <v>7</v>
      </c>
      <c r="M52">
        <v>8</v>
      </c>
      <c r="O52" s="7">
        <v>45</v>
      </c>
      <c r="P52" s="5">
        <v>7</v>
      </c>
      <c r="Q52" s="5">
        <v>7</v>
      </c>
      <c r="R52" s="5">
        <v>5</v>
      </c>
      <c r="S52" s="5">
        <v>7</v>
      </c>
      <c r="T52" s="5">
        <v>7</v>
      </c>
      <c r="U52" s="5">
        <v>7</v>
      </c>
      <c r="V52" s="5">
        <v>7</v>
      </c>
      <c r="W52" s="5">
        <v>7</v>
      </c>
      <c r="X52" s="5">
        <v>7</v>
      </c>
    </row>
    <row r="53" spans="2:24" x14ac:dyDescent="0.2">
      <c r="B53" s="15" t="s">
        <v>214</v>
      </c>
      <c r="C53" s="12">
        <v>1</v>
      </c>
      <c r="D53" s="12">
        <v>0</v>
      </c>
      <c r="E53" s="12">
        <v>0</v>
      </c>
      <c r="F53" s="12">
        <v>1</v>
      </c>
      <c r="G53" s="12">
        <v>1</v>
      </c>
      <c r="H53" s="12">
        <v>1</v>
      </c>
      <c r="I53" s="12">
        <v>1</v>
      </c>
      <c r="J53" s="13">
        <v>1</v>
      </c>
      <c r="K53" s="12">
        <v>1</v>
      </c>
      <c r="L53">
        <v>7</v>
      </c>
      <c r="M53">
        <v>7</v>
      </c>
      <c r="O53" s="7">
        <v>46</v>
      </c>
      <c r="P53" s="5">
        <v>7</v>
      </c>
      <c r="Q53" s="5">
        <v>7</v>
      </c>
      <c r="R53" s="5">
        <v>3</v>
      </c>
      <c r="S53" s="5">
        <v>7</v>
      </c>
      <c r="T53" s="5">
        <v>7</v>
      </c>
      <c r="U53" s="5">
        <v>7</v>
      </c>
      <c r="V53" s="5">
        <v>7</v>
      </c>
      <c r="W53" s="5">
        <v>7</v>
      </c>
      <c r="X53" s="5">
        <v>7</v>
      </c>
    </row>
    <row r="54" spans="2:24" x14ac:dyDescent="0.2">
      <c r="B54" s="15" t="s">
        <v>215</v>
      </c>
      <c r="C54" s="12">
        <v>1</v>
      </c>
      <c r="D54" s="12">
        <v>0</v>
      </c>
      <c r="E54" s="12">
        <v>1</v>
      </c>
      <c r="F54" s="12">
        <v>1</v>
      </c>
      <c r="G54" s="12">
        <v>1</v>
      </c>
      <c r="H54" s="12">
        <v>1</v>
      </c>
      <c r="I54" s="12">
        <v>1</v>
      </c>
      <c r="J54" s="13">
        <v>1</v>
      </c>
      <c r="K54" s="12">
        <v>1</v>
      </c>
      <c r="L54">
        <v>7</v>
      </c>
      <c r="M54">
        <v>8</v>
      </c>
      <c r="O54" s="7">
        <v>47</v>
      </c>
      <c r="P54" s="5">
        <v>7</v>
      </c>
      <c r="Q54" s="5">
        <v>7</v>
      </c>
      <c r="R54" s="5">
        <v>2</v>
      </c>
      <c r="S54" s="5">
        <v>6</v>
      </c>
      <c r="T54" s="5">
        <v>7</v>
      </c>
      <c r="U54" s="5">
        <v>7</v>
      </c>
      <c r="V54" s="5">
        <v>7</v>
      </c>
      <c r="W54" s="5">
        <v>7</v>
      </c>
      <c r="X54" s="5">
        <v>7</v>
      </c>
    </row>
    <row r="55" spans="2:24" x14ac:dyDescent="0.2">
      <c r="B55" s="15" t="s">
        <v>216</v>
      </c>
      <c r="C55" s="12">
        <v>1</v>
      </c>
      <c r="D55" s="12">
        <v>0</v>
      </c>
      <c r="E55" s="12">
        <v>1</v>
      </c>
      <c r="F55" s="12">
        <v>1</v>
      </c>
      <c r="G55" s="12">
        <v>1</v>
      </c>
      <c r="H55" s="12">
        <v>1</v>
      </c>
      <c r="I55" s="12">
        <v>1</v>
      </c>
      <c r="J55" s="12">
        <v>1</v>
      </c>
      <c r="K55" s="12">
        <v>1</v>
      </c>
      <c r="L55">
        <v>8</v>
      </c>
      <c r="M55">
        <v>8</v>
      </c>
      <c r="O55" s="7">
        <v>48</v>
      </c>
      <c r="P55" s="5">
        <v>7</v>
      </c>
      <c r="Q55" s="5">
        <v>7</v>
      </c>
      <c r="R55" s="5">
        <v>4</v>
      </c>
      <c r="S55" s="5">
        <v>5</v>
      </c>
      <c r="T55" s="5">
        <v>7</v>
      </c>
      <c r="U55" s="5">
        <v>7</v>
      </c>
      <c r="V55" s="5">
        <v>7</v>
      </c>
      <c r="W55" s="5">
        <v>7</v>
      </c>
      <c r="X55" s="5">
        <v>7</v>
      </c>
    </row>
    <row r="56" spans="2:24" x14ac:dyDescent="0.2">
      <c r="B56" s="15" t="s">
        <v>217</v>
      </c>
      <c r="C56" s="12">
        <v>1</v>
      </c>
      <c r="D56" s="12">
        <v>0</v>
      </c>
      <c r="E56" s="12">
        <v>1</v>
      </c>
      <c r="F56" s="12">
        <v>1</v>
      </c>
      <c r="G56" s="12">
        <v>1</v>
      </c>
      <c r="H56" s="12">
        <v>1</v>
      </c>
      <c r="I56" s="12">
        <v>1</v>
      </c>
      <c r="J56" s="12">
        <v>1</v>
      </c>
      <c r="K56" s="12">
        <v>1</v>
      </c>
      <c r="L56">
        <v>8</v>
      </c>
      <c r="M56">
        <v>8</v>
      </c>
      <c r="O56" s="7">
        <v>49</v>
      </c>
      <c r="P56" s="5">
        <v>7</v>
      </c>
      <c r="Q56" s="5">
        <v>7</v>
      </c>
      <c r="R56" s="5">
        <v>4</v>
      </c>
      <c r="S56" s="5">
        <v>6</v>
      </c>
      <c r="T56" s="5">
        <v>7</v>
      </c>
      <c r="U56" s="5">
        <v>7</v>
      </c>
      <c r="V56" s="5">
        <v>7</v>
      </c>
      <c r="W56" s="5">
        <v>7</v>
      </c>
      <c r="X56" s="5">
        <v>7</v>
      </c>
    </row>
    <row r="57" spans="2:24" x14ac:dyDescent="0.2">
      <c r="B57" s="15" t="s">
        <v>218</v>
      </c>
      <c r="C57" s="12">
        <v>1</v>
      </c>
      <c r="D57" s="12">
        <v>0</v>
      </c>
      <c r="E57" s="12">
        <v>1</v>
      </c>
      <c r="F57" s="12">
        <v>1</v>
      </c>
      <c r="G57" s="12">
        <v>1</v>
      </c>
      <c r="H57" s="12">
        <v>1</v>
      </c>
      <c r="I57" s="12">
        <v>1</v>
      </c>
      <c r="J57" s="13">
        <v>1</v>
      </c>
      <c r="K57" s="12">
        <v>1</v>
      </c>
      <c r="L57">
        <v>8</v>
      </c>
      <c r="M57">
        <v>8</v>
      </c>
      <c r="O57" s="7">
        <v>50</v>
      </c>
      <c r="P57" s="5">
        <v>7</v>
      </c>
      <c r="Q57" s="5">
        <v>7</v>
      </c>
      <c r="R57" s="5">
        <v>3</v>
      </c>
      <c r="S57" s="5">
        <v>7</v>
      </c>
      <c r="T57" s="5">
        <v>7</v>
      </c>
      <c r="U57" s="5">
        <v>7</v>
      </c>
      <c r="V57" s="5">
        <v>7</v>
      </c>
      <c r="W57" s="5">
        <v>7</v>
      </c>
      <c r="X57" s="5">
        <v>7</v>
      </c>
    </row>
    <row r="58" spans="2:24" x14ac:dyDescent="0.2">
      <c r="B58" s="15" t="s">
        <v>219</v>
      </c>
      <c r="C58" s="12">
        <v>1</v>
      </c>
      <c r="D58" s="12">
        <v>0</v>
      </c>
      <c r="E58" s="12">
        <v>0</v>
      </c>
      <c r="F58" s="12">
        <v>1</v>
      </c>
      <c r="G58" s="12">
        <v>1</v>
      </c>
      <c r="H58" s="12">
        <v>1</v>
      </c>
      <c r="I58" s="12">
        <v>1</v>
      </c>
      <c r="J58" s="13">
        <v>1</v>
      </c>
      <c r="K58" s="12">
        <v>1</v>
      </c>
      <c r="L58">
        <v>8</v>
      </c>
      <c r="M58">
        <v>7</v>
      </c>
      <c r="O58" s="7">
        <v>51</v>
      </c>
      <c r="P58" s="5">
        <v>7</v>
      </c>
      <c r="Q58" s="5">
        <v>7</v>
      </c>
      <c r="R58" s="5">
        <v>4</v>
      </c>
      <c r="S58" s="5">
        <v>7</v>
      </c>
      <c r="T58" s="5">
        <v>7</v>
      </c>
      <c r="U58" s="5">
        <v>7</v>
      </c>
      <c r="V58" s="5">
        <v>7</v>
      </c>
      <c r="W58" s="5">
        <v>7</v>
      </c>
      <c r="X58" s="5">
        <v>7</v>
      </c>
    </row>
    <row r="59" spans="2:24" x14ac:dyDescent="0.2">
      <c r="B59" s="15" t="s">
        <v>220</v>
      </c>
      <c r="C59" s="12">
        <v>1</v>
      </c>
      <c r="D59" s="12">
        <v>0</v>
      </c>
      <c r="E59" s="12">
        <v>0</v>
      </c>
      <c r="F59" s="12">
        <v>1</v>
      </c>
      <c r="G59" s="12">
        <v>1</v>
      </c>
      <c r="H59" s="12">
        <v>1</v>
      </c>
      <c r="I59" s="12">
        <v>1</v>
      </c>
      <c r="J59" s="13">
        <v>1</v>
      </c>
      <c r="K59" s="12">
        <v>1</v>
      </c>
      <c r="L59">
        <v>8</v>
      </c>
      <c r="M59">
        <v>7</v>
      </c>
      <c r="O59" s="7">
        <v>52</v>
      </c>
      <c r="P59" s="5">
        <v>7</v>
      </c>
      <c r="Q59" s="5">
        <v>7</v>
      </c>
      <c r="R59" s="5">
        <v>4</v>
      </c>
      <c r="S59" s="5">
        <v>6</v>
      </c>
      <c r="T59" s="5">
        <v>7</v>
      </c>
      <c r="U59" s="5">
        <v>7</v>
      </c>
      <c r="V59" s="5">
        <v>7</v>
      </c>
      <c r="W59" s="5">
        <v>7</v>
      </c>
      <c r="X59" s="5">
        <v>7</v>
      </c>
    </row>
    <row r="60" spans="2:24" x14ac:dyDescent="0.2">
      <c r="B60" s="15" t="s">
        <v>221</v>
      </c>
      <c r="C60" s="12">
        <v>1</v>
      </c>
      <c r="D60" s="12">
        <v>0</v>
      </c>
      <c r="E60" s="12">
        <v>0</v>
      </c>
      <c r="F60" s="12">
        <v>1</v>
      </c>
      <c r="G60" s="12">
        <v>1</v>
      </c>
      <c r="H60" s="12">
        <v>1</v>
      </c>
      <c r="I60" s="12">
        <v>1</v>
      </c>
      <c r="J60" s="13">
        <v>1</v>
      </c>
      <c r="K60" s="12">
        <v>1</v>
      </c>
      <c r="L60">
        <v>8</v>
      </c>
      <c r="M60">
        <v>7</v>
      </c>
      <c r="O60" s="7">
        <v>53</v>
      </c>
      <c r="P60" s="5">
        <v>5</v>
      </c>
      <c r="Q60" s="5">
        <v>5</v>
      </c>
      <c r="R60" s="5">
        <v>1</v>
      </c>
      <c r="S60" s="5">
        <v>3</v>
      </c>
      <c r="T60" s="5">
        <v>5</v>
      </c>
      <c r="U60" s="5">
        <v>5</v>
      </c>
      <c r="V60" s="5">
        <v>5</v>
      </c>
      <c r="W60" s="5">
        <v>5</v>
      </c>
      <c r="X60" s="5">
        <v>5</v>
      </c>
    </row>
    <row r="61" spans="2:24" x14ac:dyDescent="0.2">
      <c r="B61" s="15" t="s">
        <v>222</v>
      </c>
      <c r="C61" s="12">
        <v>1</v>
      </c>
      <c r="D61" s="12">
        <v>0</v>
      </c>
      <c r="E61" s="12">
        <v>1</v>
      </c>
      <c r="F61" s="12">
        <v>1</v>
      </c>
      <c r="G61" s="12">
        <v>1</v>
      </c>
      <c r="H61" s="12">
        <v>1</v>
      </c>
      <c r="I61" s="12">
        <v>1</v>
      </c>
      <c r="J61" s="13">
        <v>1</v>
      </c>
      <c r="K61" s="12">
        <v>1</v>
      </c>
      <c r="L61">
        <v>8</v>
      </c>
      <c r="M61">
        <v>8</v>
      </c>
    </row>
    <row r="62" spans="2:24" x14ac:dyDescent="0.2">
      <c r="B62" s="15" t="s">
        <v>223</v>
      </c>
      <c r="C62" s="12">
        <v>1</v>
      </c>
      <c r="D62" s="12">
        <v>0</v>
      </c>
      <c r="E62" s="12">
        <v>1</v>
      </c>
      <c r="F62" s="12">
        <v>1</v>
      </c>
      <c r="G62" s="12">
        <v>1</v>
      </c>
      <c r="H62" s="12">
        <v>1</v>
      </c>
      <c r="I62" s="12">
        <v>1</v>
      </c>
      <c r="J62" s="13">
        <v>1</v>
      </c>
      <c r="K62" s="12">
        <v>1</v>
      </c>
      <c r="L62">
        <v>9</v>
      </c>
      <c r="M62">
        <v>8</v>
      </c>
    </row>
    <row r="63" spans="2:24" x14ac:dyDescent="0.2">
      <c r="B63" s="15" t="s">
        <v>224</v>
      </c>
      <c r="C63" s="12">
        <v>1</v>
      </c>
      <c r="D63" s="12">
        <v>0</v>
      </c>
      <c r="E63" s="12">
        <v>1</v>
      </c>
      <c r="F63" s="12">
        <v>1</v>
      </c>
      <c r="G63" s="12">
        <v>1</v>
      </c>
      <c r="H63" s="12">
        <v>1</v>
      </c>
      <c r="I63" s="12">
        <v>1</v>
      </c>
      <c r="J63" s="13">
        <v>1</v>
      </c>
      <c r="K63" s="12">
        <v>1</v>
      </c>
      <c r="L63">
        <v>9</v>
      </c>
      <c r="M63">
        <v>8</v>
      </c>
    </row>
    <row r="64" spans="2:24" x14ac:dyDescent="0.2">
      <c r="B64" s="15" t="s">
        <v>225</v>
      </c>
      <c r="C64" s="12">
        <v>1</v>
      </c>
      <c r="D64" s="12">
        <v>0</v>
      </c>
      <c r="E64" s="12">
        <v>0</v>
      </c>
      <c r="F64" s="12">
        <v>1</v>
      </c>
      <c r="G64" s="12">
        <v>1</v>
      </c>
      <c r="H64" s="12">
        <v>1</v>
      </c>
      <c r="I64" s="12">
        <v>1</v>
      </c>
      <c r="J64" s="13">
        <v>1</v>
      </c>
      <c r="K64" s="12">
        <v>1</v>
      </c>
      <c r="L64">
        <v>9</v>
      </c>
      <c r="M64">
        <v>7</v>
      </c>
    </row>
    <row r="65" spans="2:13" x14ac:dyDescent="0.2">
      <c r="B65" s="15" t="s">
        <v>226</v>
      </c>
      <c r="C65" s="12">
        <v>1</v>
      </c>
      <c r="D65" s="12">
        <v>0</v>
      </c>
      <c r="E65" s="12">
        <v>0</v>
      </c>
      <c r="F65" s="12">
        <v>1</v>
      </c>
      <c r="G65" s="12">
        <v>1</v>
      </c>
      <c r="H65" s="12">
        <v>1</v>
      </c>
      <c r="I65" s="12">
        <v>1</v>
      </c>
      <c r="J65" s="13">
        <v>1</v>
      </c>
      <c r="K65" s="12">
        <v>1</v>
      </c>
      <c r="L65">
        <v>9</v>
      </c>
      <c r="M65">
        <v>7</v>
      </c>
    </row>
    <row r="66" spans="2:13" x14ac:dyDescent="0.2">
      <c r="B66" s="15" t="s">
        <v>227</v>
      </c>
      <c r="C66" s="12">
        <v>1</v>
      </c>
      <c r="D66" s="12">
        <v>0</v>
      </c>
      <c r="E66" s="12">
        <v>0</v>
      </c>
      <c r="F66" s="12">
        <v>1</v>
      </c>
      <c r="G66" s="12">
        <v>1</v>
      </c>
      <c r="H66" s="12">
        <v>1</v>
      </c>
      <c r="I66" s="12">
        <v>1</v>
      </c>
      <c r="J66" s="13">
        <v>1</v>
      </c>
      <c r="K66" s="12">
        <v>1</v>
      </c>
      <c r="L66">
        <v>9</v>
      </c>
      <c r="M66">
        <v>7</v>
      </c>
    </row>
    <row r="67" spans="2:13" x14ac:dyDescent="0.2">
      <c r="B67" s="15" t="s">
        <v>228</v>
      </c>
      <c r="C67" s="12">
        <v>1</v>
      </c>
      <c r="D67" s="12">
        <v>0</v>
      </c>
      <c r="E67" s="12">
        <v>1</v>
      </c>
      <c r="F67" s="12">
        <v>1</v>
      </c>
      <c r="G67" s="12">
        <v>1</v>
      </c>
      <c r="H67" s="12">
        <v>1</v>
      </c>
      <c r="I67" s="12">
        <v>1</v>
      </c>
      <c r="J67" s="12">
        <v>1</v>
      </c>
      <c r="K67" s="12">
        <v>1</v>
      </c>
      <c r="L67">
        <v>9</v>
      </c>
      <c r="M67">
        <v>8</v>
      </c>
    </row>
    <row r="68" spans="2:13" x14ac:dyDescent="0.2">
      <c r="B68" s="15" t="s">
        <v>229</v>
      </c>
      <c r="C68" s="12">
        <v>1</v>
      </c>
      <c r="D68" s="12">
        <v>0</v>
      </c>
      <c r="E68" s="12">
        <v>1</v>
      </c>
      <c r="F68" s="12">
        <v>1</v>
      </c>
      <c r="G68" s="12">
        <v>1</v>
      </c>
      <c r="H68" s="12">
        <v>1</v>
      </c>
      <c r="I68" s="12">
        <v>1</v>
      </c>
      <c r="J68" s="13">
        <v>1</v>
      </c>
      <c r="K68" s="12">
        <v>1</v>
      </c>
      <c r="L68">
        <v>9</v>
      </c>
      <c r="M68">
        <v>8</v>
      </c>
    </row>
    <row r="69" spans="2:13" x14ac:dyDescent="0.2">
      <c r="B69" s="15" t="s">
        <v>230</v>
      </c>
      <c r="C69" s="16">
        <v>1</v>
      </c>
      <c r="D69" s="16">
        <v>0</v>
      </c>
      <c r="E69" s="16">
        <v>1</v>
      </c>
      <c r="F69" s="16">
        <v>1</v>
      </c>
      <c r="G69" s="16">
        <v>1</v>
      </c>
      <c r="H69" s="16">
        <v>1</v>
      </c>
      <c r="I69" s="16">
        <v>1</v>
      </c>
      <c r="J69" s="16">
        <v>1</v>
      </c>
      <c r="K69" s="16">
        <v>1</v>
      </c>
      <c r="L69">
        <v>10</v>
      </c>
      <c r="M69">
        <v>8</v>
      </c>
    </row>
    <row r="70" spans="2:13" x14ac:dyDescent="0.2">
      <c r="B70" s="15" t="s">
        <v>231</v>
      </c>
      <c r="C70" s="16">
        <v>1</v>
      </c>
      <c r="D70" s="16">
        <v>0</v>
      </c>
      <c r="E70" s="16">
        <v>1</v>
      </c>
      <c r="F70" s="16">
        <v>1</v>
      </c>
      <c r="G70" s="16">
        <v>1</v>
      </c>
      <c r="H70" s="16">
        <v>1</v>
      </c>
      <c r="I70" s="16">
        <v>1</v>
      </c>
      <c r="J70" s="16">
        <v>1</v>
      </c>
      <c r="K70" s="16">
        <v>1</v>
      </c>
      <c r="L70">
        <v>10</v>
      </c>
      <c r="M70">
        <v>8</v>
      </c>
    </row>
    <row r="71" spans="2:13" x14ac:dyDescent="0.2">
      <c r="B71" s="15" t="s">
        <v>232</v>
      </c>
      <c r="C71" s="16">
        <v>1</v>
      </c>
      <c r="D71" s="16">
        <v>0</v>
      </c>
      <c r="E71" s="16">
        <v>1</v>
      </c>
      <c r="F71" s="16">
        <v>1</v>
      </c>
      <c r="G71" s="16">
        <v>1</v>
      </c>
      <c r="H71" s="16">
        <v>1</v>
      </c>
      <c r="I71" s="16">
        <v>1</v>
      </c>
      <c r="J71" s="16">
        <v>1</v>
      </c>
      <c r="K71" s="16">
        <v>1</v>
      </c>
      <c r="L71">
        <v>10</v>
      </c>
      <c r="M71">
        <v>8</v>
      </c>
    </row>
    <row r="72" spans="2:13" x14ac:dyDescent="0.2">
      <c r="B72" s="15" t="s">
        <v>233</v>
      </c>
      <c r="C72" s="16">
        <v>1</v>
      </c>
      <c r="D72" s="16">
        <v>0</v>
      </c>
      <c r="E72" s="16">
        <v>0</v>
      </c>
      <c r="F72" s="16">
        <v>1</v>
      </c>
      <c r="G72" s="16">
        <v>1</v>
      </c>
      <c r="H72" s="16">
        <v>1</v>
      </c>
      <c r="I72" s="16">
        <v>1</v>
      </c>
      <c r="J72" s="16">
        <v>1</v>
      </c>
      <c r="K72" s="16">
        <v>1</v>
      </c>
      <c r="L72">
        <v>10</v>
      </c>
      <c r="M72">
        <v>7</v>
      </c>
    </row>
    <row r="73" spans="2:13" x14ac:dyDescent="0.2">
      <c r="B73" s="15" t="s">
        <v>234</v>
      </c>
      <c r="C73" s="16">
        <v>1</v>
      </c>
      <c r="D73" s="16">
        <v>0</v>
      </c>
      <c r="E73" s="16">
        <v>0</v>
      </c>
      <c r="F73" s="16">
        <v>1</v>
      </c>
      <c r="G73" s="16">
        <v>1</v>
      </c>
      <c r="H73" s="16">
        <v>1</v>
      </c>
      <c r="I73" s="16">
        <v>1</v>
      </c>
      <c r="J73" s="16">
        <v>1</v>
      </c>
      <c r="K73" s="16">
        <v>1</v>
      </c>
      <c r="L73">
        <v>10</v>
      </c>
      <c r="M73">
        <v>7</v>
      </c>
    </row>
    <row r="74" spans="2:13" x14ac:dyDescent="0.2">
      <c r="B74" s="15" t="s">
        <v>235</v>
      </c>
      <c r="C74" s="16">
        <v>1</v>
      </c>
      <c r="D74" s="16">
        <v>0</v>
      </c>
      <c r="E74" s="16">
        <v>0</v>
      </c>
      <c r="F74" s="16">
        <v>1</v>
      </c>
      <c r="G74" s="16">
        <v>1</v>
      </c>
      <c r="H74" s="16">
        <v>1</v>
      </c>
      <c r="I74" s="16">
        <v>1</v>
      </c>
      <c r="J74" s="16">
        <v>1</v>
      </c>
      <c r="K74" s="16">
        <v>1</v>
      </c>
      <c r="L74">
        <v>10</v>
      </c>
      <c r="M74">
        <v>7</v>
      </c>
    </row>
    <row r="75" spans="2:13" x14ac:dyDescent="0.2">
      <c r="B75" s="15" t="s">
        <v>236</v>
      </c>
      <c r="C75" s="16">
        <v>1</v>
      </c>
      <c r="D75" s="16">
        <v>0</v>
      </c>
      <c r="E75" s="16">
        <v>1</v>
      </c>
      <c r="F75" s="16">
        <v>1</v>
      </c>
      <c r="G75" s="16">
        <v>1</v>
      </c>
      <c r="H75" s="16">
        <v>1</v>
      </c>
      <c r="I75" s="16">
        <v>1</v>
      </c>
      <c r="J75" s="16">
        <v>1</v>
      </c>
      <c r="K75" s="16">
        <v>1</v>
      </c>
      <c r="L75">
        <v>10</v>
      </c>
      <c r="M75">
        <v>8</v>
      </c>
    </row>
    <row r="76" spans="2:13" x14ac:dyDescent="0.2">
      <c r="B76" s="15" t="s">
        <v>237</v>
      </c>
      <c r="C76" s="16">
        <v>1</v>
      </c>
      <c r="D76" s="16">
        <v>0</v>
      </c>
      <c r="E76" s="16">
        <v>1</v>
      </c>
      <c r="F76" s="16">
        <v>1</v>
      </c>
      <c r="G76" s="16">
        <v>1</v>
      </c>
      <c r="H76" s="16">
        <v>1</v>
      </c>
      <c r="I76" s="16">
        <v>1</v>
      </c>
      <c r="J76" s="16">
        <v>1</v>
      </c>
      <c r="K76" s="16">
        <v>1</v>
      </c>
      <c r="L76">
        <v>11</v>
      </c>
      <c r="M76">
        <v>8</v>
      </c>
    </row>
    <row r="77" spans="2:13" x14ac:dyDescent="0.2">
      <c r="B77" s="15" t="s">
        <v>238</v>
      </c>
      <c r="C77" s="16">
        <v>1</v>
      </c>
      <c r="D77" s="16">
        <v>0</v>
      </c>
      <c r="E77" s="16">
        <v>1</v>
      </c>
      <c r="F77" s="16">
        <v>1</v>
      </c>
      <c r="G77" s="16">
        <v>1</v>
      </c>
      <c r="H77" s="16">
        <v>1</v>
      </c>
      <c r="I77" s="16">
        <v>1</v>
      </c>
      <c r="J77" s="16">
        <v>1</v>
      </c>
      <c r="K77" s="16">
        <v>1</v>
      </c>
      <c r="L77">
        <v>11</v>
      </c>
      <c r="M77">
        <v>8</v>
      </c>
    </row>
    <row r="78" spans="2:13" x14ac:dyDescent="0.2">
      <c r="B78" s="15" t="s">
        <v>239</v>
      </c>
      <c r="C78" s="16">
        <v>1</v>
      </c>
      <c r="D78" s="16">
        <v>0</v>
      </c>
      <c r="E78" s="16">
        <v>1</v>
      </c>
      <c r="F78" s="16">
        <v>1</v>
      </c>
      <c r="G78" s="16">
        <v>1</v>
      </c>
      <c r="H78" s="16">
        <v>1</v>
      </c>
      <c r="I78" s="16">
        <v>1</v>
      </c>
      <c r="J78" s="16">
        <v>1</v>
      </c>
      <c r="K78" s="16">
        <v>1</v>
      </c>
      <c r="L78">
        <v>11</v>
      </c>
      <c r="M78">
        <v>8</v>
      </c>
    </row>
    <row r="79" spans="2:13" x14ac:dyDescent="0.2">
      <c r="B79" s="15" t="s">
        <v>240</v>
      </c>
      <c r="C79" s="16">
        <v>1</v>
      </c>
      <c r="D79" s="16">
        <v>0</v>
      </c>
      <c r="E79" s="16">
        <v>1</v>
      </c>
      <c r="F79" s="16">
        <v>1</v>
      </c>
      <c r="G79" s="16">
        <v>1</v>
      </c>
      <c r="H79" s="16">
        <v>1</v>
      </c>
      <c r="I79" s="16">
        <v>1</v>
      </c>
      <c r="J79" s="16">
        <v>1</v>
      </c>
      <c r="K79" s="16">
        <v>1</v>
      </c>
      <c r="L79">
        <v>11</v>
      </c>
      <c r="M79">
        <v>8</v>
      </c>
    </row>
    <row r="80" spans="2:13" x14ac:dyDescent="0.2">
      <c r="B80" s="15" t="s">
        <v>241</v>
      </c>
      <c r="C80" s="16">
        <v>1</v>
      </c>
      <c r="D80" s="16">
        <v>0</v>
      </c>
      <c r="E80" s="16">
        <v>0</v>
      </c>
      <c r="F80" s="16">
        <v>1</v>
      </c>
      <c r="G80" s="16">
        <v>1</v>
      </c>
      <c r="H80" s="16">
        <v>1</v>
      </c>
      <c r="I80" s="16">
        <v>1</v>
      </c>
      <c r="J80" s="16">
        <v>1</v>
      </c>
      <c r="K80" s="16">
        <v>1</v>
      </c>
      <c r="L80">
        <v>11</v>
      </c>
      <c r="M80">
        <v>7</v>
      </c>
    </row>
    <row r="81" spans="2:13" x14ac:dyDescent="0.2">
      <c r="B81" s="15" t="s">
        <v>242</v>
      </c>
      <c r="C81" s="16">
        <v>1</v>
      </c>
      <c r="D81" s="16">
        <v>0</v>
      </c>
      <c r="E81" s="16">
        <v>1</v>
      </c>
      <c r="F81" s="16">
        <v>1</v>
      </c>
      <c r="G81" s="16">
        <v>1</v>
      </c>
      <c r="H81" s="16">
        <v>1</v>
      </c>
      <c r="I81" s="16">
        <v>1</v>
      </c>
      <c r="J81" s="16">
        <v>1</v>
      </c>
      <c r="K81" s="16">
        <v>1</v>
      </c>
      <c r="L81">
        <v>11</v>
      </c>
      <c r="M81">
        <v>8</v>
      </c>
    </row>
    <row r="82" spans="2:13" x14ac:dyDescent="0.2">
      <c r="B82" s="15" t="s">
        <v>243</v>
      </c>
      <c r="C82" s="16">
        <v>1</v>
      </c>
      <c r="D82" s="16">
        <v>0</v>
      </c>
      <c r="E82" s="16">
        <v>1</v>
      </c>
      <c r="F82" s="16">
        <v>1</v>
      </c>
      <c r="G82" s="16">
        <v>1</v>
      </c>
      <c r="H82" s="16">
        <v>1</v>
      </c>
      <c r="I82" s="16">
        <v>1</v>
      </c>
      <c r="J82" s="16">
        <v>1</v>
      </c>
      <c r="K82" s="16">
        <v>1</v>
      </c>
      <c r="L82">
        <v>11</v>
      </c>
      <c r="M82">
        <v>8</v>
      </c>
    </row>
    <row r="83" spans="2:13" x14ac:dyDescent="0.2">
      <c r="B83" s="15" t="s">
        <v>244</v>
      </c>
      <c r="C83" s="16">
        <v>1</v>
      </c>
      <c r="D83" s="16">
        <v>0</v>
      </c>
      <c r="E83" s="16">
        <v>0</v>
      </c>
      <c r="F83" s="16">
        <v>1</v>
      </c>
      <c r="G83" s="16">
        <v>1</v>
      </c>
      <c r="H83" s="16">
        <v>1</v>
      </c>
      <c r="I83" s="16">
        <v>1</v>
      </c>
      <c r="J83" s="16">
        <v>1</v>
      </c>
      <c r="K83" s="16">
        <v>1</v>
      </c>
      <c r="L83">
        <v>12</v>
      </c>
      <c r="M83">
        <v>7</v>
      </c>
    </row>
    <row r="84" spans="2:13" x14ac:dyDescent="0.2">
      <c r="B84" s="15" t="s">
        <v>245</v>
      </c>
      <c r="C84" s="16">
        <v>1</v>
      </c>
      <c r="D84" s="16">
        <v>0</v>
      </c>
      <c r="E84" s="16">
        <v>0</v>
      </c>
      <c r="F84" s="16">
        <v>1</v>
      </c>
      <c r="G84" s="16">
        <v>1</v>
      </c>
      <c r="H84" s="16">
        <v>1</v>
      </c>
      <c r="I84" s="16">
        <v>1</v>
      </c>
      <c r="J84" s="16">
        <v>1</v>
      </c>
      <c r="K84" s="16">
        <v>1</v>
      </c>
      <c r="L84">
        <v>12</v>
      </c>
      <c r="M84">
        <v>7</v>
      </c>
    </row>
    <row r="85" spans="2:13" x14ac:dyDescent="0.2">
      <c r="B85" s="15" t="s">
        <v>246</v>
      </c>
      <c r="C85" s="16">
        <v>1</v>
      </c>
      <c r="D85" s="16">
        <v>0</v>
      </c>
      <c r="E85" s="16">
        <v>1</v>
      </c>
      <c r="F85" s="16">
        <v>1</v>
      </c>
      <c r="G85" s="16">
        <v>1</v>
      </c>
      <c r="H85" s="16">
        <v>1</v>
      </c>
      <c r="I85" s="16">
        <v>1</v>
      </c>
      <c r="J85" s="16">
        <v>1</v>
      </c>
      <c r="K85" s="16">
        <v>1</v>
      </c>
      <c r="L85">
        <v>12</v>
      </c>
      <c r="M85">
        <v>8</v>
      </c>
    </row>
    <row r="86" spans="2:13" x14ac:dyDescent="0.2">
      <c r="B86" s="15" t="s">
        <v>247</v>
      </c>
      <c r="C86" s="16">
        <v>1</v>
      </c>
      <c r="D86" s="16">
        <v>0</v>
      </c>
      <c r="E86" s="16">
        <v>0</v>
      </c>
      <c r="F86" s="16">
        <v>1</v>
      </c>
      <c r="G86" s="16">
        <v>1</v>
      </c>
      <c r="H86" s="16">
        <v>1</v>
      </c>
      <c r="I86" s="16">
        <v>1</v>
      </c>
      <c r="J86" s="16">
        <v>1</v>
      </c>
      <c r="K86" s="16">
        <v>1</v>
      </c>
      <c r="L86">
        <v>12</v>
      </c>
      <c r="M86">
        <v>7</v>
      </c>
    </row>
    <row r="87" spans="2:13" x14ac:dyDescent="0.2">
      <c r="B87" s="15" t="s">
        <v>248</v>
      </c>
      <c r="C87" s="16">
        <v>1</v>
      </c>
      <c r="D87" s="16">
        <v>0</v>
      </c>
      <c r="E87" s="16">
        <v>1</v>
      </c>
      <c r="F87" s="16">
        <v>1</v>
      </c>
      <c r="G87" s="16">
        <v>1</v>
      </c>
      <c r="H87" s="16">
        <v>1</v>
      </c>
      <c r="I87" s="16">
        <v>1</v>
      </c>
      <c r="J87" s="16">
        <v>1</v>
      </c>
      <c r="K87" s="16">
        <v>1</v>
      </c>
      <c r="L87">
        <v>12</v>
      </c>
      <c r="M87">
        <v>8</v>
      </c>
    </row>
    <row r="88" spans="2:13" x14ac:dyDescent="0.2">
      <c r="B88" s="15" t="s">
        <v>249</v>
      </c>
      <c r="C88" s="16">
        <v>1</v>
      </c>
      <c r="D88" s="16">
        <v>0</v>
      </c>
      <c r="E88" s="16">
        <v>1</v>
      </c>
      <c r="F88" s="16">
        <v>1</v>
      </c>
      <c r="G88" s="16">
        <v>1</v>
      </c>
      <c r="H88" s="16">
        <v>1</v>
      </c>
      <c r="I88" s="16">
        <v>1</v>
      </c>
      <c r="J88" s="16">
        <v>1</v>
      </c>
      <c r="K88" s="16">
        <v>1</v>
      </c>
      <c r="L88">
        <v>12</v>
      </c>
      <c r="M88">
        <v>8</v>
      </c>
    </row>
    <row r="89" spans="2:13" x14ac:dyDescent="0.2">
      <c r="B89" s="15" t="s">
        <v>250</v>
      </c>
      <c r="C89" s="16">
        <v>1</v>
      </c>
      <c r="D89" s="16">
        <v>0</v>
      </c>
      <c r="E89" s="16">
        <v>0</v>
      </c>
      <c r="F89" s="16">
        <v>1</v>
      </c>
      <c r="G89" s="16">
        <v>1</v>
      </c>
      <c r="H89" s="16">
        <v>1</v>
      </c>
      <c r="I89" s="16">
        <v>1</v>
      </c>
      <c r="J89" s="16">
        <v>1</v>
      </c>
      <c r="K89" s="16">
        <v>1</v>
      </c>
      <c r="L89">
        <v>12</v>
      </c>
      <c r="M89">
        <v>7</v>
      </c>
    </row>
    <row r="90" spans="2:13" x14ac:dyDescent="0.2">
      <c r="B90" s="15" t="s">
        <v>251</v>
      </c>
      <c r="C90" s="16">
        <v>1</v>
      </c>
      <c r="D90" s="16">
        <v>0</v>
      </c>
      <c r="E90" s="16">
        <v>1</v>
      </c>
      <c r="F90" s="16">
        <v>1</v>
      </c>
      <c r="G90" s="16">
        <v>1</v>
      </c>
      <c r="H90" s="16">
        <v>1</v>
      </c>
      <c r="I90" s="16">
        <v>1</v>
      </c>
      <c r="J90" s="16">
        <v>1</v>
      </c>
      <c r="K90" s="16">
        <v>1</v>
      </c>
      <c r="L90">
        <v>13</v>
      </c>
      <c r="M90">
        <v>8</v>
      </c>
    </row>
    <row r="91" spans="2:13" x14ac:dyDescent="0.2">
      <c r="B91" s="15" t="s">
        <v>252</v>
      </c>
      <c r="C91" s="16">
        <v>1</v>
      </c>
      <c r="D91" s="16">
        <v>0</v>
      </c>
      <c r="E91" s="16">
        <v>1</v>
      </c>
      <c r="F91" s="16">
        <v>1</v>
      </c>
      <c r="G91" s="16">
        <v>1</v>
      </c>
      <c r="H91" s="16">
        <v>1</v>
      </c>
      <c r="I91" s="16">
        <v>1</v>
      </c>
      <c r="J91" s="16">
        <v>1</v>
      </c>
      <c r="K91" s="16">
        <v>1</v>
      </c>
      <c r="L91">
        <v>13</v>
      </c>
      <c r="M91">
        <v>8</v>
      </c>
    </row>
    <row r="92" spans="2:13" x14ac:dyDescent="0.2">
      <c r="B92" s="15" t="s">
        <v>253</v>
      </c>
      <c r="C92" s="16">
        <v>1</v>
      </c>
      <c r="D92" s="16">
        <v>0</v>
      </c>
      <c r="E92" s="16">
        <v>0</v>
      </c>
      <c r="F92" s="16">
        <v>1</v>
      </c>
      <c r="G92" s="16">
        <v>1</v>
      </c>
      <c r="H92" s="16">
        <v>1</v>
      </c>
      <c r="I92" s="16">
        <v>1</v>
      </c>
      <c r="J92" s="16">
        <v>1</v>
      </c>
      <c r="K92" s="16">
        <v>1</v>
      </c>
      <c r="L92">
        <v>13</v>
      </c>
      <c r="M92">
        <v>7</v>
      </c>
    </row>
    <row r="93" spans="2:13" x14ac:dyDescent="0.2">
      <c r="B93" s="15" t="s">
        <v>254</v>
      </c>
      <c r="C93" s="16">
        <v>1</v>
      </c>
      <c r="D93" s="16">
        <v>0</v>
      </c>
      <c r="E93" s="16">
        <v>1</v>
      </c>
      <c r="F93" s="16">
        <v>1</v>
      </c>
      <c r="G93" s="16">
        <v>1</v>
      </c>
      <c r="H93" s="16">
        <v>1</v>
      </c>
      <c r="I93" s="16">
        <v>1</v>
      </c>
      <c r="J93" s="16">
        <v>1</v>
      </c>
      <c r="K93" s="16">
        <v>1</v>
      </c>
      <c r="L93">
        <v>13</v>
      </c>
      <c r="M93">
        <v>8</v>
      </c>
    </row>
    <row r="94" spans="2:13" x14ac:dyDescent="0.2">
      <c r="B94" s="15" t="s">
        <v>255</v>
      </c>
      <c r="C94" s="16">
        <v>1</v>
      </c>
      <c r="D94" s="16">
        <v>0</v>
      </c>
      <c r="E94" s="16">
        <v>1</v>
      </c>
      <c r="F94" s="16">
        <v>1</v>
      </c>
      <c r="G94" s="16">
        <v>1</v>
      </c>
      <c r="H94" s="16">
        <v>1</v>
      </c>
      <c r="I94" s="16">
        <v>1</v>
      </c>
      <c r="J94" s="16">
        <v>1</v>
      </c>
      <c r="K94" s="16">
        <v>1</v>
      </c>
      <c r="L94">
        <v>13</v>
      </c>
      <c r="M94">
        <v>8</v>
      </c>
    </row>
    <row r="95" spans="2:13" x14ac:dyDescent="0.2">
      <c r="B95" s="15" t="s">
        <v>256</v>
      </c>
      <c r="C95" s="16">
        <v>1</v>
      </c>
      <c r="D95" s="16">
        <v>0</v>
      </c>
      <c r="E95" s="16">
        <v>1</v>
      </c>
      <c r="F95" s="16">
        <v>1</v>
      </c>
      <c r="G95" s="16">
        <v>1</v>
      </c>
      <c r="H95" s="16">
        <v>1</v>
      </c>
      <c r="I95" s="16">
        <v>1</v>
      </c>
      <c r="J95" s="16">
        <v>1</v>
      </c>
      <c r="K95" s="16">
        <v>1</v>
      </c>
      <c r="L95">
        <v>13</v>
      </c>
      <c r="M95">
        <v>8</v>
      </c>
    </row>
    <row r="96" spans="2:13" x14ac:dyDescent="0.2">
      <c r="B96" s="15" t="s">
        <v>257</v>
      </c>
      <c r="C96" s="16">
        <v>1</v>
      </c>
      <c r="D96" s="16">
        <v>0</v>
      </c>
      <c r="E96" s="16">
        <v>0</v>
      </c>
      <c r="F96" s="16">
        <v>1</v>
      </c>
      <c r="G96" s="16">
        <v>1</v>
      </c>
      <c r="H96" s="16">
        <v>1</v>
      </c>
      <c r="I96" s="16">
        <v>1</v>
      </c>
      <c r="J96" s="16">
        <v>1</v>
      </c>
      <c r="K96" s="16">
        <v>1</v>
      </c>
      <c r="L96">
        <v>13</v>
      </c>
      <c r="M96">
        <v>7</v>
      </c>
    </row>
    <row r="97" spans="2:13" x14ac:dyDescent="0.2">
      <c r="B97" s="15" t="s">
        <v>258</v>
      </c>
      <c r="C97" s="16">
        <v>1</v>
      </c>
      <c r="D97" s="16">
        <v>0</v>
      </c>
      <c r="E97" s="16">
        <v>1</v>
      </c>
      <c r="F97" s="16">
        <v>1</v>
      </c>
      <c r="G97" s="16">
        <v>1</v>
      </c>
      <c r="H97" s="16">
        <v>1</v>
      </c>
      <c r="I97" s="16">
        <v>1</v>
      </c>
      <c r="J97" s="16">
        <v>1</v>
      </c>
      <c r="K97" s="16">
        <v>1</v>
      </c>
      <c r="L97">
        <v>14</v>
      </c>
      <c r="M97">
        <v>8</v>
      </c>
    </row>
    <row r="98" spans="2:13" x14ac:dyDescent="0.2">
      <c r="B98" s="15" t="s">
        <v>259</v>
      </c>
      <c r="C98" s="16">
        <v>1</v>
      </c>
      <c r="D98" s="16">
        <v>0</v>
      </c>
      <c r="E98" s="16">
        <v>1</v>
      </c>
      <c r="F98" s="16">
        <v>1</v>
      </c>
      <c r="G98" s="16">
        <v>1</v>
      </c>
      <c r="H98" s="16">
        <v>1</v>
      </c>
      <c r="I98" s="16">
        <v>1</v>
      </c>
      <c r="J98" s="16">
        <v>1</v>
      </c>
      <c r="K98" s="16">
        <v>1</v>
      </c>
      <c r="L98">
        <v>14</v>
      </c>
      <c r="M98">
        <v>8</v>
      </c>
    </row>
    <row r="99" spans="2:13" x14ac:dyDescent="0.2">
      <c r="B99" s="15" t="s">
        <v>260</v>
      </c>
      <c r="C99" s="16">
        <v>1</v>
      </c>
      <c r="D99" s="16">
        <v>0</v>
      </c>
      <c r="E99" s="16">
        <v>1</v>
      </c>
      <c r="F99" s="16">
        <v>1</v>
      </c>
      <c r="G99" s="16">
        <v>1</v>
      </c>
      <c r="H99" s="16">
        <v>1</v>
      </c>
      <c r="I99" s="16">
        <v>1</v>
      </c>
      <c r="J99" s="16">
        <v>1</v>
      </c>
      <c r="K99" s="16">
        <v>1</v>
      </c>
      <c r="L99">
        <v>14</v>
      </c>
      <c r="M99">
        <v>8</v>
      </c>
    </row>
    <row r="100" spans="2:13" x14ac:dyDescent="0.2">
      <c r="B100" s="15" t="s">
        <v>261</v>
      </c>
      <c r="C100" s="17">
        <v>1</v>
      </c>
      <c r="D100" s="17">
        <v>0</v>
      </c>
      <c r="E100" s="16">
        <v>1</v>
      </c>
      <c r="F100" s="16">
        <v>1</v>
      </c>
      <c r="G100" s="16">
        <v>1</v>
      </c>
      <c r="H100" s="16">
        <v>1</v>
      </c>
      <c r="I100" s="16">
        <v>1</v>
      </c>
      <c r="J100" s="16">
        <v>1</v>
      </c>
      <c r="K100" s="16">
        <v>1</v>
      </c>
      <c r="L100">
        <v>14</v>
      </c>
      <c r="M100">
        <v>8</v>
      </c>
    </row>
    <row r="101" spans="2:13" x14ac:dyDescent="0.2">
      <c r="B101" s="15" t="s">
        <v>262</v>
      </c>
      <c r="C101" s="17">
        <v>1</v>
      </c>
      <c r="D101" s="17">
        <v>0</v>
      </c>
      <c r="E101" s="17">
        <v>1</v>
      </c>
      <c r="F101" s="17">
        <v>1</v>
      </c>
      <c r="G101" s="17">
        <v>1</v>
      </c>
      <c r="H101" s="17">
        <v>1</v>
      </c>
      <c r="I101" s="17">
        <v>1</v>
      </c>
      <c r="J101" s="17">
        <v>1</v>
      </c>
      <c r="K101" s="17">
        <v>1</v>
      </c>
      <c r="L101">
        <v>14</v>
      </c>
      <c r="M101">
        <v>8</v>
      </c>
    </row>
    <row r="102" spans="2:13" x14ac:dyDescent="0.2">
      <c r="B102" s="15" t="s">
        <v>263</v>
      </c>
      <c r="C102" s="17">
        <v>1</v>
      </c>
      <c r="D102" s="17">
        <v>0</v>
      </c>
      <c r="E102" s="17">
        <v>1</v>
      </c>
      <c r="F102" s="17">
        <v>1</v>
      </c>
      <c r="G102" s="17">
        <v>1</v>
      </c>
      <c r="H102" s="17">
        <v>1</v>
      </c>
      <c r="I102" s="17">
        <v>1</v>
      </c>
      <c r="J102" s="17">
        <v>1</v>
      </c>
      <c r="K102" s="17">
        <v>1</v>
      </c>
      <c r="L102">
        <v>14</v>
      </c>
      <c r="M102">
        <v>8</v>
      </c>
    </row>
    <row r="103" spans="2:13" x14ac:dyDescent="0.2">
      <c r="B103" s="15" t="s">
        <v>264</v>
      </c>
      <c r="C103" s="17">
        <v>1</v>
      </c>
      <c r="D103" s="17">
        <v>0</v>
      </c>
      <c r="E103" s="17">
        <v>1</v>
      </c>
      <c r="F103" s="17">
        <v>1</v>
      </c>
      <c r="G103" s="17">
        <v>1</v>
      </c>
      <c r="H103" s="17">
        <v>1</v>
      </c>
      <c r="I103" s="17">
        <v>1</v>
      </c>
      <c r="J103" s="17">
        <v>1</v>
      </c>
      <c r="K103" s="17">
        <v>1</v>
      </c>
      <c r="L103">
        <v>14</v>
      </c>
      <c r="M103">
        <v>8</v>
      </c>
    </row>
    <row r="104" spans="2:13" x14ac:dyDescent="0.2">
      <c r="B104" s="15" t="s">
        <v>265</v>
      </c>
      <c r="C104" s="17">
        <v>1</v>
      </c>
      <c r="D104" s="17">
        <v>0</v>
      </c>
      <c r="E104" s="17">
        <v>0</v>
      </c>
      <c r="F104" s="17">
        <v>1</v>
      </c>
      <c r="G104" s="17">
        <v>1</v>
      </c>
      <c r="H104" s="17">
        <v>1</v>
      </c>
      <c r="I104" s="17">
        <v>1</v>
      </c>
      <c r="J104" s="17">
        <v>1</v>
      </c>
      <c r="K104" s="17">
        <v>1</v>
      </c>
      <c r="L104">
        <v>15</v>
      </c>
      <c r="M104">
        <v>7</v>
      </c>
    </row>
    <row r="105" spans="2:13" x14ac:dyDescent="0.2">
      <c r="B105" s="15" t="s">
        <v>266</v>
      </c>
      <c r="C105" s="17">
        <v>1</v>
      </c>
      <c r="D105" s="17">
        <v>0</v>
      </c>
      <c r="E105" s="17">
        <v>0</v>
      </c>
      <c r="F105" s="17">
        <v>1</v>
      </c>
      <c r="G105" s="17">
        <v>1</v>
      </c>
      <c r="H105" s="17">
        <v>1</v>
      </c>
      <c r="I105" s="17">
        <v>1</v>
      </c>
      <c r="J105" s="17">
        <v>1</v>
      </c>
      <c r="K105" s="17">
        <v>1</v>
      </c>
      <c r="L105">
        <v>15</v>
      </c>
      <c r="M105">
        <v>7</v>
      </c>
    </row>
    <row r="106" spans="2:13" x14ac:dyDescent="0.2">
      <c r="B106" s="15" t="s">
        <v>267</v>
      </c>
      <c r="C106" s="17">
        <v>1</v>
      </c>
      <c r="D106" s="17">
        <v>0</v>
      </c>
      <c r="E106" s="17">
        <v>1</v>
      </c>
      <c r="F106" s="17">
        <v>1</v>
      </c>
      <c r="G106" s="17">
        <v>1</v>
      </c>
      <c r="H106" s="17">
        <v>1</v>
      </c>
      <c r="I106" s="17">
        <v>1</v>
      </c>
      <c r="J106" s="17">
        <v>1</v>
      </c>
      <c r="K106" s="17">
        <v>1</v>
      </c>
      <c r="L106">
        <v>15</v>
      </c>
      <c r="M106">
        <v>8</v>
      </c>
    </row>
    <row r="107" spans="2:13" x14ac:dyDescent="0.2">
      <c r="B107" s="15" t="s">
        <v>268</v>
      </c>
      <c r="C107" s="17">
        <v>1</v>
      </c>
      <c r="D107" s="17">
        <v>0</v>
      </c>
      <c r="E107" s="17">
        <v>1</v>
      </c>
      <c r="F107" s="17">
        <v>1</v>
      </c>
      <c r="G107" s="17">
        <v>1</v>
      </c>
      <c r="H107" s="17">
        <v>1</v>
      </c>
      <c r="I107" s="17">
        <v>1</v>
      </c>
      <c r="J107" s="17">
        <v>1</v>
      </c>
      <c r="K107" s="17">
        <v>1</v>
      </c>
      <c r="L107">
        <v>15</v>
      </c>
      <c r="M107">
        <v>8</v>
      </c>
    </row>
    <row r="108" spans="2:13" x14ac:dyDescent="0.2">
      <c r="B108" s="15" t="s">
        <v>269</v>
      </c>
      <c r="C108" s="17">
        <v>1</v>
      </c>
      <c r="D108" s="17">
        <v>0</v>
      </c>
      <c r="E108" s="17">
        <v>1</v>
      </c>
      <c r="F108" s="17">
        <v>1</v>
      </c>
      <c r="G108" s="17">
        <v>1</v>
      </c>
      <c r="H108" s="17">
        <v>1</v>
      </c>
      <c r="I108" s="17">
        <v>1</v>
      </c>
      <c r="J108" s="17">
        <v>1</v>
      </c>
      <c r="K108" s="17">
        <v>1</v>
      </c>
      <c r="L108">
        <v>15</v>
      </c>
      <c r="M108">
        <v>8</v>
      </c>
    </row>
    <row r="109" spans="2:13" x14ac:dyDescent="0.2">
      <c r="B109" s="15" t="s">
        <v>270</v>
      </c>
      <c r="C109" s="17">
        <v>1</v>
      </c>
      <c r="D109" s="17">
        <v>0</v>
      </c>
      <c r="E109" s="17">
        <v>1</v>
      </c>
      <c r="F109" s="17">
        <v>1</v>
      </c>
      <c r="G109" s="17">
        <v>1</v>
      </c>
      <c r="H109" s="17">
        <v>1</v>
      </c>
      <c r="I109" s="17">
        <v>1</v>
      </c>
      <c r="J109" s="17">
        <v>1</v>
      </c>
      <c r="K109" s="17">
        <v>1</v>
      </c>
      <c r="L109">
        <v>15</v>
      </c>
      <c r="M109">
        <v>8</v>
      </c>
    </row>
    <row r="110" spans="2:13" x14ac:dyDescent="0.2">
      <c r="B110" s="15" t="s">
        <v>271</v>
      </c>
      <c r="C110" s="17">
        <v>1</v>
      </c>
      <c r="D110" s="17">
        <v>0</v>
      </c>
      <c r="E110" s="17">
        <v>0</v>
      </c>
      <c r="F110" s="17">
        <v>1</v>
      </c>
      <c r="G110" s="17">
        <v>1</v>
      </c>
      <c r="H110" s="17">
        <v>1</v>
      </c>
      <c r="I110" s="17">
        <v>1</v>
      </c>
      <c r="J110" s="17">
        <v>1</v>
      </c>
      <c r="K110" s="17">
        <v>1</v>
      </c>
      <c r="L110">
        <v>15</v>
      </c>
      <c r="M110">
        <v>7</v>
      </c>
    </row>
    <row r="111" spans="2:13" x14ac:dyDescent="0.2">
      <c r="B111" s="15" t="s">
        <v>272</v>
      </c>
      <c r="C111" s="17">
        <v>1</v>
      </c>
      <c r="D111" s="17">
        <v>0</v>
      </c>
      <c r="E111" s="17">
        <v>1</v>
      </c>
      <c r="F111" s="17">
        <v>1</v>
      </c>
      <c r="G111" s="17">
        <v>1</v>
      </c>
      <c r="H111" s="17">
        <v>1</v>
      </c>
      <c r="I111" s="17">
        <v>1</v>
      </c>
      <c r="J111" s="17">
        <v>1</v>
      </c>
      <c r="K111" s="17">
        <v>1</v>
      </c>
      <c r="L111">
        <v>16</v>
      </c>
      <c r="M111">
        <v>8</v>
      </c>
    </row>
    <row r="112" spans="2:13" x14ac:dyDescent="0.2">
      <c r="B112" s="15" t="s">
        <v>273</v>
      </c>
      <c r="C112" s="17">
        <v>1</v>
      </c>
      <c r="D112" s="17">
        <v>0</v>
      </c>
      <c r="E112" s="17">
        <v>1</v>
      </c>
      <c r="F112" s="17">
        <v>1</v>
      </c>
      <c r="G112" s="17">
        <v>1</v>
      </c>
      <c r="H112" s="17">
        <v>1</v>
      </c>
      <c r="I112" s="17">
        <v>1</v>
      </c>
      <c r="J112" s="17">
        <v>1</v>
      </c>
      <c r="K112" s="17">
        <v>1</v>
      </c>
      <c r="L112">
        <v>16</v>
      </c>
      <c r="M112">
        <v>8</v>
      </c>
    </row>
    <row r="113" spans="2:25" x14ac:dyDescent="0.2">
      <c r="B113" s="15" t="s">
        <v>274</v>
      </c>
      <c r="C113" s="17">
        <v>1</v>
      </c>
      <c r="D113" s="17">
        <v>0</v>
      </c>
      <c r="E113" s="17">
        <v>1</v>
      </c>
      <c r="F113" s="17">
        <v>1</v>
      </c>
      <c r="G113" s="17">
        <v>1</v>
      </c>
      <c r="H113" s="17">
        <v>1</v>
      </c>
      <c r="I113" s="17">
        <v>1</v>
      </c>
      <c r="J113" s="17">
        <v>1</v>
      </c>
      <c r="K113" s="17">
        <v>1</v>
      </c>
      <c r="L113">
        <v>16</v>
      </c>
      <c r="M113">
        <v>8</v>
      </c>
    </row>
    <row r="114" spans="2:25" x14ac:dyDescent="0.2">
      <c r="B114" s="15" t="s">
        <v>275</v>
      </c>
      <c r="C114" s="17">
        <v>1</v>
      </c>
      <c r="D114" s="17">
        <v>0</v>
      </c>
      <c r="E114" s="17">
        <v>1</v>
      </c>
      <c r="F114" s="17">
        <v>1</v>
      </c>
      <c r="G114" s="17">
        <v>1</v>
      </c>
      <c r="H114" s="17">
        <v>1</v>
      </c>
      <c r="I114" s="17">
        <v>1</v>
      </c>
      <c r="J114" s="17">
        <v>1</v>
      </c>
      <c r="K114" s="17">
        <v>1</v>
      </c>
      <c r="L114">
        <v>16</v>
      </c>
      <c r="M114">
        <v>8</v>
      </c>
    </row>
    <row r="115" spans="2:25" x14ac:dyDescent="0.2">
      <c r="B115" s="15" t="s">
        <v>276</v>
      </c>
      <c r="C115" s="17">
        <v>1</v>
      </c>
      <c r="D115" s="17">
        <v>0</v>
      </c>
      <c r="E115" s="17">
        <v>1</v>
      </c>
      <c r="F115" s="17">
        <v>1</v>
      </c>
      <c r="G115" s="17">
        <v>1</v>
      </c>
      <c r="H115" s="17">
        <v>1</v>
      </c>
      <c r="I115" s="17">
        <v>1</v>
      </c>
      <c r="J115" s="17">
        <v>1</v>
      </c>
      <c r="K115" s="17">
        <v>1</v>
      </c>
      <c r="L115">
        <v>16</v>
      </c>
      <c r="M115">
        <v>8</v>
      </c>
    </row>
    <row r="116" spans="2:25" x14ac:dyDescent="0.2">
      <c r="B116" s="15" t="s">
        <v>277</v>
      </c>
      <c r="C116" s="17">
        <v>1</v>
      </c>
      <c r="D116" s="17">
        <v>0</v>
      </c>
      <c r="E116" s="17">
        <v>1</v>
      </c>
      <c r="F116" s="17">
        <v>1</v>
      </c>
      <c r="G116" s="17">
        <v>1</v>
      </c>
      <c r="H116" s="17">
        <v>1</v>
      </c>
      <c r="I116" s="17">
        <v>1</v>
      </c>
      <c r="J116" s="17">
        <v>1</v>
      </c>
      <c r="K116" s="17">
        <v>1</v>
      </c>
      <c r="L116">
        <v>16</v>
      </c>
      <c r="M116">
        <v>8</v>
      </c>
    </row>
    <row r="117" spans="2:25" x14ac:dyDescent="0.2">
      <c r="B117" s="15" t="s">
        <v>278</v>
      </c>
      <c r="C117" s="17">
        <v>1</v>
      </c>
      <c r="D117" s="17">
        <v>0</v>
      </c>
      <c r="E117" s="17">
        <v>1</v>
      </c>
      <c r="F117" s="17">
        <v>1</v>
      </c>
      <c r="G117" s="17">
        <v>1</v>
      </c>
      <c r="H117" s="17">
        <v>1</v>
      </c>
      <c r="I117" s="17">
        <v>1</v>
      </c>
      <c r="J117" s="17">
        <v>1</v>
      </c>
      <c r="K117" s="17">
        <v>1</v>
      </c>
      <c r="L117">
        <v>16</v>
      </c>
      <c r="M117">
        <v>8</v>
      </c>
    </row>
    <row r="118" spans="2:25" x14ac:dyDescent="0.2">
      <c r="B118" s="15" t="s">
        <v>279</v>
      </c>
      <c r="C118" s="17">
        <v>1</v>
      </c>
      <c r="D118" s="17">
        <v>0</v>
      </c>
      <c r="E118" s="17">
        <v>1</v>
      </c>
      <c r="F118" s="17">
        <v>1</v>
      </c>
      <c r="G118" s="17">
        <v>1</v>
      </c>
      <c r="H118" s="17">
        <v>1</v>
      </c>
      <c r="I118" s="17">
        <v>1</v>
      </c>
      <c r="J118" s="17">
        <v>1</v>
      </c>
      <c r="K118" s="17">
        <v>1</v>
      </c>
      <c r="L118">
        <v>17</v>
      </c>
      <c r="M118">
        <v>8</v>
      </c>
    </row>
    <row r="119" spans="2:25" x14ac:dyDescent="0.2">
      <c r="B119" s="15" t="s">
        <v>280</v>
      </c>
      <c r="C119" s="17">
        <v>1</v>
      </c>
      <c r="D119" s="17">
        <v>0</v>
      </c>
      <c r="E119" s="17">
        <v>0</v>
      </c>
      <c r="F119" s="17">
        <v>1</v>
      </c>
      <c r="G119" s="17">
        <v>1</v>
      </c>
      <c r="H119" s="17">
        <v>1</v>
      </c>
      <c r="I119" s="17">
        <v>1</v>
      </c>
      <c r="J119" s="17">
        <v>1</v>
      </c>
      <c r="K119" s="17">
        <v>1</v>
      </c>
      <c r="L119">
        <v>17</v>
      </c>
      <c r="M119">
        <v>7</v>
      </c>
    </row>
    <row r="120" spans="2:25" x14ac:dyDescent="0.2">
      <c r="B120" s="15" t="s">
        <v>281</v>
      </c>
      <c r="C120" s="17">
        <v>1</v>
      </c>
      <c r="D120" s="17">
        <v>0</v>
      </c>
      <c r="E120" s="17">
        <v>1</v>
      </c>
      <c r="F120" s="17">
        <v>1</v>
      </c>
      <c r="G120" s="17">
        <v>1</v>
      </c>
      <c r="H120" s="17">
        <v>1</v>
      </c>
      <c r="I120" s="17">
        <v>1</v>
      </c>
      <c r="J120" s="17">
        <v>1</v>
      </c>
      <c r="K120" s="17">
        <v>1</v>
      </c>
      <c r="L120">
        <v>17</v>
      </c>
      <c r="M120">
        <v>8</v>
      </c>
    </row>
    <row r="121" spans="2:25" x14ac:dyDescent="0.2">
      <c r="B121" s="15" t="s">
        <v>282</v>
      </c>
      <c r="C121" s="17">
        <v>1</v>
      </c>
      <c r="D121" s="17">
        <v>0</v>
      </c>
      <c r="E121" s="17">
        <v>1</v>
      </c>
      <c r="F121" s="17">
        <v>1</v>
      </c>
      <c r="G121" s="17">
        <v>1</v>
      </c>
      <c r="H121" s="17">
        <v>1</v>
      </c>
      <c r="I121" s="17">
        <v>1</v>
      </c>
      <c r="J121" s="17">
        <v>1</v>
      </c>
      <c r="K121" s="17">
        <v>1</v>
      </c>
      <c r="L121">
        <v>17</v>
      </c>
      <c r="M121">
        <v>8</v>
      </c>
    </row>
    <row r="122" spans="2:25" x14ac:dyDescent="0.2">
      <c r="B122" s="15" t="s">
        <v>283</v>
      </c>
      <c r="C122" s="17">
        <v>1</v>
      </c>
      <c r="D122" s="17">
        <v>0</v>
      </c>
      <c r="E122" s="17">
        <v>1</v>
      </c>
      <c r="F122" s="17">
        <v>1</v>
      </c>
      <c r="G122" s="17">
        <v>1</v>
      </c>
      <c r="H122" s="17">
        <v>1</v>
      </c>
      <c r="I122" s="17">
        <v>1</v>
      </c>
      <c r="J122" s="17">
        <v>1</v>
      </c>
      <c r="K122" s="17">
        <v>1</v>
      </c>
      <c r="L122">
        <v>17</v>
      </c>
      <c r="M122">
        <v>8</v>
      </c>
    </row>
    <row r="123" spans="2:25" x14ac:dyDescent="0.2">
      <c r="B123" s="15" t="s">
        <v>284</v>
      </c>
      <c r="C123" s="17">
        <v>1</v>
      </c>
      <c r="D123" s="17">
        <v>0</v>
      </c>
      <c r="E123" s="17">
        <v>1</v>
      </c>
      <c r="F123" s="17">
        <v>1</v>
      </c>
      <c r="G123" s="17">
        <v>1</v>
      </c>
      <c r="H123" s="17">
        <v>1</v>
      </c>
      <c r="I123" s="17">
        <v>1</v>
      </c>
      <c r="J123" s="17">
        <v>1</v>
      </c>
      <c r="K123" s="17">
        <v>1</v>
      </c>
      <c r="L123">
        <v>17</v>
      </c>
      <c r="M123">
        <v>8</v>
      </c>
    </row>
    <row r="124" spans="2:25" x14ac:dyDescent="0.2">
      <c r="B124" s="15" t="s">
        <v>285</v>
      </c>
      <c r="C124" s="17">
        <v>1</v>
      </c>
      <c r="D124" s="17">
        <v>0</v>
      </c>
      <c r="E124" s="17">
        <v>0</v>
      </c>
      <c r="F124" s="17">
        <v>1</v>
      </c>
      <c r="G124" s="17">
        <v>1</v>
      </c>
      <c r="H124" s="17">
        <v>1</v>
      </c>
      <c r="I124" s="17">
        <v>1</v>
      </c>
      <c r="J124" s="17">
        <v>1</v>
      </c>
      <c r="K124" s="17">
        <v>1</v>
      </c>
      <c r="L124">
        <v>17</v>
      </c>
      <c r="M124">
        <v>7</v>
      </c>
      <c r="Y124" t="s">
        <v>28</v>
      </c>
    </row>
    <row r="125" spans="2:25" x14ac:dyDescent="0.2">
      <c r="B125" s="15" t="s">
        <v>286</v>
      </c>
      <c r="C125" s="17">
        <v>1</v>
      </c>
      <c r="D125" s="17">
        <v>0</v>
      </c>
      <c r="E125" s="17">
        <v>0</v>
      </c>
      <c r="F125" s="17">
        <v>1</v>
      </c>
      <c r="G125" s="17">
        <v>1</v>
      </c>
      <c r="H125" s="17">
        <v>1</v>
      </c>
      <c r="I125" s="17">
        <v>1</v>
      </c>
      <c r="J125" s="17">
        <v>1</v>
      </c>
      <c r="K125" s="17">
        <v>1</v>
      </c>
      <c r="L125">
        <v>18</v>
      </c>
      <c r="M125">
        <v>7</v>
      </c>
    </row>
    <row r="126" spans="2:25" x14ac:dyDescent="0.2">
      <c r="B126" s="15" t="s">
        <v>287</v>
      </c>
      <c r="C126" s="17">
        <v>1</v>
      </c>
      <c r="D126" s="17">
        <v>0</v>
      </c>
      <c r="E126" s="17">
        <v>0</v>
      </c>
      <c r="F126" s="17">
        <v>1</v>
      </c>
      <c r="G126" s="17">
        <v>1</v>
      </c>
      <c r="H126" s="17">
        <v>1</v>
      </c>
      <c r="I126" s="17">
        <v>1</v>
      </c>
      <c r="J126" s="17">
        <v>1</v>
      </c>
      <c r="K126" s="17">
        <v>1</v>
      </c>
      <c r="L126">
        <v>18</v>
      </c>
      <c r="M126">
        <v>7</v>
      </c>
    </row>
    <row r="127" spans="2:25" x14ac:dyDescent="0.2">
      <c r="B127" s="15" t="s">
        <v>288</v>
      </c>
      <c r="C127" s="17">
        <v>1</v>
      </c>
      <c r="D127" s="17">
        <v>0</v>
      </c>
      <c r="E127" s="17">
        <v>1</v>
      </c>
      <c r="F127" s="17">
        <v>1</v>
      </c>
      <c r="G127" s="17">
        <v>1</v>
      </c>
      <c r="H127" s="17">
        <v>1</v>
      </c>
      <c r="I127" s="17">
        <v>1</v>
      </c>
      <c r="J127" s="17">
        <v>1</v>
      </c>
      <c r="K127" s="17">
        <v>1</v>
      </c>
      <c r="L127">
        <v>18</v>
      </c>
      <c r="M127">
        <v>8</v>
      </c>
    </row>
    <row r="128" spans="2:25" x14ac:dyDescent="0.2">
      <c r="B128" s="15" t="s">
        <v>289</v>
      </c>
      <c r="C128" s="17">
        <v>1</v>
      </c>
      <c r="D128" s="17">
        <v>0</v>
      </c>
      <c r="E128" s="17">
        <v>1</v>
      </c>
      <c r="F128" s="17">
        <v>1</v>
      </c>
      <c r="G128" s="17">
        <v>1</v>
      </c>
      <c r="H128" s="17">
        <v>1</v>
      </c>
      <c r="I128" s="17">
        <v>1</v>
      </c>
      <c r="J128" s="17">
        <v>1</v>
      </c>
      <c r="K128" s="17">
        <v>1</v>
      </c>
      <c r="L128">
        <v>18</v>
      </c>
      <c r="M128">
        <v>8</v>
      </c>
    </row>
    <row r="129" spans="1:13" x14ac:dyDescent="0.2">
      <c r="B129" s="15" t="s">
        <v>290</v>
      </c>
      <c r="C129" s="17">
        <v>1</v>
      </c>
      <c r="D129" s="17">
        <v>0</v>
      </c>
      <c r="E129" s="17">
        <v>1</v>
      </c>
      <c r="F129" s="17">
        <v>1</v>
      </c>
      <c r="G129" s="17">
        <v>1</v>
      </c>
      <c r="H129" s="17">
        <v>1</v>
      </c>
      <c r="I129" s="17">
        <v>1</v>
      </c>
      <c r="J129" s="17">
        <v>1</v>
      </c>
      <c r="K129" s="17">
        <v>1</v>
      </c>
      <c r="L129">
        <v>18</v>
      </c>
      <c r="M129">
        <v>8</v>
      </c>
    </row>
    <row r="130" spans="1:13" x14ac:dyDescent="0.2">
      <c r="B130" s="15" t="s">
        <v>291</v>
      </c>
      <c r="C130" s="17">
        <v>1</v>
      </c>
      <c r="D130" s="17">
        <v>0</v>
      </c>
      <c r="E130" s="17">
        <v>1</v>
      </c>
      <c r="F130" s="17">
        <v>1</v>
      </c>
      <c r="G130" s="17">
        <v>1</v>
      </c>
      <c r="H130" s="17">
        <v>1</v>
      </c>
      <c r="I130" s="17">
        <v>1</v>
      </c>
      <c r="J130" s="17">
        <v>1</v>
      </c>
      <c r="K130" s="17">
        <v>1</v>
      </c>
      <c r="L130">
        <v>18</v>
      </c>
      <c r="M130">
        <v>8</v>
      </c>
    </row>
    <row r="131" spans="1:13" x14ac:dyDescent="0.2">
      <c r="B131" s="15" t="s">
        <v>292</v>
      </c>
      <c r="C131" s="17">
        <v>1</v>
      </c>
      <c r="D131" s="17">
        <v>0</v>
      </c>
      <c r="E131" s="17">
        <v>1</v>
      </c>
      <c r="F131" s="17">
        <v>1</v>
      </c>
      <c r="G131" s="17">
        <v>1</v>
      </c>
      <c r="H131" s="17">
        <v>1</v>
      </c>
      <c r="I131" s="17">
        <v>1</v>
      </c>
      <c r="J131" s="17">
        <v>1</v>
      </c>
      <c r="K131" s="17">
        <v>1</v>
      </c>
      <c r="L131">
        <v>18</v>
      </c>
      <c r="M131">
        <v>8</v>
      </c>
    </row>
    <row r="132" spans="1:13" x14ac:dyDescent="0.2">
      <c r="B132" s="15" t="s">
        <v>293</v>
      </c>
      <c r="C132" s="17">
        <v>1</v>
      </c>
      <c r="D132" s="17">
        <v>0</v>
      </c>
      <c r="E132" s="17">
        <v>0</v>
      </c>
      <c r="F132" s="17">
        <v>1</v>
      </c>
      <c r="G132" s="17">
        <v>1</v>
      </c>
      <c r="H132" s="17">
        <v>1</v>
      </c>
      <c r="I132" s="17">
        <v>1</v>
      </c>
      <c r="J132" s="17">
        <v>1</v>
      </c>
      <c r="K132" s="17">
        <v>1</v>
      </c>
      <c r="L132">
        <v>19</v>
      </c>
      <c r="M132">
        <v>7</v>
      </c>
    </row>
    <row r="133" spans="1:13" x14ac:dyDescent="0.2">
      <c r="A133" t="s">
        <v>30</v>
      </c>
      <c r="B133" s="15" t="s">
        <v>294</v>
      </c>
      <c r="C133" s="17">
        <v>1</v>
      </c>
      <c r="D133" s="17">
        <v>0</v>
      </c>
      <c r="E133" s="17">
        <v>0</v>
      </c>
      <c r="F133" s="17">
        <v>0</v>
      </c>
      <c r="G133" s="17">
        <v>1</v>
      </c>
      <c r="H133" s="17">
        <v>1</v>
      </c>
      <c r="I133" s="17">
        <v>1</v>
      </c>
      <c r="J133" s="17">
        <v>1</v>
      </c>
      <c r="K133" s="17">
        <v>1</v>
      </c>
      <c r="L133">
        <v>19</v>
      </c>
      <c r="M133">
        <v>6</v>
      </c>
    </row>
    <row r="134" spans="1:13" x14ac:dyDescent="0.2">
      <c r="A134" t="s">
        <v>31</v>
      </c>
      <c r="B134" s="15" t="s">
        <v>295</v>
      </c>
      <c r="C134" s="17">
        <v>1</v>
      </c>
      <c r="D134" s="17">
        <v>0</v>
      </c>
      <c r="E134" s="17">
        <v>0</v>
      </c>
      <c r="F134" s="17">
        <v>1</v>
      </c>
      <c r="G134" s="17">
        <v>1</v>
      </c>
      <c r="H134" s="17">
        <v>1</v>
      </c>
      <c r="I134" s="17">
        <v>1</v>
      </c>
      <c r="J134" s="17">
        <v>1</v>
      </c>
      <c r="K134" s="17">
        <v>1</v>
      </c>
      <c r="L134">
        <v>19</v>
      </c>
      <c r="M134">
        <v>7</v>
      </c>
    </row>
    <row r="135" spans="1:13" x14ac:dyDescent="0.2">
      <c r="B135" s="15" t="s">
        <v>296</v>
      </c>
      <c r="C135" s="17">
        <v>1</v>
      </c>
      <c r="D135" s="17">
        <v>0</v>
      </c>
      <c r="E135" s="17">
        <v>1</v>
      </c>
      <c r="F135" s="17">
        <v>1</v>
      </c>
      <c r="G135" s="17">
        <v>1</v>
      </c>
      <c r="H135" s="17">
        <v>1</v>
      </c>
      <c r="I135" s="17">
        <v>1</v>
      </c>
      <c r="J135" s="17">
        <v>1</v>
      </c>
      <c r="K135" s="17">
        <v>1</v>
      </c>
      <c r="L135">
        <v>19</v>
      </c>
      <c r="M135">
        <v>8</v>
      </c>
    </row>
    <row r="136" spans="1:13" x14ac:dyDescent="0.2">
      <c r="B136" s="15" t="s">
        <v>297</v>
      </c>
      <c r="C136" s="17">
        <v>1</v>
      </c>
      <c r="D136" s="17">
        <v>0</v>
      </c>
      <c r="E136" s="17">
        <v>1</v>
      </c>
      <c r="F136" s="17">
        <v>1</v>
      </c>
      <c r="G136" s="17">
        <v>1</v>
      </c>
      <c r="H136" s="17">
        <v>1</v>
      </c>
      <c r="I136" s="17">
        <v>1</v>
      </c>
      <c r="J136" s="17">
        <v>1</v>
      </c>
      <c r="K136" s="17">
        <v>1</v>
      </c>
      <c r="L136">
        <v>19</v>
      </c>
      <c r="M136">
        <v>8</v>
      </c>
    </row>
    <row r="137" spans="1:13" x14ac:dyDescent="0.2">
      <c r="B137" s="15" t="s">
        <v>298</v>
      </c>
      <c r="C137" s="17">
        <v>1</v>
      </c>
      <c r="D137" s="17">
        <v>0</v>
      </c>
      <c r="E137" s="17">
        <v>1</v>
      </c>
      <c r="F137" s="17">
        <v>1</v>
      </c>
      <c r="G137" s="17">
        <v>1</v>
      </c>
      <c r="H137" s="17">
        <v>1</v>
      </c>
      <c r="I137" s="17">
        <v>1</v>
      </c>
      <c r="J137" s="17">
        <v>1</v>
      </c>
      <c r="K137" s="17">
        <v>1</v>
      </c>
      <c r="L137">
        <v>19</v>
      </c>
      <c r="M137">
        <v>8</v>
      </c>
    </row>
    <row r="138" spans="1:13" x14ac:dyDescent="0.2">
      <c r="B138" s="15" t="s">
        <v>299</v>
      </c>
      <c r="C138" s="17">
        <v>1</v>
      </c>
      <c r="D138" s="17">
        <v>0</v>
      </c>
      <c r="E138" s="17">
        <v>0</v>
      </c>
      <c r="F138" s="17">
        <v>1</v>
      </c>
      <c r="G138" s="17">
        <v>1</v>
      </c>
      <c r="H138" s="17">
        <v>1</v>
      </c>
      <c r="I138" s="17">
        <v>1</v>
      </c>
      <c r="J138" s="17">
        <v>1</v>
      </c>
      <c r="K138" s="17">
        <v>1</v>
      </c>
      <c r="L138">
        <v>19</v>
      </c>
      <c r="M138">
        <v>7</v>
      </c>
    </row>
    <row r="139" spans="1:13" x14ac:dyDescent="0.2">
      <c r="B139" s="15" t="s">
        <v>300</v>
      </c>
      <c r="C139" s="17">
        <v>1</v>
      </c>
      <c r="D139" s="17">
        <v>0</v>
      </c>
      <c r="E139" s="17">
        <v>0</v>
      </c>
      <c r="F139" s="17">
        <v>1</v>
      </c>
      <c r="G139" s="17">
        <v>1</v>
      </c>
      <c r="H139" s="17">
        <v>1</v>
      </c>
      <c r="I139" s="17">
        <v>1</v>
      </c>
      <c r="J139" s="17">
        <v>1</v>
      </c>
      <c r="K139" s="17">
        <v>1</v>
      </c>
      <c r="L139">
        <v>20</v>
      </c>
      <c r="M139">
        <v>7</v>
      </c>
    </row>
    <row r="140" spans="1:13" x14ac:dyDescent="0.2">
      <c r="B140" s="15" t="s">
        <v>301</v>
      </c>
      <c r="C140" s="17">
        <v>1</v>
      </c>
      <c r="D140" s="17">
        <v>0</v>
      </c>
      <c r="E140" s="17">
        <v>1</v>
      </c>
      <c r="F140" s="17">
        <v>1</v>
      </c>
      <c r="G140" s="17">
        <v>1</v>
      </c>
      <c r="H140" s="17">
        <v>1</v>
      </c>
      <c r="I140" s="17">
        <v>1</v>
      </c>
      <c r="J140" s="17">
        <v>1</v>
      </c>
      <c r="K140" s="17">
        <v>1</v>
      </c>
      <c r="L140">
        <v>20</v>
      </c>
      <c r="M140">
        <v>8</v>
      </c>
    </row>
    <row r="141" spans="1:13" x14ac:dyDescent="0.2">
      <c r="B141" s="15" t="s">
        <v>302</v>
      </c>
      <c r="C141" s="17">
        <v>1</v>
      </c>
      <c r="D141" s="17">
        <v>0</v>
      </c>
      <c r="E141" s="17">
        <v>1</v>
      </c>
      <c r="F141" s="17">
        <v>1</v>
      </c>
      <c r="G141" s="17">
        <v>1</v>
      </c>
      <c r="H141" s="17">
        <v>1</v>
      </c>
      <c r="I141" s="17">
        <v>1</v>
      </c>
      <c r="J141" s="17">
        <v>1</v>
      </c>
      <c r="K141" s="17">
        <v>1</v>
      </c>
      <c r="L141">
        <v>20</v>
      </c>
      <c r="M141">
        <v>8</v>
      </c>
    </row>
    <row r="142" spans="1:13" x14ac:dyDescent="0.2">
      <c r="B142" s="15" t="s">
        <v>303</v>
      </c>
      <c r="C142" s="17">
        <v>1</v>
      </c>
      <c r="D142" s="17">
        <v>0</v>
      </c>
      <c r="E142" s="17">
        <v>1</v>
      </c>
      <c r="F142" s="17">
        <v>1</v>
      </c>
      <c r="G142" s="17">
        <v>1</v>
      </c>
      <c r="H142" s="17">
        <v>1</v>
      </c>
      <c r="I142" s="17">
        <v>1</v>
      </c>
      <c r="J142" s="17">
        <v>1</v>
      </c>
      <c r="K142" s="17">
        <v>1</v>
      </c>
      <c r="L142">
        <v>20</v>
      </c>
      <c r="M142">
        <v>8</v>
      </c>
    </row>
    <row r="143" spans="1:13" x14ac:dyDescent="0.2">
      <c r="B143" s="15" t="s">
        <v>304</v>
      </c>
      <c r="C143" s="17">
        <v>1</v>
      </c>
      <c r="D143" s="17">
        <v>0</v>
      </c>
      <c r="E143" s="17">
        <v>1</v>
      </c>
      <c r="F143" s="17">
        <v>1</v>
      </c>
      <c r="G143" s="17">
        <v>1</v>
      </c>
      <c r="H143" s="17">
        <v>1</v>
      </c>
      <c r="I143" s="17">
        <v>1</v>
      </c>
      <c r="J143" s="17">
        <v>1</v>
      </c>
      <c r="K143" s="17">
        <v>1</v>
      </c>
      <c r="L143">
        <v>20</v>
      </c>
      <c r="M143">
        <v>8</v>
      </c>
    </row>
    <row r="144" spans="1:13" x14ac:dyDescent="0.2">
      <c r="B144" s="15" t="s">
        <v>305</v>
      </c>
      <c r="C144" s="17">
        <v>1</v>
      </c>
      <c r="D144" s="17">
        <v>0</v>
      </c>
      <c r="E144" s="17">
        <v>0</v>
      </c>
      <c r="F144" s="17">
        <v>1</v>
      </c>
      <c r="G144" s="17">
        <v>1</v>
      </c>
      <c r="H144" s="17">
        <v>1</v>
      </c>
      <c r="I144" s="17">
        <v>1</v>
      </c>
      <c r="J144" s="17">
        <v>1</v>
      </c>
      <c r="K144" s="17">
        <v>1</v>
      </c>
      <c r="L144">
        <v>20</v>
      </c>
      <c r="M144">
        <v>7</v>
      </c>
    </row>
    <row r="145" spans="2:14" x14ac:dyDescent="0.2">
      <c r="B145" s="15" t="s">
        <v>306</v>
      </c>
      <c r="C145" s="17">
        <v>1</v>
      </c>
      <c r="D145" s="17">
        <v>0</v>
      </c>
      <c r="E145" s="17">
        <v>1</v>
      </c>
      <c r="F145" s="17">
        <v>1</v>
      </c>
      <c r="G145" s="17">
        <v>1</v>
      </c>
      <c r="H145" s="17">
        <v>1</v>
      </c>
      <c r="I145" s="17">
        <v>1</v>
      </c>
      <c r="J145" s="17">
        <v>1</v>
      </c>
      <c r="K145" s="17">
        <v>1</v>
      </c>
      <c r="L145">
        <v>20</v>
      </c>
      <c r="M145">
        <v>8</v>
      </c>
    </row>
    <row r="146" spans="2:14" x14ac:dyDescent="0.2">
      <c r="B146" s="15" t="s">
        <v>307</v>
      </c>
      <c r="C146" s="17">
        <v>1</v>
      </c>
      <c r="D146" s="17">
        <v>0</v>
      </c>
      <c r="E146" s="17">
        <v>0</v>
      </c>
      <c r="F146" s="17">
        <v>1</v>
      </c>
      <c r="G146" s="17">
        <v>1</v>
      </c>
      <c r="H146" s="17">
        <v>1</v>
      </c>
      <c r="I146" s="17">
        <v>1</v>
      </c>
      <c r="J146" s="17">
        <v>1</v>
      </c>
      <c r="K146" s="17">
        <v>1</v>
      </c>
      <c r="L146">
        <v>21</v>
      </c>
      <c r="M146">
        <v>7</v>
      </c>
    </row>
    <row r="147" spans="2:14" x14ac:dyDescent="0.2">
      <c r="B147" s="15" t="s">
        <v>308</v>
      </c>
      <c r="C147" s="17">
        <v>1</v>
      </c>
      <c r="D147" s="17">
        <v>0</v>
      </c>
      <c r="E147" s="17">
        <v>1</v>
      </c>
      <c r="F147" s="17">
        <v>1</v>
      </c>
      <c r="G147" s="17">
        <v>1</v>
      </c>
      <c r="H147" s="17">
        <v>1</v>
      </c>
      <c r="I147" s="17">
        <v>1</v>
      </c>
      <c r="J147" s="17">
        <v>1</v>
      </c>
      <c r="K147" s="17">
        <v>1</v>
      </c>
      <c r="L147">
        <v>21</v>
      </c>
      <c r="M147">
        <v>8</v>
      </c>
    </row>
    <row r="148" spans="2:14" x14ac:dyDescent="0.2">
      <c r="B148" s="15" t="s">
        <v>309</v>
      </c>
      <c r="C148" s="17">
        <v>1</v>
      </c>
      <c r="D148" s="17">
        <v>0</v>
      </c>
      <c r="E148" s="17">
        <v>1</v>
      </c>
      <c r="F148" s="17">
        <v>1</v>
      </c>
      <c r="G148" s="17">
        <v>1</v>
      </c>
      <c r="H148" s="17">
        <v>1</v>
      </c>
      <c r="I148" s="17">
        <v>1</v>
      </c>
      <c r="J148" s="17">
        <v>1</v>
      </c>
      <c r="K148" s="17">
        <v>1</v>
      </c>
      <c r="L148">
        <v>21</v>
      </c>
      <c r="M148">
        <v>8</v>
      </c>
    </row>
    <row r="149" spans="2:14" x14ac:dyDescent="0.2">
      <c r="B149" s="15" t="s">
        <v>310</v>
      </c>
      <c r="C149" s="17">
        <v>1</v>
      </c>
      <c r="D149" s="17">
        <v>0</v>
      </c>
      <c r="E149" s="17">
        <v>0</v>
      </c>
      <c r="F149" s="17">
        <v>1</v>
      </c>
      <c r="G149" s="17">
        <v>1</v>
      </c>
      <c r="H149" s="17">
        <v>1</v>
      </c>
      <c r="I149" s="17">
        <v>1</v>
      </c>
      <c r="J149" s="17">
        <v>1</v>
      </c>
      <c r="K149" s="17">
        <v>1</v>
      </c>
      <c r="L149">
        <v>21</v>
      </c>
      <c r="M149">
        <v>7</v>
      </c>
    </row>
    <row r="150" spans="2:14" x14ac:dyDescent="0.2">
      <c r="B150" s="15" t="s">
        <v>311</v>
      </c>
      <c r="C150" s="17">
        <v>1</v>
      </c>
      <c r="D150" s="17">
        <v>0</v>
      </c>
      <c r="E150" s="17">
        <v>1</v>
      </c>
      <c r="F150" s="17">
        <v>1</v>
      </c>
      <c r="G150" s="17">
        <v>1</v>
      </c>
      <c r="H150" s="17">
        <v>1</v>
      </c>
      <c r="I150" s="17">
        <v>1</v>
      </c>
      <c r="J150" s="17">
        <v>1</v>
      </c>
      <c r="K150" s="17">
        <v>1</v>
      </c>
      <c r="L150">
        <v>21</v>
      </c>
      <c r="M150">
        <v>8</v>
      </c>
    </row>
    <row r="151" spans="2:14" x14ac:dyDescent="0.2">
      <c r="B151" s="15" t="s">
        <v>312</v>
      </c>
      <c r="C151" s="17">
        <v>1</v>
      </c>
      <c r="D151" s="17">
        <v>0</v>
      </c>
      <c r="E151" s="17">
        <v>1</v>
      </c>
      <c r="F151" s="17">
        <v>1</v>
      </c>
      <c r="G151" s="17">
        <v>1</v>
      </c>
      <c r="H151" s="17">
        <v>1</v>
      </c>
      <c r="I151" s="17">
        <v>1</v>
      </c>
      <c r="J151" s="17">
        <v>1</v>
      </c>
      <c r="K151" s="17">
        <v>1</v>
      </c>
      <c r="L151">
        <v>21</v>
      </c>
      <c r="M151">
        <v>8</v>
      </c>
      <c r="N151" t="s">
        <v>33</v>
      </c>
    </row>
    <row r="152" spans="2:14" x14ac:dyDescent="0.2">
      <c r="B152" s="15" t="s">
        <v>313</v>
      </c>
      <c r="C152" s="17">
        <v>1</v>
      </c>
      <c r="D152" s="17">
        <v>0</v>
      </c>
      <c r="E152" s="17">
        <v>0</v>
      </c>
      <c r="F152" s="17">
        <v>1</v>
      </c>
      <c r="G152" s="17">
        <v>1</v>
      </c>
      <c r="H152" s="17">
        <v>1</v>
      </c>
      <c r="I152" s="17">
        <v>1</v>
      </c>
      <c r="J152" s="17">
        <v>1</v>
      </c>
      <c r="K152" s="17">
        <v>1</v>
      </c>
      <c r="L152">
        <v>21</v>
      </c>
      <c r="M152">
        <v>7</v>
      </c>
    </row>
    <row r="153" spans="2:14" x14ac:dyDescent="0.2">
      <c r="B153" s="15" t="s">
        <v>314</v>
      </c>
      <c r="C153" s="17">
        <v>1</v>
      </c>
      <c r="D153" s="17">
        <v>0</v>
      </c>
      <c r="E153" s="17">
        <v>0</v>
      </c>
      <c r="F153" s="17">
        <v>1</v>
      </c>
      <c r="G153" s="17">
        <v>1</v>
      </c>
      <c r="H153" s="17">
        <v>1</v>
      </c>
      <c r="I153" s="17">
        <v>1</v>
      </c>
      <c r="J153" s="17">
        <v>1</v>
      </c>
      <c r="K153" s="17">
        <v>1</v>
      </c>
      <c r="L153">
        <v>22</v>
      </c>
      <c r="M153">
        <v>7</v>
      </c>
    </row>
    <row r="154" spans="2:14" x14ac:dyDescent="0.2">
      <c r="B154" s="15" t="s">
        <v>315</v>
      </c>
      <c r="C154" s="17">
        <v>1</v>
      </c>
      <c r="D154" s="17">
        <v>0</v>
      </c>
      <c r="E154" s="17">
        <v>0</v>
      </c>
      <c r="F154" s="17">
        <v>1</v>
      </c>
      <c r="G154" s="17">
        <v>1</v>
      </c>
      <c r="H154" s="17">
        <v>1</v>
      </c>
      <c r="I154" s="17">
        <v>1</v>
      </c>
      <c r="J154" s="17">
        <v>1</v>
      </c>
      <c r="K154" s="17">
        <v>1</v>
      </c>
      <c r="L154">
        <v>22</v>
      </c>
      <c r="M154">
        <v>7</v>
      </c>
    </row>
    <row r="155" spans="2:14" x14ac:dyDescent="0.2">
      <c r="B155" s="15" t="s">
        <v>316</v>
      </c>
      <c r="C155" s="17">
        <v>1</v>
      </c>
      <c r="D155" s="17">
        <v>0</v>
      </c>
      <c r="E155" s="17">
        <v>1</v>
      </c>
      <c r="F155" s="17">
        <v>1</v>
      </c>
      <c r="G155" s="17">
        <v>1</v>
      </c>
      <c r="H155" s="17">
        <v>1</v>
      </c>
      <c r="I155" s="17">
        <v>1</v>
      </c>
      <c r="J155" s="17">
        <v>1</v>
      </c>
      <c r="K155" s="17">
        <v>1</v>
      </c>
      <c r="L155">
        <v>22</v>
      </c>
      <c r="M155">
        <v>8</v>
      </c>
    </row>
    <row r="156" spans="2:14" x14ac:dyDescent="0.2">
      <c r="B156" s="15" t="s">
        <v>317</v>
      </c>
      <c r="C156" s="17">
        <v>1</v>
      </c>
      <c r="D156" s="17">
        <v>0</v>
      </c>
      <c r="E156" s="17">
        <v>1</v>
      </c>
      <c r="F156" s="17">
        <v>1</v>
      </c>
      <c r="G156" s="17">
        <v>1</v>
      </c>
      <c r="H156" s="17">
        <v>1</v>
      </c>
      <c r="I156" s="17">
        <v>1</v>
      </c>
      <c r="J156" s="17">
        <v>1</v>
      </c>
      <c r="K156" s="17">
        <v>1</v>
      </c>
      <c r="L156">
        <v>22</v>
      </c>
      <c r="M156">
        <v>8</v>
      </c>
    </row>
    <row r="157" spans="2:14" x14ac:dyDescent="0.2">
      <c r="B157" s="15" t="s">
        <v>318</v>
      </c>
      <c r="C157" s="17">
        <v>1</v>
      </c>
      <c r="D157" s="17">
        <v>0</v>
      </c>
      <c r="E157" s="17">
        <v>1</v>
      </c>
      <c r="F157" s="17">
        <v>1</v>
      </c>
      <c r="G157" s="17">
        <v>1</v>
      </c>
      <c r="H157" s="17">
        <v>1</v>
      </c>
      <c r="I157" s="17">
        <v>1</v>
      </c>
      <c r="J157" s="17">
        <v>1</v>
      </c>
      <c r="K157" s="17">
        <v>1</v>
      </c>
      <c r="L157">
        <v>22</v>
      </c>
      <c r="M157">
        <v>8</v>
      </c>
    </row>
    <row r="158" spans="2:14" x14ac:dyDescent="0.2">
      <c r="B158" s="15" t="s">
        <v>319</v>
      </c>
      <c r="C158" s="17">
        <v>1</v>
      </c>
      <c r="D158" s="17">
        <v>0</v>
      </c>
      <c r="E158" s="17">
        <v>0</v>
      </c>
      <c r="F158" s="17">
        <v>1</v>
      </c>
      <c r="G158" s="17">
        <v>1</v>
      </c>
      <c r="H158" s="17">
        <v>1</v>
      </c>
      <c r="I158" s="17">
        <v>1</v>
      </c>
      <c r="J158" s="17">
        <v>1</v>
      </c>
      <c r="K158" s="17">
        <v>1</v>
      </c>
      <c r="L158">
        <v>22</v>
      </c>
      <c r="M158">
        <v>7</v>
      </c>
    </row>
    <row r="159" spans="2:14" x14ac:dyDescent="0.2">
      <c r="B159" s="15" t="s">
        <v>320</v>
      </c>
      <c r="C159" s="17">
        <v>1</v>
      </c>
      <c r="D159" s="17">
        <v>0</v>
      </c>
      <c r="E159" s="17">
        <v>0</v>
      </c>
      <c r="F159" s="17">
        <v>1</v>
      </c>
      <c r="G159" s="17">
        <v>1</v>
      </c>
      <c r="H159" s="17">
        <v>1</v>
      </c>
      <c r="I159" s="17">
        <v>1</v>
      </c>
      <c r="J159" s="17">
        <v>1</v>
      </c>
      <c r="K159" s="17">
        <v>1</v>
      </c>
      <c r="L159">
        <v>22</v>
      </c>
      <c r="M159">
        <v>7</v>
      </c>
    </row>
    <row r="160" spans="2:14" x14ac:dyDescent="0.2">
      <c r="B160" s="15" t="s">
        <v>321</v>
      </c>
      <c r="C160" s="17">
        <v>1</v>
      </c>
      <c r="D160" s="17">
        <v>0</v>
      </c>
      <c r="E160" s="17">
        <v>0</v>
      </c>
      <c r="F160" s="17">
        <v>1</v>
      </c>
      <c r="G160" s="17">
        <v>1</v>
      </c>
      <c r="H160" s="17">
        <v>1</v>
      </c>
      <c r="I160" s="17">
        <v>1</v>
      </c>
      <c r="J160" s="17">
        <v>1</v>
      </c>
      <c r="K160" s="17">
        <v>1</v>
      </c>
      <c r="L160">
        <v>23</v>
      </c>
      <c r="M160">
        <v>7</v>
      </c>
    </row>
    <row r="161" spans="2:13" x14ac:dyDescent="0.2">
      <c r="B161" s="15" t="s">
        <v>322</v>
      </c>
      <c r="C161" s="17">
        <v>1</v>
      </c>
      <c r="D161" s="17">
        <v>0</v>
      </c>
      <c r="E161" s="17">
        <v>0</v>
      </c>
      <c r="F161" s="17">
        <v>1</v>
      </c>
      <c r="G161" s="17">
        <v>1</v>
      </c>
      <c r="H161" s="17">
        <v>1</v>
      </c>
      <c r="I161" s="17">
        <v>1</v>
      </c>
      <c r="J161" s="17">
        <v>1</v>
      </c>
      <c r="K161" s="17">
        <v>1</v>
      </c>
      <c r="L161">
        <v>23</v>
      </c>
      <c r="M161">
        <v>7</v>
      </c>
    </row>
    <row r="162" spans="2:13" x14ac:dyDescent="0.2">
      <c r="B162" s="15" t="s">
        <v>323</v>
      </c>
      <c r="C162" s="17">
        <v>1</v>
      </c>
      <c r="D162" s="17">
        <v>0</v>
      </c>
      <c r="E162" s="17">
        <v>1</v>
      </c>
      <c r="F162" s="17">
        <v>1</v>
      </c>
      <c r="G162" s="17">
        <v>1</v>
      </c>
      <c r="H162" s="17">
        <v>1</v>
      </c>
      <c r="I162" s="17">
        <v>1</v>
      </c>
      <c r="J162" s="17">
        <v>1</v>
      </c>
      <c r="K162" s="17">
        <v>1</v>
      </c>
      <c r="L162">
        <v>23</v>
      </c>
      <c r="M162">
        <v>8</v>
      </c>
    </row>
    <row r="163" spans="2:13" x14ac:dyDescent="0.2">
      <c r="B163" s="15" t="s">
        <v>324</v>
      </c>
      <c r="C163" s="17">
        <v>1</v>
      </c>
      <c r="D163" s="17">
        <v>0</v>
      </c>
      <c r="E163" s="17">
        <v>1</v>
      </c>
      <c r="F163" s="17">
        <v>1</v>
      </c>
      <c r="G163" s="17">
        <v>1</v>
      </c>
      <c r="H163" s="17">
        <v>1</v>
      </c>
      <c r="I163" s="17">
        <v>1</v>
      </c>
      <c r="J163" s="17">
        <v>1</v>
      </c>
      <c r="K163" s="17">
        <v>1</v>
      </c>
      <c r="L163">
        <v>23</v>
      </c>
      <c r="M163">
        <v>8</v>
      </c>
    </row>
    <row r="164" spans="2:13" x14ac:dyDescent="0.2">
      <c r="B164" s="15" t="s">
        <v>325</v>
      </c>
      <c r="C164" s="17">
        <v>1</v>
      </c>
      <c r="D164" s="17">
        <v>0</v>
      </c>
      <c r="E164" s="17">
        <v>0</v>
      </c>
      <c r="F164" s="17">
        <v>1</v>
      </c>
      <c r="G164" s="17">
        <v>1</v>
      </c>
      <c r="H164" s="17">
        <v>1</v>
      </c>
      <c r="I164" s="17">
        <v>1</v>
      </c>
      <c r="J164" s="17">
        <v>1</v>
      </c>
      <c r="K164" s="17">
        <v>1</v>
      </c>
      <c r="L164">
        <v>23</v>
      </c>
      <c r="M164">
        <v>7</v>
      </c>
    </row>
    <row r="165" spans="2:13" x14ac:dyDescent="0.2">
      <c r="B165" s="15" t="s">
        <v>326</v>
      </c>
      <c r="C165" s="17">
        <v>1</v>
      </c>
      <c r="D165" s="17">
        <v>0</v>
      </c>
      <c r="E165" s="17">
        <v>1</v>
      </c>
      <c r="F165" s="17">
        <v>1</v>
      </c>
      <c r="G165" s="17">
        <v>1</v>
      </c>
      <c r="H165" s="17">
        <v>1</v>
      </c>
      <c r="I165" s="17">
        <v>1</v>
      </c>
      <c r="J165" s="17">
        <v>1</v>
      </c>
      <c r="K165" s="17">
        <v>1</v>
      </c>
      <c r="L165">
        <v>23</v>
      </c>
      <c r="M165">
        <v>8</v>
      </c>
    </row>
    <row r="166" spans="2:13" x14ac:dyDescent="0.2">
      <c r="B166" s="15" t="s">
        <v>327</v>
      </c>
      <c r="C166" s="17">
        <v>1</v>
      </c>
      <c r="D166" s="17">
        <v>0</v>
      </c>
      <c r="E166" s="17">
        <v>1</v>
      </c>
      <c r="F166" s="17">
        <v>1</v>
      </c>
      <c r="G166" s="17">
        <v>1</v>
      </c>
      <c r="H166" s="17">
        <v>1</v>
      </c>
      <c r="I166" s="17">
        <v>1</v>
      </c>
      <c r="J166" s="17">
        <v>1</v>
      </c>
      <c r="K166" s="17">
        <v>1</v>
      </c>
      <c r="L166">
        <v>23</v>
      </c>
      <c r="M166">
        <v>8</v>
      </c>
    </row>
    <row r="167" spans="2:13" x14ac:dyDescent="0.2">
      <c r="B167" s="15" t="s">
        <v>328</v>
      </c>
      <c r="C167" s="17">
        <v>1</v>
      </c>
      <c r="D167" s="17">
        <v>0</v>
      </c>
      <c r="E167" s="17">
        <v>1</v>
      </c>
      <c r="F167" s="17">
        <v>1</v>
      </c>
      <c r="G167" s="17">
        <v>1</v>
      </c>
      <c r="H167" s="17">
        <v>1</v>
      </c>
      <c r="I167" s="17">
        <v>1</v>
      </c>
      <c r="J167" s="17">
        <v>1</v>
      </c>
      <c r="K167" s="17">
        <v>1</v>
      </c>
      <c r="L167">
        <v>24</v>
      </c>
      <c r="M167">
        <v>8</v>
      </c>
    </row>
    <row r="168" spans="2:13" x14ac:dyDescent="0.2">
      <c r="B168" s="15" t="s">
        <v>329</v>
      </c>
      <c r="C168" s="17">
        <v>1</v>
      </c>
      <c r="D168" s="17">
        <v>0</v>
      </c>
      <c r="E168" s="17">
        <v>0</v>
      </c>
      <c r="F168" s="17">
        <v>1</v>
      </c>
      <c r="G168" s="17">
        <v>1</v>
      </c>
      <c r="H168" s="17">
        <v>1</v>
      </c>
      <c r="I168" s="17">
        <v>1</v>
      </c>
      <c r="J168" s="17">
        <v>1</v>
      </c>
      <c r="K168" s="17">
        <v>1</v>
      </c>
      <c r="L168">
        <v>24</v>
      </c>
      <c r="M168">
        <v>7</v>
      </c>
    </row>
    <row r="169" spans="2:13" x14ac:dyDescent="0.2">
      <c r="B169" s="15" t="s">
        <v>330</v>
      </c>
      <c r="C169" s="17">
        <v>1</v>
      </c>
      <c r="D169" s="17">
        <v>0</v>
      </c>
      <c r="E169" s="17">
        <v>1</v>
      </c>
      <c r="F169" s="17">
        <v>1</v>
      </c>
      <c r="G169" s="17">
        <v>1</v>
      </c>
      <c r="H169" s="17">
        <v>1</v>
      </c>
      <c r="I169" s="17">
        <v>1</v>
      </c>
      <c r="J169" s="17">
        <v>1</v>
      </c>
      <c r="K169" s="17">
        <v>1</v>
      </c>
      <c r="L169">
        <v>24</v>
      </c>
      <c r="M169">
        <v>8</v>
      </c>
    </row>
    <row r="170" spans="2:13" x14ac:dyDescent="0.2">
      <c r="B170" s="15" t="s">
        <v>331</v>
      </c>
      <c r="C170" s="17">
        <v>1</v>
      </c>
      <c r="D170" s="17">
        <v>0</v>
      </c>
      <c r="E170" s="17">
        <v>0</v>
      </c>
      <c r="F170" s="17">
        <v>1</v>
      </c>
      <c r="G170" s="17">
        <v>1</v>
      </c>
      <c r="H170" s="17">
        <v>1</v>
      </c>
      <c r="I170" s="17">
        <v>1</v>
      </c>
      <c r="J170" s="17">
        <v>1</v>
      </c>
      <c r="K170" s="17">
        <v>1</v>
      </c>
      <c r="L170">
        <v>24</v>
      </c>
      <c r="M170">
        <v>7</v>
      </c>
    </row>
    <row r="171" spans="2:13" x14ac:dyDescent="0.2">
      <c r="B171" s="15" t="s">
        <v>332</v>
      </c>
      <c r="C171" s="17">
        <v>1</v>
      </c>
      <c r="D171" s="17">
        <v>0</v>
      </c>
      <c r="E171" s="17">
        <v>1</v>
      </c>
      <c r="F171" s="17">
        <v>1</v>
      </c>
      <c r="G171" s="17">
        <v>1</v>
      </c>
      <c r="H171" s="17">
        <v>1</v>
      </c>
      <c r="I171" s="17">
        <v>1</v>
      </c>
      <c r="J171" s="17">
        <v>1</v>
      </c>
      <c r="K171" s="17">
        <v>1</v>
      </c>
      <c r="L171">
        <v>24</v>
      </c>
      <c r="M171">
        <v>8</v>
      </c>
    </row>
    <row r="172" spans="2:13" x14ac:dyDescent="0.2">
      <c r="B172" s="15" t="s">
        <v>333</v>
      </c>
      <c r="C172" s="17">
        <v>1</v>
      </c>
      <c r="D172" s="17">
        <v>0</v>
      </c>
      <c r="E172" s="17">
        <v>1</v>
      </c>
      <c r="F172" s="17">
        <v>1</v>
      </c>
      <c r="G172" s="17">
        <v>1</v>
      </c>
      <c r="H172" s="17">
        <v>1</v>
      </c>
      <c r="I172" s="17">
        <v>1</v>
      </c>
      <c r="J172" s="17">
        <v>1</v>
      </c>
      <c r="K172" s="17">
        <v>1</v>
      </c>
      <c r="L172">
        <v>24</v>
      </c>
      <c r="M172">
        <v>8</v>
      </c>
    </row>
    <row r="173" spans="2:13" x14ac:dyDescent="0.2">
      <c r="B173" s="15" t="s">
        <v>334</v>
      </c>
      <c r="C173" s="17">
        <v>1</v>
      </c>
      <c r="D173" s="17">
        <v>0</v>
      </c>
      <c r="E173" s="17">
        <v>0</v>
      </c>
      <c r="F173" s="17">
        <v>1</v>
      </c>
      <c r="G173" s="17">
        <v>1</v>
      </c>
      <c r="H173" s="17">
        <v>1</v>
      </c>
      <c r="I173" s="17">
        <v>1</v>
      </c>
      <c r="J173" s="17">
        <v>1</v>
      </c>
      <c r="K173" s="17">
        <v>1</v>
      </c>
      <c r="L173">
        <v>24</v>
      </c>
      <c r="M173">
        <v>7</v>
      </c>
    </row>
    <row r="174" spans="2:13" x14ac:dyDescent="0.2">
      <c r="B174" s="15" t="s">
        <v>335</v>
      </c>
      <c r="C174" s="17">
        <v>1</v>
      </c>
      <c r="D174" s="17">
        <v>0</v>
      </c>
      <c r="E174" s="17">
        <v>0</v>
      </c>
      <c r="F174" s="17">
        <v>1</v>
      </c>
      <c r="G174" s="17">
        <v>1</v>
      </c>
      <c r="H174" s="17">
        <v>1</v>
      </c>
      <c r="I174" s="17">
        <v>1</v>
      </c>
      <c r="J174" s="17">
        <v>1</v>
      </c>
      <c r="K174" s="17">
        <v>1</v>
      </c>
      <c r="L174">
        <v>25</v>
      </c>
      <c r="M174">
        <v>7</v>
      </c>
    </row>
    <row r="175" spans="2:13" x14ac:dyDescent="0.2">
      <c r="B175" s="15" t="s">
        <v>336</v>
      </c>
      <c r="C175" s="17">
        <v>1</v>
      </c>
      <c r="D175" s="17">
        <v>0</v>
      </c>
      <c r="E175" s="17">
        <v>1</v>
      </c>
      <c r="F175" s="17">
        <v>1</v>
      </c>
      <c r="G175" s="17">
        <v>1</v>
      </c>
      <c r="H175" s="17">
        <v>1</v>
      </c>
      <c r="I175" s="17">
        <v>1</v>
      </c>
      <c r="J175" s="17">
        <v>1</v>
      </c>
      <c r="K175" s="17">
        <v>1</v>
      </c>
      <c r="L175">
        <v>25</v>
      </c>
      <c r="M175">
        <v>8</v>
      </c>
    </row>
    <row r="176" spans="2:13" x14ac:dyDescent="0.2">
      <c r="B176" s="15" t="s">
        <v>337</v>
      </c>
      <c r="C176" s="17">
        <v>1</v>
      </c>
      <c r="D176" s="17">
        <v>0</v>
      </c>
      <c r="E176" s="17">
        <v>0</v>
      </c>
      <c r="F176" s="17">
        <v>1</v>
      </c>
      <c r="G176" s="17">
        <v>1</v>
      </c>
      <c r="H176" s="17">
        <v>1</v>
      </c>
      <c r="I176" s="17">
        <v>1</v>
      </c>
      <c r="J176" s="17">
        <v>1</v>
      </c>
      <c r="K176" s="17">
        <v>1</v>
      </c>
      <c r="L176">
        <v>25</v>
      </c>
      <c r="M176">
        <v>7</v>
      </c>
    </row>
    <row r="177" spans="2:13" x14ac:dyDescent="0.2">
      <c r="B177" s="15" t="s">
        <v>338</v>
      </c>
      <c r="C177" s="17">
        <v>1</v>
      </c>
      <c r="D177" s="17">
        <v>0</v>
      </c>
      <c r="E177" s="17">
        <v>1</v>
      </c>
      <c r="F177" s="17">
        <v>1</v>
      </c>
      <c r="G177" s="17">
        <v>1</v>
      </c>
      <c r="H177" s="17">
        <v>1</v>
      </c>
      <c r="I177" s="17">
        <v>1</v>
      </c>
      <c r="J177" s="17">
        <v>1</v>
      </c>
      <c r="K177" s="17">
        <v>1</v>
      </c>
      <c r="L177">
        <v>25</v>
      </c>
      <c r="M177">
        <v>8</v>
      </c>
    </row>
    <row r="178" spans="2:13" x14ac:dyDescent="0.2">
      <c r="B178" s="15" t="s">
        <v>339</v>
      </c>
      <c r="C178" s="17">
        <v>1</v>
      </c>
      <c r="D178" s="17">
        <v>0</v>
      </c>
      <c r="E178" s="17">
        <v>1</v>
      </c>
      <c r="F178" s="17">
        <v>1</v>
      </c>
      <c r="G178" s="17">
        <v>1</v>
      </c>
      <c r="H178" s="17">
        <v>1</v>
      </c>
      <c r="I178" s="17">
        <v>1</v>
      </c>
      <c r="J178" s="17">
        <v>1</v>
      </c>
      <c r="K178" s="17">
        <v>1</v>
      </c>
      <c r="L178">
        <v>25</v>
      </c>
      <c r="M178">
        <v>8</v>
      </c>
    </row>
    <row r="179" spans="2:13" x14ac:dyDescent="0.2">
      <c r="B179" s="15" t="s">
        <v>340</v>
      </c>
      <c r="C179" s="17">
        <v>1</v>
      </c>
      <c r="D179" s="17">
        <v>0</v>
      </c>
      <c r="E179" s="17">
        <v>0</v>
      </c>
      <c r="F179" s="17">
        <v>1</v>
      </c>
      <c r="G179" s="17">
        <v>1</v>
      </c>
      <c r="H179" s="17">
        <v>1</v>
      </c>
      <c r="I179" s="17">
        <v>1</v>
      </c>
      <c r="J179" s="17">
        <v>1</v>
      </c>
      <c r="K179" s="17">
        <v>1</v>
      </c>
      <c r="L179">
        <v>25</v>
      </c>
      <c r="M179">
        <v>7</v>
      </c>
    </row>
    <row r="180" spans="2:13" x14ac:dyDescent="0.2">
      <c r="B180" s="15" t="s">
        <v>341</v>
      </c>
      <c r="C180" s="17">
        <v>1</v>
      </c>
      <c r="D180" s="17">
        <v>0</v>
      </c>
      <c r="E180" s="17">
        <v>0</v>
      </c>
      <c r="F180" s="17">
        <v>1</v>
      </c>
      <c r="G180" s="17">
        <v>1</v>
      </c>
      <c r="H180" s="17">
        <v>1</v>
      </c>
      <c r="I180" s="17">
        <v>1</v>
      </c>
      <c r="J180" s="17">
        <v>1</v>
      </c>
      <c r="K180" s="17">
        <v>1</v>
      </c>
      <c r="L180">
        <v>25</v>
      </c>
      <c r="M180">
        <v>7</v>
      </c>
    </row>
    <row r="181" spans="2:13" x14ac:dyDescent="0.2">
      <c r="B181" s="15" t="s">
        <v>342</v>
      </c>
      <c r="C181" s="17">
        <v>1</v>
      </c>
      <c r="D181" s="17">
        <v>0</v>
      </c>
      <c r="E181" s="17">
        <v>1</v>
      </c>
      <c r="F181" s="17">
        <v>1</v>
      </c>
      <c r="G181" s="17">
        <v>1</v>
      </c>
      <c r="H181" s="17">
        <v>1</v>
      </c>
      <c r="I181" s="17">
        <v>1</v>
      </c>
      <c r="J181" s="17">
        <v>1</v>
      </c>
      <c r="K181" s="17">
        <v>1</v>
      </c>
      <c r="L181">
        <v>26</v>
      </c>
      <c r="M181">
        <v>8</v>
      </c>
    </row>
    <row r="182" spans="2:13" x14ac:dyDescent="0.2">
      <c r="B182" s="15" t="s">
        <v>343</v>
      </c>
      <c r="C182" s="17">
        <v>1</v>
      </c>
      <c r="D182" s="17">
        <v>0</v>
      </c>
      <c r="E182" s="17">
        <v>1</v>
      </c>
      <c r="F182" s="17">
        <v>1</v>
      </c>
      <c r="G182" s="17">
        <v>1</v>
      </c>
      <c r="H182" s="17">
        <v>1</v>
      </c>
      <c r="I182" s="17">
        <v>1</v>
      </c>
      <c r="J182" s="17">
        <v>1</v>
      </c>
      <c r="K182" s="17">
        <v>1</v>
      </c>
      <c r="L182">
        <v>26</v>
      </c>
      <c r="M182">
        <v>8</v>
      </c>
    </row>
    <row r="183" spans="2:13" x14ac:dyDescent="0.2">
      <c r="B183" s="15" t="s">
        <v>344</v>
      </c>
      <c r="C183" s="17">
        <v>1</v>
      </c>
      <c r="D183" s="17">
        <v>0</v>
      </c>
      <c r="E183" s="17">
        <v>1</v>
      </c>
      <c r="F183" s="17">
        <v>1</v>
      </c>
      <c r="G183" s="17">
        <v>1</v>
      </c>
      <c r="H183" s="17">
        <v>1</v>
      </c>
      <c r="I183" s="17">
        <v>1</v>
      </c>
      <c r="J183" s="17">
        <v>1</v>
      </c>
      <c r="K183" s="17">
        <v>1</v>
      </c>
      <c r="L183">
        <v>26</v>
      </c>
      <c r="M183">
        <v>8</v>
      </c>
    </row>
    <row r="184" spans="2:13" x14ac:dyDescent="0.2">
      <c r="B184" s="15" t="s">
        <v>345</v>
      </c>
      <c r="C184" s="17">
        <v>1</v>
      </c>
      <c r="D184" s="17">
        <v>0</v>
      </c>
      <c r="E184" s="17">
        <v>1</v>
      </c>
      <c r="F184" s="17">
        <v>1</v>
      </c>
      <c r="G184" s="17">
        <v>1</v>
      </c>
      <c r="H184" s="17">
        <v>1</v>
      </c>
      <c r="I184" s="17">
        <v>1</v>
      </c>
      <c r="J184" s="17">
        <v>1</v>
      </c>
      <c r="K184" s="17">
        <v>1</v>
      </c>
      <c r="L184">
        <v>26</v>
      </c>
      <c r="M184">
        <v>8</v>
      </c>
    </row>
    <row r="185" spans="2:13" x14ac:dyDescent="0.2">
      <c r="B185" s="15" t="s">
        <v>346</v>
      </c>
      <c r="C185" s="17">
        <v>1</v>
      </c>
      <c r="D185" s="17">
        <v>0</v>
      </c>
      <c r="E185" s="17">
        <v>1</v>
      </c>
      <c r="F185" s="17">
        <v>1</v>
      </c>
      <c r="G185" s="17">
        <v>1</v>
      </c>
      <c r="H185" s="17">
        <v>1</v>
      </c>
      <c r="I185" s="17">
        <v>1</v>
      </c>
      <c r="J185" s="17">
        <v>1</v>
      </c>
      <c r="K185" s="17">
        <v>1</v>
      </c>
      <c r="L185">
        <v>26</v>
      </c>
      <c r="M185">
        <v>8</v>
      </c>
    </row>
    <row r="186" spans="2:13" x14ac:dyDescent="0.2">
      <c r="B186" s="15" t="s">
        <v>347</v>
      </c>
      <c r="C186" s="17">
        <v>1</v>
      </c>
      <c r="D186" s="17">
        <v>0</v>
      </c>
      <c r="E186" s="17">
        <v>1</v>
      </c>
      <c r="F186" s="17">
        <v>1</v>
      </c>
      <c r="G186" s="17">
        <v>1</v>
      </c>
      <c r="H186" s="17">
        <v>1</v>
      </c>
      <c r="I186" s="17">
        <v>1</v>
      </c>
      <c r="J186" s="17">
        <v>1</v>
      </c>
      <c r="K186" s="17">
        <v>1</v>
      </c>
      <c r="L186">
        <v>26</v>
      </c>
      <c r="M186">
        <v>8</v>
      </c>
    </row>
    <row r="187" spans="2:13" x14ac:dyDescent="0.2">
      <c r="B187" s="15" t="s">
        <v>348</v>
      </c>
      <c r="C187" s="17">
        <v>1</v>
      </c>
      <c r="D187" s="17">
        <v>0</v>
      </c>
      <c r="E187" s="17">
        <v>0</v>
      </c>
      <c r="F187" s="17">
        <v>1</v>
      </c>
      <c r="G187" s="17">
        <v>1</v>
      </c>
      <c r="H187" s="17">
        <v>1</v>
      </c>
      <c r="I187" s="17">
        <v>1</v>
      </c>
      <c r="J187" s="17">
        <v>1</v>
      </c>
      <c r="K187" s="17">
        <v>1</v>
      </c>
      <c r="L187">
        <v>26</v>
      </c>
      <c r="M187">
        <v>7</v>
      </c>
    </row>
    <row r="188" spans="2:13" x14ac:dyDescent="0.2">
      <c r="B188" s="15" t="s">
        <v>349</v>
      </c>
      <c r="C188" s="17">
        <v>1</v>
      </c>
      <c r="D188" s="17">
        <v>0</v>
      </c>
      <c r="E188" s="17">
        <v>0</v>
      </c>
      <c r="F188" s="17">
        <v>1</v>
      </c>
      <c r="G188" s="17">
        <v>1</v>
      </c>
      <c r="H188" s="17">
        <v>1</v>
      </c>
      <c r="I188" s="17">
        <v>1</v>
      </c>
      <c r="J188" s="17">
        <v>1</v>
      </c>
      <c r="K188" s="17">
        <v>1</v>
      </c>
      <c r="L188">
        <v>27</v>
      </c>
      <c r="M188">
        <v>7</v>
      </c>
    </row>
    <row r="189" spans="2:13" x14ac:dyDescent="0.2">
      <c r="B189" s="15" t="s">
        <v>350</v>
      </c>
      <c r="C189" s="17">
        <v>1</v>
      </c>
      <c r="D189" s="17">
        <v>0</v>
      </c>
      <c r="E189" s="17">
        <v>0</v>
      </c>
      <c r="F189" s="17">
        <v>1</v>
      </c>
      <c r="G189" s="17">
        <v>1</v>
      </c>
      <c r="H189" s="17">
        <v>1</v>
      </c>
      <c r="I189" s="17">
        <v>1</v>
      </c>
      <c r="J189" s="17">
        <v>1</v>
      </c>
      <c r="K189" s="17">
        <v>1</v>
      </c>
      <c r="L189">
        <v>27</v>
      </c>
      <c r="M189">
        <v>7</v>
      </c>
    </row>
    <row r="190" spans="2:13" x14ac:dyDescent="0.2">
      <c r="B190" s="15" t="s">
        <v>351</v>
      </c>
      <c r="C190" s="17">
        <v>1</v>
      </c>
      <c r="D190" s="17">
        <v>0</v>
      </c>
      <c r="E190" s="17">
        <v>0</v>
      </c>
      <c r="F190" s="17">
        <v>1</v>
      </c>
      <c r="G190" s="17">
        <v>1</v>
      </c>
      <c r="H190" s="17">
        <v>1</v>
      </c>
      <c r="I190" s="17">
        <v>1</v>
      </c>
      <c r="J190" s="17">
        <v>1</v>
      </c>
      <c r="K190" s="17">
        <v>1</v>
      </c>
      <c r="L190">
        <v>27</v>
      </c>
      <c r="M190">
        <v>7</v>
      </c>
    </row>
    <row r="191" spans="2:13" x14ac:dyDescent="0.2">
      <c r="B191" s="15" t="s">
        <v>352</v>
      </c>
      <c r="C191" s="17">
        <v>1</v>
      </c>
      <c r="D191" s="17">
        <v>0</v>
      </c>
      <c r="E191" s="17">
        <v>1</v>
      </c>
      <c r="F191" s="17">
        <v>1</v>
      </c>
      <c r="G191" s="17">
        <v>1</v>
      </c>
      <c r="H191" s="17">
        <v>1</v>
      </c>
      <c r="I191" s="17">
        <v>1</v>
      </c>
      <c r="J191" s="17">
        <v>1</v>
      </c>
      <c r="K191" s="17">
        <v>1</v>
      </c>
      <c r="L191">
        <v>27</v>
      </c>
      <c r="M191">
        <v>8</v>
      </c>
    </row>
    <row r="192" spans="2:13" x14ac:dyDescent="0.2">
      <c r="B192" s="15" t="s">
        <v>353</v>
      </c>
      <c r="C192" s="17">
        <v>1</v>
      </c>
      <c r="D192" s="17">
        <v>0</v>
      </c>
      <c r="E192" s="17">
        <v>1</v>
      </c>
      <c r="F192" s="17">
        <v>1</v>
      </c>
      <c r="G192" s="17">
        <v>1</v>
      </c>
      <c r="H192" s="17">
        <v>1</v>
      </c>
      <c r="I192" s="17">
        <v>1</v>
      </c>
      <c r="J192" s="17">
        <v>1</v>
      </c>
      <c r="K192" s="17">
        <v>1</v>
      </c>
      <c r="L192">
        <v>27</v>
      </c>
      <c r="M192">
        <v>8</v>
      </c>
    </row>
    <row r="193" spans="2:13" x14ac:dyDescent="0.2">
      <c r="B193" s="15" t="s">
        <v>354</v>
      </c>
      <c r="C193" s="17">
        <v>1</v>
      </c>
      <c r="D193" s="17">
        <v>0</v>
      </c>
      <c r="E193" s="17">
        <v>1</v>
      </c>
      <c r="F193" s="17">
        <v>1</v>
      </c>
      <c r="G193" s="17">
        <v>1</v>
      </c>
      <c r="H193" s="17">
        <v>1</v>
      </c>
      <c r="I193" s="17">
        <v>1</v>
      </c>
      <c r="J193" s="17">
        <v>1</v>
      </c>
      <c r="K193" s="17">
        <v>1</v>
      </c>
      <c r="L193">
        <v>27</v>
      </c>
      <c r="M193">
        <v>8</v>
      </c>
    </row>
    <row r="194" spans="2:13" x14ac:dyDescent="0.2">
      <c r="B194" s="15" t="s">
        <v>355</v>
      </c>
      <c r="C194" s="17">
        <v>1</v>
      </c>
      <c r="D194" s="17">
        <v>0</v>
      </c>
      <c r="E194" s="17">
        <v>1</v>
      </c>
      <c r="F194" s="17">
        <v>1</v>
      </c>
      <c r="G194" s="17">
        <v>1</v>
      </c>
      <c r="H194" s="17">
        <v>1</v>
      </c>
      <c r="I194" s="17">
        <v>1</v>
      </c>
      <c r="J194" s="17">
        <v>1</v>
      </c>
      <c r="K194" s="17">
        <v>1</v>
      </c>
      <c r="L194">
        <v>27</v>
      </c>
      <c r="M194">
        <v>8</v>
      </c>
    </row>
    <row r="195" spans="2:13" x14ac:dyDescent="0.2">
      <c r="B195" s="15" t="s">
        <v>356</v>
      </c>
      <c r="C195" s="17">
        <v>1</v>
      </c>
      <c r="D195" s="17">
        <v>0</v>
      </c>
      <c r="E195" s="17">
        <v>0</v>
      </c>
      <c r="F195" s="17">
        <v>1</v>
      </c>
      <c r="G195" s="17">
        <v>1</v>
      </c>
      <c r="H195" s="17">
        <v>1</v>
      </c>
      <c r="I195" s="17">
        <v>1</v>
      </c>
      <c r="J195" s="17">
        <v>1</v>
      </c>
      <c r="K195" s="17">
        <v>1</v>
      </c>
      <c r="L195">
        <v>28</v>
      </c>
      <c r="M195">
        <v>7</v>
      </c>
    </row>
    <row r="196" spans="2:13" x14ac:dyDescent="0.2">
      <c r="B196" s="15" t="s">
        <v>357</v>
      </c>
      <c r="C196" s="17">
        <v>1</v>
      </c>
      <c r="D196" s="17">
        <v>0</v>
      </c>
      <c r="E196" s="17">
        <v>0</v>
      </c>
      <c r="F196" s="17">
        <v>1</v>
      </c>
      <c r="G196" s="17">
        <v>1</v>
      </c>
      <c r="H196" s="17">
        <v>1</v>
      </c>
      <c r="I196" s="17">
        <v>1</v>
      </c>
      <c r="J196" s="17">
        <v>1</v>
      </c>
      <c r="K196" s="17">
        <v>1</v>
      </c>
      <c r="L196">
        <v>28</v>
      </c>
      <c r="M196">
        <v>7</v>
      </c>
    </row>
    <row r="197" spans="2:13" x14ac:dyDescent="0.2">
      <c r="B197" s="15" t="s">
        <v>358</v>
      </c>
      <c r="C197" s="17">
        <v>1</v>
      </c>
      <c r="D197" s="17">
        <v>0</v>
      </c>
      <c r="E197" s="17">
        <v>1</v>
      </c>
      <c r="F197" s="17">
        <v>1</v>
      </c>
      <c r="G197" s="17">
        <v>1</v>
      </c>
      <c r="H197" s="17">
        <v>1</v>
      </c>
      <c r="I197" s="17">
        <v>1</v>
      </c>
      <c r="J197" s="17">
        <v>1</v>
      </c>
      <c r="K197" s="17">
        <v>1</v>
      </c>
      <c r="L197">
        <v>28</v>
      </c>
      <c r="M197">
        <v>8</v>
      </c>
    </row>
    <row r="198" spans="2:13" x14ac:dyDescent="0.2">
      <c r="B198" s="15" t="s">
        <v>359</v>
      </c>
      <c r="C198" s="17">
        <v>1</v>
      </c>
      <c r="D198" s="17">
        <v>0</v>
      </c>
      <c r="E198" s="17">
        <v>1</v>
      </c>
      <c r="F198" s="17">
        <v>1</v>
      </c>
      <c r="G198" s="17">
        <v>1</v>
      </c>
      <c r="H198" s="17">
        <v>1</v>
      </c>
      <c r="I198" s="17">
        <v>1</v>
      </c>
      <c r="J198" s="17">
        <v>1</v>
      </c>
      <c r="K198" s="17">
        <v>1</v>
      </c>
      <c r="L198">
        <v>28</v>
      </c>
      <c r="M198">
        <v>8</v>
      </c>
    </row>
    <row r="199" spans="2:13" x14ac:dyDescent="0.2">
      <c r="B199" s="15" t="s">
        <v>360</v>
      </c>
      <c r="C199" s="17">
        <v>1</v>
      </c>
      <c r="D199" s="17">
        <v>0</v>
      </c>
      <c r="E199" s="17">
        <v>1</v>
      </c>
      <c r="F199" s="17">
        <v>1</v>
      </c>
      <c r="G199" s="17">
        <v>1</v>
      </c>
      <c r="H199" s="17">
        <v>1</v>
      </c>
      <c r="I199" s="17">
        <v>1</v>
      </c>
      <c r="J199" s="17">
        <v>1</v>
      </c>
      <c r="K199" s="17">
        <v>1</v>
      </c>
      <c r="L199">
        <v>28</v>
      </c>
      <c r="M199">
        <v>8</v>
      </c>
    </row>
    <row r="200" spans="2:13" x14ac:dyDescent="0.2">
      <c r="B200" s="15" t="s">
        <v>361</v>
      </c>
      <c r="C200" s="17">
        <v>1</v>
      </c>
      <c r="D200" s="17">
        <v>0</v>
      </c>
      <c r="E200" s="17">
        <v>1</v>
      </c>
      <c r="F200" s="17">
        <v>1</v>
      </c>
      <c r="G200" s="17">
        <v>1</v>
      </c>
      <c r="H200" s="17">
        <v>1</v>
      </c>
      <c r="I200" s="17">
        <v>1</v>
      </c>
      <c r="J200" s="17">
        <v>1</v>
      </c>
      <c r="K200" s="17">
        <v>1</v>
      </c>
      <c r="L200">
        <v>28</v>
      </c>
      <c r="M200">
        <v>8</v>
      </c>
    </row>
    <row r="201" spans="2:13" x14ac:dyDescent="0.2">
      <c r="B201" s="15" t="s">
        <v>362</v>
      </c>
      <c r="C201" s="17">
        <v>1</v>
      </c>
      <c r="D201" s="17">
        <v>0</v>
      </c>
      <c r="E201" s="17">
        <v>1</v>
      </c>
      <c r="F201" s="17">
        <v>1</v>
      </c>
      <c r="G201" s="17">
        <v>1</v>
      </c>
      <c r="H201" s="17">
        <v>1</v>
      </c>
      <c r="I201" s="17">
        <v>1</v>
      </c>
      <c r="J201" s="17">
        <v>1</v>
      </c>
      <c r="K201" s="17">
        <v>1</v>
      </c>
      <c r="L201">
        <v>28</v>
      </c>
      <c r="M201">
        <v>8</v>
      </c>
    </row>
    <row r="202" spans="2:13" x14ac:dyDescent="0.2">
      <c r="B202" s="15" t="s">
        <v>363</v>
      </c>
      <c r="C202" s="17">
        <v>1</v>
      </c>
      <c r="D202" s="17">
        <v>0</v>
      </c>
      <c r="E202" s="17">
        <v>0</v>
      </c>
      <c r="F202" s="17">
        <v>1</v>
      </c>
      <c r="G202" s="17">
        <v>1</v>
      </c>
      <c r="H202" s="17">
        <v>1</v>
      </c>
      <c r="I202" s="17">
        <v>1</v>
      </c>
      <c r="J202" s="17">
        <v>1</v>
      </c>
      <c r="K202" s="17">
        <v>1</v>
      </c>
      <c r="L202">
        <v>29</v>
      </c>
      <c r="M202">
        <v>7</v>
      </c>
    </row>
    <row r="203" spans="2:13" x14ac:dyDescent="0.2">
      <c r="B203" s="15" t="s">
        <v>364</v>
      </c>
      <c r="C203" s="17">
        <v>1</v>
      </c>
      <c r="D203" s="17">
        <v>0</v>
      </c>
      <c r="E203" s="17">
        <v>0</v>
      </c>
      <c r="F203" s="17">
        <v>1</v>
      </c>
      <c r="G203" s="17">
        <v>1</v>
      </c>
      <c r="H203" s="17">
        <v>1</v>
      </c>
      <c r="I203" s="17">
        <v>1</v>
      </c>
      <c r="J203" s="17">
        <v>1</v>
      </c>
      <c r="K203" s="17">
        <v>1</v>
      </c>
      <c r="L203">
        <v>29</v>
      </c>
      <c r="M203">
        <v>7</v>
      </c>
    </row>
    <row r="204" spans="2:13" x14ac:dyDescent="0.2">
      <c r="B204" s="15" t="s">
        <v>365</v>
      </c>
      <c r="C204" s="17">
        <v>1</v>
      </c>
      <c r="D204" s="17">
        <v>0</v>
      </c>
      <c r="E204" s="17">
        <v>1</v>
      </c>
      <c r="F204" s="17">
        <v>1</v>
      </c>
      <c r="G204" s="17">
        <v>1</v>
      </c>
      <c r="H204" s="17">
        <v>1</v>
      </c>
      <c r="I204" s="17">
        <v>1</v>
      </c>
      <c r="J204" s="17">
        <v>1</v>
      </c>
      <c r="K204" s="17">
        <v>1</v>
      </c>
      <c r="L204">
        <v>29</v>
      </c>
      <c r="M204">
        <v>8</v>
      </c>
    </row>
    <row r="205" spans="2:13" x14ac:dyDescent="0.2">
      <c r="B205" s="15" t="s">
        <v>366</v>
      </c>
      <c r="C205" s="17">
        <v>1</v>
      </c>
      <c r="D205" s="17">
        <v>0</v>
      </c>
      <c r="E205" s="17">
        <v>1</v>
      </c>
      <c r="F205" s="17">
        <v>1</v>
      </c>
      <c r="G205" s="17">
        <v>1</v>
      </c>
      <c r="H205" s="17">
        <v>1</v>
      </c>
      <c r="I205" s="17">
        <v>1</v>
      </c>
      <c r="J205" s="17">
        <v>1</v>
      </c>
      <c r="K205" s="17">
        <v>1</v>
      </c>
      <c r="L205">
        <v>29</v>
      </c>
      <c r="M205">
        <v>8</v>
      </c>
    </row>
    <row r="206" spans="2:13" x14ac:dyDescent="0.2">
      <c r="B206" s="15" t="s">
        <v>367</v>
      </c>
      <c r="C206" s="17">
        <v>1</v>
      </c>
      <c r="D206" s="17">
        <v>0</v>
      </c>
      <c r="E206" s="17">
        <v>0</v>
      </c>
      <c r="F206" s="17">
        <v>1</v>
      </c>
      <c r="G206" s="17">
        <v>1</v>
      </c>
      <c r="H206" s="17">
        <v>1</v>
      </c>
      <c r="I206" s="17">
        <v>1</v>
      </c>
      <c r="J206" s="17">
        <v>1</v>
      </c>
      <c r="K206" s="17">
        <v>1</v>
      </c>
      <c r="L206">
        <v>29</v>
      </c>
      <c r="M206">
        <v>7</v>
      </c>
    </row>
    <row r="207" spans="2:13" x14ac:dyDescent="0.2">
      <c r="B207" s="15" t="s">
        <v>368</v>
      </c>
      <c r="C207" s="17">
        <v>1</v>
      </c>
      <c r="D207" s="17">
        <v>0</v>
      </c>
      <c r="E207" s="17">
        <v>1</v>
      </c>
      <c r="F207" s="17">
        <v>1</v>
      </c>
      <c r="G207" s="17">
        <v>1</v>
      </c>
      <c r="H207" s="17">
        <v>1</v>
      </c>
      <c r="I207" s="17">
        <v>1</v>
      </c>
      <c r="J207" s="17">
        <v>1</v>
      </c>
      <c r="K207" s="17">
        <v>1</v>
      </c>
      <c r="L207">
        <v>29</v>
      </c>
      <c r="M207">
        <v>8</v>
      </c>
    </row>
    <row r="208" spans="2:13" x14ac:dyDescent="0.2">
      <c r="B208" s="15" t="s">
        <v>369</v>
      </c>
      <c r="C208" s="17">
        <v>1</v>
      </c>
      <c r="D208" s="17">
        <v>0</v>
      </c>
      <c r="E208" s="17">
        <v>1</v>
      </c>
      <c r="F208" s="17">
        <v>1</v>
      </c>
      <c r="G208" s="17">
        <v>1</v>
      </c>
      <c r="H208" s="17">
        <v>1</v>
      </c>
      <c r="I208" s="17">
        <v>1</v>
      </c>
      <c r="J208" s="17">
        <v>1</v>
      </c>
      <c r="K208" s="17">
        <v>1</v>
      </c>
      <c r="L208">
        <v>29</v>
      </c>
      <c r="M208">
        <v>8</v>
      </c>
    </row>
    <row r="209" spans="2:24" x14ac:dyDescent="0.2">
      <c r="B209" s="15" t="s">
        <v>370</v>
      </c>
      <c r="C209" s="17">
        <v>1</v>
      </c>
      <c r="D209" s="17">
        <v>0</v>
      </c>
      <c r="E209" s="17">
        <v>0</v>
      </c>
      <c r="F209" s="17">
        <v>1</v>
      </c>
      <c r="G209" s="17">
        <v>1</v>
      </c>
      <c r="H209" s="17">
        <v>1</v>
      </c>
      <c r="I209" s="17">
        <v>1</v>
      </c>
      <c r="J209" s="17">
        <v>1</v>
      </c>
      <c r="K209" s="17">
        <v>1</v>
      </c>
      <c r="L209">
        <v>30</v>
      </c>
      <c r="M209">
        <v>7</v>
      </c>
    </row>
    <row r="210" spans="2:24" x14ac:dyDescent="0.2">
      <c r="B210" s="15" t="s">
        <v>371</v>
      </c>
      <c r="C210" s="17">
        <v>1</v>
      </c>
      <c r="D210" s="17">
        <v>0</v>
      </c>
      <c r="E210" s="17">
        <v>1</v>
      </c>
      <c r="F210" s="17">
        <v>1</v>
      </c>
      <c r="G210" s="17">
        <v>1</v>
      </c>
      <c r="H210" s="17">
        <v>1</v>
      </c>
      <c r="I210" s="17">
        <v>1</v>
      </c>
      <c r="J210" s="17">
        <v>1</v>
      </c>
      <c r="K210" s="17">
        <v>1</v>
      </c>
      <c r="L210">
        <v>30</v>
      </c>
      <c r="M210">
        <v>8</v>
      </c>
    </row>
    <row r="211" spans="2:24" x14ac:dyDescent="0.2">
      <c r="B211" s="15" t="s">
        <v>372</v>
      </c>
      <c r="C211" s="17">
        <v>1</v>
      </c>
      <c r="D211" s="17">
        <v>0</v>
      </c>
      <c r="E211" s="17">
        <v>0</v>
      </c>
      <c r="F211" s="17">
        <v>1</v>
      </c>
      <c r="G211" s="17">
        <v>1</v>
      </c>
      <c r="H211" s="17">
        <v>1</v>
      </c>
      <c r="I211" s="17">
        <v>1</v>
      </c>
      <c r="J211" s="17">
        <v>1</v>
      </c>
      <c r="K211" s="17">
        <v>1</v>
      </c>
      <c r="L211">
        <v>30</v>
      </c>
      <c r="M211">
        <v>7</v>
      </c>
    </row>
    <row r="212" spans="2:24" x14ac:dyDescent="0.2">
      <c r="B212" s="15" t="s">
        <v>373</v>
      </c>
      <c r="C212" s="17">
        <v>1</v>
      </c>
      <c r="D212" s="17">
        <v>0</v>
      </c>
      <c r="E212" s="17">
        <v>1</v>
      </c>
      <c r="F212" s="17">
        <v>1</v>
      </c>
      <c r="G212" s="17">
        <v>1</v>
      </c>
      <c r="H212" s="17">
        <v>1</v>
      </c>
      <c r="I212" s="17">
        <v>1</v>
      </c>
      <c r="J212" s="17">
        <v>1</v>
      </c>
      <c r="K212" s="17">
        <v>1</v>
      </c>
      <c r="L212">
        <v>30</v>
      </c>
      <c r="M212">
        <v>8</v>
      </c>
    </row>
    <row r="213" spans="2:24" x14ac:dyDescent="0.2">
      <c r="B213" s="15" t="s">
        <v>374</v>
      </c>
      <c r="C213" s="17">
        <v>1</v>
      </c>
      <c r="D213" s="17">
        <v>0</v>
      </c>
      <c r="E213" s="17">
        <v>1</v>
      </c>
      <c r="F213" s="17">
        <v>1</v>
      </c>
      <c r="G213" s="17">
        <v>1</v>
      </c>
      <c r="H213" s="17">
        <v>1</v>
      </c>
      <c r="I213" s="17">
        <v>1</v>
      </c>
      <c r="J213" s="17">
        <v>1</v>
      </c>
      <c r="K213" s="17">
        <v>1</v>
      </c>
      <c r="L213">
        <v>30</v>
      </c>
      <c r="M213">
        <v>8</v>
      </c>
    </row>
    <row r="214" spans="2:24" x14ac:dyDescent="0.2">
      <c r="B214" s="15" t="s">
        <v>375</v>
      </c>
      <c r="C214" s="17">
        <v>1</v>
      </c>
      <c r="D214" s="17">
        <v>0</v>
      </c>
      <c r="E214" s="17">
        <v>0</v>
      </c>
      <c r="F214" s="17">
        <v>1</v>
      </c>
      <c r="G214" s="17">
        <v>1</v>
      </c>
      <c r="H214" s="17">
        <v>1</v>
      </c>
      <c r="I214" s="17">
        <v>1</v>
      </c>
      <c r="J214" s="17">
        <v>1</v>
      </c>
      <c r="K214" s="17">
        <v>1</v>
      </c>
      <c r="L214">
        <v>30</v>
      </c>
      <c r="M214">
        <v>7</v>
      </c>
    </row>
    <row r="215" spans="2:24" x14ac:dyDescent="0.2">
      <c r="B215" s="15" t="s">
        <v>376</v>
      </c>
      <c r="C215" s="17">
        <v>1</v>
      </c>
      <c r="D215" s="17">
        <v>0</v>
      </c>
      <c r="E215" s="17">
        <v>1</v>
      </c>
      <c r="F215" s="17">
        <v>1</v>
      </c>
      <c r="G215" s="17">
        <v>1</v>
      </c>
      <c r="H215" s="17">
        <v>1</v>
      </c>
      <c r="I215" s="17">
        <v>1</v>
      </c>
      <c r="J215" s="17">
        <v>1</v>
      </c>
      <c r="K215" s="17">
        <v>1</v>
      </c>
      <c r="L215">
        <v>30</v>
      </c>
      <c r="M215">
        <v>8</v>
      </c>
    </row>
    <row r="216" spans="2:24" x14ac:dyDescent="0.2">
      <c r="B216" s="15" t="s">
        <v>377</v>
      </c>
      <c r="C216" s="17">
        <v>1</v>
      </c>
      <c r="D216" s="17">
        <v>0</v>
      </c>
      <c r="E216" s="17">
        <v>1</v>
      </c>
      <c r="F216" s="17">
        <v>1</v>
      </c>
      <c r="G216" s="17">
        <v>1</v>
      </c>
      <c r="H216" s="17">
        <v>1</v>
      </c>
      <c r="I216" s="17">
        <v>1</v>
      </c>
      <c r="J216" s="17">
        <v>1</v>
      </c>
      <c r="K216" s="17">
        <v>1</v>
      </c>
      <c r="L216">
        <v>31</v>
      </c>
      <c r="M216">
        <v>8</v>
      </c>
    </row>
    <row r="217" spans="2:24" x14ac:dyDescent="0.2">
      <c r="B217" s="15" t="s">
        <v>378</v>
      </c>
      <c r="C217" s="17">
        <v>1</v>
      </c>
      <c r="D217" s="17">
        <v>0</v>
      </c>
      <c r="E217" s="17">
        <v>1</v>
      </c>
      <c r="F217" s="17">
        <v>1</v>
      </c>
      <c r="G217" s="17">
        <v>1</v>
      </c>
      <c r="H217" s="17">
        <v>1</v>
      </c>
      <c r="I217" s="17">
        <v>1</v>
      </c>
      <c r="J217" s="17">
        <v>1</v>
      </c>
      <c r="K217" s="17">
        <v>1</v>
      </c>
      <c r="L217">
        <v>31</v>
      </c>
      <c r="M217">
        <v>8</v>
      </c>
    </row>
    <row r="218" spans="2:24" x14ac:dyDescent="0.2">
      <c r="B218" s="15" t="s">
        <v>379</v>
      </c>
      <c r="C218" s="17">
        <v>1</v>
      </c>
      <c r="D218" s="17">
        <v>0</v>
      </c>
      <c r="E218" s="17">
        <v>1</v>
      </c>
      <c r="F218" s="17">
        <v>1</v>
      </c>
      <c r="G218" s="17">
        <v>1</v>
      </c>
      <c r="H218" s="17">
        <v>1</v>
      </c>
      <c r="I218" s="17">
        <v>1</v>
      </c>
      <c r="J218" s="17">
        <v>1</v>
      </c>
      <c r="K218" s="17">
        <v>1</v>
      </c>
      <c r="L218">
        <v>31</v>
      </c>
      <c r="M218">
        <v>8</v>
      </c>
      <c r="P218"/>
      <c r="Q218"/>
      <c r="R218"/>
      <c r="S218"/>
      <c r="T218"/>
      <c r="U218"/>
      <c r="V218"/>
      <c r="W218"/>
      <c r="X218"/>
    </row>
    <row r="219" spans="2:24" x14ac:dyDescent="0.2">
      <c r="B219" s="15" t="s">
        <v>380</v>
      </c>
      <c r="C219" s="17">
        <v>1</v>
      </c>
      <c r="D219" s="17">
        <v>0</v>
      </c>
      <c r="E219" s="17">
        <v>0</v>
      </c>
      <c r="F219" s="17">
        <v>1</v>
      </c>
      <c r="G219" s="17">
        <v>1</v>
      </c>
      <c r="H219" s="17">
        <v>1</v>
      </c>
      <c r="I219" s="17">
        <v>1</v>
      </c>
      <c r="J219" s="17">
        <v>1</v>
      </c>
      <c r="K219" s="17">
        <v>1</v>
      </c>
      <c r="L219">
        <v>31</v>
      </c>
      <c r="M219">
        <v>7</v>
      </c>
    </row>
    <row r="220" spans="2:24" x14ac:dyDescent="0.2">
      <c r="B220" s="15" t="s">
        <v>381</v>
      </c>
      <c r="C220" s="17">
        <v>1</v>
      </c>
      <c r="D220" s="17">
        <v>0</v>
      </c>
      <c r="E220" s="17">
        <v>0</v>
      </c>
      <c r="F220" s="17">
        <v>1</v>
      </c>
      <c r="G220" s="17">
        <v>1</v>
      </c>
      <c r="H220" s="17">
        <v>1</v>
      </c>
      <c r="I220" s="17">
        <v>1</v>
      </c>
      <c r="J220" s="17">
        <v>1</v>
      </c>
      <c r="K220" s="17">
        <v>1</v>
      </c>
      <c r="L220">
        <v>31</v>
      </c>
      <c r="M220">
        <v>7</v>
      </c>
    </row>
    <row r="221" spans="2:24" x14ac:dyDescent="0.2">
      <c r="B221" s="15" t="s">
        <v>382</v>
      </c>
      <c r="C221" s="17">
        <v>1</v>
      </c>
      <c r="D221" s="17">
        <v>0</v>
      </c>
      <c r="E221" s="17">
        <v>1</v>
      </c>
      <c r="F221" s="17">
        <v>1</v>
      </c>
      <c r="G221" s="17">
        <v>1</v>
      </c>
      <c r="H221" s="17">
        <v>1</v>
      </c>
      <c r="I221" s="17">
        <v>1</v>
      </c>
      <c r="J221" s="17">
        <v>1</v>
      </c>
      <c r="K221" s="17">
        <v>1</v>
      </c>
      <c r="L221">
        <v>31</v>
      </c>
      <c r="M221">
        <v>8</v>
      </c>
    </row>
    <row r="222" spans="2:24" x14ac:dyDescent="0.2">
      <c r="B222" s="15" t="s">
        <v>383</v>
      </c>
      <c r="C222" s="17">
        <v>1</v>
      </c>
      <c r="D222" s="17">
        <v>0</v>
      </c>
      <c r="E222" s="17">
        <v>0</v>
      </c>
      <c r="F222" s="17">
        <v>1</v>
      </c>
      <c r="G222" s="17">
        <v>1</v>
      </c>
      <c r="H222" s="17">
        <v>1</v>
      </c>
      <c r="I222" s="17">
        <v>1</v>
      </c>
      <c r="J222" s="17">
        <v>1</v>
      </c>
      <c r="K222" s="17">
        <v>1</v>
      </c>
      <c r="L222">
        <v>31</v>
      </c>
      <c r="M222">
        <v>7</v>
      </c>
    </row>
    <row r="223" spans="2:24" x14ac:dyDescent="0.2">
      <c r="B223" s="15" t="s">
        <v>384</v>
      </c>
      <c r="C223" s="17">
        <v>1</v>
      </c>
      <c r="D223" s="17">
        <v>0</v>
      </c>
      <c r="E223" s="17">
        <v>1</v>
      </c>
      <c r="F223" s="17">
        <v>1</v>
      </c>
      <c r="G223" s="17">
        <v>1</v>
      </c>
      <c r="H223" s="17">
        <v>1</v>
      </c>
      <c r="I223" s="17">
        <v>1</v>
      </c>
      <c r="J223" s="17">
        <v>1</v>
      </c>
      <c r="K223" s="17">
        <v>1</v>
      </c>
      <c r="L223">
        <v>32</v>
      </c>
      <c r="M223">
        <v>8</v>
      </c>
    </row>
    <row r="224" spans="2:24" x14ac:dyDescent="0.2">
      <c r="B224" s="15" t="s">
        <v>385</v>
      </c>
      <c r="C224" s="17">
        <v>1</v>
      </c>
      <c r="D224" s="17">
        <v>0</v>
      </c>
      <c r="E224" s="17">
        <v>0</v>
      </c>
      <c r="F224" s="17">
        <v>1</v>
      </c>
      <c r="G224" s="17">
        <v>1</v>
      </c>
      <c r="H224" s="17">
        <v>1</v>
      </c>
      <c r="I224" s="17">
        <v>1</v>
      </c>
      <c r="J224" s="17">
        <v>1</v>
      </c>
      <c r="K224" s="17">
        <v>1</v>
      </c>
      <c r="L224">
        <v>32</v>
      </c>
      <c r="M224">
        <v>7</v>
      </c>
    </row>
    <row r="225" spans="2:13" x14ac:dyDescent="0.2">
      <c r="B225" s="15" t="s">
        <v>386</v>
      </c>
      <c r="C225" s="17">
        <v>1</v>
      </c>
      <c r="D225" s="17">
        <v>0</v>
      </c>
      <c r="E225" s="17">
        <v>1</v>
      </c>
      <c r="F225" s="17">
        <v>1</v>
      </c>
      <c r="G225" s="17">
        <v>1</v>
      </c>
      <c r="H225" s="17">
        <v>1</v>
      </c>
      <c r="I225" s="17">
        <v>1</v>
      </c>
      <c r="J225" s="17">
        <v>1</v>
      </c>
      <c r="K225" s="17">
        <v>1</v>
      </c>
      <c r="L225">
        <v>32</v>
      </c>
      <c r="M225">
        <v>8</v>
      </c>
    </row>
    <row r="226" spans="2:13" x14ac:dyDescent="0.2">
      <c r="B226" s="15" t="s">
        <v>387</v>
      </c>
      <c r="C226" s="17">
        <v>1</v>
      </c>
      <c r="D226" s="17">
        <v>0</v>
      </c>
      <c r="E226" s="17">
        <v>1</v>
      </c>
      <c r="F226" s="17">
        <v>1</v>
      </c>
      <c r="G226" s="17">
        <v>1</v>
      </c>
      <c r="H226" s="17">
        <v>1</v>
      </c>
      <c r="I226" s="17">
        <v>1</v>
      </c>
      <c r="J226" s="17">
        <v>1</v>
      </c>
      <c r="K226" s="17">
        <v>1</v>
      </c>
      <c r="L226">
        <v>32</v>
      </c>
      <c r="M226">
        <v>8</v>
      </c>
    </row>
    <row r="227" spans="2:13" x14ac:dyDescent="0.2">
      <c r="B227" s="15" t="s">
        <v>388</v>
      </c>
      <c r="C227" s="17">
        <v>1</v>
      </c>
      <c r="D227" s="17">
        <v>0</v>
      </c>
      <c r="E227" s="17">
        <v>0</v>
      </c>
      <c r="F227" s="17">
        <v>1</v>
      </c>
      <c r="G227" s="17">
        <v>1</v>
      </c>
      <c r="H227" s="17">
        <v>1</v>
      </c>
      <c r="I227" s="17">
        <v>1</v>
      </c>
      <c r="J227" s="17">
        <v>1</v>
      </c>
      <c r="K227" s="17">
        <v>1</v>
      </c>
      <c r="L227">
        <v>32</v>
      </c>
      <c r="M227">
        <v>7</v>
      </c>
    </row>
    <row r="228" spans="2:13" x14ac:dyDescent="0.2">
      <c r="B228" s="15" t="s">
        <v>389</v>
      </c>
      <c r="C228" s="17">
        <v>1</v>
      </c>
      <c r="D228" s="17">
        <v>0</v>
      </c>
      <c r="E228" s="17">
        <v>0</v>
      </c>
      <c r="F228" s="17">
        <v>1</v>
      </c>
      <c r="G228" s="17">
        <v>1</v>
      </c>
      <c r="H228" s="17">
        <v>1</v>
      </c>
      <c r="I228" s="17">
        <v>1</v>
      </c>
      <c r="J228" s="17">
        <v>1</v>
      </c>
      <c r="K228" s="17">
        <v>1</v>
      </c>
      <c r="L228">
        <v>32</v>
      </c>
      <c r="M228">
        <v>7</v>
      </c>
    </row>
    <row r="229" spans="2:13" x14ac:dyDescent="0.2">
      <c r="B229" s="15" t="s">
        <v>390</v>
      </c>
      <c r="C229" s="17">
        <v>1</v>
      </c>
      <c r="D229" s="17">
        <v>0</v>
      </c>
      <c r="E229" s="17">
        <v>1</v>
      </c>
      <c r="F229" s="20">
        <v>1</v>
      </c>
      <c r="G229" s="17">
        <v>1</v>
      </c>
      <c r="H229" s="17">
        <v>1</v>
      </c>
      <c r="I229" s="17">
        <v>1</v>
      </c>
      <c r="J229" s="17">
        <v>1</v>
      </c>
      <c r="K229" s="17">
        <v>1</v>
      </c>
      <c r="L229">
        <v>32</v>
      </c>
      <c r="M229">
        <v>8</v>
      </c>
    </row>
    <row r="230" spans="2:13" x14ac:dyDescent="0.2">
      <c r="B230" s="15" t="s">
        <v>391</v>
      </c>
      <c r="C230" s="17">
        <v>1</v>
      </c>
      <c r="D230" s="17">
        <v>0</v>
      </c>
      <c r="E230" s="17">
        <v>1</v>
      </c>
      <c r="F230" s="17">
        <v>1</v>
      </c>
      <c r="G230" s="17">
        <v>1</v>
      </c>
      <c r="H230" s="17">
        <v>1</v>
      </c>
      <c r="I230" s="17">
        <v>1</v>
      </c>
      <c r="J230" s="17">
        <v>1</v>
      </c>
      <c r="K230" s="17">
        <v>1</v>
      </c>
      <c r="L230">
        <v>33</v>
      </c>
      <c r="M230">
        <v>8</v>
      </c>
    </row>
    <row r="231" spans="2:13" x14ac:dyDescent="0.2">
      <c r="B231" s="15" t="s">
        <v>392</v>
      </c>
      <c r="C231" s="21">
        <v>1</v>
      </c>
      <c r="D231" s="17">
        <v>0</v>
      </c>
      <c r="E231" s="16">
        <v>1</v>
      </c>
      <c r="F231" s="17">
        <v>1</v>
      </c>
      <c r="G231" s="16">
        <v>0</v>
      </c>
      <c r="H231" s="16">
        <v>0</v>
      </c>
      <c r="I231" s="16">
        <v>1</v>
      </c>
      <c r="J231" s="16">
        <v>1</v>
      </c>
      <c r="K231" s="16">
        <v>1</v>
      </c>
      <c r="L231">
        <v>33</v>
      </c>
      <c r="M231">
        <v>6</v>
      </c>
    </row>
    <row r="232" spans="2:13" x14ac:dyDescent="0.2">
      <c r="B232" s="15" t="s">
        <v>393</v>
      </c>
      <c r="C232" s="21">
        <v>1</v>
      </c>
      <c r="D232" s="17">
        <v>0</v>
      </c>
      <c r="E232" s="16">
        <v>1</v>
      </c>
      <c r="F232" s="17">
        <v>1</v>
      </c>
      <c r="G232" s="16">
        <v>0</v>
      </c>
      <c r="H232" s="16">
        <v>0</v>
      </c>
      <c r="I232" s="16">
        <v>1</v>
      </c>
      <c r="J232" s="16">
        <v>1</v>
      </c>
      <c r="K232" s="16">
        <v>1</v>
      </c>
      <c r="L232">
        <v>33</v>
      </c>
      <c r="M232">
        <v>6</v>
      </c>
    </row>
    <row r="233" spans="2:13" x14ac:dyDescent="0.2">
      <c r="B233" s="15" t="s">
        <v>394</v>
      </c>
      <c r="C233" s="21">
        <v>1</v>
      </c>
      <c r="D233" s="17">
        <v>0</v>
      </c>
      <c r="E233" s="16">
        <v>0</v>
      </c>
      <c r="F233" s="17">
        <v>1</v>
      </c>
      <c r="G233" s="16">
        <v>0</v>
      </c>
      <c r="H233" s="16">
        <v>0</v>
      </c>
      <c r="I233" s="16">
        <v>1</v>
      </c>
      <c r="J233" s="16">
        <v>1</v>
      </c>
      <c r="K233" s="16">
        <v>1</v>
      </c>
      <c r="L233">
        <v>33</v>
      </c>
      <c r="M233">
        <v>5</v>
      </c>
    </row>
    <row r="234" spans="2:13" x14ac:dyDescent="0.2">
      <c r="B234" s="15" t="s">
        <v>395</v>
      </c>
      <c r="C234" s="21">
        <v>1</v>
      </c>
      <c r="D234" s="17">
        <v>0</v>
      </c>
      <c r="E234" s="16">
        <v>0</v>
      </c>
      <c r="F234" s="17">
        <v>1</v>
      </c>
      <c r="G234" s="16">
        <v>1</v>
      </c>
      <c r="H234" s="16">
        <v>1</v>
      </c>
      <c r="I234" s="16">
        <v>1</v>
      </c>
      <c r="J234" s="16">
        <v>1</v>
      </c>
      <c r="K234" s="16">
        <v>1</v>
      </c>
      <c r="L234">
        <v>33</v>
      </c>
      <c r="M234">
        <v>7</v>
      </c>
    </row>
    <row r="235" spans="2:13" x14ac:dyDescent="0.2">
      <c r="B235" s="15" t="s">
        <v>396</v>
      </c>
      <c r="C235" s="21">
        <v>1</v>
      </c>
      <c r="D235" s="17">
        <v>0</v>
      </c>
      <c r="E235" s="16">
        <v>1</v>
      </c>
      <c r="F235" s="17">
        <v>1</v>
      </c>
      <c r="G235" s="17">
        <v>1</v>
      </c>
      <c r="H235" s="17">
        <v>1</v>
      </c>
      <c r="I235" s="17">
        <v>1</v>
      </c>
      <c r="J235" s="17">
        <v>1</v>
      </c>
      <c r="K235" s="17">
        <v>1</v>
      </c>
      <c r="L235">
        <v>33</v>
      </c>
      <c r="M235">
        <v>8</v>
      </c>
    </row>
    <row r="236" spans="2:13" x14ac:dyDescent="0.2">
      <c r="B236" s="15" t="s">
        <v>397</v>
      </c>
      <c r="C236" s="21">
        <v>1</v>
      </c>
      <c r="D236" s="17">
        <v>0</v>
      </c>
      <c r="E236" s="16">
        <v>1</v>
      </c>
      <c r="F236" s="17">
        <v>1</v>
      </c>
      <c r="G236" s="17">
        <v>1</v>
      </c>
      <c r="H236" s="17">
        <v>1</v>
      </c>
      <c r="I236" s="17">
        <v>1</v>
      </c>
      <c r="J236" s="17">
        <v>1</v>
      </c>
      <c r="K236" s="17">
        <v>1</v>
      </c>
      <c r="L236">
        <v>33</v>
      </c>
      <c r="M236">
        <v>8</v>
      </c>
    </row>
    <row r="237" spans="2:13" x14ac:dyDescent="0.2">
      <c r="B237" s="15" t="s">
        <v>398</v>
      </c>
      <c r="C237" s="21">
        <v>1</v>
      </c>
      <c r="D237" s="17">
        <v>0</v>
      </c>
      <c r="E237" s="16">
        <v>1</v>
      </c>
      <c r="F237" s="17">
        <v>1</v>
      </c>
      <c r="G237" s="17">
        <v>1</v>
      </c>
      <c r="H237" s="17">
        <v>1</v>
      </c>
      <c r="I237" s="17">
        <v>1</v>
      </c>
      <c r="J237" s="17">
        <v>1</v>
      </c>
      <c r="K237" s="17">
        <v>1</v>
      </c>
      <c r="L237">
        <v>34</v>
      </c>
      <c r="M237">
        <v>8</v>
      </c>
    </row>
    <row r="238" spans="2:13" x14ac:dyDescent="0.2">
      <c r="B238" s="15" t="s">
        <v>399</v>
      </c>
      <c r="C238" s="21">
        <v>1</v>
      </c>
      <c r="D238" s="17">
        <v>0</v>
      </c>
      <c r="E238" s="16">
        <v>0</v>
      </c>
      <c r="F238" s="16">
        <v>1</v>
      </c>
      <c r="G238" s="16">
        <v>1</v>
      </c>
      <c r="H238" s="16">
        <v>1</v>
      </c>
      <c r="I238" s="16">
        <v>1</v>
      </c>
      <c r="J238" s="16">
        <v>1</v>
      </c>
      <c r="K238" s="16">
        <v>1</v>
      </c>
      <c r="L238">
        <v>34</v>
      </c>
      <c r="M238">
        <v>7</v>
      </c>
    </row>
    <row r="239" spans="2:13" x14ac:dyDescent="0.2">
      <c r="B239" s="15" t="s">
        <v>400</v>
      </c>
      <c r="C239" s="21">
        <v>1</v>
      </c>
      <c r="D239" s="17">
        <v>0</v>
      </c>
      <c r="E239" s="16">
        <v>1</v>
      </c>
      <c r="F239" s="16">
        <v>1</v>
      </c>
      <c r="G239" s="16">
        <v>1</v>
      </c>
      <c r="H239" s="16">
        <v>1</v>
      </c>
      <c r="I239" s="16">
        <v>1</v>
      </c>
      <c r="J239" s="16">
        <v>1</v>
      </c>
      <c r="K239" s="16">
        <v>1</v>
      </c>
      <c r="L239">
        <v>34</v>
      </c>
      <c r="M239">
        <v>8</v>
      </c>
    </row>
    <row r="240" spans="2:13" x14ac:dyDescent="0.2">
      <c r="B240" s="15" t="s">
        <v>401</v>
      </c>
      <c r="C240" s="21">
        <v>1</v>
      </c>
      <c r="D240" s="17">
        <v>0</v>
      </c>
      <c r="E240" s="16">
        <v>1</v>
      </c>
      <c r="F240" s="16">
        <v>1</v>
      </c>
      <c r="G240" s="16">
        <v>1</v>
      </c>
      <c r="H240" s="16">
        <v>1</v>
      </c>
      <c r="I240" s="16">
        <v>1</v>
      </c>
      <c r="J240" s="16">
        <v>1</v>
      </c>
      <c r="K240" s="16">
        <v>1</v>
      </c>
      <c r="L240">
        <v>34</v>
      </c>
      <c r="M240">
        <v>8</v>
      </c>
    </row>
    <row r="241" spans="2:13" x14ac:dyDescent="0.2">
      <c r="B241" s="15" t="s">
        <v>402</v>
      </c>
      <c r="C241" s="21">
        <v>1</v>
      </c>
      <c r="D241" s="17">
        <v>0</v>
      </c>
      <c r="E241" s="16">
        <v>0</v>
      </c>
      <c r="F241" s="16">
        <v>1</v>
      </c>
      <c r="G241" s="16">
        <v>1</v>
      </c>
      <c r="H241" s="16">
        <v>1</v>
      </c>
      <c r="I241" s="16">
        <v>1</v>
      </c>
      <c r="J241" s="16">
        <v>1</v>
      </c>
      <c r="K241" s="16">
        <v>1</v>
      </c>
      <c r="L241">
        <v>34</v>
      </c>
      <c r="M241">
        <v>7</v>
      </c>
    </row>
    <row r="242" spans="2:13" x14ac:dyDescent="0.2">
      <c r="B242" s="15" t="s">
        <v>403</v>
      </c>
      <c r="C242" s="21">
        <v>1</v>
      </c>
      <c r="D242" s="17">
        <v>0</v>
      </c>
      <c r="E242" s="16">
        <v>1</v>
      </c>
      <c r="F242" s="16">
        <v>1</v>
      </c>
      <c r="G242" s="16">
        <v>1</v>
      </c>
      <c r="H242" s="16">
        <v>1</v>
      </c>
      <c r="I242" s="16">
        <v>1</v>
      </c>
      <c r="J242" s="16">
        <v>1</v>
      </c>
      <c r="K242" s="16">
        <v>1</v>
      </c>
      <c r="L242">
        <v>34</v>
      </c>
      <c r="M242">
        <v>8</v>
      </c>
    </row>
    <row r="243" spans="2:13" x14ac:dyDescent="0.2">
      <c r="B243" s="15" t="s">
        <v>404</v>
      </c>
      <c r="C243" s="21">
        <v>1</v>
      </c>
      <c r="D243" s="17">
        <v>0</v>
      </c>
      <c r="E243" s="16">
        <v>0</v>
      </c>
      <c r="F243" s="16">
        <v>1</v>
      </c>
      <c r="G243" s="16">
        <v>1</v>
      </c>
      <c r="H243" s="16">
        <v>1</v>
      </c>
      <c r="I243" s="16">
        <v>1</v>
      </c>
      <c r="J243" s="16">
        <v>1</v>
      </c>
      <c r="K243" s="16">
        <v>1</v>
      </c>
      <c r="L243">
        <v>34</v>
      </c>
      <c r="M243">
        <v>7</v>
      </c>
    </row>
    <row r="244" spans="2:13" x14ac:dyDescent="0.2">
      <c r="B244" s="15" t="s">
        <v>405</v>
      </c>
      <c r="C244" s="21">
        <v>1</v>
      </c>
      <c r="D244" s="17">
        <v>0</v>
      </c>
      <c r="E244" s="16">
        <v>1</v>
      </c>
      <c r="F244" s="16">
        <v>1</v>
      </c>
      <c r="G244" s="16">
        <v>1</v>
      </c>
      <c r="H244" s="16">
        <v>1</v>
      </c>
      <c r="I244" s="16">
        <v>1</v>
      </c>
      <c r="J244" s="16">
        <v>1</v>
      </c>
      <c r="K244" s="16">
        <v>1</v>
      </c>
      <c r="L244">
        <v>35</v>
      </c>
      <c r="M244">
        <v>8</v>
      </c>
    </row>
    <row r="245" spans="2:13" x14ac:dyDescent="0.2">
      <c r="B245" s="15" t="s">
        <v>406</v>
      </c>
      <c r="C245" s="21">
        <v>1</v>
      </c>
      <c r="D245" s="17">
        <v>0</v>
      </c>
      <c r="E245" s="16">
        <v>0</v>
      </c>
      <c r="F245" s="16">
        <v>1</v>
      </c>
      <c r="G245" s="16">
        <v>1</v>
      </c>
      <c r="H245" s="16">
        <v>1</v>
      </c>
      <c r="I245" s="16">
        <v>1</v>
      </c>
      <c r="J245" s="16">
        <v>1</v>
      </c>
      <c r="K245" s="16">
        <v>1</v>
      </c>
      <c r="L245">
        <v>35</v>
      </c>
      <c r="M245">
        <v>7</v>
      </c>
    </row>
    <row r="246" spans="2:13" x14ac:dyDescent="0.2">
      <c r="B246" s="15" t="s">
        <v>407</v>
      </c>
      <c r="C246" s="21">
        <v>1</v>
      </c>
      <c r="D246" s="17">
        <v>0</v>
      </c>
      <c r="E246" s="16">
        <v>1</v>
      </c>
      <c r="F246" s="16">
        <v>1</v>
      </c>
      <c r="G246" s="16">
        <v>1</v>
      </c>
      <c r="H246" s="16">
        <v>1</v>
      </c>
      <c r="I246" s="16">
        <v>1</v>
      </c>
      <c r="J246" s="16">
        <v>1</v>
      </c>
      <c r="K246" s="16">
        <v>1</v>
      </c>
      <c r="L246">
        <v>35</v>
      </c>
      <c r="M246">
        <v>8</v>
      </c>
    </row>
    <row r="247" spans="2:13" x14ac:dyDescent="0.2">
      <c r="B247" s="15" t="s">
        <v>408</v>
      </c>
      <c r="C247" s="21">
        <v>1</v>
      </c>
      <c r="D247" s="17">
        <v>0</v>
      </c>
      <c r="E247" s="16">
        <v>1</v>
      </c>
      <c r="F247" s="16">
        <v>1</v>
      </c>
      <c r="G247" s="16">
        <v>1</v>
      </c>
      <c r="H247" s="16">
        <v>1</v>
      </c>
      <c r="I247" s="16">
        <v>1</v>
      </c>
      <c r="J247" s="16">
        <v>1</v>
      </c>
      <c r="K247" s="16">
        <v>1</v>
      </c>
      <c r="L247">
        <v>35</v>
      </c>
      <c r="M247">
        <v>8</v>
      </c>
    </row>
    <row r="248" spans="2:13" x14ac:dyDescent="0.2">
      <c r="B248" s="15" t="s">
        <v>409</v>
      </c>
      <c r="C248" s="21">
        <v>1</v>
      </c>
      <c r="D248" s="17">
        <v>0</v>
      </c>
      <c r="E248" s="16">
        <v>0</v>
      </c>
      <c r="F248" s="16">
        <v>1</v>
      </c>
      <c r="G248" s="16">
        <v>1</v>
      </c>
      <c r="H248" s="16">
        <v>1</v>
      </c>
      <c r="I248" s="16">
        <v>1</v>
      </c>
      <c r="J248" s="16">
        <v>1</v>
      </c>
      <c r="K248" s="16">
        <v>1</v>
      </c>
      <c r="L248">
        <v>35</v>
      </c>
      <c r="M248">
        <v>7</v>
      </c>
    </row>
    <row r="249" spans="2:13" x14ac:dyDescent="0.2">
      <c r="B249" s="15" t="s">
        <v>410</v>
      </c>
      <c r="C249" s="21">
        <v>1</v>
      </c>
      <c r="D249" s="17">
        <v>0</v>
      </c>
      <c r="E249" s="16">
        <v>1</v>
      </c>
      <c r="F249" s="16">
        <v>1</v>
      </c>
      <c r="G249" s="16">
        <v>1</v>
      </c>
      <c r="H249" s="16">
        <v>1</v>
      </c>
      <c r="I249" s="16">
        <v>1</v>
      </c>
      <c r="J249" s="16">
        <v>1</v>
      </c>
      <c r="K249" s="16">
        <v>1</v>
      </c>
      <c r="L249">
        <v>35</v>
      </c>
      <c r="M249">
        <v>8</v>
      </c>
    </row>
    <row r="250" spans="2:13" x14ac:dyDescent="0.2">
      <c r="B250" s="15" t="s">
        <v>411</v>
      </c>
      <c r="C250" s="21">
        <v>1</v>
      </c>
      <c r="D250" s="17">
        <v>0</v>
      </c>
      <c r="E250" s="16">
        <v>0</v>
      </c>
      <c r="F250" s="16">
        <v>1</v>
      </c>
      <c r="G250" s="16">
        <v>1</v>
      </c>
      <c r="H250" s="16">
        <v>1</v>
      </c>
      <c r="I250" s="16">
        <v>1</v>
      </c>
      <c r="J250" s="16">
        <v>1</v>
      </c>
      <c r="K250" s="16">
        <v>1</v>
      </c>
      <c r="L250">
        <v>35</v>
      </c>
      <c r="M250">
        <v>7</v>
      </c>
    </row>
    <row r="251" spans="2:13" x14ac:dyDescent="0.2">
      <c r="B251" s="15" t="s">
        <v>412</v>
      </c>
      <c r="C251" s="21">
        <v>1</v>
      </c>
      <c r="D251" s="17">
        <v>0</v>
      </c>
      <c r="E251" s="16">
        <v>0</v>
      </c>
      <c r="F251" s="16">
        <v>1</v>
      </c>
      <c r="G251" s="16">
        <v>1</v>
      </c>
      <c r="H251" s="16">
        <v>1</v>
      </c>
      <c r="I251" s="16">
        <v>1</v>
      </c>
      <c r="J251" s="16">
        <v>1</v>
      </c>
      <c r="K251" s="16">
        <v>1</v>
      </c>
      <c r="L251">
        <v>36</v>
      </c>
      <c r="M251">
        <v>7</v>
      </c>
    </row>
    <row r="252" spans="2:13" x14ac:dyDescent="0.2">
      <c r="B252" s="15" t="s">
        <v>413</v>
      </c>
      <c r="C252" s="21">
        <v>1</v>
      </c>
      <c r="D252" s="17">
        <v>0</v>
      </c>
      <c r="E252" s="16">
        <v>0</v>
      </c>
      <c r="F252" s="16">
        <v>1</v>
      </c>
      <c r="G252" s="16">
        <v>1</v>
      </c>
      <c r="H252" s="16">
        <v>1</v>
      </c>
      <c r="I252" s="16">
        <v>1</v>
      </c>
      <c r="J252" s="16">
        <v>1</v>
      </c>
      <c r="K252" s="16">
        <v>1</v>
      </c>
      <c r="L252">
        <v>36</v>
      </c>
      <c r="M252">
        <v>7</v>
      </c>
    </row>
    <row r="253" spans="2:13" x14ac:dyDescent="0.2">
      <c r="B253" s="15" t="s">
        <v>414</v>
      </c>
      <c r="C253" s="21">
        <v>1</v>
      </c>
      <c r="D253" s="17">
        <v>0</v>
      </c>
      <c r="E253" s="16">
        <v>0</v>
      </c>
      <c r="F253" s="16">
        <v>1</v>
      </c>
      <c r="G253" s="16">
        <v>1</v>
      </c>
      <c r="H253" s="16">
        <v>1</v>
      </c>
      <c r="I253" s="16">
        <v>1</v>
      </c>
      <c r="J253" s="16">
        <v>1</v>
      </c>
      <c r="K253" s="16">
        <v>1</v>
      </c>
      <c r="L253">
        <v>36</v>
      </c>
      <c r="M253">
        <v>7</v>
      </c>
    </row>
    <row r="254" spans="2:13" x14ac:dyDescent="0.2">
      <c r="B254" s="15" t="s">
        <v>415</v>
      </c>
      <c r="C254" s="21">
        <v>1</v>
      </c>
      <c r="D254" s="17">
        <v>0</v>
      </c>
      <c r="E254" s="16">
        <v>1</v>
      </c>
      <c r="F254" s="16">
        <v>1</v>
      </c>
      <c r="G254" s="16">
        <v>1</v>
      </c>
      <c r="H254" s="16">
        <v>1</v>
      </c>
      <c r="I254" s="16">
        <v>1</v>
      </c>
      <c r="J254" s="16">
        <v>1</v>
      </c>
      <c r="K254" s="16">
        <v>1</v>
      </c>
      <c r="L254">
        <v>36</v>
      </c>
      <c r="M254">
        <v>8</v>
      </c>
    </row>
    <row r="255" spans="2:13" x14ac:dyDescent="0.2">
      <c r="B255" s="15" t="s">
        <v>416</v>
      </c>
      <c r="C255" s="21">
        <v>1</v>
      </c>
      <c r="D255" s="17">
        <v>0</v>
      </c>
      <c r="E255" s="16">
        <v>1</v>
      </c>
      <c r="F255" s="16">
        <v>1</v>
      </c>
      <c r="G255" s="16">
        <v>1</v>
      </c>
      <c r="H255" s="16">
        <v>1</v>
      </c>
      <c r="I255" s="16">
        <v>1</v>
      </c>
      <c r="J255" s="16">
        <v>1</v>
      </c>
      <c r="K255" s="16">
        <v>1</v>
      </c>
      <c r="L255">
        <v>36</v>
      </c>
      <c r="M255">
        <v>8</v>
      </c>
    </row>
    <row r="256" spans="2:13" x14ac:dyDescent="0.2">
      <c r="B256" s="15" t="s">
        <v>417</v>
      </c>
      <c r="C256" s="21">
        <v>1</v>
      </c>
      <c r="D256" s="17">
        <v>0</v>
      </c>
      <c r="E256" s="16">
        <v>1</v>
      </c>
      <c r="F256" s="16">
        <v>1</v>
      </c>
      <c r="G256" s="16">
        <v>1</v>
      </c>
      <c r="H256" s="16">
        <v>1</v>
      </c>
      <c r="I256" s="16">
        <v>1</v>
      </c>
      <c r="J256" s="16">
        <v>1</v>
      </c>
      <c r="K256" s="16">
        <v>1</v>
      </c>
      <c r="L256">
        <v>36</v>
      </c>
      <c r="M256">
        <v>8</v>
      </c>
    </row>
    <row r="257" spans="2:13" x14ac:dyDescent="0.2">
      <c r="B257" s="15" t="s">
        <v>418</v>
      </c>
      <c r="C257" s="21">
        <v>1</v>
      </c>
      <c r="D257" s="17">
        <v>1</v>
      </c>
      <c r="E257" s="16">
        <v>0</v>
      </c>
      <c r="F257" s="16">
        <v>1</v>
      </c>
      <c r="G257" s="16">
        <v>1</v>
      </c>
      <c r="H257" s="16">
        <v>1</v>
      </c>
      <c r="I257" s="16">
        <v>1</v>
      </c>
      <c r="J257" s="16">
        <v>1</v>
      </c>
      <c r="K257" s="16">
        <v>1</v>
      </c>
      <c r="L257">
        <v>36</v>
      </c>
      <c r="M257">
        <v>8</v>
      </c>
    </row>
    <row r="258" spans="2:13" x14ac:dyDescent="0.2">
      <c r="B258" s="15" t="s">
        <v>419</v>
      </c>
      <c r="C258" s="21">
        <v>1</v>
      </c>
      <c r="D258" s="17">
        <v>1</v>
      </c>
      <c r="E258" s="16">
        <v>1</v>
      </c>
      <c r="F258" s="16">
        <v>1</v>
      </c>
      <c r="G258" s="16">
        <v>1</v>
      </c>
      <c r="H258" s="16">
        <v>1</v>
      </c>
      <c r="I258" s="16">
        <v>1</v>
      </c>
      <c r="J258" s="16">
        <v>1</v>
      </c>
      <c r="K258" s="16">
        <v>1</v>
      </c>
      <c r="L258">
        <v>37</v>
      </c>
      <c r="M258">
        <v>9</v>
      </c>
    </row>
    <row r="259" spans="2:13" x14ac:dyDescent="0.2">
      <c r="B259" s="15" t="s">
        <v>420</v>
      </c>
      <c r="C259" s="21">
        <v>1</v>
      </c>
      <c r="D259" s="17">
        <v>1</v>
      </c>
      <c r="E259" s="16">
        <v>0</v>
      </c>
      <c r="F259" s="16">
        <v>1</v>
      </c>
      <c r="G259" s="16">
        <v>1</v>
      </c>
      <c r="H259" s="16">
        <v>1</v>
      </c>
      <c r="I259" s="16">
        <v>1</v>
      </c>
      <c r="J259" s="16">
        <v>1</v>
      </c>
      <c r="K259" s="16">
        <v>1</v>
      </c>
      <c r="L259">
        <v>37</v>
      </c>
      <c r="M259">
        <v>8</v>
      </c>
    </row>
    <row r="260" spans="2:13" x14ac:dyDescent="0.2">
      <c r="B260" s="15" t="s">
        <v>421</v>
      </c>
      <c r="C260" s="21">
        <v>1</v>
      </c>
      <c r="D260" s="17">
        <v>1</v>
      </c>
      <c r="E260" s="16">
        <v>1</v>
      </c>
      <c r="F260" s="16">
        <v>1</v>
      </c>
      <c r="G260" s="16">
        <v>1</v>
      </c>
      <c r="H260" s="16">
        <v>1</v>
      </c>
      <c r="I260" s="16">
        <v>1</v>
      </c>
      <c r="J260" s="16">
        <v>1</v>
      </c>
      <c r="K260" s="16">
        <v>1</v>
      </c>
      <c r="L260">
        <v>37</v>
      </c>
      <c r="M260">
        <v>9</v>
      </c>
    </row>
    <row r="261" spans="2:13" x14ac:dyDescent="0.2">
      <c r="B261" s="15" t="s">
        <v>422</v>
      </c>
      <c r="C261" s="21">
        <v>1</v>
      </c>
      <c r="D261" s="17">
        <v>1</v>
      </c>
      <c r="E261" s="16">
        <v>1</v>
      </c>
      <c r="F261" s="16">
        <v>1</v>
      </c>
      <c r="G261" s="16">
        <v>1</v>
      </c>
      <c r="H261" s="16">
        <v>1</v>
      </c>
      <c r="I261" s="16">
        <v>1</v>
      </c>
      <c r="J261" s="16">
        <v>1</v>
      </c>
      <c r="K261" s="16">
        <v>1</v>
      </c>
      <c r="L261">
        <v>37</v>
      </c>
      <c r="M261">
        <v>9</v>
      </c>
    </row>
    <row r="262" spans="2:13" x14ac:dyDescent="0.2">
      <c r="B262" s="15" t="s">
        <v>423</v>
      </c>
      <c r="C262" s="21">
        <v>1</v>
      </c>
      <c r="D262" s="17">
        <v>1</v>
      </c>
      <c r="E262" s="16">
        <v>1</v>
      </c>
      <c r="F262" s="16">
        <v>1</v>
      </c>
      <c r="G262" s="16">
        <v>1</v>
      </c>
      <c r="H262" s="16">
        <v>1</v>
      </c>
      <c r="I262" s="16">
        <v>1</v>
      </c>
      <c r="J262" s="16">
        <v>1</v>
      </c>
      <c r="K262" s="16">
        <v>1</v>
      </c>
      <c r="L262">
        <v>37</v>
      </c>
      <c r="M262">
        <v>9</v>
      </c>
    </row>
    <row r="263" spans="2:13" x14ac:dyDescent="0.2">
      <c r="B263" s="15" t="s">
        <v>424</v>
      </c>
      <c r="C263" s="21">
        <v>1</v>
      </c>
      <c r="D263" s="17">
        <v>1</v>
      </c>
      <c r="E263" s="16">
        <v>1</v>
      </c>
      <c r="F263" s="16">
        <v>1</v>
      </c>
      <c r="G263" s="16">
        <v>1</v>
      </c>
      <c r="H263" s="16">
        <v>1</v>
      </c>
      <c r="I263" s="16">
        <v>1</v>
      </c>
      <c r="J263" s="16">
        <v>1</v>
      </c>
      <c r="K263" s="16">
        <v>1</v>
      </c>
      <c r="L263">
        <v>37</v>
      </c>
      <c r="M263">
        <v>9</v>
      </c>
    </row>
    <row r="264" spans="2:13" x14ac:dyDescent="0.2">
      <c r="B264" s="15" t="s">
        <v>425</v>
      </c>
      <c r="C264" s="21">
        <v>1</v>
      </c>
      <c r="D264" s="17">
        <v>1</v>
      </c>
      <c r="E264" s="16">
        <v>1</v>
      </c>
      <c r="F264" s="16">
        <v>1</v>
      </c>
      <c r="G264" s="16">
        <v>1</v>
      </c>
      <c r="H264" s="16">
        <v>1</v>
      </c>
      <c r="I264" s="16">
        <v>1</v>
      </c>
      <c r="J264" s="16">
        <v>1</v>
      </c>
      <c r="K264" s="16">
        <v>1</v>
      </c>
      <c r="L264">
        <v>37</v>
      </c>
      <c r="M264">
        <v>9</v>
      </c>
    </row>
    <row r="265" spans="2:13" x14ac:dyDescent="0.2">
      <c r="B265" s="15" t="s">
        <v>426</v>
      </c>
      <c r="C265" s="21">
        <v>1</v>
      </c>
      <c r="D265" s="17">
        <v>1</v>
      </c>
      <c r="E265" s="16">
        <v>0</v>
      </c>
      <c r="F265" s="16">
        <v>1</v>
      </c>
      <c r="G265" s="16">
        <v>1</v>
      </c>
      <c r="H265" s="16">
        <v>1</v>
      </c>
      <c r="I265" s="16">
        <v>1</v>
      </c>
      <c r="J265" s="16">
        <v>1</v>
      </c>
      <c r="K265" s="16">
        <v>1</v>
      </c>
      <c r="L265">
        <v>38</v>
      </c>
      <c r="M265">
        <v>8</v>
      </c>
    </row>
    <row r="266" spans="2:13" x14ac:dyDescent="0.2">
      <c r="B266" s="15" t="s">
        <v>427</v>
      </c>
      <c r="C266" s="21">
        <v>1</v>
      </c>
      <c r="D266" s="17">
        <v>1</v>
      </c>
      <c r="E266" s="16">
        <v>1</v>
      </c>
      <c r="F266" s="16">
        <v>1</v>
      </c>
      <c r="G266" s="16">
        <v>1</v>
      </c>
      <c r="H266" s="16">
        <v>1</v>
      </c>
      <c r="I266" s="16">
        <v>1</v>
      </c>
      <c r="J266" s="16">
        <v>1</v>
      </c>
      <c r="K266" s="16">
        <v>1</v>
      </c>
      <c r="L266">
        <v>38</v>
      </c>
      <c r="M266">
        <v>9</v>
      </c>
    </row>
    <row r="267" spans="2:13" x14ac:dyDescent="0.2">
      <c r="B267" s="15" t="s">
        <v>428</v>
      </c>
      <c r="C267" s="21">
        <v>1</v>
      </c>
      <c r="D267" s="17">
        <v>1</v>
      </c>
      <c r="E267" s="16">
        <v>1</v>
      </c>
      <c r="F267" s="16">
        <v>1</v>
      </c>
      <c r="G267" s="16">
        <v>1</v>
      </c>
      <c r="H267" s="16">
        <v>1</v>
      </c>
      <c r="I267" s="16">
        <v>1</v>
      </c>
      <c r="J267" s="16">
        <v>1</v>
      </c>
      <c r="K267" s="16">
        <v>1</v>
      </c>
      <c r="L267">
        <v>38</v>
      </c>
      <c r="M267">
        <v>9</v>
      </c>
    </row>
    <row r="268" spans="2:13" x14ac:dyDescent="0.2">
      <c r="B268" s="15" t="s">
        <v>429</v>
      </c>
      <c r="C268" s="21">
        <v>1</v>
      </c>
      <c r="D268" s="17">
        <v>1</v>
      </c>
      <c r="E268" s="16">
        <v>1</v>
      </c>
      <c r="F268" s="16">
        <v>1</v>
      </c>
      <c r="G268" s="16">
        <v>1</v>
      </c>
      <c r="H268" s="16">
        <v>1</v>
      </c>
      <c r="I268" s="16">
        <v>1</v>
      </c>
      <c r="J268" s="16">
        <v>1</v>
      </c>
      <c r="K268" s="16">
        <v>1</v>
      </c>
      <c r="L268">
        <v>38</v>
      </c>
      <c r="M268">
        <v>9</v>
      </c>
    </row>
    <row r="269" spans="2:13" x14ac:dyDescent="0.2">
      <c r="B269" s="15" t="s">
        <v>430</v>
      </c>
      <c r="C269" s="21">
        <v>1</v>
      </c>
      <c r="D269" s="17">
        <v>1</v>
      </c>
      <c r="E269" s="16">
        <v>1</v>
      </c>
      <c r="F269" s="16">
        <v>1</v>
      </c>
      <c r="G269" s="16">
        <v>1</v>
      </c>
      <c r="H269" s="16">
        <v>1</v>
      </c>
      <c r="I269" s="16">
        <v>1</v>
      </c>
      <c r="J269" s="16">
        <v>1</v>
      </c>
      <c r="K269" s="16">
        <v>1</v>
      </c>
      <c r="L269">
        <v>38</v>
      </c>
      <c r="M269">
        <v>9</v>
      </c>
    </row>
    <row r="270" spans="2:13" x14ac:dyDescent="0.2">
      <c r="B270" s="15" t="s">
        <v>431</v>
      </c>
      <c r="C270" s="21">
        <v>1</v>
      </c>
      <c r="D270" s="17">
        <v>1</v>
      </c>
      <c r="E270" s="16">
        <v>1</v>
      </c>
      <c r="F270" s="16">
        <v>1</v>
      </c>
      <c r="G270" s="16">
        <v>1</v>
      </c>
      <c r="H270" s="16">
        <v>1</v>
      </c>
      <c r="I270" s="16">
        <v>1</v>
      </c>
      <c r="J270" s="16">
        <v>1</v>
      </c>
      <c r="K270" s="16">
        <v>1</v>
      </c>
      <c r="L270">
        <v>38</v>
      </c>
      <c r="M270">
        <v>9</v>
      </c>
    </row>
    <row r="271" spans="2:13" x14ac:dyDescent="0.2">
      <c r="B271" s="15" t="s">
        <v>432</v>
      </c>
      <c r="C271" s="21">
        <v>1</v>
      </c>
      <c r="D271" s="17">
        <v>1</v>
      </c>
      <c r="E271" s="16">
        <v>0</v>
      </c>
      <c r="F271" s="16">
        <v>1</v>
      </c>
      <c r="G271" s="16">
        <v>1</v>
      </c>
      <c r="H271" s="16">
        <v>1</v>
      </c>
      <c r="I271" s="16">
        <v>1</v>
      </c>
      <c r="J271" s="16">
        <v>1</v>
      </c>
      <c r="K271" s="16">
        <v>1</v>
      </c>
      <c r="L271">
        <v>38</v>
      </c>
      <c r="M271">
        <v>8</v>
      </c>
    </row>
    <row r="272" spans="2:13" x14ac:dyDescent="0.2">
      <c r="B272" s="15" t="s">
        <v>433</v>
      </c>
      <c r="C272" s="21">
        <v>1</v>
      </c>
      <c r="D272" s="17">
        <v>1</v>
      </c>
      <c r="E272" s="16">
        <v>1</v>
      </c>
      <c r="F272" s="16">
        <v>1</v>
      </c>
      <c r="G272" s="16">
        <v>1</v>
      </c>
      <c r="H272" s="16">
        <v>1</v>
      </c>
      <c r="I272" s="16">
        <v>1</v>
      </c>
      <c r="J272" s="16">
        <v>1</v>
      </c>
      <c r="K272" s="16">
        <v>1</v>
      </c>
      <c r="L272">
        <v>39</v>
      </c>
      <c r="M272">
        <v>9</v>
      </c>
    </row>
    <row r="273" spans="2:13" x14ac:dyDescent="0.2">
      <c r="B273" s="15" t="s">
        <v>434</v>
      </c>
      <c r="C273" s="21">
        <v>1</v>
      </c>
      <c r="D273" s="17">
        <v>1</v>
      </c>
      <c r="E273" s="16">
        <v>1</v>
      </c>
      <c r="F273" s="16">
        <v>1</v>
      </c>
      <c r="G273" s="16">
        <v>1</v>
      </c>
      <c r="H273" s="16">
        <v>1</v>
      </c>
      <c r="I273" s="16">
        <v>1</v>
      </c>
      <c r="J273" s="16">
        <v>1</v>
      </c>
      <c r="K273" s="16">
        <v>1</v>
      </c>
      <c r="L273">
        <v>39</v>
      </c>
      <c r="M273">
        <v>9</v>
      </c>
    </row>
    <row r="274" spans="2:13" x14ac:dyDescent="0.2">
      <c r="B274" s="15" t="s">
        <v>435</v>
      </c>
      <c r="C274" s="21">
        <v>1</v>
      </c>
      <c r="D274" s="17">
        <v>1</v>
      </c>
      <c r="E274" s="16">
        <v>1</v>
      </c>
      <c r="F274" s="16">
        <v>1</v>
      </c>
      <c r="G274" s="16">
        <v>1</v>
      </c>
      <c r="H274" s="16">
        <v>1</v>
      </c>
      <c r="I274" s="16">
        <v>1</v>
      </c>
      <c r="J274" s="16">
        <v>1</v>
      </c>
      <c r="K274" s="16">
        <v>1</v>
      </c>
      <c r="L274">
        <v>39</v>
      </c>
      <c r="M274">
        <v>9</v>
      </c>
    </row>
    <row r="275" spans="2:13" x14ac:dyDescent="0.2">
      <c r="B275" s="15" t="s">
        <v>436</v>
      </c>
      <c r="C275" s="21">
        <v>1</v>
      </c>
      <c r="D275" s="17">
        <v>1</v>
      </c>
      <c r="E275" s="16">
        <v>0</v>
      </c>
      <c r="F275" s="16">
        <v>1</v>
      </c>
      <c r="G275" s="16">
        <v>1</v>
      </c>
      <c r="H275" s="16">
        <v>1</v>
      </c>
      <c r="I275" s="16">
        <v>1</v>
      </c>
      <c r="J275" s="16">
        <v>1</v>
      </c>
      <c r="K275" s="16">
        <v>1</v>
      </c>
      <c r="L275">
        <v>39</v>
      </c>
      <c r="M275">
        <v>8</v>
      </c>
    </row>
    <row r="276" spans="2:13" x14ac:dyDescent="0.2">
      <c r="B276" s="15" t="s">
        <v>437</v>
      </c>
      <c r="C276" s="21">
        <v>1</v>
      </c>
      <c r="D276" s="17">
        <v>1</v>
      </c>
      <c r="E276" s="16">
        <v>1</v>
      </c>
      <c r="F276" s="16">
        <v>1</v>
      </c>
      <c r="G276" s="16">
        <v>1</v>
      </c>
      <c r="H276" s="16">
        <v>1</v>
      </c>
      <c r="I276" s="16">
        <v>1</v>
      </c>
      <c r="J276" s="16">
        <v>1</v>
      </c>
      <c r="K276" s="16">
        <v>1</v>
      </c>
      <c r="L276">
        <v>39</v>
      </c>
      <c r="M276">
        <v>9</v>
      </c>
    </row>
    <row r="277" spans="2:13" x14ac:dyDescent="0.2">
      <c r="B277" s="15" t="s">
        <v>438</v>
      </c>
      <c r="C277" s="21">
        <v>1</v>
      </c>
      <c r="D277" s="17">
        <v>1</v>
      </c>
      <c r="E277" s="16">
        <v>1</v>
      </c>
      <c r="F277" s="16">
        <v>1</v>
      </c>
      <c r="G277" s="16">
        <v>1</v>
      </c>
      <c r="H277" s="16">
        <v>1</v>
      </c>
      <c r="I277" s="16">
        <v>1</v>
      </c>
      <c r="J277" s="16">
        <v>1</v>
      </c>
      <c r="K277" s="16">
        <v>1</v>
      </c>
      <c r="L277">
        <v>39</v>
      </c>
      <c r="M277">
        <v>9</v>
      </c>
    </row>
    <row r="278" spans="2:13" x14ac:dyDescent="0.2">
      <c r="B278" s="15" t="s">
        <v>439</v>
      </c>
      <c r="C278" s="21">
        <v>1</v>
      </c>
      <c r="D278" s="17">
        <v>1</v>
      </c>
      <c r="E278" s="16">
        <v>1</v>
      </c>
      <c r="F278" s="16">
        <v>1</v>
      </c>
      <c r="G278" s="16">
        <v>1</v>
      </c>
      <c r="H278" s="16">
        <v>1</v>
      </c>
      <c r="I278" s="16">
        <v>1</v>
      </c>
      <c r="J278" s="16">
        <v>1</v>
      </c>
      <c r="K278" s="16">
        <v>1</v>
      </c>
      <c r="L278">
        <v>39</v>
      </c>
      <c r="M278">
        <v>9</v>
      </c>
    </row>
    <row r="279" spans="2:13" x14ac:dyDescent="0.2">
      <c r="B279" s="15" t="s">
        <v>440</v>
      </c>
      <c r="C279" s="21">
        <v>1</v>
      </c>
      <c r="D279" s="17">
        <v>1</v>
      </c>
      <c r="E279" s="16">
        <v>0</v>
      </c>
      <c r="F279" s="16">
        <v>1</v>
      </c>
      <c r="G279" s="16">
        <v>1</v>
      </c>
      <c r="H279" s="16">
        <v>1</v>
      </c>
      <c r="I279" s="16">
        <v>1</v>
      </c>
      <c r="J279" s="16">
        <v>1</v>
      </c>
      <c r="K279" s="16">
        <v>1</v>
      </c>
      <c r="L279">
        <v>40</v>
      </c>
      <c r="M279">
        <v>8</v>
      </c>
    </row>
    <row r="280" spans="2:13" x14ac:dyDescent="0.2">
      <c r="B280" s="15" t="s">
        <v>441</v>
      </c>
      <c r="C280" s="21">
        <v>1</v>
      </c>
      <c r="D280" s="17">
        <v>1</v>
      </c>
      <c r="E280" s="16">
        <v>0</v>
      </c>
      <c r="F280" s="16">
        <v>1</v>
      </c>
      <c r="G280" s="16">
        <v>1</v>
      </c>
      <c r="H280" s="16">
        <v>1</v>
      </c>
      <c r="I280" s="16">
        <v>1</v>
      </c>
      <c r="J280" s="16">
        <v>1</v>
      </c>
      <c r="K280" s="16">
        <v>1</v>
      </c>
      <c r="L280">
        <v>40</v>
      </c>
      <c r="M280">
        <v>8</v>
      </c>
    </row>
    <row r="281" spans="2:13" x14ac:dyDescent="0.2">
      <c r="B281" s="15" t="s">
        <v>442</v>
      </c>
      <c r="C281" s="21">
        <v>1</v>
      </c>
      <c r="D281" s="17">
        <v>1</v>
      </c>
      <c r="E281" s="16">
        <v>1</v>
      </c>
      <c r="F281" s="16">
        <v>1</v>
      </c>
      <c r="G281" s="16">
        <v>1</v>
      </c>
      <c r="H281" s="16">
        <v>1</v>
      </c>
      <c r="I281" s="16">
        <v>1</v>
      </c>
      <c r="J281" s="16">
        <v>1</v>
      </c>
      <c r="K281" s="16">
        <v>1</v>
      </c>
      <c r="L281">
        <v>40</v>
      </c>
      <c r="M281">
        <v>9</v>
      </c>
    </row>
    <row r="282" spans="2:13" x14ac:dyDescent="0.2">
      <c r="B282" s="15" t="s">
        <v>443</v>
      </c>
      <c r="C282" s="21">
        <v>1</v>
      </c>
      <c r="D282" s="17">
        <v>1</v>
      </c>
      <c r="E282" s="16">
        <v>1</v>
      </c>
      <c r="F282" s="16">
        <v>1</v>
      </c>
      <c r="G282" s="16">
        <v>1</v>
      </c>
      <c r="H282" s="16">
        <v>1</v>
      </c>
      <c r="I282" s="16">
        <v>1</v>
      </c>
      <c r="J282" s="16">
        <v>1</v>
      </c>
      <c r="K282" s="16">
        <v>1</v>
      </c>
      <c r="L282">
        <v>40</v>
      </c>
      <c r="M282">
        <v>9</v>
      </c>
    </row>
    <row r="283" spans="2:13" x14ac:dyDescent="0.2">
      <c r="B283" s="15" t="s">
        <v>444</v>
      </c>
      <c r="C283" s="21">
        <v>1</v>
      </c>
      <c r="D283" s="17">
        <v>1</v>
      </c>
      <c r="E283" s="16">
        <v>1</v>
      </c>
      <c r="F283" s="16">
        <v>1</v>
      </c>
      <c r="G283" s="16">
        <v>1</v>
      </c>
      <c r="H283" s="16">
        <v>1</v>
      </c>
      <c r="I283" s="16">
        <v>1</v>
      </c>
      <c r="J283" s="16">
        <v>1</v>
      </c>
      <c r="K283" s="16">
        <v>1</v>
      </c>
      <c r="L283">
        <v>40</v>
      </c>
      <c r="M283">
        <v>9</v>
      </c>
    </row>
    <row r="284" spans="2:13" x14ac:dyDescent="0.2">
      <c r="B284" s="15" t="s">
        <v>445</v>
      </c>
      <c r="C284" s="21">
        <v>1</v>
      </c>
      <c r="D284" s="17">
        <v>1</v>
      </c>
      <c r="E284" s="16">
        <v>0</v>
      </c>
      <c r="F284" s="16">
        <v>1</v>
      </c>
      <c r="G284" s="16">
        <v>1</v>
      </c>
      <c r="H284" s="16">
        <v>1</v>
      </c>
      <c r="I284" s="16">
        <v>1</v>
      </c>
      <c r="J284" s="16">
        <v>1</v>
      </c>
      <c r="K284" s="16">
        <v>1</v>
      </c>
      <c r="L284">
        <v>40</v>
      </c>
      <c r="M284">
        <v>8</v>
      </c>
    </row>
    <row r="285" spans="2:13" x14ac:dyDescent="0.2">
      <c r="B285" s="15" t="s">
        <v>446</v>
      </c>
      <c r="C285" s="21">
        <v>1</v>
      </c>
      <c r="D285" s="17">
        <v>1</v>
      </c>
      <c r="E285" s="16">
        <v>0</v>
      </c>
      <c r="F285" s="16">
        <v>1</v>
      </c>
      <c r="G285" s="16">
        <v>1</v>
      </c>
      <c r="H285" s="16">
        <v>1</v>
      </c>
      <c r="I285" s="16">
        <v>1</v>
      </c>
      <c r="J285" s="16">
        <v>1</v>
      </c>
      <c r="K285" s="16">
        <v>1</v>
      </c>
      <c r="L285">
        <v>40</v>
      </c>
      <c r="M285">
        <v>8</v>
      </c>
    </row>
    <row r="286" spans="2:13" x14ac:dyDescent="0.2">
      <c r="B286" s="15" t="s">
        <v>447</v>
      </c>
      <c r="C286" s="21">
        <v>1</v>
      </c>
      <c r="D286" s="17">
        <v>1</v>
      </c>
      <c r="E286" s="16">
        <v>1</v>
      </c>
      <c r="F286" s="16">
        <v>1</v>
      </c>
      <c r="G286" s="16">
        <v>1</v>
      </c>
      <c r="H286" s="16">
        <v>1</v>
      </c>
      <c r="I286" s="16">
        <v>1</v>
      </c>
      <c r="J286" s="16">
        <v>1</v>
      </c>
      <c r="K286" s="16">
        <v>1</v>
      </c>
      <c r="L286">
        <v>41</v>
      </c>
      <c r="M286">
        <v>9</v>
      </c>
    </row>
    <row r="287" spans="2:13" x14ac:dyDescent="0.2">
      <c r="B287" s="15" t="s">
        <v>448</v>
      </c>
      <c r="C287" s="21">
        <v>1</v>
      </c>
      <c r="D287" s="17">
        <v>1</v>
      </c>
      <c r="E287" s="16">
        <v>0</v>
      </c>
      <c r="F287" s="16">
        <v>1</v>
      </c>
      <c r="G287" s="16">
        <v>1</v>
      </c>
      <c r="H287" s="16">
        <v>1</v>
      </c>
      <c r="I287" s="16">
        <v>1</v>
      </c>
      <c r="J287" s="16">
        <v>1</v>
      </c>
      <c r="K287" s="16">
        <v>1</v>
      </c>
      <c r="L287">
        <v>41</v>
      </c>
      <c r="M287">
        <v>8</v>
      </c>
    </row>
    <row r="288" spans="2:13" x14ac:dyDescent="0.2">
      <c r="B288" s="15" t="s">
        <v>449</v>
      </c>
      <c r="C288" s="21">
        <v>1</v>
      </c>
      <c r="D288" s="17">
        <v>1</v>
      </c>
      <c r="E288" s="16">
        <v>1</v>
      </c>
      <c r="F288" s="16">
        <v>1</v>
      </c>
      <c r="G288" s="16">
        <v>1</v>
      </c>
      <c r="H288" s="16">
        <v>1</v>
      </c>
      <c r="I288" s="16">
        <v>1</v>
      </c>
      <c r="J288" s="16">
        <v>1</v>
      </c>
      <c r="K288" s="16">
        <v>1</v>
      </c>
      <c r="L288">
        <v>41</v>
      </c>
      <c r="M288">
        <v>9</v>
      </c>
    </row>
    <row r="289" spans="2:13" x14ac:dyDescent="0.2">
      <c r="B289" s="15" t="s">
        <v>450</v>
      </c>
      <c r="C289" s="21">
        <v>1</v>
      </c>
      <c r="D289" s="17">
        <v>1</v>
      </c>
      <c r="E289" s="16">
        <v>0</v>
      </c>
      <c r="F289" s="16">
        <v>1</v>
      </c>
      <c r="G289" s="16">
        <v>1</v>
      </c>
      <c r="H289" s="16">
        <v>1</v>
      </c>
      <c r="I289" s="16">
        <v>1</v>
      </c>
      <c r="J289" s="16">
        <v>1</v>
      </c>
      <c r="K289" s="16">
        <v>1</v>
      </c>
      <c r="L289">
        <v>41</v>
      </c>
      <c r="M289">
        <v>8</v>
      </c>
    </row>
    <row r="290" spans="2:13" x14ac:dyDescent="0.2">
      <c r="B290" s="15" t="s">
        <v>451</v>
      </c>
      <c r="C290" s="21">
        <v>1</v>
      </c>
      <c r="D290" s="17">
        <v>1</v>
      </c>
      <c r="E290" s="16">
        <v>1</v>
      </c>
      <c r="F290" s="16">
        <v>1</v>
      </c>
      <c r="G290" s="16">
        <v>1</v>
      </c>
      <c r="H290" s="16">
        <v>1</v>
      </c>
      <c r="I290" s="16">
        <v>1</v>
      </c>
      <c r="J290" s="16">
        <v>1</v>
      </c>
      <c r="K290" s="16">
        <v>1</v>
      </c>
      <c r="L290">
        <v>41</v>
      </c>
      <c r="M290">
        <v>9</v>
      </c>
    </row>
    <row r="291" spans="2:13" x14ac:dyDescent="0.2">
      <c r="B291" s="15" t="s">
        <v>452</v>
      </c>
      <c r="C291" s="21">
        <v>1</v>
      </c>
      <c r="D291" s="17">
        <v>1</v>
      </c>
      <c r="E291" s="16">
        <v>1</v>
      </c>
      <c r="F291" s="16">
        <v>1</v>
      </c>
      <c r="G291" s="16">
        <v>1</v>
      </c>
      <c r="H291" s="16">
        <v>1</v>
      </c>
      <c r="I291" s="16">
        <v>1</v>
      </c>
      <c r="J291" s="16">
        <v>1</v>
      </c>
      <c r="K291" s="16">
        <v>1</v>
      </c>
      <c r="L291">
        <v>41</v>
      </c>
      <c r="M291">
        <v>9</v>
      </c>
    </row>
    <row r="292" spans="2:13" x14ac:dyDescent="0.2">
      <c r="B292" s="15" t="s">
        <v>453</v>
      </c>
      <c r="C292" s="21">
        <v>1</v>
      </c>
      <c r="D292" s="17">
        <v>1</v>
      </c>
      <c r="E292" s="16">
        <v>0</v>
      </c>
      <c r="F292" s="16">
        <v>1</v>
      </c>
      <c r="G292" s="16">
        <v>1</v>
      </c>
      <c r="H292" s="16">
        <v>1</v>
      </c>
      <c r="I292" s="16">
        <v>1</v>
      </c>
      <c r="J292" s="16">
        <v>1</v>
      </c>
      <c r="K292" s="16">
        <v>1</v>
      </c>
      <c r="L292">
        <v>41</v>
      </c>
      <c r="M292">
        <v>8</v>
      </c>
    </row>
    <row r="293" spans="2:13" x14ac:dyDescent="0.2">
      <c r="B293" s="15" t="s">
        <v>454</v>
      </c>
      <c r="C293" s="21">
        <v>1</v>
      </c>
      <c r="D293" s="17">
        <v>1</v>
      </c>
      <c r="E293" s="16">
        <v>0</v>
      </c>
      <c r="F293" s="16">
        <v>1</v>
      </c>
      <c r="G293" s="16">
        <v>1</v>
      </c>
      <c r="H293" s="16">
        <v>1</v>
      </c>
      <c r="I293" s="16">
        <v>1</v>
      </c>
      <c r="J293" s="16">
        <v>1</v>
      </c>
      <c r="K293" s="16">
        <v>1</v>
      </c>
      <c r="L293">
        <v>42</v>
      </c>
      <c r="M293">
        <v>8</v>
      </c>
    </row>
    <row r="294" spans="2:13" x14ac:dyDescent="0.2">
      <c r="B294" s="15" t="s">
        <v>455</v>
      </c>
      <c r="C294" s="21">
        <v>1</v>
      </c>
      <c r="D294" s="17">
        <v>1</v>
      </c>
      <c r="E294" s="16">
        <v>0</v>
      </c>
      <c r="F294" s="16">
        <v>1</v>
      </c>
      <c r="G294" s="16">
        <v>1</v>
      </c>
      <c r="H294" s="16">
        <v>1</v>
      </c>
      <c r="I294" s="16">
        <v>1</v>
      </c>
      <c r="J294" s="16">
        <v>1</v>
      </c>
      <c r="K294" s="16">
        <v>1</v>
      </c>
      <c r="L294">
        <v>42</v>
      </c>
      <c r="M294">
        <v>8</v>
      </c>
    </row>
    <row r="295" spans="2:13" x14ac:dyDescent="0.2">
      <c r="B295" s="15" t="s">
        <v>456</v>
      </c>
      <c r="C295" s="21">
        <v>1</v>
      </c>
      <c r="D295" s="17">
        <v>1</v>
      </c>
      <c r="E295" s="16">
        <v>1</v>
      </c>
      <c r="F295" s="16">
        <v>1</v>
      </c>
      <c r="G295" s="16">
        <v>1</v>
      </c>
      <c r="H295" s="16">
        <v>1</v>
      </c>
      <c r="I295" s="16">
        <v>1</v>
      </c>
      <c r="J295" s="16">
        <v>1</v>
      </c>
      <c r="K295" s="16">
        <v>1</v>
      </c>
      <c r="L295">
        <v>42</v>
      </c>
      <c r="M295">
        <v>9</v>
      </c>
    </row>
    <row r="296" spans="2:13" x14ac:dyDescent="0.2">
      <c r="B296" s="15" t="s">
        <v>457</v>
      </c>
      <c r="C296" s="21">
        <v>1</v>
      </c>
      <c r="D296" s="17">
        <v>1</v>
      </c>
      <c r="E296" s="16">
        <v>1</v>
      </c>
      <c r="F296" s="16">
        <v>1</v>
      </c>
      <c r="G296" s="16">
        <v>1</v>
      </c>
      <c r="H296" s="16">
        <v>1</v>
      </c>
      <c r="I296" s="16">
        <v>1</v>
      </c>
      <c r="J296" s="16">
        <v>1</v>
      </c>
      <c r="K296" s="16">
        <v>1</v>
      </c>
      <c r="L296">
        <v>42</v>
      </c>
      <c r="M296">
        <v>9</v>
      </c>
    </row>
    <row r="297" spans="2:13" x14ac:dyDescent="0.2">
      <c r="B297" s="15" t="s">
        <v>458</v>
      </c>
      <c r="C297" s="21">
        <v>1</v>
      </c>
      <c r="D297" s="17">
        <v>1</v>
      </c>
      <c r="E297" s="16">
        <v>0</v>
      </c>
      <c r="F297" s="16">
        <v>1</v>
      </c>
      <c r="G297" s="16">
        <v>1</v>
      </c>
      <c r="H297" s="16">
        <v>1</v>
      </c>
      <c r="I297" s="16">
        <v>1</v>
      </c>
      <c r="J297" s="16">
        <v>1</v>
      </c>
      <c r="K297" s="16">
        <v>1</v>
      </c>
      <c r="L297">
        <v>42</v>
      </c>
      <c r="M297">
        <v>8</v>
      </c>
    </row>
    <row r="298" spans="2:13" x14ac:dyDescent="0.2">
      <c r="B298" s="15" t="s">
        <v>459</v>
      </c>
      <c r="C298" s="21">
        <v>1</v>
      </c>
      <c r="D298" s="17">
        <v>1</v>
      </c>
      <c r="E298" s="16">
        <v>1</v>
      </c>
      <c r="F298" s="16">
        <v>1</v>
      </c>
      <c r="G298" s="16">
        <v>1</v>
      </c>
      <c r="H298" s="16">
        <v>1</v>
      </c>
      <c r="I298" s="16">
        <v>1</v>
      </c>
      <c r="J298" s="16">
        <v>1</v>
      </c>
      <c r="K298" s="16">
        <v>1</v>
      </c>
      <c r="L298">
        <v>42</v>
      </c>
      <c r="M298">
        <v>9</v>
      </c>
    </row>
    <row r="299" spans="2:13" x14ac:dyDescent="0.2">
      <c r="B299" s="15" t="s">
        <v>460</v>
      </c>
      <c r="C299" s="21">
        <v>1</v>
      </c>
      <c r="D299" s="17">
        <v>1</v>
      </c>
      <c r="E299" s="16">
        <v>0</v>
      </c>
      <c r="F299" s="16">
        <v>1</v>
      </c>
      <c r="G299" s="16">
        <v>1</v>
      </c>
      <c r="H299" s="16">
        <v>1</v>
      </c>
      <c r="I299" s="16">
        <v>1</v>
      </c>
      <c r="J299" s="16">
        <v>1</v>
      </c>
      <c r="K299" s="16">
        <v>1</v>
      </c>
      <c r="L299">
        <v>42</v>
      </c>
      <c r="M299">
        <v>8</v>
      </c>
    </row>
    <row r="300" spans="2:13" x14ac:dyDescent="0.2">
      <c r="B300" s="15" t="s">
        <v>461</v>
      </c>
      <c r="C300" s="21">
        <v>1</v>
      </c>
      <c r="D300" s="17">
        <v>1</v>
      </c>
      <c r="E300" s="16">
        <v>1</v>
      </c>
      <c r="F300" s="16">
        <v>1</v>
      </c>
      <c r="G300" s="16">
        <v>1</v>
      </c>
      <c r="H300" s="16">
        <v>1</v>
      </c>
      <c r="I300" s="16">
        <v>1</v>
      </c>
      <c r="J300" s="16">
        <v>1</v>
      </c>
      <c r="K300" s="16">
        <v>1</v>
      </c>
      <c r="L300">
        <v>43</v>
      </c>
      <c r="M300">
        <v>9</v>
      </c>
    </row>
    <row r="301" spans="2:13" x14ac:dyDescent="0.2">
      <c r="B301" s="15" t="s">
        <v>462</v>
      </c>
      <c r="C301" s="21">
        <v>1</v>
      </c>
      <c r="D301" s="17">
        <v>1</v>
      </c>
      <c r="E301" s="16">
        <v>1</v>
      </c>
      <c r="F301" s="16">
        <v>1</v>
      </c>
      <c r="G301" s="16">
        <v>1</v>
      </c>
      <c r="H301" s="16">
        <v>1</v>
      </c>
      <c r="I301" s="16">
        <v>1</v>
      </c>
      <c r="J301" s="16">
        <v>1</v>
      </c>
      <c r="K301" s="16">
        <v>1</v>
      </c>
      <c r="L301">
        <v>43</v>
      </c>
      <c r="M301">
        <v>9</v>
      </c>
    </row>
    <row r="302" spans="2:13" x14ac:dyDescent="0.2">
      <c r="B302" s="15" t="s">
        <v>463</v>
      </c>
      <c r="C302" s="21">
        <v>1</v>
      </c>
      <c r="D302" s="17">
        <v>1</v>
      </c>
      <c r="E302" s="16">
        <v>1</v>
      </c>
      <c r="F302" s="16">
        <v>1</v>
      </c>
      <c r="G302" s="16">
        <v>1</v>
      </c>
      <c r="H302" s="16">
        <v>1</v>
      </c>
      <c r="I302" s="16">
        <v>1</v>
      </c>
      <c r="J302" s="16">
        <v>1</v>
      </c>
      <c r="K302" s="16">
        <v>1</v>
      </c>
      <c r="L302">
        <v>43</v>
      </c>
      <c r="M302">
        <v>9</v>
      </c>
    </row>
    <row r="303" spans="2:13" x14ac:dyDescent="0.2">
      <c r="B303" s="15" t="s">
        <v>464</v>
      </c>
      <c r="C303" s="21">
        <v>1</v>
      </c>
      <c r="D303" s="17">
        <v>1</v>
      </c>
      <c r="E303" s="16">
        <v>0</v>
      </c>
      <c r="F303" s="16">
        <v>1</v>
      </c>
      <c r="G303" s="16">
        <v>1</v>
      </c>
      <c r="H303" s="16">
        <v>1</v>
      </c>
      <c r="I303" s="16">
        <v>1</v>
      </c>
      <c r="J303" s="16">
        <v>1</v>
      </c>
      <c r="K303" s="16">
        <v>1</v>
      </c>
      <c r="L303">
        <v>43</v>
      </c>
      <c r="M303">
        <v>8</v>
      </c>
    </row>
    <row r="304" spans="2:13" x14ac:dyDescent="0.2">
      <c r="B304" s="15" t="s">
        <v>465</v>
      </c>
      <c r="C304" s="21">
        <v>1</v>
      </c>
      <c r="D304" s="17">
        <v>1</v>
      </c>
      <c r="E304" s="16">
        <v>1</v>
      </c>
      <c r="F304" s="16">
        <v>1</v>
      </c>
      <c r="G304" s="16">
        <v>1</v>
      </c>
      <c r="H304" s="16">
        <v>1</v>
      </c>
      <c r="I304" s="16">
        <v>1</v>
      </c>
      <c r="J304" s="16">
        <v>1</v>
      </c>
      <c r="K304" s="16">
        <v>1</v>
      </c>
      <c r="L304">
        <v>43</v>
      </c>
      <c r="M304">
        <v>9</v>
      </c>
    </row>
    <row r="305" spans="2:13" x14ac:dyDescent="0.2">
      <c r="B305" s="15" t="s">
        <v>466</v>
      </c>
      <c r="C305" s="21">
        <v>1</v>
      </c>
      <c r="D305" s="17">
        <v>1</v>
      </c>
      <c r="E305" s="16">
        <v>0</v>
      </c>
      <c r="F305" s="16">
        <v>1</v>
      </c>
      <c r="G305" s="16">
        <v>1</v>
      </c>
      <c r="H305" s="16">
        <v>1</v>
      </c>
      <c r="I305" s="16">
        <v>1</v>
      </c>
      <c r="J305" s="16">
        <v>1</v>
      </c>
      <c r="K305" s="16">
        <v>1</v>
      </c>
      <c r="L305">
        <v>43</v>
      </c>
      <c r="M305">
        <v>8</v>
      </c>
    </row>
    <row r="306" spans="2:13" x14ac:dyDescent="0.2">
      <c r="B306" s="15" t="s">
        <v>467</v>
      </c>
      <c r="C306" s="21">
        <v>1</v>
      </c>
      <c r="D306" s="17">
        <v>1</v>
      </c>
      <c r="E306" s="16">
        <v>0</v>
      </c>
      <c r="F306" s="16">
        <v>1</v>
      </c>
      <c r="G306" s="16">
        <v>1</v>
      </c>
      <c r="H306" s="16">
        <v>1</v>
      </c>
      <c r="I306" s="16">
        <v>1</v>
      </c>
      <c r="J306" s="16">
        <v>1</v>
      </c>
      <c r="K306" s="16">
        <v>1</v>
      </c>
      <c r="L306">
        <v>43</v>
      </c>
      <c r="M306">
        <v>8</v>
      </c>
    </row>
    <row r="307" spans="2:13" x14ac:dyDescent="0.2">
      <c r="B307" s="15" t="s">
        <v>468</v>
      </c>
      <c r="C307" s="21">
        <v>1</v>
      </c>
      <c r="D307" s="17">
        <v>1</v>
      </c>
      <c r="E307" s="16">
        <v>1</v>
      </c>
      <c r="F307" s="16">
        <v>1</v>
      </c>
      <c r="G307" s="16">
        <v>1</v>
      </c>
      <c r="H307" s="16">
        <v>1</v>
      </c>
      <c r="I307" s="16">
        <v>1</v>
      </c>
      <c r="J307" s="16">
        <v>1</v>
      </c>
      <c r="K307" s="16">
        <v>1</v>
      </c>
      <c r="L307">
        <v>44</v>
      </c>
      <c r="M307">
        <v>9</v>
      </c>
    </row>
    <row r="308" spans="2:13" x14ac:dyDescent="0.2">
      <c r="B308" s="15" t="s">
        <v>469</v>
      </c>
      <c r="C308" s="21">
        <v>1</v>
      </c>
      <c r="D308" s="17">
        <v>1</v>
      </c>
      <c r="E308" s="16">
        <v>0</v>
      </c>
      <c r="F308" s="16">
        <v>1</v>
      </c>
      <c r="G308" s="16">
        <v>1</v>
      </c>
      <c r="H308" s="16">
        <v>1</v>
      </c>
      <c r="I308" s="16">
        <v>1</v>
      </c>
      <c r="J308" s="16">
        <v>1</v>
      </c>
      <c r="K308" s="16">
        <v>1</v>
      </c>
      <c r="L308">
        <v>44</v>
      </c>
      <c r="M308">
        <v>8</v>
      </c>
    </row>
    <row r="309" spans="2:13" x14ac:dyDescent="0.2">
      <c r="B309" s="15" t="s">
        <v>470</v>
      </c>
      <c r="C309" s="21">
        <v>1</v>
      </c>
      <c r="D309" s="17">
        <v>1</v>
      </c>
      <c r="E309" s="16">
        <v>1</v>
      </c>
      <c r="F309" s="16">
        <v>1</v>
      </c>
      <c r="G309" s="16">
        <v>1</v>
      </c>
      <c r="H309" s="16">
        <v>1</v>
      </c>
      <c r="I309" s="16">
        <v>1</v>
      </c>
      <c r="J309" s="16">
        <v>1</v>
      </c>
      <c r="K309" s="16">
        <v>1</v>
      </c>
      <c r="L309">
        <v>44</v>
      </c>
      <c r="M309">
        <v>9</v>
      </c>
    </row>
    <row r="310" spans="2:13" x14ac:dyDescent="0.2">
      <c r="B310" s="15" t="s">
        <v>471</v>
      </c>
      <c r="C310" s="21">
        <v>1</v>
      </c>
      <c r="D310" s="17">
        <v>1</v>
      </c>
      <c r="E310" s="16">
        <v>1</v>
      </c>
      <c r="F310" s="16">
        <v>1</v>
      </c>
      <c r="G310" s="16">
        <v>1</v>
      </c>
      <c r="H310" s="16">
        <v>1</v>
      </c>
      <c r="I310" s="16">
        <v>1</v>
      </c>
      <c r="J310" s="16">
        <v>1</v>
      </c>
      <c r="K310" s="16">
        <v>1</v>
      </c>
      <c r="L310">
        <v>44</v>
      </c>
      <c r="M310">
        <v>9</v>
      </c>
    </row>
    <row r="311" spans="2:13" x14ac:dyDescent="0.2">
      <c r="B311" s="15" t="s">
        <v>472</v>
      </c>
      <c r="C311" s="21">
        <v>1</v>
      </c>
      <c r="D311" s="17">
        <v>1</v>
      </c>
      <c r="E311" s="16">
        <v>1</v>
      </c>
      <c r="F311" s="16">
        <v>1</v>
      </c>
      <c r="G311" s="16">
        <v>1</v>
      </c>
      <c r="H311" s="16">
        <v>1</v>
      </c>
      <c r="I311" s="16">
        <v>1</v>
      </c>
      <c r="J311" s="16">
        <v>1</v>
      </c>
      <c r="K311" s="16">
        <v>1</v>
      </c>
      <c r="L311">
        <v>44</v>
      </c>
      <c r="M311">
        <v>9</v>
      </c>
    </row>
    <row r="312" spans="2:13" x14ac:dyDescent="0.2">
      <c r="B312" s="15" t="s">
        <v>473</v>
      </c>
      <c r="C312" s="21">
        <v>1</v>
      </c>
      <c r="D312" s="17">
        <v>1</v>
      </c>
      <c r="E312" s="16">
        <v>1</v>
      </c>
      <c r="F312" s="16">
        <v>1</v>
      </c>
      <c r="G312" s="16">
        <v>1</v>
      </c>
      <c r="H312" s="16">
        <v>1</v>
      </c>
      <c r="I312" s="16">
        <v>1</v>
      </c>
      <c r="J312" s="16">
        <v>1</v>
      </c>
      <c r="K312" s="16">
        <v>1</v>
      </c>
      <c r="L312">
        <v>44</v>
      </c>
      <c r="M312">
        <v>9</v>
      </c>
    </row>
    <row r="313" spans="2:13" x14ac:dyDescent="0.2">
      <c r="B313" s="15" t="s">
        <v>474</v>
      </c>
      <c r="C313" s="21">
        <v>1</v>
      </c>
      <c r="D313" s="17">
        <v>1</v>
      </c>
      <c r="E313" s="16">
        <v>1</v>
      </c>
      <c r="F313" s="16">
        <v>1</v>
      </c>
      <c r="G313" s="16">
        <v>1</v>
      </c>
      <c r="H313" s="16">
        <v>1</v>
      </c>
      <c r="I313" s="16">
        <v>1</v>
      </c>
      <c r="J313" s="16">
        <v>1</v>
      </c>
      <c r="K313" s="16">
        <v>1</v>
      </c>
      <c r="L313">
        <v>44</v>
      </c>
      <c r="M313">
        <v>9</v>
      </c>
    </row>
    <row r="314" spans="2:13" x14ac:dyDescent="0.2">
      <c r="B314" s="15" t="s">
        <v>475</v>
      </c>
      <c r="C314" s="21">
        <v>1</v>
      </c>
      <c r="D314" s="17">
        <v>1</v>
      </c>
      <c r="E314" s="16">
        <v>1</v>
      </c>
      <c r="F314" s="16">
        <v>1</v>
      </c>
      <c r="G314" s="16">
        <v>1</v>
      </c>
      <c r="H314" s="16">
        <v>1</v>
      </c>
      <c r="I314" s="16">
        <v>1</v>
      </c>
      <c r="J314" s="16">
        <v>1</v>
      </c>
      <c r="K314" s="16">
        <v>1</v>
      </c>
      <c r="L314">
        <v>45</v>
      </c>
      <c r="M314">
        <v>9</v>
      </c>
    </row>
    <row r="315" spans="2:13" x14ac:dyDescent="0.2">
      <c r="B315" s="15" t="s">
        <v>476</v>
      </c>
      <c r="C315" s="21">
        <v>1</v>
      </c>
      <c r="D315" s="17">
        <v>1</v>
      </c>
      <c r="E315" s="16">
        <v>1</v>
      </c>
      <c r="F315" s="16">
        <v>1</v>
      </c>
      <c r="G315" s="16">
        <v>1</v>
      </c>
      <c r="H315" s="16">
        <v>1</v>
      </c>
      <c r="I315" s="16">
        <v>1</v>
      </c>
      <c r="J315" s="16">
        <v>1</v>
      </c>
      <c r="K315" s="16">
        <v>1</v>
      </c>
      <c r="L315">
        <v>45</v>
      </c>
      <c r="M315">
        <v>9</v>
      </c>
    </row>
    <row r="316" spans="2:13" x14ac:dyDescent="0.2">
      <c r="B316" s="15" t="s">
        <v>477</v>
      </c>
      <c r="C316" s="21">
        <v>1</v>
      </c>
      <c r="D316" s="17">
        <v>1</v>
      </c>
      <c r="E316" s="16">
        <v>1</v>
      </c>
      <c r="F316" s="16">
        <v>1</v>
      </c>
      <c r="G316" s="16">
        <v>1</v>
      </c>
      <c r="H316" s="16">
        <v>1</v>
      </c>
      <c r="I316" s="16">
        <v>1</v>
      </c>
      <c r="J316" s="16">
        <v>1</v>
      </c>
      <c r="K316" s="16">
        <v>1</v>
      </c>
      <c r="L316">
        <v>45</v>
      </c>
      <c r="M316">
        <v>9</v>
      </c>
    </row>
    <row r="317" spans="2:13" x14ac:dyDescent="0.2">
      <c r="B317" s="15" t="s">
        <v>478</v>
      </c>
      <c r="C317" s="21">
        <v>1</v>
      </c>
      <c r="D317" s="17">
        <v>1</v>
      </c>
      <c r="E317" s="16">
        <v>0</v>
      </c>
      <c r="F317" s="16">
        <v>1</v>
      </c>
      <c r="G317" s="16">
        <v>1</v>
      </c>
      <c r="H317" s="16">
        <v>1</v>
      </c>
      <c r="I317" s="16">
        <v>1</v>
      </c>
      <c r="J317" s="16">
        <v>1</v>
      </c>
      <c r="K317" s="16">
        <v>1</v>
      </c>
      <c r="L317">
        <v>45</v>
      </c>
      <c r="M317">
        <v>8</v>
      </c>
    </row>
    <row r="318" spans="2:13" x14ac:dyDescent="0.2">
      <c r="B318" s="15" t="s">
        <v>479</v>
      </c>
      <c r="C318" s="21">
        <v>1</v>
      </c>
      <c r="D318" s="17">
        <v>1</v>
      </c>
      <c r="E318" s="16">
        <v>1</v>
      </c>
      <c r="F318" s="16">
        <v>1</v>
      </c>
      <c r="G318" s="16">
        <v>1</v>
      </c>
      <c r="H318" s="16">
        <v>1</v>
      </c>
      <c r="I318" s="16">
        <v>1</v>
      </c>
      <c r="J318" s="16">
        <v>1</v>
      </c>
      <c r="K318" s="16">
        <v>1</v>
      </c>
      <c r="L318">
        <v>45</v>
      </c>
      <c r="M318">
        <v>9</v>
      </c>
    </row>
    <row r="319" spans="2:13" x14ac:dyDescent="0.2">
      <c r="B319" s="15" t="s">
        <v>480</v>
      </c>
      <c r="C319" s="21">
        <v>1</v>
      </c>
      <c r="D319" s="17">
        <v>1</v>
      </c>
      <c r="E319" s="16">
        <v>1</v>
      </c>
      <c r="F319" s="16">
        <v>1</v>
      </c>
      <c r="G319" s="16">
        <v>1</v>
      </c>
      <c r="H319" s="16">
        <v>1</v>
      </c>
      <c r="I319" s="16">
        <v>1</v>
      </c>
      <c r="J319" s="16">
        <v>1</v>
      </c>
      <c r="K319" s="16">
        <v>1</v>
      </c>
      <c r="L319">
        <v>45</v>
      </c>
      <c r="M319">
        <v>9</v>
      </c>
    </row>
    <row r="320" spans="2:13" x14ac:dyDescent="0.2">
      <c r="B320" s="15" t="s">
        <v>481</v>
      </c>
      <c r="C320" s="21">
        <v>1</v>
      </c>
      <c r="D320" s="17">
        <v>1</v>
      </c>
      <c r="E320" s="16">
        <v>0</v>
      </c>
      <c r="F320" s="16">
        <v>1</v>
      </c>
      <c r="G320" s="16">
        <v>1</v>
      </c>
      <c r="H320" s="16">
        <v>1</v>
      </c>
      <c r="I320" s="16">
        <v>1</v>
      </c>
      <c r="J320" s="16">
        <v>1</v>
      </c>
      <c r="K320" s="16">
        <v>1</v>
      </c>
      <c r="L320">
        <v>45</v>
      </c>
      <c r="M320">
        <v>8</v>
      </c>
    </row>
    <row r="321" spans="2:13" x14ac:dyDescent="0.2">
      <c r="B321" s="15" t="s">
        <v>482</v>
      </c>
      <c r="C321" s="21">
        <v>1</v>
      </c>
      <c r="D321" s="17">
        <v>1</v>
      </c>
      <c r="E321" s="16">
        <v>0</v>
      </c>
      <c r="F321" s="16">
        <v>1</v>
      </c>
      <c r="G321" s="16">
        <v>1</v>
      </c>
      <c r="H321" s="16">
        <v>1</v>
      </c>
      <c r="I321" s="16">
        <v>1</v>
      </c>
      <c r="J321" s="16">
        <v>1</v>
      </c>
      <c r="K321" s="16">
        <v>1</v>
      </c>
      <c r="L321">
        <v>46</v>
      </c>
      <c r="M321">
        <v>8</v>
      </c>
    </row>
    <row r="322" spans="2:13" x14ac:dyDescent="0.2">
      <c r="B322" s="15" t="s">
        <v>483</v>
      </c>
      <c r="C322" s="21">
        <v>1</v>
      </c>
      <c r="D322" s="17">
        <v>1</v>
      </c>
      <c r="E322" s="16">
        <v>1</v>
      </c>
      <c r="F322" s="16">
        <v>1</v>
      </c>
      <c r="G322" s="16">
        <v>1</v>
      </c>
      <c r="H322" s="16">
        <v>1</v>
      </c>
      <c r="I322" s="16">
        <v>1</v>
      </c>
      <c r="J322" s="16">
        <v>1</v>
      </c>
      <c r="K322" s="16">
        <v>1</v>
      </c>
      <c r="L322">
        <v>46</v>
      </c>
      <c r="M322">
        <v>9</v>
      </c>
    </row>
    <row r="323" spans="2:13" x14ac:dyDescent="0.2">
      <c r="B323" s="15" t="s">
        <v>484</v>
      </c>
      <c r="C323" s="21">
        <v>1</v>
      </c>
      <c r="D323" s="17">
        <v>1</v>
      </c>
      <c r="E323" s="16">
        <v>0</v>
      </c>
      <c r="F323" s="16">
        <v>1</v>
      </c>
      <c r="G323" s="16">
        <v>1</v>
      </c>
      <c r="H323" s="16">
        <v>1</v>
      </c>
      <c r="I323" s="16">
        <v>1</v>
      </c>
      <c r="J323" s="16">
        <v>1</v>
      </c>
      <c r="K323" s="16">
        <v>1</v>
      </c>
      <c r="L323">
        <v>46</v>
      </c>
      <c r="M323">
        <v>8</v>
      </c>
    </row>
    <row r="324" spans="2:13" x14ac:dyDescent="0.2">
      <c r="B324" s="15" t="s">
        <v>485</v>
      </c>
      <c r="C324" s="21">
        <v>1</v>
      </c>
      <c r="D324" s="17">
        <v>1</v>
      </c>
      <c r="E324" s="16">
        <v>1</v>
      </c>
      <c r="F324" s="16">
        <v>1</v>
      </c>
      <c r="G324" s="16">
        <v>1</v>
      </c>
      <c r="H324" s="16">
        <v>1</v>
      </c>
      <c r="I324" s="16">
        <v>1</v>
      </c>
      <c r="J324" s="16">
        <v>1</v>
      </c>
      <c r="K324" s="16">
        <v>1</v>
      </c>
      <c r="L324">
        <v>46</v>
      </c>
      <c r="M324">
        <v>9</v>
      </c>
    </row>
    <row r="325" spans="2:13" x14ac:dyDescent="0.2">
      <c r="B325" s="15" t="s">
        <v>486</v>
      </c>
      <c r="C325" s="21">
        <v>1</v>
      </c>
      <c r="D325" s="17">
        <v>1</v>
      </c>
      <c r="E325" s="16">
        <v>0</v>
      </c>
      <c r="F325" s="16">
        <v>1</v>
      </c>
      <c r="G325" s="16">
        <v>1</v>
      </c>
      <c r="H325" s="16">
        <v>1</v>
      </c>
      <c r="I325" s="16">
        <v>1</v>
      </c>
      <c r="J325" s="16">
        <v>1</v>
      </c>
      <c r="K325" s="16">
        <v>1</v>
      </c>
      <c r="L325">
        <v>46</v>
      </c>
      <c r="M325">
        <v>8</v>
      </c>
    </row>
    <row r="326" spans="2:13" x14ac:dyDescent="0.2">
      <c r="B326" s="15" t="s">
        <v>487</v>
      </c>
      <c r="C326" s="21">
        <v>1</v>
      </c>
      <c r="D326" s="17">
        <v>1</v>
      </c>
      <c r="E326" s="16">
        <v>1</v>
      </c>
      <c r="F326" s="16">
        <v>1</v>
      </c>
      <c r="G326" s="16">
        <v>1</v>
      </c>
      <c r="H326" s="16">
        <v>1</v>
      </c>
      <c r="I326" s="16">
        <v>1</v>
      </c>
      <c r="J326" s="16">
        <v>1</v>
      </c>
      <c r="K326" s="16">
        <v>1</v>
      </c>
      <c r="L326">
        <v>46</v>
      </c>
      <c r="M326">
        <v>9</v>
      </c>
    </row>
    <row r="327" spans="2:13" x14ac:dyDescent="0.2">
      <c r="B327" s="15" t="s">
        <v>488</v>
      </c>
      <c r="C327" s="21">
        <v>1</v>
      </c>
      <c r="D327" s="17">
        <v>1</v>
      </c>
      <c r="E327" s="16">
        <v>0</v>
      </c>
      <c r="F327" s="16">
        <v>1</v>
      </c>
      <c r="G327" s="16">
        <v>1</v>
      </c>
      <c r="H327" s="16">
        <v>1</v>
      </c>
      <c r="I327" s="16">
        <v>1</v>
      </c>
      <c r="J327" s="16">
        <v>1</v>
      </c>
      <c r="K327" s="16">
        <v>1</v>
      </c>
      <c r="L327">
        <v>46</v>
      </c>
      <c r="M327">
        <v>8</v>
      </c>
    </row>
    <row r="328" spans="2:13" x14ac:dyDescent="0.2">
      <c r="B328" s="15" t="s">
        <v>489</v>
      </c>
      <c r="C328" s="21">
        <v>1</v>
      </c>
      <c r="D328" s="17">
        <v>1</v>
      </c>
      <c r="E328" s="16">
        <v>1</v>
      </c>
      <c r="F328" s="16">
        <v>1</v>
      </c>
      <c r="G328" s="16">
        <v>1</v>
      </c>
      <c r="H328" s="16">
        <v>1</v>
      </c>
      <c r="I328" s="16">
        <v>1</v>
      </c>
      <c r="J328" s="16">
        <v>1</v>
      </c>
      <c r="K328" s="16">
        <v>1</v>
      </c>
      <c r="L328">
        <v>47</v>
      </c>
      <c r="M328">
        <v>9</v>
      </c>
    </row>
    <row r="329" spans="2:13" x14ac:dyDescent="0.2">
      <c r="B329" s="15" t="s">
        <v>490</v>
      </c>
      <c r="C329" s="21">
        <v>1</v>
      </c>
      <c r="D329" s="17">
        <v>1</v>
      </c>
      <c r="E329" s="16">
        <v>0</v>
      </c>
      <c r="F329" s="16">
        <v>1</v>
      </c>
      <c r="G329" s="16">
        <v>1</v>
      </c>
      <c r="H329" s="16">
        <v>1</v>
      </c>
      <c r="I329" s="16">
        <v>1</v>
      </c>
      <c r="J329" s="16">
        <v>1</v>
      </c>
      <c r="K329" s="16">
        <v>1</v>
      </c>
      <c r="L329">
        <v>47</v>
      </c>
      <c r="M329">
        <v>8</v>
      </c>
    </row>
    <row r="330" spans="2:13" x14ac:dyDescent="0.2">
      <c r="B330" s="15" t="s">
        <v>491</v>
      </c>
      <c r="C330" s="21">
        <v>1</v>
      </c>
      <c r="D330" s="17">
        <v>1</v>
      </c>
      <c r="E330" s="16">
        <v>0</v>
      </c>
      <c r="F330" s="16">
        <v>1</v>
      </c>
      <c r="G330" s="16">
        <v>1</v>
      </c>
      <c r="H330" s="16">
        <v>1</v>
      </c>
      <c r="I330" s="16">
        <v>1</v>
      </c>
      <c r="J330" s="16">
        <v>1</v>
      </c>
      <c r="K330" s="16">
        <v>1</v>
      </c>
      <c r="L330">
        <v>47</v>
      </c>
      <c r="M330">
        <v>8</v>
      </c>
    </row>
    <row r="331" spans="2:13" x14ac:dyDescent="0.2">
      <c r="B331" s="15" t="s">
        <v>492</v>
      </c>
      <c r="C331" s="21">
        <v>1</v>
      </c>
      <c r="D331" s="17">
        <v>1</v>
      </c>
      <c r="E331" s="16">
        <v>1</v>
      </c>
      <c r="F331" s="16">
        <v>1</v>
      </c>
      <c r="G331" s="16">
        <v>1</v>
      </c>
      <c r="H331" s="16">
        <v>1</v>
      </c>
      <c r="I331" s="16">
        <v>1</v>
      </c>
      <c r="J331" s="16">
        <v>1</v>
      </c>
      <c r="K331" s="16">
        <v>1</v>
      </c>
      <c r="L331">
        <v>47</v>
      </c>
      <c r="M331">
        <v>9</v>
      </c>
    </row>
    <row r="332" spans="2:13" x14ac:dyDescent="0.2">
      <c r="B332" s="15" t="s">
        <v>493</v>
      </c>
      <c r="C332" s="21">
        <v>1</v>
      </c>
      <c r="D332" s="17">
        <v>1</v>
      </c>
      <c r="E332" s="16">
        <v>0</v>
      </c>
      <c r="F332" s="16">
        <v>1</v>
      </c>
      <c r="G332" s="16">
        <v>1</v>
      </c>
      <c r="H332" s="16">
        <v>1</v>
      </c>
      <c r="I332" s="16">
        <v>1</v>
      </c>
      <c r="J332" s="16">
        <v>1</v>
      </c>
      <c r="K332" s="16">
        <v>1</v>
      </c>
      <c r="L332">
        <v>47</v>
      </c>
      <c r="M332">
        <v>8</v>
      </c>
    </row>
    <row r="333" spans="2:13" x14ac:dyDescent="0.2">
      <c r="B333" s="15" t="s">
        <v>494</v>
      </c>
      <c r="C333" s="21">
        <v>1</v>
      </c>
      <c r="D333" s="17">
        <v>1</v>
      </c>
      <c r="E333" s="16">
        <v>0</v>
      </c>
      <c r="F333" s="16">
        <v>0</v>
      </c>
      <c r="G333" s="16">
        <v>1</v>
      </c>
      <c r="H333" s="16">
        <v>1</v>
      </c>
      <c r="I333" s="16">
        <v>1</v>
      </c>
      <c r="J333" s="16">
        <v>1</v>
      </c>
      <c r="K333" s="16">
        <v>1</v>
      </c>
      <c r="L333">
        <v>47</v>
      </c>
      <c r="M333">
        <v>7</v>
      </c>
    </row>
    <row r="334" spans="2:13" x14ac:dyDescent="0.2">
      <c r="B334" s="15" t="s">
        <v>495</v>
      </c>
      <c r="C334" s="21">
        <v>1</v>
      </c>
      <c r="D334" s="17">
        <v>1</v>
      </c>
      <c r="E334" s="16">
        <v>0</v>
      </c>
      <c r="F334" s="16">
        <v>1</v>
      </c>
      <c r="G334" s="16">
        <v>1</v>
      </c>
      <c r="H334" s="16">
        <v>1</v>
      </c>
      <c r="I334" s="16">
        <v>1</v>
      </c>
      <c r="J334" s="16">
        <v>1</v>
      </c>
      <c r="K334" s="16">
        <v>1</v>
      </c>
      <c r="L334">
        <v>47</v>
      </c>
      <c r="M334">
        <v>8</v>
      </c>
    </row>
    <row r="335" spans="2:13" x14ac:dyDescent="0.2">
      <c r="B335" s="15" t="s">
        <v>496</v>
      </c>
      <c r="C335" s="21">
        <v>1</v>
      </c>
      <c r="D335" s="17">
        <v>1</v>
      </c>
      <c r="E335" s="16">
        <v>1</v>
      </c>
      <c r="F335" s="16">
        <v>1</v>
      </c>
      <c r="G335" s="16">
        <v>1</v>
      </c>
      <c r="H335" s="16">
        <v>1</v>
      </c>
      <c r="I335" s="16">
        <v>1</v>
      </c>
      <c r="J335" s="16">
        <v>1</v>
      </c>
      <c r="K335" s="16">
        <v>1</v>
      </c>
      <c r="L335">
        <v>48</v>
      </c>
      <c r="M335">
        <v>9</v>
      </c>
    </row>
    <row r="336" spans="2:13" x14ac:dyDescent="0.2">
      <c r="B336" s="15" t="s">
        <v>497</v>
      </c>
      <c r="C336" s="21">
        <v>1</v>
      </c>
      <c r="D336" s="17">
        <v>1</v>
      </c>
      <c r="E336" s="16">
        <v>1</v>
      </c>
      <c r="F336" s="16">
        <v>1</v>
      </c>
      <c r="G336" s="16">
        <v>1</v>
      </c>
      <c r="H336" s="16">
        <v>1</v>
      </c>
      <c r="I336" s="16">
        <v>1</v>
      </c>
      <c r="J336" s="16">
        <v>1</v>
      </c>
      <c r="K336" s="16">
        <v>1</v>
      </c>
      <c r="L336">
        <v>48</v>
      </c>
      <c r="M336">
        <v>9</v>
      </c>
    </row>
    <row r="337" spans="2:29" x14ac:dyDescent="0.2">
      <c r="B337" s="15" t="s">
        <v>498</v>
      </c>
      <c r="C337" s="21">
        <v>1</v>
      </c>
      <c r="D337" s="17">
        <v>1</v>
      </c>
      <c r="E337" s="16">
        <v>1</v>
      </c>
      <c r="F337" s="16">
        <v>1</v>
      </c>
      <c r="G337" s="16">
        <v>1</v>
      </c>
      <c r="H337" s="16">
        <v>1</v>
      </c>
      <c r="I337" s="16">
        <v>1</v>
      </c>
      <c r="J337" s="16">
        <v>1</v>
      </c>
      <c r="K337" s="16">
        <v>1</v>
      </c>
      <c r="L337">
        <v>48</v>
      </c>
      <c r="M337">
        <v>9</v>
      </c>
    </row>
    <row r="338" spans="2:29" x14ac:dyDescent="0.2">
      <c r="B338" s="15" t="s">
        <v>499</v>
      </c>
      <c r="C338" s="21">
        <v>1</v>
      </c>
      <c r="D338" s="17">
        <v>1</v>
      </c>
      <c r="E338" s="16">
        <v>1</v>
      </c>
      <c r="F338" s="16">
        <v>0</v>
      </c>
      <c r="G338" s="16">
        <v>1</v>
      </c>
      <c r="H338" s="16">
        <v>1</v>
      </c>
      <c r="I338" s="16">
        <v>1</v>
      </c>
      <c r="J338" s="16">
        <v>1</v>
      </c>
      <c r="K338" s="16">
        <v>1</v>
      </c>
      <c r="L338">
        <v>48</v>
      </c>
      <c r="M338">
        <v>8</v>
      </c>
    </row>
    <row r="339" spans="2:29" x14ac:dyDescent="0.2">
      <c r="B339" s="15" t="s">
        <v>500</v>
      </c>
      <c r="C339" s="21">
        <v>1</v>
      </c>
      <c r="D339" s="17">
        <v>1</v>
      </c>
      <c r="E339" s="16">
        <v>0</v>
      </c>
      <c r="F339" s="16">
        <v>1</v>
      </c>
      <c r="G339" s="16">
        <v>1</v>
      </c>
      <c r="H339" s="16">
        <v>1</v>
      </c>
      <c r="I339" s="16">
        <v>1</v>
      </c>
      <c r="J339" s="16">
        <v>1</v>
      </c>
      <c r="K339" s="16">
        <v>1</v>
      </c>
      <c r="L339">
        <v>48</v>
      </c>
      <c r="M339">
        <v>8</v>
      </c>
    </row>
    <row r="340" spans="2:29" x14ac:dyDescent="0.2">
      <c r="B340" s="15" t="s">
        <v>501</v>
      </c>
      <c r="C340" s="21">
        <v>1</v>
      </c>
      <c r="D340" s="17">
        <v>1</v>
      </c>
      <c r="E340" s="16">
        <v>0</v>
      </c>
      <c r="F340" s="16">
        <v>0</v>
      </c>
      <c r="G340" s="16">
        <v>1</v>
      </c>
      <c r="H340" s="16">
        <v>1</v>
      </c>
      <c r="I340" s="16">
        <v>1</v>
      </c>
      <c r="J340" s="16">
        <v>1</v>
      </c>
      <c r="K340" s="16">
        <v>1</v>
      </c>
      <c r="L340">
        <v>48</v>
      </c>
      <c r="M340">
        <v>7</v>
      </c>
    </row>
    <row r="341" spans="2:29" x14ac:dyDescent="0.2">
      <c r="B341" s="15" t="s">
        <v>502</v>
      </c>
      <c r="C341" s="21">
        <v>1</v>
      </c>
      <c r="D341" s="17">
        <v>1</v>
      </c>
      <c r="E341" s="16">
        <v>0</v>
      </c>
      <c r="F341" s="16">
        <v>1</v>
      </c>
      <c r="G341" s="16">
        <v>1</v>
      </c>
      <c r="H341" s="16">
        <v>1</v>
      </c>
      <c r="I341" s="16">
        <v>1</v>
      </c>
      <c r="J341" s="16">
        <v>1</v>
      </c>
      <c r="K341" s="16">
        <v>1</v>
      </c>
      <c r="L341">
        <v>48</v>
      </c>
      <c r="M341">
        <v>8</v>
      </c>
    </row>
    <row r="342" spans="2:29" x14ac:dyDescent="0.2">
      <c r="B342" s="15" t="s">
        <v>503</v>
      </c>
      <c r="C342" s="21">
        <v>1</v>
      </c>
      <c r="D342" s="17">
        <v>1</v>
      </c>
      <c r="E342" s="16">
        <v>1</v>
      </c>
      <c r="F342" s="16">
        <v>0</v>
      </c>
      <c r="G342" s="16">
        <v>1</v>
      </c>
      <c r="H342" s="16">
        <v>1</v>
      </c>
      <c r="I342" s="16">
        <v>1</v>
      </c>
      <c r="J342" s="16">
        <v>1</v>
      </c>
      <c r="K342" s="16">
        <v>1</v>
      </c>
      <c r="L342">
        <v>49</v>
      </c>
      <c r="M342">
        <v>8</v>
      </c>
    </row>
    <row r="343" spans="2:29" x14ac:dyDescent="0.2">
      <c r="B343" s="15" t="s">
        <v>504</v>
      </c>
      <c r="C343" s="21">
        <v>1</v>
      </c>
      <c r="D343" s="17">
        <v>1</v>
      </c>
      <c r="E343" s="16">
        <v>1</v>
      </c>
      <c r="F343" s="16">
        <v>1</v>
      </c>
      <c r="G343" s="16">
        <v>1</v>
      </c>
      <c r="H343" s="16">
        <v>1</v>
      </c>
      <c r="I343" s="16">
        <v>1</v>
      </c>
      <c r="J343" s="16">
        <v>1</v>
      </c>
      <c r="K343" s="16">
        <v>1</v>
      </c>
      <c r="L343">
        <v>49</v>
      </c>
      <c r="M343">
        <v>9</v>
      </c>
    </row>
    <row r="344" spans="2:29" x14ac:dyDescent="0.2">
      <c r="B344" s="15" t="s">
        <v>505</v>
      </c>
      <c r="C344" s="21">
        <v>1</v>
      </c>
      <c r="D344" s="17">
        <v>1</v>
      </c>
      <c r="E344" s="16">
        <v>1</v>
      </c>
      <c r="F344" s="16">
        <v>1</v>
      </c>
      <c r="G344" s="16">
        <v>1</v>
      </c>
      <c r="H344" s="16">
        <v>1</v>
      </c>
      <c r="I344" s="16">
        <v>1</v>
      </c>
      <c r="J344" s="16">
        <v>1</v>
      </c>
      <c r="K344" s="16">
        <v>1</v>
      </c>
      <c r="L344">
        <v>49</v>
      </c>
      <c r="M344">
        <v>9</v>
      </c>
    </row>
    <row r="345" spans="2:29" x14ac:dyDescent="0.2">
      <c r="B345" s="15" t="s">
        <v>506</v>
      </c>
      <c r="C345" s="21">
        <v>1</v>
      </c>
      <c r="D345" s="17">
        <v>1</v>
      </c>
      <c r="E345" s="16">
        <v>0</v>
      </c>
      <c r="F345" s="16">
        <v>1</v>
      </c>
      <c r="G345" s="16">
        <v>1</v>
      </c>
      <c r="H345" s="16">
        <v>1</v>
      </c>
      <c r="I345" s="16">
        <v>1</v>
      </c>
      <c r="J345" s="16">
        <v>1</v>
      </c>
      <c r="K345" s="16">
        <v>1</v>
      </c>
      <c r="L345">
        <v>49</v>
      </c>
      <c r="M345">
        <v>8</v>
      </c>
    </row>
    <row r="346" spans="2:29" x14ac:dyDescent="0.2">
      <c r="B346" s="15" t="s">
        <v>507</v>
      </c>
      <c r="C346" s="21">
        <v>1</v>
      </c>
      <c r="D346" s="17">
        <v>1</v>
      </c>
      <c r="E346" s="16">
        <v>0</v>
      </c>
      <c r="F346" s="16">
        <v>1</v>
      </c>
      <c r="G346" s="16">
        <v>1</v>
      </c>
      <c r="H346" s="16">
        <v>1</v>
      </c>
      <c r="I346" s="16">
        <v>1</v>
      </c>
      <c r="J346" s="16">
        <v>1</v>
      </c>
      <c r="K346" s="16">
        <v>1</v>
      </c>
      <c r="L346">
        <v>49</v>
      </c>
      <c r="M346">
        <v>8</v>
      </c>
    </row>
    <row r="347" spans="2:29" x14ac:dyDescent="0.2">
      <c r="B347" s="15" t="s">
        <v>508</v>
      </c>
      <c r="C347" s="21">
        <v>1</v>
      </c>
      <c r="D347" s="17">
        <v>1</v>
      </c>
      <c r="E347" s="16">
        <v>0</v>
      </c>
      <c r="F347" s="16">
        <v>1</v>
      </c>
      <c r="G347" s="16">
        <v>1</v>
      </c>
      <c r="H347" s="16">
        <v>1</v>
      </c>
      <c r="I347" s="16">
        <v>1</v>
      </c>
      <c r="J347" s="16">
        <v>1</v>
      </c>
      <c r="K347" s="16">
        <v>1</v>
      </c>
      <c r="L347">
        <v>49</v>
      </c>
      <c r="M347">
        <v>8</v>
      </c>
    </row>
    <row r="348" spans="2:29" x14ac:dyDescent="0.2">
      <c r="B348" s="15" t="s">
        <v>509</v>
      </c>
      <c r="C348" s="21">
        <v>1</v>
      </c>
      <c r="D348" s="17">
        <v>1</v>
      </c>
      <c r="E348" s="16">
        <v>1</v>
      </c>
      <c r="F348" s="16">
        <v>1</v>
      </c>
      <c r="G348" s="16">
        <v>1</v>
      </c>
      <c r="H348" s="16">
        <v>1</v>
      </c>
      <c r="I348" s="16">
        <v>1</v>
      </c>
      <c r="J348" s="16">
        <v>1</v>
      </c>
      <c r="K348" s="16">
        <v>1</v>
      </c>
      <c r="L348">
        <v>49</v>
      </c>
      <c r="M348">
        <v>9</v>
      </c>
    </row>
    <row r="349" spans="2:29" x14ac:dyDescent="0.2">
      <c r="B349" s="15" t="s">
        <v>510</v>
      </c>
      <c r="C349" s="21">
        <v>1</v>
      </c>
      <c r="D349" s="17">
        <v>1</v>
      </c>
      <c r="E349" s="16">
        <v>0</v>
      </c>
      <c r="F349" s="16">
        <v>1</v>
      </c>
      <c r="G349" s="16">
        <v>1</v>
      </c>
      <c r="H349" s="16">
        <v>1</v>
      </c>
      <c r="I349" s="16">
        <v>1</v>
      </c>
      <c r="J349" s="16">
        <v>1</v>
      </c>
      <c r="K349" s="16">
        <v>1</v>
      </c>
      <c r="L349">
        <v>50</v>
      </c>
      <c r="M349">
        <v>8</v>
      </c>
    </row>
    <row r="350" spans="2:29" x14ac:dyDescent="0.2">
      <c r="B350" s="15" t="s">
        <v>511</v>
      </c>
      <c r="C350" s="21">
        <v>1</v>
      </c>
      <c r="D350" s="17">
        <v>1</v>
      </c>
      <c r="E350" s="16">
        <v>1</v>
      </c>
      <c r="F350" s="16">
        <v>1</v>
      </c>
      <c r="G350" s="16">
        <v>1</v>
      </c>
      <c r="H350" s="16">
        <v>1</v>
      </c>
      <c r="I350" s="16">
        <v>1</v>
      </c>
      <c r="J350" s="16">
        <v>1</v>
      </c>
      <c r="K350" s="16">
        <v>1</v>
      </c>
      <c r="L350">
        <v>50</v>
      </c>
      <c r="M350">
        <v>9</v>
      </c>
    </row>
    <row r="351" spans="2:29" x14ac:dyDescent="0.2">
      <c r="B351" s="15" t="s">
        <v>512</v>
      </c>
      <c r="C351" s="21">
        <v>1</v>
      </c>
      <c r="D351" s="17">
        <v>1</v>
      </c>
      <c r="E351" s="16">
        <v>0</v>
      </c>
      <c r="F351" s="16">
        <v>1</v>
      </c>
      <c r="G351" s="16">
        <v>1</v>
      </c>
      <c r="H351" s="16">
        <v>1</v>
      </c>
      <c r="I351" s="16">
        <v>1</v>
      </c>
      <c r="J351" s="16">
        <v>1</v>
      </c>
      <c r="K351" s="16">
        <v>1</v>
      </c>
      <c r="L351">
        <v>50</v>
      </c>
      <c r="M351">
        <v>8</v>
      </c>
      <c r="AC351" t="s">
        <v>76</v>
      </c>
    </row>
    <row r="352" spans="2:29" x14ac:dyDescent="0.2">
      <c r="B352" s="15" t="s">
        <v>513</v>
      </c>
      <c r="C352" s="21">
        <v>1</v>
      </c>
      <c r="D352" s="17">
        <v>1</v>
      </c>
      <c r="E352" s="16">
        <v>1</v>
      </c>
      <c r="F352" s="16">
        <v>1</v>
      </c>
      <c r="G352" s="16">
        <v>1</v>
      </c>
      <c r="H352" s="16">
        <v>1</v>
      </c>
      <c r="I352" s="16">
        <v>1</v>
      </c>
      <c r="J352" s="16">
        <v>1</v>
      </c>
      <c r="K352" s="16">
        <v>1</v>
      </c>
      <c r="L352">
        <v>50</v>
      </c>
      <c r="M352">
        <v>9</v>
      </c>
    </row>
    <row r="353" spans="2:13" x14ac:dyDescent="0.2">
      <c r="B353" s="15" t="s">
        <v>514</v>
      </c>
      <c r="C353" s="21">
        <v>1</v>
      </c>
      <c r="D353" s="17">
        <v>1</v>
      </c>
      <c r="E353" s="16">
        <v>0</v>
      </c>
      <c r="F353" s="16">
        <v>1</v>
      </c>
      <c r="G353" s="16">
        <v>1</v>
      </c>
      <c r="H353" s="16">
        <v>1</v>
      </c>
      <c r="I353" s="16">
        <v>1</v>
      </c>
      <c r="J353" s="16">
        <v>1</v>
      </c>
      <c r="K353" s="16">
        <v>1</v>
      </c>
      <c r="L353">
        <v>50</v>
      </c>
      <c r="M353">
        <v>8</v>
      </c>
    </row>
    <row r="354" spans="2:13" x14ac:dyDescent="0.2">
      <c r="B354" s="15" t="s">
        <v>515</v>
      </c>
      <c r="C354" s="21">
        <v>1</v>
      </c>
      <c r="D354" s="17">
        <v>1</v>
      </c>
      <c r="E354" s="16">
        <v>1</v>
      </c>
      <c r="F354" s="16">
        <v>1</v>
      </c>
      <c r="G354" s="16">
        <v>1</v>
      </c>
      <c r="H354" s="16">
        <v>1</v>
      </c>
      <c r="I354" s="16">
        <v>1</v>
      </c>
      <c r="J354" s="16">
        <v>1</v>
      </c>
      <c r="K354" s="16">
        <v>1</v>
      </c>
      <c r="L354">
        <v>50</v>
      </c>
      <c r="M354">
        <v>9</v>
      </c>
    </row>
    <row r="355" spans="2:13" x14ac:dyDescent="0.2">
      <c r="B355" s="15" t="s">
        <v>516</v>
      </c>
      <c r="C355" s="21">
        <v>1</v>
      </c>
      <c r="D355" s="17">
        <v>1</v>
      </c>
      <c r="E355" s="16">
        <v>0</v>
      </c>
      <c r="F355" s="16">
        <v>1</v>
      </c>
      <c r="G355" s="16">
        <v>1</v>
      </c>
      <c r="H355" s="16">
        <v>1</v>
      </c>
      <c r="I355" s="16">
        <v>1</v>
      </c>
      <c r="J355" s="16">
        <v>1</v>
      </c>
      <c r="K355" s="16">
        <v>1</v>
      </c>
      <c r="L355">
        <v>50</v>
      </c>
      <c r="M355">
        <v>8</v>
      </c>
    </row>
    <row r="356" spans="2:13" x14ac:dyDescent="0.2">
      <c r="B356" s="15" t="s">
        <v>517</v>
      </c>
      <c r="C356" s="21">
        <v>1</v>
      </c>
      <c r="D356" s="17">
        <v>1</v>
      </c>
      <c r="E356" s="16">
        <v>1</v>
      </c>
      <c r="F356" s="16">
        <v>1</v>
      </c>
      <c r="G356" s="16">
        <v>1</v>
      </c>
      <c r="H356" s="16">
        <v>1</v>
      </c>
      <c r="I356" s="16">
        <v>1</v>
      </c>
      <c r="J356" s="16">
        <v>1</v>
      </c>
      <c r="K356" s="16">
        <v>1</v>
      </c>
      <c r="L356">
        <v>51</v>
      </c>
      <c r="M356">
        <v>9</v>
      </c>
    </row>
    <row r="357" spans="2:13" x14ac:dyDescent="0.2">
      <c r="B357" s="15" t="s">
        <v>518</v>
      </c>
      <c r="C357" s="21">
        <v>1</v>
      </c>
      <c r="D357" s="17">
        <v>1</v>
      </c>
      <c r="E357" s="16">
        <v>0</v>
      </c>
      <c r="F357" s="16">
        <v>1</v>
      </c>
      <c r="G357" s="16">
        <v>1</v>
      </c>
      <c r="H357" s="16">
        <v>1</v>
      </c>
      <c r="I357" s="16">
        <v>1</v>
      </c>
      <c r="J357" s="16">
        <v>1</v>
      </c>
      <c r="K357" s="16">
        <v>1</v>
      </c>
      <c r="L357">
        <v>51</v>
      </c>
      <c r="M357">
        <v>8</v>
      </c>
    </row>
    <row r="358" spans="2:13" x14ac:dyDescent="0.2">
      <c r="B358" s="15" t="s">
        <v>519</v>
      </c>
      <c r="C358" s="21">
        <v>1</v>
      </c>
      <c r="D358" s="17">
        <v>1</v>
      </c>
      <c r="E358" s="16">
        <v>1</v>
      </c>
      <c r="F358" s="16">
        <v>1</v>
      </c>
      <c r="G358" s="16">
        <v>1</v>
      </c>
      <c r="H358" s="16">
        <v>1</v>
      </c>
      <c r="I358" s="16">
        <v>1</v>
      </c>
      <c r="J358" s="16">
        <v>1</v>
      </c>
      <c r="K358" s="16">
        <v>1</v>
      </c>
      <c r="L358">
        <v>51</v>
      </c>
      <c r="M358">
        <v>9</v>
      </c>
    </row>
    <row r="359" spans="2:13" x14ac:dyDescent="0.2">
      <c r="B359" s="15" t="s">
        <v>520</v>
      </c>
      <c r="C359" s="21">
        <v>1</v>
      </c>
      <c r="D359" s="17">
        <v>1</v>
      </c>
      <c r="E359" s="16">
        <v>0</v>
      </c>
      <c r="F359" s="16">
        <v>1</v>
      </c>
      <c r="G359" s="16">
        <v>1</v>
      </c>
      <c r="H359" s="16">
        <v>1</v>
      </c>
      <c r="I359" s="16">
        <v>1</v>
      </c>
      <c r="J359" s="16">
        <v>1</v>
      </c>
      <c r="K359" s="16">
        <v>1</v>
      </c>
      <c r="L359">
        <v>51</v>
      </c>
      <c r="M359">
        <v>8</v>
      </c>
    </row>
    <row r="360" spans="2:13" x14ac:dyDescent="0.2">
      <c r="B360" s="15" t="s">
        <v>521</v>
      </c>
      <c r="C360" s="21">
        <v>1</v>
      </c>
      <c r="D360" s="17">
        <v>1</v>
      </c>
      <c r="E360" s="16">
        <v>1</v>
      </c>
      <c r="F360" s="16">
        <v>1</v>
      </c>
      <c r="G360" s="16">
        <v>1</v>
      </c>
      <c r="H360" s="16">
        <v>1</v>
      </c>
      <c r="I360" s="16">
        <v>1</v>
      </c>
      <c r="J360" s="16">
        <v>1</v>
      </c>
      <c r="K360" s="16">
        <v>1</v>
      </c>
      <c r="L360">
        <v>51</v>
      </c>
      <c r="M360">
        <v>9</v>
      </c>
    </row>
    <row r="361" spans="2:13" x14ac:dyDescent="0.2">
      <c r="B361" s="15" t="s">
        <v>522</v>
      </c>
      <c r="C361" s="21">
        <v>1</v>
      </c>
      <c r="D361" s="17">
        <v>1</v>
      </c>
      <c r="E361" s="16">
        <v>1</v>
      </c>
      <c r="F361" s="16">
        <v>1</v>
      </c>
      <c r="G361" s="16">
        <v>1</v>
      </c>
      <c r="H361" s="16">
        <v>1</v>
      </c>
      <c r="I361" s="16">
        <v>1</v>
      </c>
      <c r="J361" s="16">
        <v>1</v>
      </c>
      <c r="K361" s="16">
        <v>1</v>
      </c>
      <c r="L361">
        <v>51</v>
      </c>
      <c r="M361">
        <v>9</v>
      </c>
    </row>
    <row r="362" spans="2:13" x14ac:dyDescent="0.2">
      <c r="B362" s="15" t="s">
        <v>523</v>
      </c>
      <c r="C362" s="21">
        <v>1</v>
      </c>
      <c r="D362" s="17">
        <v>1</v>
      </c>
      <c r="E362" s="16">
        <v>0</v>
      </c>
      <c r="F362" s="16">
        <v>1</v>
      </c>
      <c r="G362" s="16">
        <v>1</v>
      </c>
      <c r="H362" s="16">
        <v>1</v>
      </c>
      <c r="I362" s="16">
        <v>1</v>
      </c>
      <c r="J362" s="16">
        <v>1</v>
      </c>
      <c r="K362" s="16">
        <v>1</v>
      </c>
      <c r="L362">
        <v>51</v>
      </c>
      <c r="M362">
        <v>8</v>
      </c>
    </row>
    <row r="363" spans="2:13" x14ac:dyDescent="0.2">
      <c r="B363" s="15" t="s">
        <v>524</v>
      </c>
      <c r="C363" s="21">
        <v>1</v>
      </c>
      <c r="D363" s="17">
        <v>1</v>
      </c>
      <c r="E363" s="16">
        <v>1</v>
      </c>
      <c r="F363" s="16">
        <v>1</v>
      </c>
      <c r="G363" s="16">
        <v>1</v>
      </c>
      <c r="H363" s="16">
        <v>1</v>
      </c>
      <c r="I363" s="16">
        <v>1</v>
      </c>
      <c r="J363" s="16">
        <v>1</v>
      </c>
      <c r="K363" s="16">
        <v>1</v>
      </c>
      <c r="L363">
        <v>52</v>
      </c>
      <c r="M363">
        <v>9</v>
      </c>
    </row>
    <row r="364" spans="2:13" x14ac:dyDescent="0.2">
      <c r="B364" s="15" t="s">
        <v>525</v>
      </c>
      <c r="C364" s="21">
        <v>1</v>
      </c>
      <c r="D364" s="17">
        <v>1</v>
      </c>
      <c r="E364" s="16">
        <v>1</v>
      </c>
      <c r="F364" s="16">
        <v>1</v>
      </c>
      <c r="G364" s="16">
        <v>1</v>
      </c>
      <c r="H364" s="16">
        <v>1</v>
      </c>
      <c r="I364" s="16">
        <v>1</v>
      </c>
      <c r="J364" s="16">
        <v>1</v>
      </c>
      <c r="K364" s="16">
        <v>1</v>
      </c>
      <c r="L364">
        <v>52</v>
      </c>
      <c r="M364">
        <v>9</v>
      </c>
    </row>
    <row r="365" spans="2:13" x14ac:dyDescent="0.2">
      <c r="B365" s="15" t="s">
        <v>526</v>
      </c>
      <c r="C365" s="21">
        <v>1</v>
      </c>
      <c r="D365" s="17">
        <v>1</v>
      </c>
      <c r="E365" s="16">
        <v>1</v>
      </c>
      <c r="F365" s="16">
        <v>1</v>
      </c>
      <c r="G365" s="16">
        <v>1</v>
      </c>
      <c r="H365" s="16">
        <v>1</v>
      </c>
      <c r="I365" s="16">
        <v>1</v>
      </c>
      <c r="J365" s="16">
        <v>1</v>
      </c>
      <c r="K365" s="16">
        <v>1</v>
      </c>
      <c r="L365">
        <v>52</v>
      </c>
      <c r="M365">
        <v>9</v>
      </c>
    </row>
    <row r="366" spans="2:13" x14ac:dyDescent="0.2">
      <c r="B366" s="15" t="s">
        <v>527</v>
      </c>
      <c r="C366" s="21">
        <v>1</v>
      </c>
      <c r="D366" s="17">
        <v>1</v>
      </c>
      <c r="E366" s="16">
        <v>1</v>
      </c>
      <c r="F366" s="16">
        <v>1</v>
      </c>
      <c r="G366" s="16">
        <v>1</v>
      </c>
      <c r="H366" s="16">
        <v>1</v>
      </c>
      <c r="I366" s="16">
        <v>1</v>
      </c>
      <c r="J366" s="16">
        <v>1</v>
      </c>
      <c r="K366" s="16">
        <v>1</v>
      </c>
      <c r="L366">
        <v>52</v>
      </c>
      <c r="M366">
        <v>9</v>
      </c>
    </row>
    <row r="367" spans="2:13" x14ac:dyDescent="0.2">
      <c r="B367" s="15" t="s">
        <v>528</v>
      </c>
      <c r="C367" s="21">
        <v>1</v>
      </c>
      <c r="D367" s="17">
        <v>1</v>
      </c>
      <c r="E367" s="16">
        <v>0</v>
      </c>
      <c r="F367" s="16">
        <v>1</v>
      </c>
      <c r="G367" s="16">
        <v>1</v>
      </c>
      <c r="H367" s="16">
        <v>1</v>
      </c>
      <c r="I367" s="16">
        <v>1</v>
      </c>
      <c r="J367" s="16">
        <v>1</v>
      </c>
      <c r="K367" s="16">
        <v>1</v>
      </c>
      <c r="L367">
        <v>52</v>
      </c>
      <c r="M367">
        <v>8</v>
      </c>
    </row>
    <row r="368" spans="2:13" x14ac:dyDescent="0.2">
      <c r="B368" s="15" t="s">
        <v>529</v>
      </c>
      <c r="C368" s="21">
        <v>1</v>
      </c>
      <c r="D368" s="17">
        <v>1</v>
      </c>
      <c r="E368" s="16">
        <v>0</v>
      </c>
      <c r="F368" s="16">
        <v>0</v>
      </c>
      <c r="G368" s="16">
        <v>1</v>
      </c>
      <c r="H368" s="16">
        <v>1</v>
      </c>
      <c r="I368" s="16">
        <v>1</v>
      </c>
      <c r="J368" s="16">
        <v>1</v>
      </c>
      <c r="K368" s="16">
        <v>1</v>
      </c>
      <c r="L368">
        <v>52</v>
      </c>
      <c r="M368">
        <v>7</v>
      </c>
    </row>
    <row r="369" spans="2:15" x14ac:dyDescent="0.2">
      <c r="B369" s="15" t="s">
        <v>530</v>
      </c>
      <c r="C369" s="21">
        <v>1</v>
      </c>
      <c r="D369" s="17">
        <v>1</v>
      </c>
      <c r="E369" s="16">
        <v>0</v>
      </c>
      <c r="F369" s="16">
        <v>1</v>
      </c>
      <c r="G369" s="16">
        <v>1</v>
      </c>
      <c r="H369" s="16">
        <v>1</v>
      </c>
      <c r="I369" s="16">
        <v>1</v>
      </c>
      <c r="J369" s="16">
        <v>1</v>
      </c>
      <c r="K369" s="16">
        <v>1</v>
      </c>
      <c r="L369">
        <v>52</v>
      </c>
      <c r="M369">
        <v>8</v>
      </c>
    </row>
    <row r="370" spans="2:15" x14ac:dyDescent="0.2">
      <c r="B370" s="15" t="s">
        <v>531</v>
      </c>
      <c r="C370" s="21">
        <v>1</v>
      </c>
      <c r="D370" s="17">
        <v>1</v>
      </c>
      <c r="E370" s="16">
        <v>0</v>
      </c>
      <c r="F370" s="16">
        <v>1</v>
      </c>
      <c r="G370" s="16">
        <v>1</v>
      </c>
      <c r="H370" s="16">
        <v>1</v>
      </c>
      <c r="I370" s="16">
        <v>1</v>
      </c>
      <c r="J370" s="16">
        <v>1</v>
      </c>
      <c r="K370" s="16">
        <v>1</v>
      </c>
      <c r="L370">
        <v>53</v>
      </c>
      <c r="M370">
        <v>8</v>
      </c>
    </row>
    <row r="371" spans="2:15" x14ac:dyDescent="0.2">
      <c r="B371" s="15" t="s">
        <v>532</v>
      </c>
      <c r="C371" s="21">
        <v>1</v>
      </c>
      <c r="D371" s="17">
        <v>1</v>
      </c>
      <c r="E371" s="16">
        <v>1</v>
      </c>
      <c r="F371" s="16">
        <v>1</v>
      </c>
      <c r="G371" s="16">
        <v>1</v>
      </c>
      <c r="H371" s="16">
        <v>1</v>
      </c>
      <c r="I371" s="16">
        <v>1</v>
      </c>
      <c r="J371" s="16">
        <v>1</v>
      </c>
      <c r="K371" s="16">
        <v>1</v>
      </c>
      <c r="L371">
        <v>53</v>
      </c>
      <c r="M371">
        <v>9</v>
      </c>
    </row>
    <row r="372" spans="2:15" x14ac:dyDescent="0.2">
      <c r="B372" s="15" t="s">
        <v>533</v>
      </c>
      <c r="C372" s="21">
        <v>1</v>
      </c>
      <c r="D372" s="17">
        <v>1</v>
      </c>
      <c r="E372" s="16">
        <v>0</v>
      </c>
      <c r="F372" s="16">
        <v>1</v>
      </c>
      <c r="G372" s="16">
        <v>1</v>
      </c>
      <c r="H372" s="16">
        <v>1</v>
      </c>
      <c r="I372" s="16">
        <v>1</v>
      </c>
      <c r="J372" s="16">
        <v>1</v>
      </c>
      <c r="K372" s="16">
        <v>1</v>
      </c>
      <c r="L372">
        <v>53</v>
      </c>
      <c r="M372">
        <v>8</v>
      </c>
    </row>
    <row r="373" spans="2:15" x14ac:dyDescent="0.2">
      <c r="B373" s="15" t="s">
        <v>534</v>
      </c>
      <c r="C373" s="21">
        <v>1</v>
      </c>
      <c r="D373" s="17">
        <v>1</v>
      </c>
      <c r="E373" s="16">
        <v>0</v>
      </c>
      <c r="F373" s="16">
        <v>0</v>
      </c>
      <c r="G373" s="16">
        <v>1</v>
      </c>
      <c r="H373" s="16">
        <v>1</v>
      </c>
      <c r="I373" s="16">
        <v>1</v>
      </c>
      <c r="J373" s="16">
        <v>1</v>
      </c>
      <c r="K373" s="16">
        <v>1</v>
      </c>
      <c r="L373">
        <v>53</v>
      </c>
      <c r="M373">
        <v>7</v>
      </c>
    </row>
    <row r="374" spans="2:15" x14ac:dyDescent="0.2">
      <c r="B374" s="15" t="s">
        <v>535</v>
      </c>
      <c r="C374" s="21">
        <v>1</v>
      </c>
      <c r="D374" s="17">
        <v>1</v>
      </c>
      <c r="E374" s="16">
        <v>0</v>
      </c>
      <c r="F374" s="16">
        <v>0</v>
      </c>
      <c r="G374" s="16">
        <v>1</v>
      </c>
      <c r="H374" s="16">
        <v>1</v>
      </c>
      <c r="I374" s="16">
        <v>1</v>
      </c>
      <c r="J374" s="16">
        <v>1</v>
      </c>
      <c r="K374" s="16">
        <v>1</v>
      </c>
      <c r="L374">
        <v>53</v>
      </c>
      <c r="M374">
        <v>7</v>
      </c>
    </row>
    <row r="375" spans="2:15" x14ac:dyDescent="0.2">
      <c r="J375" s="5"/>
      <c r="O375" t="s">
        <v>34</v>
      </c>
    </row>
    <row r="376" spans="2:15" x14ac:dyDescent="0.2">
      <c r="O376" t="s">
        <v>35</v>
      </c>
    </row>
    <row r="377" spans="2:15" x14ac:dyDescent="0.2">
      <c r="O377" t="s">
        <v>39</v>
      </c>
    </row>
    <row r="378" spans="2:15" x14ac:dyDescent="0.2">
      <c r="O378" t="s">
        <v>45</v>
      </c>
    </row>
  </sheetData>
  <sortState xmlns:xlrd2="http://schemas.microsoft.com/office/spreadsheetml/2017/richdata2" ref="Q24:Q60">
    <sortCondition ref="Q24:Q60"/>
  </sortState>
  <conditionalFormatting sqref="N9">
    <cfRule type="expression" dxfId="18" priority="25" stopIfTrue="1">
      <formula>MOD(ROW(N9)-ROW($B$9),2)</formula>
    </cfRule>
  </conditionalFormatting>
  <conditionalFormatting sqref="O10:X60">
    <cfRule type="expression" dxfId="17" priority="64">
      <formula>MOD(ROW(O10)-ROW($O$258),2)</formula>
    </cfRule>
  </conditionalFormatting>
  <conditionalFormatting sqref="O45">
    <cfRule type="expression" dxfId="16" priority="20">
      <formula>MOD(ROW(O45)-ROW($O$258),2)</formula>
    </cfRule>
  </conditionalFormatting>
  <conditionalFormatting sqref="O46:O52">
    <cfRule type="expression" dxfId="15" priority="19">
      <formula>MOD(ROW(O46)-ROW($O$258),2)</formula>
    </cfRule>
  </conditionalFormatting>
  <conditionalFormatting sqref="P46:X46">
    <cfRule type="expression" dxfId="14" priority="18">
      <formula>MOD(ROW(P46)-ROW($O$258),2)</formula>
    </cfRule>
  </conditionalFormatting>
  <conditionalFormatting sqref="O48:X48">
    <cfRule type="expression" dxfId="13" priority="17">
      <formula>MOD(ROW(O48)-ROW($O$258),2)</formula>
    </cfRule>
  </conditionalFormatting>
  <conditionalFormatting sqref="P48:X48">
    <cfRule type="expression" dxfId="12" priority="16">
      <formula>MOD(ROW(P48)-ROW($O$258),2)</formula>
    </cfRule>
  </conditionalFormatting>
  <conditionalFormatting sqref="O49:X49">
    <cfRule type="expression" dxfId="11" priority="14">
      <formula>MOD(ROW(O49)-ROW($O$258),2)</formula>
    </cfRule>
  </conditionalFormatting>
  <conditionalFormatting sqref="O50:X50">
    <cfRule type="expression" dxfId="10" priority="13">
      <formula>MOD(ROW(O50)-ROW($O$258),2)</formula>
    </cfRule>
  </conditionalFormatting>
  <conditionalFormatting sqref="P50:X50">
    <cfRule type="expression" dxfId="9" priority="12">
      <formula>MOD(ROW(P50)-ROW($O$258),2)</formula>
    </cfRule>
  </conditionalFormatting>
  <conditionalFormatting sqref="O51:X51">
    <cfRule type="expression" dxfId="8" priority="10">
      <formula>MOD(ROW(O51)-ROW($O$258),2)</formula>
    </cfRule>
  </conditionalFormatting>
  <conditionalFormatting sqref="O52:X52">
    <cfRule type="expression" dxfId="7" priority="9">
      <formula>MOD(ROW(O52)-ROW($O$258),2)</formula>
    </cfRule>
  </conditionalFormatting>
  <conditionalFormatting sqref="O52:X52">
    <cfRule type="expression" dxfId="6" priority="8">
      <formula>MOD(ROW(O52)-ROW($O$258),2)</formula>
    </cfRule>
  </conditionalFormatting>
  <conditionalFormatting sqref="P52:X52">
    <cfRule type="expression" dxfId="5" priority="7">
      <formula>MOD(ROW(P52)-ROW($O$258),2)</formula>
    </cfRule>
  </conditionalFormatting>
  <conditionalFormatting sqref="P54:X54">
    <cfRule type="expression" dxfId="4" priority="2">
      <formula>MOD(ROW(P54)-ROW($O$258),2)</formula>
    </cfRule>
  </conditionalFormatting>
  <conditionalFormatting sqref="P53:X53">
    <cfRule type="expression" dxfId="3" priority="1">
      <formula>MOD(ROW(P53)-ROW($O$258),2)</formula>
    </cfRule>
  </conditionalFormatting>
  <conditionalFormatting sqref="J375">
    <cfRule type="expression" dxfId="2" priority="65" stopIfTrue="1">
      <formula>MOD(ROW(J375)-ROW($B$9),2)</formula>
    </cfRule>
  </conditionalFormatting>
  <conditionalFormatting sqref="B10:K374">
    <cfRule type="expression" dxfId="1" priority="66" stopIfTrue="1">
      <formula>MOD(ROW(B10)-ROW($B$9),2)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4C87A8-6AE3-49AB-936B-A81F6F10F5F0}">
  <sheetPr codeName="Sheet4">
    <tabColor rgb="FFCCFFCC"/>
  </sheetPr>
  <dimension ref="B2:AC370"/>
  <sheetViews>
    <sheetView tabSelected="1" workbookViewId="0">
      <pane ySplit="4" topLeftCell="A34" activePane="bottomLeft" state="frozen"/>
      <selection pane="bottomLeft" activeCell="V49" sqref="V49"/>
    </sheetView>
  </sheetViews>
  <sheetFormatPr defaultRowHeight="12.75" x14ac:dyDescent="0.2"/>
  <cols>
    <col min="2" max="2" width="11" bestFit="1" customWidth="1"/>
    <col min="3" max="4" width="3.28515625" customWidth="1"/>
    <col min="5" max="5" width="3.28515625" bestFit="1" customWidth="1"/>
    <col min="6" max="6" width="3.28515625" customWidth="1"/>
    <col min="7" max="9" width="3.28515625" bestFit="1" customWidth="1"/>
    <col min="10" max="11" width="3.28515625" customWidth="1"/>
    <col min="12" max="12" width="4.140625" customWidth="1"/>
    <col min="13" max="13" width="3.28515625" customWidth="1"/>
    <col min="15" max="15" width="6.42578125" customWidth="1"/>
    <col min="16" max="23" width="3.28515625" style="5" bestFit="1" customWidth="1"/>
    <col min="24" max="24" width="3.28515625" style="5" customWidth="1"/>
  </cols>
  <sheetData>
    <row r="2" spans="2:26" ht="3.6" customHeight="1" thickBot="1" x14ac:dyDescent="0.25"/>
    <row r="3" spans="2:26" ht="13.5" hidden="1" thickBot="1" x14ac:dyDescent="0.25"/>
    <row r="4" spans="2:26" ht="145.5" thickBot="1" x14ac:dyDescent="0.25">
      <c r="B4" s="3" t="s">
        <v>0</v>
      </c>
      <c r="C4" s="2" t="s">
        <v>11</v>
      </c>
      <c r="D4" s="2" t="s">
        <v>41</v>
      </c>
      <c r="E4" s="2" t="s">
        <v>4</v>
      </c>
      <c r="F4" s="2" t="s">
        <v>8</v>
      </c>
      <c r="G4" s="2" t="s">
        <v>538</v>
      </c>
      <c r="H4" s="2" t="s">
        <v>6</v>
      </c>
      <c r="I4" s="2" t="s">
        <v>537</v>
      </c>
      <c r="J4" s="4" t="s">
        <v>539</v>
      </c>
      <c r="K4" s="2" t="s">
        <v>7</v>
      </c>
      <c r="L4" s="1" t="s">
        <v>536</v>
      </c>
      <c r="M4" s="9" t="s">
        <v>23</v>
      </c>
      <c r="N4" s="15"/>
      <c r="O4" s="39" t="s">
        <v>540</v>
      </c>
      <c r="P4" s="43" t="str" cm="1">
        <f t="array" ref="P4:X4">_nHd</f>
        <v>Excel Drill</v>
      </c>
      <c r="Q4" s="43" t="str">
        <v>Meds</v>
      </c>
      <c r="R4" s="43" t="str">
        <v>Weight Lift</v>
      </c>
      <c r="S4" s="43" t="str">
        <v>Walk</v>
      </c>
      <c r="T4" s="43" t="str">
        <v>German Crossword</v>
      </c>
      <c r="U4" s="43" t="str">
        <v>German Vocab</v>
      </c>
      <c r="V4" s="43" t="str">
        <v>German Conjugation</v>
      </c>
      <c r="W4" s="43" t="str">
        <v>German Reading/W Practice</v>
      </c>
      <c r="X4" s="44" t="str">
        <v>CSS Drill</v>
      </c>
    </row>
    <row r="5" spans="2:26" ht="13.5" thickTop="1" x14ac:dyDescent="0.2">
      <c r="B5" s="41" t="str" cm="1">
        <f t="array" aca="1" ref="B5:B42" ca="1">TEXT(DATE(2026,1,_xlfn.SEQUENCE(1+_xlfn.DAYS(TODAY(),DATE(2026,1,1)))),"dd-mmm")</f>
        <v>01-Jan</v>
      </c>
      <c r="C5" s="5">
        <v>1</v>
      </c>
      <c r="D5" s="5">
        <v>1</v>
      </c>
      <c r="E5" s="5">
        <v>0</v>
      </c>
      <c r="F5" s="5">
        <v>0</v>
      </c>
      <c r="G5" s="5">
        <v>1</v>
      </c>
      <c r="H5" s="5">
        <v>1</v>
      </c>
      <c r="I5" s="5">
        <v>1</v>
      </c>
      <c r="J5" s="5">
        <v>1</v>
      </c>
      <c r="K5" s="5">
        <v>1</v>
      </c>
      <c r="L5" cm="1">
        <f t="array" aca="1" ref="L5:L42" ca="1">_xlfn.BYROW(_xlfn.TAKE(Banded,,1),_xleta.WEEKNUM)</f>
        <v>1</v>
      </c>
      <c r="M5" cm="1">
        <f t="array" ref="M5:M42">_xlfn.BYROW(_xlfn.DROP(Banded,,1),_xleta.SUM)</f>
        <v>7</v>
      </c>
      <c r="O5" s="38" cm="1">
        <f t="array" aca="1" ref="O5:X10" ca="1">_xlfn.PIVOTBY(ix,,_d,_xleta.SUM,0,0)</f>
        <v>1</v>
      </c>
      <c r="P5" s="5">
        <f ca="1"/>
        <v>3</v>
      </c>
      <c r="Q5" s="5">
        <f ca="1"/>
        <v>3</v>
      </c>
      <c r="R5" s="5">
        <f ca="1"/>
        <v>0</v>
      </c>
      <c r="S5" s="5">
        <f ca="1"/>
        <v>1</v>
      </c>
      <c r="T5" s="5">
        <f ca="1"/>
        <v>3</v>
      </c>
      <c r="U5" s="5">
        <f ca="1"/>
        <v>3</v>
      </c>
      <c r="V5" s="5">
        <f ca="1"/>
        <v>3</v>
      </c>
      <c r="W5" s="5">
        <f ca="1"/>
        <v>3</v>
      </c>
      <c r="X5" s="5">
        <f ca="1"/>
        <v>3</v>
      </c>
    </row>
    <row r="6" spans="2:26" ht="13.15" customHeight="1" x14ac:dyDescent="0.2">
      <c r="B6" s="41" t="str">
        <f ca="1"/>
        <v>02-Jan</v>
      </c>
      <c r="C6" s="5">
        <v>1</v>
      </c>
      <c r="D6" s="5">
        <v>1</v>
      </c>
      <c r="E6" s="5">
        <v>0</v>
      </c>
      <c r="F6" s="5">
        <v>0</v>
      </c>
      <c r="G6" s="5">
        <v>1</v>
      </c>
      <c r="H6" s="5">
        <v>1</v>
      </c>
      <c r="I6" s="5">
        <v>1</v>
      </c>
      <c r="J6" s="5">
        <v>1</v>
      </c>
      <c r="K6" s="5">
        <v>1</v>
      </c>
      <c r="L6">
        <f ca="1"/>
        <v>1</v>
      </c>
      <c r="M6">
        <v>7</v>
      </c>
      <c r="O6" s="38">
        <f ca="1"/>
        <v>2</v>
      </c>
      <c r="P6" s="5">
        <f ca="1"/>
        <v>7</v>
      </c>
      <c r="Q6" s="5">
        <f ca="1"/>
        <v>7</v>
      </c>
      <c r="R6" s="5">
        <f ca="1"/>
        <v>1</v>
      </c>
      <c r="S6" s="5">
        <f ca="1"/>
        <v>5</v>
      </c>
      <c r="T6" s="5">
        <f ca="1"/>
        <v>7</v>
      </c>
      <c r="U6" s="5">
        <f ca="1"/>
        <v>7</v>
      </c>
      <c r="V6" s="5">
        <f ca="1"/>
        <v>7</v>
      </c>
      <c r="W6" s="5">
        <f ca="1"/>
        <v>7</v>
      </c>
      <c r="X6" s="5">
        <f ca="1"/>
        <v>7</v>
      </c>
    </row>
    <row r="7" spans="2:26" x14ac:dyDescent="0.2">
      <c r="B7" s="41" t="str">
        <f ca="1"/>
        <v>03-Jan</v>
      </c>
      <c r="C7" s="5">
        <v>1</v>
      </c>
      <c r="D7" s="5">
        <v>1</v>
      </c>
      <c r="E7" s="5">
        <v>0</v>
      </c>
      <c r="F7" s="5">
        <v>1</v>
      </c>
      <c r="G7" s="5">
        <v>1</v>
      </c>
      <c r="H7" s="5">
        <v>1</v>
      </c>
      <c r="I7" s="5">
        <v>1</v>
      </c>
      <c r="J7" s="5">
        <v>1</v>
      </c>
      <c r="K7" s="5">
        <v>1</v>
      </c>
      <c r="L7">
        <f ca="1"/>
        <v>1</v>
      </c>
      <c r="M7">
        <v>8</v>
      </c>
      <c r="O7" s="38">
        <f ca="1"/>
        <v>3</v>
      </c>
      <c r="P7" s="5">
        <f ca="1"/>
        <v>7</v>
      </c>
      <c r="Q7" s="5">
        <f ca="1"/>
        <v>7</v>
      </c>
      <c r="R7" s="5">
        <f ca="1"/>
        <v>3</v>
      </c>
      <c r="S7" s="5">
        <f ca="1"/>
        <v>7</v>
      </c>
      <c r="T7" s="5">
        <f ca="1"/>
        <v>7</v>
      </c>
      <c r="U7" s="5">
        <f ca="1"/>
        <v>7</v>
      </c>
      <c r="V7" s="5">
        <f ca="1"/>
        <v>7</v>
      </c>
      <c r="W7" s="5">
        <f ca="1"/>
        <v>7</v>
      </c>
      <c r="X7" s="5">
        <f ca="1"/>
        <v>7</v>
      </c>
    </row>
    <row r="8" spans="2:26" x14ac:dyDescent="0.2">
      <c r="B8" s="42" t="str">
        <f ca="1"/>
        <v>04-Jan</v>
      </c>
      <c r="C8" s="5">
        <v>1</v>
      </c>
      <c r="D8" s="5">
        <v>1</v>
      </c>
      <c r="E8" s="5">
        <v>0</v>
      </c>
      <c r="F8" s="5">
        <v>1</v>
      </c>
      <c r="G8" s="5">
        <v>1</v>
      </c>
      <c r="H8" s="5">
        <v>1</v>
      </c>
      <c r="I8" s="5">
        <v>1</v>
      </c>
      <c r="J8" s="5">
        <v>1</v>
      </c>
      <c r="K8" s="5">
        <v>1</v>
      </c>
      <c r="L8">
        <f ca="1"/>
        <v>2</v>
      </c>
      <c r="M8">
        <v>8</v>
      </c>
      <c r="O8" s="38">
        <f ca="1"/>
        <v>4</v>
      </c>
      <c r="P8" s="5">
        <f ca="1"/>
        <v>7</v>
      </c>
      <c r="Q8" s="5">
        <f ca="1"/>
        <v>7</v>
      </c>
      <c r="R8" s="5">
        <f ca="1"/>
        <v>4</v>
      </c>
      <c r="S8" s="5">
        <f ca="1"/>
        <v>6</v>
      </c>
      <c r="T8" s="5">
        <f ca="1"/>
        <v>7</v>
      </c>
      <c r="U8" s="5">
        <f ca="1"/>
        <v>7</v>
      </c>
      <c r="V8" s="5">
        <f ca="1"/>
        <v>7</v>
      </c>
      <c r="W8" s="5">
        <f ca="1"/>
        <v>7</v>
      </c>
      <c r="X8" s="5">
        <f ca="1"/>
        <v>7</v>
      </c>
      <c r="Z8" t="s">
        <v>13</v>
      </c>
    </row>
    <row r="9" spans="2:26" x14ac:dyDescent="0.2">
      <c r="B9" s="42" t="str">
        <f ca="1"/>
        <v>05-Jan</v>
      </c>
      <c r="C9" s="5">
        <v>1</v>
      </c>
      <c r="D9" s="5">
        <v>1</v>
      </c>
      <c r="E9" s="5">
        <v>0</v>
      </c>
      <c r="F9" s="5">
        <v>1</v>
      </c>
      <c r="G9" s="5">
        <v>1</v>
      </c>
      <c r="H9" s="5">
        <v>1</v>
      </c>
      <c r="I9" s="5">
        <v>1</v>
      </c>
      <c r="J9" s="5">
        <v>1</v>
      </c>
      <c r="K9" s="5">
        <v>1</v>
      </c>
      <c r="L9">
        <f ca="1"/>
        <v>2</v>
      </c>
      <c r="M9">
        <v>8</v>
      </c>
      <c r="O9" s="38">
        <f ca="1"/>
        <v>5</v>
      </c>
      <c r="P9" s="5">
        <f ca="1"/>
        <v>7</v>
      </c>
      <c r="Q9" s="5">
        <f ca="1"/>
        <v>7</v>
      </c>
      <c r="R9" s="5">
        <f ca="1"/>
        <v>4</v>
      </c>
      <c r="S9" s="5">
        <f ca="1"/>
        <v>7</v>
      </c>
      <c r="T9" s="5">
        <f ca="1"/>
        <v>7</v>
      </c>
      <c r="U9" s="5">
        <f ca="1"/>
        <v>7</v>
      </c>
      <c r="V9" s="5">
        <f ca="1"/>
        <v>7</v>
      </c>
      <c r="W9" s="5">
        <f ca="1"/>
        <v>7</v>
      </c>
      <c r="X9" s="5">
        <f ca="1"/>
        <v>7</v>
      </c>
      <c r="Z9" t="s">
        <v>14</v>
      </c>
    </row>
    <row r="10" spans="2:26" x14ac:dyDescent="0.2">
      <c r="B10" s="42" t="str">
        <f ca="1"/>
        <v>06-Jan</v>
      </c>
      <c r="C10" s="5">
        <v>1</v>
      </c>
      <c r="D10" s="5">
        <v>1</v>
      </c>
      <c r="E10" s="5">
        <v>0</v>
      </c>
      <c r="F10" s="5">
        <v>0</v>
      </c>
      <c r="G10" s="5">
        <v>1</v>
      </c>
      <c r="H10" s="5">
        <v>1</v>
      </c>
      <c r="I10" s="5">
        <v>1</v>
      </c>
      <c r="J10" s="5">
        <v>1</v>
      </c>
      <c r="K10" s="5">
        <v>1</v>
      </c>
      <c r="L10">
        <f ca="1"/>
        <v>2</v>
      </c>
      <c r="M10">
        <v>7</v>
      </c>
      <c r="O10" s="38">
        <f ca="1"/>
        <v>6</v>
      </c>
      <c r="P10" s="5">
        <f ca="1"/>
        <v>7</v>
      </c>
      <c r="Q10" s="5">
        <f ca="1"/>
        <v>7</v>
      </c>
      <c r="R10" s="5">
        <f ca="1"/>
        <v>3</v>
      </c>
      <c r="S10" s="5">
        <f ca="1"/>
        <v>7</v>
      </c>
      <c r="T10" s="5">
        <f ca="1"/>
        <v>7</v>
      </c>
      <c r="U10" s="5">
        <f ca="1"/>
        <v>7</v>
      </c>
      <c r="V10" s="5">
        <f ca="1"/>
        <v>7</v>
      </c>
      <c r="W10" s="5">
        <f ca="1"/>
        <v>7</v>
      </c>
      <c r="X10" s="5">
        <f ca="1"/>
        <v>7</v>
      </c>
      <c r="Z10" t="s">
        <v>15</v>
      </c>
    </row>
    <row r="11" spans="2:26" x14ac:dyDescent="0.2">
      <c r="B11" s="42" t="str">
        <f ca="1"/>
        <v>07-Jan</v>
      </c>
      <c r="C11" s="5">
        <v>1</v>
      </c>
      <c r="D11" s="5">
        <v>1</v>
      </c>
      <c r="E11" s="5">
        <v>0</v>
      </c>
      <c r="F11" s="5">
        <v>1</v>
      </c>
      <c r="G11" s="5">
        <v>1</v>
      </c>
      <c r="H11" s="5">
        <v>1</v>
      </c>
      <c r="I11" s="5">
        <v>1</v>
      </c>
      <c r="J11" s="5">
        <v>1</v>
      </c>
      <c r="K11" s="5">
        <v>1</v>
      </c>
      <c r="L11">
        <f ca="1"/>
        <v>2</v>
      </c>
      <c r="M11">
        <v>8</v>
      </c>
      <c r="O11" s="38"/>
    </row>
    <row r="12" spans="2:26" x14ac:dyDescent="0.2">
      <c r="B12" s="42" t="str">
        <f ca="1"/>
        <v>08-Jan</v>
      </c>
      <c r="C12" s="5">
        <v>1</v>
      </c>
      <c r="D12" s="5">
        <v>1</v>
      </c>
      <c r="E12" s="5">
        <v>1</v>
      </c>
      <c r="F12" s="5">
        <v>1</v>
      </c>
      <c r="G12" s="5">
        <v>1</v>
      </c>
      <c r="H12" s="5">
        <v>1</v>
      </c>
      <c r="I12" s="5">
        <v>1</v>
      </c>
      <c r="J12" s="5">
        <v>1</v>
      </c>
      <c r="K12" s="5">
        <v>1</v>
      </c>
      <c r="L12">
        <f ca="1"/>
        <v>2</v>
      </c>
      <c r="M12">
        <v>9</v>
      </c>
      <c r="O12" s="38"/>
    </row>
    <row r="13" spans="2:26" x14ac:dyDescent="0.2">
      <c r="B13" s="42" t="str">
        <f ca="1"/>
        <v>09-Jan</v>
      </c>
      <c r="C13" s="5">
        <v>1</v>
      </c>
      <c r="D13" s="5">
        <v>1</v>
      </c>
      <c r="E13" s="5">
        <v>0</v>
      </c>
      <c r="F13" s="5">
        <v>1</v>
      </c>
      <c r="G13" s="5">
        <v>1</v>
      </c>
      <c r="H13" s="5">
        <v>1</v>
      </c>
      <c r="I13" s="5">
        <v>1</v>
      </c>
      <c r="J13" s="5">
        <v>1</v>
      </c>
      <c r="K13" s="5">
        <v>1</v>
      </c>
      <c r="L13">
        <f ca="1"/>
        <v>2</v>
      </c>
      <c r="M13">
        <v>8</v>
      </c>
      <c r="O13" s="38"/>
    </row>
    <row r="14" spans="2:26" x14ac:dyDescent="0.2">
      <c r="B14" s="42" t="str">
        <f ca="1"/>
        <v>10-Jan</v>
      </c>
      <c r="C14" s="5">
        <v>1</v>
      </c>
      <c r="D14" s="5">
        <v>1</v>
      </c>
      <c r="E14" s="5">
        <v>0</v>
      </c>
      <c r="F14" s="5">
        <v>0</v>
      </c>
      <c r="G14" s="5">
        <v>1</v>
      </c>
      <c r="H14" s="5">
        <v>1</v>
      </c>
      <c r="I14" s="5">
        <v>1</v>
      </c>
      <c r="J14" s="5">
        <v>1</v>
      </c>
      <c r="K14" s="5">
        <v>1</v>
      </c>
      <c r="L14">
        <f ca="1"/>
        <v>2</v>
      </c>
      <c r="M14">
        <v>7</v>
      </c>
      <c r="O14" s="38"/>
    </row>
    <row r="15" spans="2:26" x14ac:dyDescent="0.2">
      <c r="B15" s="42" t="str">
        <f ca="1"/>
        <v>11-Jan</v>
      </c>
      <c r="C15" s="5">
        <v>1</v>
      </c>
      <c r="D15" s="5">
        <v>1</v>
      </c>
      <c r="E15" s="5">
        <v>0</v>
      </c>
      <c r="F15" s="5">
        <v>1</v>
      </c>
      <c r="G15" s="5">
        <v>1</v>
      </c>
      <c r="H15" s="5">
        <v>1</v>
      </c>
      <c r="I15" s="5">
        <v>1</v>
      </c>
      <c r="J15" s="5">
        <v>1</v>
      </c>
      <c r="K15" s="5">
        <v>1</v>
      </c>
      <c r="L15">
        <f ca="1"/>
        <v>3</v>
      </c>
      <c r="M15">
        <v>8</v>
      </c>
      <c r="O15" s="38"/>
    </row>
    <row r="16" spans="2:26" x14ac:dyDescent="0.2">
      <c r="B16" s="42" t="str">
        <f ca="1"/>
        <v>12-Jan</v>
      </c>
      <c r="C16" s="5">
        <v>1</v>
      </c>
      <c r="D16" s="5">
        <v>1</v>
      </c>
      <c r="E16" s="5">
        <v>0</v>
      </c>
      <c r="F16" s="5">
        <v>1</v>
      </c>
      <c r="G16" s="5">
        <v>1</v>
      </c>
      <c r="H16" s="5">
        <v>1</v>
      </c>
      <c r="I16" s="5">
        <v>1</v>
      </c>
      <c r="J16" s="5">
        <v>1</v>
      </c>
      <c r="K16" s="5">
        <v>1</v>
      </c>
      <c r="L16">
        <f ca="1"/>
        <v>3</v>
      </c>
      <c r="M16">
        <v>8</v>
      </c>
      <c r="O16" s="38"/>
    </row>
    <row r="17" spans="2:15" x14ac:dyDescent="0.2">
      <c r="B17" s="42" t="str">
        <f ca="1"/>
        <v>13-Jan</v>
      </c>
      <c r="C17" s="5">
        <v>1</v>
      </c>
      <c r="D17" s="5">
        <v>1</v>
      </c>
      <c r="E17" s="5">
        <v>1</v>
      </c>
      <c r="F17" s="5">
        <v>1</v>
      </c>
      <c r="G17" s="5">
        <v>1</v>
      </c>
      <c r="H17" s="5">
        <v>1</v>
      </c>
      <c r="I17" s="5">
        <v>1</v>
      </c>
      <c r="J17" s="5">
        <v>1</v>
      </c>
      <c r="K17" s="5">
        <v>1</v>
      </c>
      <c r="L17">
        <f ca="1"/>
        <v>3</v>
      </c>
      <c r="M17">
        <v>9</v>
      </c>
      <c r="O17" s="38"/>
    </row>
    <row r="18" spans="2:15" x14ac:dyDescent="0.2">
      <c r="B18" s="42" t="str">
        <f ca="1"/>
        <v>14-Jan</v>
      </c>
      <c r="C18" s="5">
        <v>1</v>
      </c>
      <c r="D18" s="5">
        <v>1</v>
      </c>
      <c r="E18" s="5">
        <v>1</v>
      </c>
      <c r="F18" s="5">
        <v>1</v>
      </c>
      <c r="G18" s="5">
        <v>1</v>
      </c>
      <c r="H18" s="5">
        <v>1</v>
      </c>
      <c r="I18" s="5">
        <v>1</v>
      </c>
      <c r="J18" s="5">
        <v>1</v>
      </c>
      <c r="K18" s="5">
        <v>1</v>
      </c>
      <c r="L18">
        <f ca="1"/>
        <v>3</v>
      </c>
      <c r="M18">
        <v>9</v>
      </c>
      <c r="O18" s="38"/>
    </row>
    <row r="19" spans="2:15" x14ac:dyDescent="0.2">
      <c r="B19" s="42" t="str">
        <f ca="1"/>
        <v>15-Jan</v>
      </c>
      <c r="C19" s="5">
        <v>1</v>
      </c>
      <c r="D19" s="5">
        <v>1</v>
      </c>
      <c r="E19" s="5">
        <v>1</v>
      </c>
      <c r="F19" s="5">
        <v>1</v>
      </c>
      <c r="G19" s="5">
        <v>1</v>
      </c>
      <c r="H19" s="5">
        <v>1</v>
      </c>
      <c r="I19" s="5">
        <v>1</v>
      </c>
      <c r="J19" s="5">
        <v>1</v>
      </c>
      <c r="K19" s="5">
        <v>1</v>
      </c>
      <c r="L19">
        <f ca="1"/>
        <v>3</v>
      </c>
      <c r="M19">
        <v>9</v>
      </c>
      <c r="O19" s="38"/>
    </row>
    <row r="20" spans="2:15" x14ac:dyDescent="0.2">
      <c r="B20" s="42" t="str">
        <f ca="1"/>
        <v>16-Jan</v>
      </c>
      <c r="C20" s="5">
        <v>1</v>
      </c>
      <c r="D20" s="5">
        <v>1</v>
      </c>
      <c r="E20" s="5">
        <v>0</v>
      </c>
      <c r="F20" s="5">
        <v>1</v>
      </c>
      <c r="G20" s="5">
        <v>1</v>
      </c>
      <c r="H20" s="5">
        <v>1</v>
      </c>
      <c r="I20" s="5">
        <v>1</v>
      </c>
      <c r="J20" s="5">
        <v>1</v>
      </c>
      <c r="K20" s="5">
        <v>1</v>
      </c>
      <c r="L20">
        <f ca="1"/>
        <v>3</v>
      </c>
      <c r="M20">
        <v>8</v>
      </c>
      <c r="O20" s="38"/>
    </row>
    <row r="21" spans="2:15" x14ac:dyDescent="0.2">
      <c r="B21" s="42" t="str">
        <f ca="1"/>
        <v>17-Jan</v>
      </c>
      <c r="C21" s="5">
        <v>1</v>
      </c>
      <c r="D21" s="5">
        <v>1</v>
      </c>
      <c r="E21" s="5">
        <v>0</v>
      </c>
      <c r="F21" s="5">
        <v>1</v>
      </c>
      <c r="G21" s="5">
        <v>1</v>
      </c>
      <c r="H21" s="5">
        <v>1</v>
      </c>
      <c r="I21" s="5">
        <v>1</v>
      </c>
      <c r="J21" s="5">
        <v>1</v>
      </c>
      <c r="K21" s="5">
        <v>1</v>
      </c>
      <c r="L21">
        <f ca="1"/>
        <v>3</v>
      </c>
      <c r="M21">
        <v>8</v>
      </c>
      <c r="O21" s="38"/>
    </row>
    <row r="22" spans="2:15" x14ac:dyDescent="0.2">
      <c r="B22" s="42" t="str">
        <f ca="1"/>
        <v>18-Jan</v>
      </c>
      <c r="C22" s="5">
        <v>1</v>
      </c>
      <c r="D22" s="5">
        <v>1</v>
      </c>
      <c r="E22" s="5">
        <v>1</v>
      </c>
      <c r="F22" s="5">
        <v>1</v>
      </c>
      <c r="G22" s="5">
        <v>1</v>
      </c>
      <c r="H22" s="5">
        <v>1</v>
      </c>
      <c r="I22" s="5">
        <v>1</v>
      </c>
      <c r="J22" s="5">
        <v>1</v>
      </c>
      <c r="K22" s="5">
        <v>1</v>
      </c>
      <c r="L22">
        <f ca="1"/>
        <v>4</v>
      </c>
      <c r="M22">
        <v>9</v>
      </c>
      <c r="O22" s="38"/>
    </row>
    <row r="23" spans="2:15" x14ac:dyDescent="0.2">
      <c r="B23" s="42" t="str">
        <f ca="1"/>
        <v>19-Jan</v>
      </c>
      <c r="C23" s="5">
        <v>1</v>
      </c>
      <c r="D23" s="5">
        <v>1</v>
      </c>
      <c r="E23" s="5">
        <v>1</v>
      </c>
      <c r="F23" s="5">
        <v>1</v>
      </c>
      <c r="G23" s="5">
        <v>1</v>
      </c>
      <c r="H23" s="5">
        <v>1</v>
      </c>
      <c r="I23" s="5">
        <v>1</v>
      </c>
      <c r="J23" s="5">
        <v>1</v>
      </c>
      <c r="K23" s="5">
        <v>1</v>
      </c>
      <c r="L23">
        <f ca="1"/>
        <v>4</v>
      </c>
      <c r="M23">
        <v>9</v>
      </c>
      <c r="O23" s="38"/>
    </row>
    <row r="24" spans="2:15" x14ac:dyDescent="0.2">
      <c r="B24" s="42" t="str">
        <f ca="1"/>
        <v>20-Jan</v>
      </c>
      <c r="C24" s="5">
        <v>1</v>
      </c>
      <c r="D24" s="5">
        <v>1</v>
      </c>
      <c r="E24" s="5">
        <v>1</v>
      </c>
      <c r="F24" s="5">
        <v>1</v>
      </c>
      <c r="G24" s="5">
        <v>1</v>
      </c>
      <c r="H24" s="5">
        <v>1</v>
      </c>
      <c r="I24" s="5">
        <v>1</v>
      </c>
      <c r="J24" s="5">
        <v>1</v>
      </c>
      <c r="K24" s="5">
        <v>1</v>
      </c>
      <c r="L24">
        <f ca="1"/>
        <v>4</v>
      </c>
      <c r="M24">
        <v>9</v>
      </c>
      <c r="O24" s="38"/>
    </row>
    <row r="25" spans="2:15" x14ac:dyDescent="0.2">
      <c r="B25" s="41" t="str">
        <f ca="1"/>
        <v>21-Jan</v>
      </c>
      <c r="C25" s="5">
        <v>1</v>
      </c>
      <c r="D25" s="5">
        <v>1</v>
      </c>
      <c r="E25" s="5">
        <v>0</v>
      </c>
      <c r="F25" s="5">
        <v>0</v>
      </c>
      <c r="G25" s="5">
        <v>1</v>
      </c>
      <c r="H25" s="5">
        <v>1</v>
      </c>
      <c r="I25" s="5">
        <v>1</v>
      </c>
      <c r="J25" s="5">
        <v>1</v>
      </c>
      <c r="K25" s="5">
        <v>1</v>
      </c>
      <c r="L25">
        <f ca="1"/>
        <v>4</v>
      </c>
      <c r="M25">
        <v>7</v>
      </c>
      <c r="O25" s="38"/>
    </row>
    <row r="26" spans="2:15" x14ac:dyDescent="0.2">
      <c r="B26" s="41" t="str">
        <f ca="1"/>
        <v>22-Jan</v>
      </c>
      <c r="C26" s="5">
        <v>1</v>
      </c>
      <c r="D26" s="5">
        <v>1</v>
      </c>
      <c r="E26" s="5">
        <v>0</v>
      </c>
      <c r="F26" s="5">
        <v>1</v>
      </c>
      <c r="G26" s="5">
        <v>1</v>
      </c>
      <c r="H26" s="5">
        <v>1</v>
      </c>
      <c r="I26" s="5">
        <v>1</v>
      </c>
      <c r="J26" s="5">
        <v>1</v>
      </c>
      <c r="K26" s="5">
        <v>1</v>
      </c>
      <c r="L26">
        <f ca="1"/>
        <v>4</v>
      </c>
      <c r="M26">
        <v>8</v>
      </c>
      <c r="O26" s="38"/>
    </row>
    <row r="27" spans="2:15" x14ac:dyDescent="0.2">
      <c r="B27" s="41" t="str">
        <f ca="1"/>
        <v>23-Jan</v>
      </c>
      <c r="C27" s="5">
        <v>1</v>
      </c>
      <c r="D27" s="5">
        <v>1</v>
      </c>
      <c r="E27" s="5">
        <v>0</v>
      </c>
      <c r="F27" s="5">
        <v>1</v>
      </c>
      <c r="G27" s="5">
        <v>1</v>
      </c>
      <c r="H27" s="5">
        <v>1</v>
      </c>
      <c r="I27" s="5">
        <v>1</v>
      </c>
      <c r="J27" s="5">
        <v>1</v>
      </c>
      <c r="K27" s="5">
        <v>1</v>
      </c>
      <c r="L27">
        <f ca="1"/>
        <v>4</v>
      </c>
      <c r="M27">
        <v>8</v>
      </c>
      <c r="O27" s="38"/>
    </row>
    <row r="28" spans="2:15" x14ac:dyDescent="0.2">
      <c r="B28" s="41" t="str">
        <f ca="1"/>
        <v>24-Jan</v>
      </c>
      <c r="C28" s="5">
        <v>1</v>
      </c>
      <c r="D28" s="5">
        <v>1</v>
      </c>
      <c r="E28" s="5">
        <v>1</v>
      </c>
      <c r="F28" s="5">
        <v>1</v>
      </c>
      <c r="G28" s="5">
        <v>1</v>
      </c>
      <c r="H28" s="5">
        <v>1</v>
      </c>
      <c r="I28" s="5">
        <v>1</v>
      </c>
      <c r="J28" s="5">
        <v>1</v>
      </c>
      <c r="K28" s="5">
        <v>1</v>
      </c>
      <c r="L28">
        <f ca="1"/>
        <v>4</v>
      </c>
      <c r="M28">
        <v>9</v>
      </c>
      <c r="O28" s="38"/>
    </row>
    <row r="29" spans="2:15" x14ac:dyDescent="0.2">
      <c r="B29" s="41" t="str">
        <f ca="1"/>
        <v>25-Jan</v>
      </c>
      <c r="C29" s="5">
        <v>1</v>
      </c>
      <c r="D29" s="5">
        <v>1</v>
      </c>
      <c r="E29" s="5">
        <v>0</v>
      </c>
      <c r="F29" s="5">
        <v>1</v>
      </c>
      <c r="G29" s="5">
        <v>1</v>
      </c>
      <c r="H29" s="5">
        <v>1</v>
      </c>
      <c r="I29" s="5">
        <v>1</v>
      </c>
      <c r="J29" s="5">
        <v>1</v>
      </c>
      <c r="K29" s="5">
        <v>1</v>
      </c>
      <c r="L29">
        <f ca="1"/>
        <v>5</v>
      </c>
      <c r="M29">
        <v>8</v>
      </c>
      <c r="O29" s="38"/>
    </row>
    <row r="30" spans="2:15" x14ac:dyDescent="0.2">
      <c r="B30" s="41" t="str">
        <f ca="1"/>
        <v>26-Jan</v>
      </c>
      <c r="C30" s="5">
        <v>1</v>
      </c>
      <c r="D30" s="5">
        <v>1</v>
      </c>
      <c r="E30" s="5">
        <v>1</v>
      </c>
      <c r="F30" s="5">
        <v>1</v>
      </c>
      <c r="G30" s="5">
        <v>1</v>
      </c>
      <c r="H30" s="5">
        <v>1</v>
      </c>
      <c r="I30" s="5">
        <v>1</v>
      </c>
      <c r="J30" s="5">
        <v>1</v>
      </c>
      <c r="K30" s="5">
        <v>1</v>
      </c>
      <c r="L30">
        <f ca="1"/>
        <v>5</v>
      </c>
      <c r="M30">
        <v>9</v>
      </c>
      <c r="O30" s="38"/>
    </row>
    <row r="31" spans="2:15" x14ac:dyDescent="0.2">
      <c r="B31" s="41" t="str">
        <f ca="1"/>
        <v>27-Jan</v>
      </c>
      <c r="C31" s="5">
        <v>1</v>
      </c>
      <c r="D31" s="5">
        <v>1</v>
      </c>
      <c r="E31" s="5">
        <v>1</v>
      </c>
      <c r="F31" s="5">
        <v>1</v>
      </c>
      <c r="G31" s="5">
        <v>1</v>
      </c>
      <c r="H31" s="5">
        <v>1</v>
      </c>
      <c r="I31" s="5">
        <v>1</v>
      </c>
      <c r="J31" s="5">
        <v>1</v>
      </c>
      <c r="K31" s="5">
        <v>1</v>
      </c>
      <c r="L31">
        <f ca="1"/>
        <v>5</v>
      </c>
      <c r="M31">
        <v>9</v>
      </c>
      <c r="O31" s="38"/>
    </row>
    <row r="32" spans="2:15" x14ac:dyDescent="0.2">
      <c r="B32" s="41" t="str">
        <f ca="1"/>
        <v>28-Jan</v>
      </c>
      <c r="C32" s="5">
        <v>1</v>
      </c>
      <c r="D32" s="5">
        <v>1</v>
      </c>
      <c r="E32" s="5">
        <v>0</v>
      </c>
      <c r="F32" s="5">
        <v>1</v>
      </c>
      <c r="G32" s="5">
        <v>1</v>
      </c>
      <c r="H32" s="5">
        <v>1</v>
      </c>
      <c r="I32" s="5">
        <v>1</v>
      </c>
      <c r="J32" s="5">
        <v>1</v>
      </c>
      <c r="K32" s="5">
        <v>1</v>
      </c>
      <c r="L32">
        <f ca="1"/>
        <v>5</v>
      </c>
      <c r="M32">
        <v>8</v>
      </c>
      <c r="O32" s="38"/>
    </row>
    <row r="33" spans="2:15" x14ac:dyDescent="0.2">
      <c r="B33" s="41" t="str">
        <f ca="1"/>
        <v>29-Jan</v>
      </c>
      <c r="C33" s="5">
        <v>1</v>
      </c>
      <c r="D33" s="5">
        <v>1</v>
      </c>
      <c r="E33" s="5">
        <v>1</v>
      </c>
      <c r="F33" s="5">
        <v>1</v>
      </c>
      <c r="G33" s="5">
        <v>1</v>
      </c>
      <c r="H33" s="5">
        <v>1</v>
      </c>
      <c r="I33" s="5">
        <v>1</v>
      </c>
      <c r="J33" s="5">
        <v>1</v>
      </c>
      <c r="K33" s="5">
        <v>1</v>
      </c>
      <c r="L33">
        <f ca="1"/>
        <v>5</v>
      </c>
      <c r="M33">
        <v>9</v>
      </c>
      <c r="O33" s="38"/>
    </row>
    <row r="34" spans="2:15" x14ac:dyDescent="0.2">
      <c r="B34" s="41" t="str">
        <f ca="1"/>
        <v>30-Jan</v>
      </c>
      <c r="C34" s="5">
        <v>1</v>
      </c>
      <c r="D34" s="5">
        <v>1</v>
      </c>
      <c r="E34" s="5">
        <v>1</v>
      </c>
      <c r="F34" s="5">
        <v>1</v>
      </c>
      <c r="G34" s="5">
        <v>1</v>
      </c>
      <c r="H34" s="5">
        <v>1</v>
      </c>
      <c r="I34" s="5">
        <v>1</v>
      </c>
      <c r="J34" s="5">
        <v>1</v>
      </c>
      <c r="K34" s="5">
        <v>1</v>
      </c>
      <c r="L34">
        <f ca="1"/>
        <v>5</v>
      </c>
      <c r="M34">
        <v>9</v>
      </c>
      <c r="O34" s="38"/>
    </row>
    <row r="35" spans="2:15" x14ac:dyDescent="0.2">
      <c r="B35" s="41" t="str">
        <f ca="1"/>
        <v>31-Jan</v>
      </c>
      <c r="C35" s="5">
        <v>1</v>
      </c>
      <c r="D35" s="5">
        <v>1</v>
      </c>
      <c r="E35" s="5">
        <v>0</v>
      </c>
      <c r="F35" s="5">
        <v>1</v>
      </c>
      <c r="G35" s="5">
        <v>1</v>
      </c>
      <c r="H35" s="5">
        <v>1</v>
      </c>
      <c r="I35" s="5">
        <v>1</v>
      </c>
      <c r="J35" s="5">
        <v>1</v>
      </c>
      <c r="K35" s="5">
        <v>1</v>
      </c>
      <c r="L35">
        <f ca="1"/>
        <v>5</v>
      </c>
      <c r="M35">
        <v>8</v>
      </c>
      <c r="O35" s="38"/>
    </row>
    <row r="36" spans="2:15" x14ac:dyDescent="0.2">
      <c r="B36" s="41" t="str">
        <f ca="1"/>
        <v>01-Feb</v>
      </c>
      <c r="C36" s="5">
        <v>1</v>
      </c>
      <c r="D36" s="5">
        <v>1</v>
      </c>
      <c r="E36" s="5">
        <v>1</v>
      </c>
      <c r="F36" s="5">
        <v>1</v>
      </c>
      <c r="G36" s="5">
        <v>1</v>
      </c>
      <c r="H36" s="5">
        <v>1</v>
      </c>
      <c r="I36" s="5">
        <v>1</v>
      </c>
      <c r="J36" s="5">
        <v>1</v>
      </c>
      <c r="K36" s="5">
        <v>1</v>
      </c>
      <c r="L36">
        <f ca="1"/>
        <v>6</v>
      </c>
      <c r="M36">
        <v>9</v>
      </c>
      <c r="O36" s="38"/>
    </row>
    <row r="37" spans="2:15" x14ac:dyDescent="0.2">
      <c r="B37" s="41" t="str">
        <f ca="1"/>
        <v>02-Feb</v>
      </c>
      <c r="C37" s="5">
        <v>1</v>
      </c>
      <c r="D37" s="5">
        <v>1</v>
      </c>
      <c r="E37" s="5">
        <v>0</v>
      </c>
      <c r="F37" s="5">
        <v>1</v>
      </c>
      <c r="G37" s="5">
        <v>1</v>
      </c>
      <c r="H37" s="5">
        <v>1</v>
      </c>
      <c r="I37" s="5">
        <v>1</v>
      </c>
      <c r="J37" s="5">
        <v>1</v>
      </c>
      <c r="K37" s="5">
        <v>1</v>
      </c>
      <c r="L37">
        <f ca="1"/>
        <v>6</v>
      </c>
      <c r="M37">
        <v>8</v>
      </c>
      <c r="O37" s="38"/>
    </row>
    <row r="38" spans="2:15" x14ac:dyDescent="0.2">
      <c r="B38" s="41" t="str">
        <f ca="1"/>
        <v>03-Feb</v>
      </c>
      <c r="C38" s="5">
        <v>1</v>
      </c>
      <c r="D38" s="5">
        <v>1</v>
      </c>
      <c r="E38" s="5">
        <v>0</v>
      </c>
      <c r="F38" s="5">
        <v>1</v>
      </c>
      <c r="G38" s="5">
        <v>1</v>
      </c>
      <c r="H38" s="5">
        <v>1</v>
      </c>
      <c r="I38" s="5">
        <v>1</v>
      </c>
      <c r="J38" s="5">
        <v>1</v>
      </c>
      <c r="K38" s="5">
        <v>1</v>
      </c>
      <c r="L38">
        <f ca="1"/>
        <v>6</v>
      </c>
      <c r="M38">
        <v>8</v>
      </c>
      <c r="O38" s="38"/>
    </row>
    <row r="39" spans="2:15" x14ac:dyDescent="0.2">
      <c r="B39" s="41" t="str">
        <f ca="1"/>
        <v>04-Feb</v>
      </c>
      <c r="C39" s="5">
        <v>1</v>
      </c>
      <c r="D39" s="5">
        <v>1</v>
      </c>
      <c r="E39" s="5">
        <v>0</v>
      </c>
      <c r="F39" s="5">
        <v>1</v>
      </c>
      <c r="G39" s="5">
        <v>1</v>
      </c>
      <c r="H39" s="5">
        <v>1</v>
      </c>
      <c r="I39" s="5">
        <v>1</v>
      </c>
      <c r="J39" s="5">
        <v>1</v>
      </c>
      <c r="K39" s="5">
        <v>1</v>
      </c>
      <c r="L39">
        <f ca="1"/>
        <v>6</v>
      </c>
      <c r="M39">
        <v>8</v>
      </c>
      <c r="O39" s="38"/>
    </row>
    <row r="40" spans="2:15" x14ac:dyDescent="0.2">
      <c r="B40" s="41" t="str">
        <f ca="1"/>
        <v>05-Feb</v>
      </c>
      <c r="C40" s="5">
        <v>1</v>
      </c>
      <c r="D40" s="5">
        <v>1</v>
      </c>
      <c r="E40" s="5">
        <v>1</v>
      </c>
      <c r="F40" s="5">
        <v>1</v>
      </c>
      <c r="G40" s="5">
        <v>1</v>
      </c>
      <c r="H40" s="5">
        <v>1</v>
      </c>
      <c r="I40" s="5">
        <v>1</v>
      </c>
      <c r="J40" s="5">
        <v>1</v>
      </c>
      <c r="K40" s="5">
        <v>1</v>
      </c>
      <c r="L40">
        <f ca="1"/>
        <v>6</v>
      </c>
      <c r="M40">
        <v>9</v>
      </c>
      <c r="O40" s="38"/>
    </row>
    <row r="41" spans="2:15" x14ac:dyDescent="0.2">
      <c r="B41" s="41" t="str">
        <f ca="1"/>
        <v>06-Feb</v>
      </c>
      <c r="C41" s="5">
        <v>1</v>
      </c>
      <c r="D41" s="5">
        <v>1</v>
      </c>
      <c r="E41" s="5">
        <v>1</v>
      </c>
      <c r="F41" s="5">
        <v>1</v>
      </c>
      <c r="G41" s="5">
        <v>1</v>
      </c>
      <c r="H41" s="5">
        <v>1</v>
      </c>
      <c r="I41" s="5">
        <v>1</v>
      </c>
      <c r="J41" s="5">
        <v>1</v>
      </c>
      <c r="K41" s="5">
        <v>1</v>
      </c>
      <c r="L41">
        <f ca="1"/>
        <v>6</v>
      </c>
      <c r="M41">
        <v>9</v>
      </c>
      <c r="O41" s="38"/>
    </row>
    <row r="42" spans="2:15" x14ac:dyDescent="0.2">
      <c r="B42" s="41" t="str">
        <f ca="1"/>
        <v>07-Feb</v>
      </c>
      <c r="C42" s="5">
        <v>1</v>
      </c>
      <c r="D42" s="5">
        <v>1</v>
      </c>
      <c r="E42" s="5">
        <v>0</v>
      </c>
      <c r="F42" s="5">
        <v>1</v>
      </c>
      <c r="G42" s="5">
        <v>1</v>
      </c>
      <c r="H42" s="5">
        <v>1</v>
      </c>
      <c r="I42" s="5">
        <v>1</v>
      </c>
      <c r="J42" s="5">
        <v>1</v>
      </c>
      <c r="K42" s="5">
        <v>1</v>
      </c>
      <c r="L42">
        <f ca="1"/>
        <v>6</v>
      </c>
      <c r="M42">
        <v>8</v>
      </c>
      <c r="O42" s="38"/>
    </row>
    <row r="43" spans="2:15" x14ac:dyDescent="0.2">
      <c r="B43" s="41"/>
      <c r="C43" s="5"/>
      <c r="D43" s="5"/>
      <c r="E43" s="5"/>
      <c r="F43" s="5"/>
      <c r="G43" s="5"/>
      <c r="H43" s="5"/>
      <c r="I43" s="5"/>
      <c r="J43" s="5"/>
      <c r="K43" s="5"/>
      <c r="O43" s="38"/>
    </row>
    <row r="44" spans="2:15" x14ac:dyDescent="0.2">
      <c r="B44" s="41"/>
      <c r="C44" s="5"/>
      <c r="D44" s="5"/>
      <c r="E44" s="5"/>
      <c r="F44" s="5"/>
      <c r="G44" s="5"/>
      <c r="H44" s="5"/>
      <c r="I44" s="5"/>
      <c r="J44" s="5"/>
      <c r="K44" s="5"/>
      <c r="O44" s="38"/>
    </row>
    <row r="45" spans="2:15" x14ac:dyDescent="0.2">
      <c r="B45" s="41"/>
      <c r="C45" s="5"/>
      <c r="D45" s="5"/>
      <c r="E45" s="5"/>
      <c r="F45" s="5"/>
      <c r="G45" s="5"/>
      <c r="H45" s="5"/>
      <c r="I45" s="5"/>
      <c r="J45" s="5"/>
      <c r="K45" s="5"/>
      <c r="O45" s="38"/>
    </row>
    <row r="46" spans="2:15" x14ac:dyDescent="0.2">
      <c r="B46" s="41"/>
      <c r="C46" s="5"/>
      <c r="D46" s="5"/>
      <c r="E46" s="5"/>
      <c r="F46" s="5"/>
      <c r="G46" s="5"/>
      <c r="H46" s="5"/>
      <c r="I46" s="5"/>
      <c r="J46" s="5"/>
      <c r="K46" s="5"/>
      <c r="O46" s="38"/>
    </row>
    <row r="47" spans="2:15" x14ac:dyDescent="0.2">
      <c r="B47" s="41"/>
      <c r="C47" s="5"/>
      <c r="D47" s="5"/>
      <c r="E47" s="5"/>
      <c r="F47" s="5"/>
      <c r="G47" s="5"/>
      <c r="H47" s="5"/>
      <c r="I47" s="5"/>
      <c r="J47" s="5"/>
      <c r="K47" s="5"/>
      <c r="O47" s="38"/>
    </row>
    <row r="48" spans="2:15" x14ac:dyDescent="0.2">
      <c r="B48" s="41"/>
      <c r="C48" s="5"/>
      <c r="D48" s="5"/>
      <c r="E48" s="5"/>
      <c r="F48" s="5"/>
      <c r="G48" s="5"/>
      <c r="H48" s="5"/>
      <c r="I48" s="5"/>
      <c r="J48" s="5"/>
      <c r="K48" s="5"/>
      <c r="O48" s="38"/>
    </row>
    <row r="49" spans="2:15" x14ac:dyDescent="0.2">
      <c r="B49" s="41"/>
      <c r="C49" s="5"/>
      <c r="D49" s="5"/>
      <c r="E49" s="5"/>
      <c r="F49" s="5"/>
      <c r="G49" s="5"/>
      <c r="H49" s="5"/>
      <c r="I49" s="5"/>
      <c r="J49" s="5"/>
      <c r="K49" s="5"/>
      <c r="O49" s="38"/>
    </row>
    <row r="50" spans="2:15" x14ac:dyDescent="0.2">
      <c r="B50" s="41"/>
      <c r="C50" s="5"/>
      <c r="D50" s="5"/>
      <c r="E50" s="5"/>
      <c r="F50" s="5"/>
      <c r="G50" s="5"/>
      <c r="H50" s="5"/>
      <c r="I50" s="5"/>
      <c r="J50" s="5"/>
      <c r="K50" s="5"/>
      <c r="O50" s="38"/>
    </row>
    <row r="51" spans="2:15" x14ac:dyDescent="0.2">
      <c r="B51" s="41"/>
      <c r="C51" s="5"/>
      <c r="D51" s="5"/>
      <c r="E51" s="5"/>
      <c r="F51" s="5"/>
      <c r="G51" s="5"/>
      <c r="H51" s="5"/>
      <c r="I51" s="5"/>
      <c r="J51" s="5"/>
      <c r="K51" s="5"/>
      <c r="O51" s="38"/>
    </row>
    <row r="52" spans="2:15" x14ac:dyDescent="0.2">
      <c r="B52" s="41"/>
      <c r="C52" s="5"/>
      <c r="D52" s="5"/>
      <c r="E52" s="5"/>
      <c r="F52" s="5"/>
      <c r="G52" s="5"/>
      <c r="H52" s="5"/>
      <c r="I52" s="5"/>
      <c r="J52" s="5"/>
      <c r="K52" s="5"/>
      <c r="O52" s="38"/>
    </row>
    <row r="53" spans="2:15" x14ac:dyDescent="0.2">
      <c r="B53" s="41"/>
      <c r="C53" s="5"/>
      <c r="D53" s="5"/>
      <c r="E53" s="5"/>
      <c r="F53" s="5"/>
      <c r="G53" s="5"/>
      <c r="H53" s="5"/>
      <c r="I53" s="5"/>
      <c r="J53" s="5"/>
      <c r="K53" s="5"/>
      <c r="O53" s="38"/>
    </row>
    <row r="54" spans="2:15" x14ac:dyDescent="0.2">
      <c r="B54" s="41"/>
      <c r="C54" s="5"/>
      <c r="D54" s="5"/>
      <c r="E54" s="5"/>
      <c r="F54" s="5"/>
      <c r="G54" s="5"/>
      <c r="H54" s="5"/>
      <c r="I54" s="5"/>
      <c r="J54" s="5"/>
      <c r="K54" s="5"/>
      <c r="O54" s="38"/>
    </row>
    <row r="55" spans="2:15" x14ac:dyDescent="0.2">
      <c r="B55" s="41"/>
      <c r="C55" s="5"/>
      <c r="D55" s="5"/>
      <c r="E55" s="5"/>
      <c r="F55" s="5"/>
      <c r="G55" s="5"/>
      <c r="H55" s="5"/>
      <c r="I55" s="5"/>
      <c r="J55" s="5"/>
      <c r="K55" s="5"/>
      <c r="O55" s="38"/>
    </row>
    <row r="56" spans="2:15" x14ac:dyDescent="0.2">
      <c r="B56" s="41"/>
      <c r="C56" s="5"/>
      <c r="D56" s="5"/>
      <c r="E56" s="5"/>
      <c r="F56" s="5"/>
      <c r="G56" s="5"/>
      <c r="H56" s="5"/>
      <c r="I56" s="5"/>
      <c r="J56" s="5"/>
      <c r="K56" s="5"/>
      <c r="O56" s="38"/>
    </row>
    <row r="57" spans="2:15" x14ac:dyDescent="0.2">
      <c r="B57" s="41"/>
      <c r="C57" s="5"/>
      <c r="D57" s="5"/>
      <c r="E57" s="5"/>
      <c r="F57" s="5"/>
      <c r="G57" s="5"/>
      <c r="H57" s="5"/>
      <c r="I57" s="5"/>
      <c r="J57" s="5"/>
      <c r="K57" s="5"/>
      <c r="O57" s="38"/>
    </row>
    <row r="58" spans="2:15" x14ac:dyDescent="0.2">
      <c r="B58" s="41"/>
      <c r="C58" s="5"/>
      <c r="D58" s="5"/>
      <c r="E58" s="5"/>
      <c r="F58" s="5"/>
      <c r="G58" s="5"/>
      <c r="H58" s="5"/>
      <c r="I58" s="5"/>
      <c r="J58" s="5"/>
      <c r="K58" s="5"/>
      <c r="O58" s="38"/>
    </row>
    <row r="59" spans="2:15" x14ac:dyDescent="0.2">
      <c r="B59" s="41"/>
      <c r="C59" s="5"/>
      <c r="D59" s="5"/>
      <c r="E59" s="5"/>
      <c r="F59" s="5"/>
      <c r="G59" s="5"/>
      <c r="H59" s="5"/>
      <c r="I59" s="5"/>
      <c r="J59" s="5"/>
      <c r="K59" s="5"/>
      <c r="O59" s="38"/>
    </row>
    <row r="60" spans="2:15" x14ac:dyDescent="0.2">
      <c r="B60" s="41"/>
      <c r="C60" s="5"/>
      <c r="D60" s="5"/>
      <c r="E60" s="5"/>
      <c r="F60" s="5"/>
      <c r="G60" s="5"/>
      <c r="H60" s="5"/>
      <c r="I60" s="5"/>
      <c r="J60" s="5"/>
      <c r="K60" s="5"/>
      <c r="O60" s="38"/>
    </row>
    <row r="61" spans="2:15" x14ac:dyDescent="0.2">
      <c r="B61" s="41"/>
      <c r="C61" s="5"/>
      <c r="D61" s="5"/>
      <c r="E61" s="5"/>
      <c r="F61" s="5"/>
      <c r="G61" s="5"/>
      <c r="H61" s="5"/>
      <c r="I61" s="5"/>
      <c r="J61" s="5"/>
      <c r="K61" s="5"/>
      <c r="O61" s="38"/>
    </row>
    <row r="62" spans="2:15" x14ac:dyDescent="0.2">
      <c r="B62" s="41"/>
      <c r="C62" s="5"/>
      <c r="D62" s="5"/>
      <c r="E62" s="5"/>
      <c r="F62" s="5"/>
      <c r="G62" s="5"/>
      <c r="H62" s="5"/>
      <c r="I62" s="5"/>
      <c r="J62" s="5"/>
      <c r="K62" s="5"/>
      <c r="O62" s="38"/>
    </row>
    <row r="63" spans="2:15" x14ac:dyDescent="0.2">
      <c r="B63" s="41"/>
      <c r="C63" s="5"/>
      <c r="D63" s="5"/>
      <c r="E63" s="5"/>
      <c r="F63" s="5"/>
      <c r="G63" s="5"/>
      <c r="H63" s="5"/>
      <c r="I63" s="5"/>
      <c r="J63" s="5"/>
      <c r="K63" s="5"/>
      <c r="O63" s="38"/>
    </row>
    <row r="64" spans="2:15" x14ac:dyDescent="0.2">
      <c r="B64" s="41"/>
      <c r="C64" s="5"/>
      <c r="D64" s="5"/>
      <c r="E64" s="5"/>
      <c r="F64" s="5"/>
      <c r="G64" s="5"/>
      <c r="H64" s="5"/>
      <c r="I64" s="5"/>
      <c r="J64" s="5"/>
      <c r="K64" s="5"/>
      <c r="O64" s="38"/>
    </row>
    <row r="65" spans="2:15" x14ac:dyDescent="0.2">
      <c r="B65" s="41"/>
      <c r="C65" s="5"/>
      <c r="D65" s="5"/>
      <c r="E65" s="5"/>
      <c r="F65" s="5"/>
      <c r="G65" s="5"/>
      <c r="H65" s="5"/>
      <c r="I65" s="5"/>
      <c r="J65" s="5"/>
      <c r="K65" s="5"/>
      <c r="O65" s="38"/>
    </row>
    <row r="66" spans="2:15" x14ac:dyDescent="0.2">
      <c r="B66" s="41"/>
      <c r="C66" s="5"/>
      <c r="D66" s="5"/>
      <c r="E66" s="5"/>
      <c r="F66" s="5"/>
      <c r="G66" s="5"/>
      <c r="H66" s="5"/>
      <c r="I66" s="5"/>
      <c r="J66" s="5"/>
      <c r="K66" s="5"/>
      <c r="O66" s="38"/>
    </row>
    <row r="67" spans="2:15" x14ac:dyDescent="0.2">
      <c r="B67" s="41"/>
      <c r="C67" s="5"/>
      <c r="D67" s="5"/>
      <c r="E67" s="5"/>
      <c r="F67" s="5"/>
      <c r="G67" s="5"/>
      <c r="H67" s="5"/>
      <c r="I67" s="5"/>
      <c r="J67" s="5"/>
      <c r="K67" s="5"/>
      <c r="O67" s="38"/>
    </row>
    <row r="68" spans="2:15" x14ac:dyDescent="0.2">
      <c r="B68" s="41"/>
      <c r="C68" s="5"/>
      <c r="D68" s="5"/>
      <c r="E68" s="5"/>
      <c r="F68" s="5"/>
      <c r="G68" s="5"/>
      <c r="H68" s="5"/>
      <c r="I68" s="5"/>
      <c r="J68" s="5"/>
      <c r="K68" s="5"/>
      <c r="O68" s="38"/>
    </row>
    <row r="69" spans="2:15" x14ac:dyDescent="0.2">
      <c r="B69" s="41"/>
      <c r="C69" s="5"/>
      <c r="D69" s="5"/>
      <c r="E69" s="5"/>
      <c r="F69" s="5"/>
      <c r="G69" s="5"/>
      <c r="H69" s="5"/>
      <c r="I69" s="5"/>
      <c r="J69" s="5"/>
      <c r="K69" s="5"/>
      <c r="O69" s="38"/>
    </row>
    <row r="70" spans="2:15" x14ac:dyDescent="0.2">
      <c r="B70" s="41"/>
      <c r="C70" s="5"/>
      <c r="D70" s="5"/>
      <c r="E70" s="5"/>
      <c r="F70" s="5"/>
      <c r="G70" s="5"/>
      <c r="H70" s="5"/>
      <c r="I70" s="5"/>
      <c r="J70" s="5"/>
      <c r="K70" s="5"/>
      <c r="O70" s="38"/>
    </row>
    <row r="71" spans="2:15" x14ac:dyDescent="0.2">
      <c r="B71" s="41"/>
      <c r="C71" s="5"/>
      <c r="D71" s="5"/>
      <c r="E71" s="5"/>
      <c r="F71" s="5"/>
      <c r="G71" s="5"/>
      <c r="H71" s="5"/>
      <c r="I71" s="5"/>
      <c r="J71" s="5"/>
      <c r="K71" s="5"/>
      <c r="O71" s="38"/>
    </row>
    <row r="72" spans="2:15" x14ac:dyDescent="0.2">
      <c r="B72" s="41"/>
      <c r="C72" s="5"/>
      <c r="D72" s="5"/>
      <c r="E72" s="5"/>
      <c r="F72" s="5"/>
      <c r="G72" s="5"/>
      <c r="H72" s="5"/>
      <c r="I72" s="5"/>
      <c r="J72" s="5"/>
      <c r="K72" s="5"/>
      <c r="O72" s="38"/>
    </row>
    <row r="73" spans="2:15" x14ac:dyDescent="0.2">
      <c r="B73" s="41"/>
      <c r="C73" s="5"/>
      <c r="D73" s="5"/>
      <c r="E73" s="5"/>
      <c r="F73" s="5"/>
      <c r="G73" s="5"/>
      <c r="H73" s="5"/>
      <c r="I73" s="5"/>
      <c r="J73" s="5"/>
      <c r="K73" s="5"/>
      <c r="O73" s="38"/>
    </row>
    <row r="74" spans="2:15" x14ac:dyDescent="0.2">
      <c r="B74" s="41"/>
      <c r="C74" s="5"/>
      <c r="D74" s="5"/>
      <c r="E74" s="5"/>
      <c r="F74" s="5"/>
      <c r="G74" s="5"/>
      <c r="H74" s="5"/>
      <c r="I74" s="5"/>
      <c r="J74" s="5"/>
      <c r="K74" s="5"/>
      <c r="O74" s="38"/>
    </row>
    <row r="75" spans="2:15" x14ac:dyDescent="0.2">
      <c r="B75" s="41"/>
      <c r="C75" s="5"/>
      <c r="D75" s="5"/>
      <c r="E75" s="5"/>
      <c r="F75" s="5"/>
      <c r="G75" s="5"/>
      <c r="H75" s="5"/>
      <c r="I75" s="5"/>
      <c r="J75" s="5"/>
      <c r="K75" s="5"/>
      <c r="O75" s="38"/>
    </row>
    <row r="76" spans="2:15" x14ac:dyDescent="0.2">
      <c r="B76" s="41"/>
      <c r="C76" s="5"/>
      <c r="D76" s="5"/>
      <c r="E76" s="5"/>
      <c r="F76" s="5"/>
      <c r="G76" s="5"/>
      <c r="H76" s="5"/>
      <c r="I76" s="5"/>
      <c r="J76" s="5"/>
      <c r="K76" s="5"/>
      <c r="O76" s="38"/>
    </row>
    <row r="77" spans="2:15" x14ac:dyDescent="0.2">
      <c r="B77" s="41"/>
      <c r="C77" s="5"/>
      <c r="D77" s="5"/>
      <c r="E77" s="5"/>
      <c r="F77" s="5"/>
      <c r="G77" s="5"/>
      <c r="H77" s="5"/>
      <c r="I77" s="5"/>
      <c r="J77" s="5"/>
      <c r="K77" s="5"/>
      <c r="O77" s="38"/>
    </row>
    <row r="78" spans="2:15" x14ac:dyDescent="0.2">
      <c r="B78" s="41"/>
      <c r="C78" s="5"/>
      <c r="D78" s="5"/>
      <c r="E78" s="5"/>
      <c r="F78" s="5"/>
      <c r="G78" s="5"/>
      <c r="H78" s="5"/>
      <c r="I78" s="5"/>
      <c r="J78" s="5"/>
      <c r="K78" s="5"/>
      <c r="O78" s="38"/>
    </row>
    <row r="79" spans="2:15" x14ac:dyDescent="0.2">
      <c r="B79" s="41"/>
      <c r="C79" s="5"/>
      <c r="D79" s="5"/>
      <c r="E79" s="5"/>
      <c r="F79" s="5"/>
      <c r="G79" s="5"/>
      <c r="H79" s="5"/>
      <c r="I79" s="5"/>
      <c r="J79" s="5"/>
      <c r="K79" s="5"/>
      <c r="O79" s="38"/>
    </row>
    <row r="80" spans="2:15" x14ac:dyDescent="0.2">
      <c r="B80" s="41"/>
      <c r="C80" s="5"/>
      <c r="D80" s="5"/>
      <c r="E80" s="5"/>
      <c r="F80" s="5"/>
      <c r="G80" s="5"/>
      <c r="H80" s="5"/>
      <c r="I80" s="5"/>
      <c r="J80" s="5"/>
      <c r="K80" s="5"/>
      <c r="O80" s="38"/>
    </row>
    <row r="81" spans="2:24" x14ac:dyDescent="0.2">
      <c r="B81" s="41"/>
      <c r="C81" s="5"/>
      <c r="D81" s="5"/>
      <c r="E81" s="5"/>
      <c r="F81" s="5"/>
      <c r="G81" s="5"/>
      <c r="H81" s="5"/>
      <c r="I81" s="5"/>
      <c r="J81" s="5"/>
      <c r="K81" s="5"/>
      <c r="O81" s="38"/>
    </row>
    <row r="82" spans="2:24" x14ac:dyDescent="0.2">
      <c r="B82" s="41"/>
      <c r="C82" s="5"/>
      <c r="D82" s="5"/>
      <c r="E82" s="5"/>
      <c r="F82" s="5"/>
      <c r="G82" s="5"/>
      <c r="H82" s="5"/>
      <c r="I82" s="5"/>
      <c r="J82" s="5"/>
      <c r="K82" s="5"/>
      <c r="O82" s="38"/>
    </row>
    <row r="83" spans="2:24" x14ac:dyDescent="0.2">
      <c r="B83" s="41"/>
      <c r="C83" s="5"/>
      <c r="D83" s="5"/>
      <c r="E83" s="5"/>
      <c r="F83" s="5"/>
      <c r="G83" s="5"/>
      <c r="H83" s="5"/>
      <c r="I83" s="5"/>
      <c r="J83" s="5"/>
      <c r="K83" s="5"/>
      <c r="O83" s="38"/>
    </row>
    <row r="84" spans="2:24" x14ac:dyDescent="0.2">
      <c r="B84" s="41"/>
      <c r="C84" s="5"/>
      <c r="D84" s="5"/>
      <c r="E84" s="5"/>
      <c r="F84" s="5"/>
      <c r="G84" s="5"/>
      <c r="H84" s="5"/>
      <c r="I84" s="5"/>
      <c r="J84" s="5"/>
      <c r="K84" s="5"/>
      <c r="O84" s="38"/>
    </row>
    <row r="85" spans="2:24" x14ac:dyDescent="0.2">
      <c r="B85" s="41"/>
      <c r="C85" s="5"/>
      <c r="D85" s="5"/>
      <c r="E85" s="5"/>
      <c r="F85" s="5"/>
      <c r="G85" s="5"/>
      <c r="H85" s="5"/>
      <c r="I85" s="5"/>
      <c r="J85" s="5"/>
      <c r="K85" s="5"/>
      <c r="O85" s="38"/>
    </row>
    <row r="86" spans="2:24" x14ac:dyDescent="0.2">
      <c r="B86" s="41"/>
      <c r="C86" s="5"/>
      <c r="D86" s="5"/>
      <c r="E86" s="5"/>
      <c r="F86" s="5"/>
      <c r="G86" s="5"/>
      <c r="H86" s="5"/>
      <c r="I86" s="5"/>
      <c r="J86" s="5"/>
      <c r="K86" s="5"/>
      <c r="O86" s="38"/>
    </row>
    <row r="87" spans="2:24" x14ac:dyDescent="0.2">
      <c r="B87" s="41"/>
      <c r="C87" s="5"/>
      <c r="D87" s="5"/>
      <c r="E87" s="5"/>
      <c r="F87" s="5"/>
      <c r="G87" s="5"/>
      <c r="H87" s="5"/>
      <c r="I87" s="5"/>
      <c r="J87" s="5"/>
      <c r="K87" s="5"/>
      <c r="O87" s="38"/>
    </row>
    <row r="88" spans="2:24" x14ac:dyDescent="0.2">
      <c r="B88" s="41"/>
      <c r="C88" s="5"/>
      <c r="D88" s="5"/>
      <c r="E88" s="5"/>
      <c r="F88" s="5"/>
      <c r="G88" s="5"/>
      <c r="H88" s="5"/>
      <c r="I88" s="5"/>
      <c r="J88" s="5"/>
      <c r="K88" s="5"/>
      <c r="O88" s="38"/>
    </row>
    <row r="89" spans="2:24" x14ac:dyDescent="0.2">
      <c r="B89" s="41"/>
      <c r="C89" s="5"/>
      <c r="D89" s="5"/>
      <c r="E89" s="5"/>
      <c r="F89" s="5"/>
      <c r="G89" s="5"/>
      <c r="H89" s="5"/>
      <c r="I89" s="5"/>
      <c r="J89" s="5"/>
      <c r="K89" s="5"/>
      <c r="O89" s="38"/>
    </row>
    <row r="90" spans="2:24" x14ac:dyDescent="0.2">
      <c r="B90" s="41"/>
      <c r="C90" s="5"/>
      <c r="D90" s="5"/>
      <c r="E90" s="5"/>
      <c r="F90" s="5"/>
      <c r="G90" s="5"/>
      <c r="H90" s="5"/>
      <c r="I90" s="5"/>
      <c r="J90" s="5"/>
      <c r="K90" s="5"/>
      <c r="O90" s="38"/>
    </row>
    <row r="91" spans="2:24" x14ac:dyDescent="0.2">
      <c r="B91" s="41"/>
      <c r="C91" s="5"/>
      <c r="D91" s="5"/>
      <c r="E91" s="5"/>
      <c r="F91" s="5"/>
      <c r="G91" s="5"/>
      <c r="H91" s="5"/>
      <c r="I91" s="5"/>
      <c r="J91" s="5"/>
      <c r="K91" s="5"/>
      <c r="O91" s="38"/>
    </row>
    <row r="92" spans="2:24" x14ac:dyDescent="0.2">
      <c r="B92" s="41"/>
      <c r="C92" s="5"/>
      <c r="D92" s="5"/>
      <c r="E92" s="5"/>
      <c r="F92" s="5"/>
      <c r="G92" s="5"/>
      <c r="H92" s="5"/>
      <c r="I92" s="5"/>
      <c r="J92" s="5"/>
      <c r="K92" s="5"/>
      <c r="O92" s="38"/>
    </row>
    <row r="93" spans="2:24" x14ac:dyDescent="0.2">
      <c r="B93" s="41"/>
      <c r="C93" s="5"/>
      <c r="D93" s="5"/>
      <c r="E93" s="5"/>
      <c r="F93" s="5"/>
      <c r="G93" s="5"/>
      <c r="H93" s="5"/>
      <c r="I93" s="5"/>
      <c r="J93" s="5"/>
      <c r="K93" s="5"/>
      <c r="O93" s="38"/>
    </row>
    <row r="94" spans="2:24" x14ac:dyDescent="0.2">
      <c r="B94" s="41"/>
      <c r="C94" s="5"/>
      <c r="D94" s="5"/>
      <c r="E94" s="5"/>
      <c r="F94" s="5"/>
      <c r="G94" s="5"/>
      <c r="H94" s="5"/>
      <c r="I94" s="5"/>
      <c r="J94" s="5"/>
      <c r="K94" s="5"/>
      <c r="O94" s="38"/>
    </row>
    <row r="95" spans="2:24" x14ac:dyDescent="0.2">
      <c r="B95" s="41"/>
      <c r="C95" s="5"/>
      <c r="D95" s="5"/>
      <c r="E95" s="5"/>
      <c r="F95" s="5"/>
      <c r="G95" s="5"/>
      <c r="H95" s="5"/>
      <c r="I95" s="5"/>
      <c r="J95" s="5"/>
      <c r="K95" s="5"/>
      <c r="O95" s="38"/>
    </row>
    <row r="96" spans="2:24" x14ac:dyDescent="0.2">
      <c r="B96" s="41"/>
      <c r="C96" s="5"/>
      <c r="D96" s="5"/>
      <c r="E96" s="5"/>
      <c r="F96" s="5"/>
      <c r="G96" s="5"/>
      <c r="H96" s="5"/>
      <c r="I96" s="5"/>
      <c r="J96" s="5"/>
      <c r="K96" s="5"/>
      <c r="P96"/>
      <c r="Q96"/>
      <c r="R96"/>
      <c r="S96"/>
      <c r="T96"/>
      <c r="U96"/>
      <c r="V96"/>
      <c r="W96"/>
      <c r="X96"/>
    </row>
    <row r="97" spans="2:24" x14ac:dyDescent="0.2">
      <c r="B97" s="41"/>
      <c r="C97" s="5"/>
      <c r="D97" s="5"/>
      <c r="E97" s="5"/>
      <c r="F97" s="5"/>
      <c r="G97" s="5"/>
      <c r="H97" s="5"/>
      <c r="I97" s="5"/>
      <c r="J97" s="5"/>
      <c r="K97" s="5"/>
      <c r="P97"/>
      <c r="Q97"/>
      <c r="R97"/>
      <c r="S97"/>
      <c r="T97"/>
      <c r="U97"/>
      <c r="V97"/>
      <c r="W97"/>
      <c r="X97"/>
    </row>
    <row r="98" spans="2:24" x14ac:dyDescent="0.2">
      <c r="B98" s="41"/>
      <c r="C98" s="5"/>
      <c r="D98" s="5"/>
      <c r="E98" s="5"/>
      <c r="F98" s="5"/>
      <c r="G98" s="5"/>
      <c r="H98" s="5"/>
      <c r="I98" s="5"/>
      <c r="J98" s="5"/>
      <c r="K98" s="5"/>
      <c r="P98"/>
      <c r="Q98"/>
      <c r="R98"/>
      <c r="S98"/>
      <c r="T98"/>
      <c r="U98"/>
      <c r="V98"/>
      <c r="W98"/>
      <c r="X98"/>
    </row>
    <row r="99" spans="2:24" x14ac:dyDescent="0.2">
      <c r="B99" s="41"/>
      <c r="C99" s="5"/>
      <c r="D99" s="5"/>
      <c r="E99" s="5"/>
      <c r="F99" s="5"/>
      <c r="G99" s="5"/>
      <c r="H99" s="5"/>
      <c r="I99" s="5"/>
      <c r="J99" s="5"/>
      <c r="K99" s="5"/>
      <c r="P99"/>
      <c r="Q99"/>
      <c r="R99"/>
      <c r="S99"/>
      <c r="T99"/>
      <c r="U99"/>
      <c r="V99"/>
      <c r="W99"/>
      <c r="X99"/>
    </row>
    <row r="100" spans="2:24" x14ac:dyDescent="0.2">
      <c r="B100" s="41"/>
      <c r="C100" s="5"/>
      <c r="D100" s="5"/>
      <c r="E100" s="5"/>
      <c r="F100" s="5"/>
      <c r="G100" s="5"/>
      <c r="H100" s="5"/>
      <c r="I100" s="5"/>
      <c r="J100" s="5"/>
      <c r="K100" s="5"/>
      <c r="P100"/>
      <c r="Q100"/>
      <c r="R100"/>
      <c r="S100"/>
      <c r="T100"/>
      <c r="U100"/>
      <c r="V100"/>
      <c r="W100"/>
      <c r="X100"/>
    </row>
    <row r="101" spans="2:24" x14ac:dyDescent="0.2">
      <c r="B101" s="41"/>
      <c r="C101" s="5"/>
      <c r="D101" s="5"/>
      <c r="E101" s="5"/>
      <c r="F101" s="5"/>
      <c r="G101" s="5"/>
      <c r="H101" s="5"/>
      <c r="I101" s="5"/>
      <c r="J101" s="5"/>
      <c r="K101" s="5"/>
      <c r="P101"/>
      <c r="Q101"/>
      <c r="R101"/>
      <c r="S101"/>
      <c r="T101"/>
      <c r="U101"/>
      <c r="V101"/>
      <c r="W101"/>
      <c r="X101"/>
    </row>
    <row r="102" spans="2:24" x14ac:dyDescent="0.2">
      <c r="B102" s="41"/>
      <c r="C102" s="5"/>
      <c r="D102" s="5"/>
      <c r="E102" s="5"/>
      <c r="F102" s="5"/>
      <c r="G102" s="5"/>
      <c r="H102" s="5"/>
      <c r="I102" s="5"/>
      <c r="J102" s="5"/>
      <c r="K102" s="5"/>
      <c r="P102"/>
      <c r="Q102"/>
      <c r="R102"/>
      <c r="S102"/>
      <c r="T102"/>
      <c r="U102"/>
      <c r="V102"/>
      <c r="W102"/>
      <c r="X102"/>
    </row>
    <row r="103" spans="2:24" x14ac:dyDescent="0.2">
      <c r="B103" s="41"/>
      <c r="C103" s="5"/>
      <c r="D103" s="5"/>
      <c r="E103" s="5"/>
      <c r="F103" s="5"/>
      <c r="G103" s="5"/>
      <c r="H103" s="5"/>
      <c r="I103" s="5"/>
      <c r="J103" s="5"/>
      <c r="K103" s="5"/>
      <c r="P103"/>
      <c r="Q103"/>
      <c r="R103"/>
      <c r="S103"/>
      <c r="T103"/>
      <c r="U103"/>
      <c r="V103"/>
      <c r="W103"/>
      <c r="X103"/>
    </row>
    <row r="104" spans="2:24" x14ac:dyDescent="0.2">
      <c r="B104" s="41"/>
      <c r="C104" s="5"/>
      <c r="D104" s="5"/>
      <c r="E104" s="5"/>
      <c r="F104" s="5"/>
      <c r="G104" s="5"/>
      <c r="H104" s="5"/>
      <c r="I104" s="5"/>
      <c r="J104" s="5"/>
      <c r="K104" s="5"/>
      <c r="P104"/>
      <c r="Q104"/>
      <c r="R104"/>
      <c r="S104"/>
      <c r="T104"/>
      <c r="U104"/>
      <c r="V104"/>
      <c r="W104"/>
      <c r="X104"/>
    </row>
    <row r="105" spans="2:24" x14ac:dyDescent="0.2">
      <c r="B105" s="41"/>
      <c r="C105" s="5"/>
      <c r="D105" s="5"/>
      <c r="E105" s="5"/>
      <c r="F105" s="5"/>
      <c r="G105" s="5"/>
      <c r="H105" s="5"/>
      <c r="I105" s="5"/>
      <c r="J105" s="5"/>
      <c r="K105" s="5"/>
      <c r="P105"/>
      <c r="Q105"/>
      <c r="R105"/>
      <c r="S105"/>
      <c r="T105"/>
      <c r="U105"/>
      <c r="V105"/>
      <c r="W105"/>
      <c r="X105"/>
    </row>
    <row r="106" spans="2:24" x14ac:dyDescent="0.2">
      <c r="B106" s="41"/>
      <c r="C106" s="5"/>
      <c r="D106" s="5"/>
      <c r="E106" s="5"/>
      <c r="F106" s="5"/>
      <c r="G106" s="5"/>
      <c r="H106" s="5"/>
      <c r="I106" s="5"/>
      <c r="J106" s="5"/>
      <c r="K106" s="5"/>
      <c r="P106"/>
      <c r="Q106"/>
      <c r="R106"/>
      <c r="S106"/>
      <c r="T106"/>
      <c r="U106"/>
      <c r="V106"/>
      <c r="W106"/>
      <c r="X106"/>
    </row>
    <row r="107" spans="2:24" x14ac:dyDescent="0.2">
      <c r="B107" s="41"/>
      <c r="C107" s="5"/>
      <c r="D107" s="5"/>
      <c r="E107" s="5"/>
      <c r="F107" s="5"/>
      <c r="G107" s="5"/>
      <c r="H107" s="5"/>
      <c r="I107" s="5"/>
      <c r="J107" s="5"/>
      <c r="K107" s="5"/>
      <c r="P107"/>
      <c r="Q107"/>
      <c r="R107"/>
      <c r="S107"/>
      <c r="T107"/>
      <c r="U107"/>
      <c r="V107"/>
      <c r="W107"/>
      <c r="X107"/>
    </row>
    <row r="108" spans="2:24" x14ac:dyDescent="0.2">
      <c r="B108" s="41"/>
      <c r="C108" s="5"/>
      <c r="D108" s="5"/>
      <c r="E108" s="5"/>
      <c r="F108" s="5"/>
      <c r="G108" s="5"/>
      <c r="H108" s="5"/>
      <c r="I108" s="5"/>
      <c r="J108" s="5"/>
      <c r="K108" s="5"/>
      <c r="P108"/>
      <c r="Q108"/>
      <c r="R108"/>
      <c r="S108"/>
      <c r="T108"/>
      <c r="U108"/>
      <c r="V108"/>
      <c r="W108"/>
      <c r="X108"/>
    </row>
    <row r="109" spans="2:24" x14ac:dyDescent="0.2">
      <c r="B109" s="41"/>
      <c r="C109" s="5"/>
      <c r="D109" s="5"/>
      <c r="E109" s="5"/>
      <c r="F109" s="5"/>
      <c r="G109" s="5"/>
      <c r="H109" s="5"/>
      <c r="I109" s="5"/>
      <c r="J109" s="5"/>
      <c r="K109" s="5"/>
      <c r="P109"/>
      <c r="Q109"/>
      <c r="R109"/>
      <c r="S109"/>
      <c r="T109"/>
      <c r="U109"/>
      <c r="V109"/>
      <c r="W109"/>
      <c r="X109"/>
    </row>
    <row r="110" spans="2:24" x14ac:dyDescent="0.2">
      <c r="B110" s="41"/>
      <c r="C110" s="5"/>
      <c r="D110" s="5"/>
      <c r="E110" s="5"/>
      <c r="F110" s="5"/>
      <c r="G110" s="5"/>
      <c r="H110" s="5"/>
      <c r="I110" s="5"/>
      <c r="J110" s="5"/>
      <c r="K110" s="5"/>
      <c r="P110"/>
      <c r="Q110"/>
      <c r="R110"/>
      <c r="S110"/>
      <c r="T110"/>
      <c r="U110"/>
      <c r="V110"/>
      <c r="W110"/>
      <c r="X110"/>
    </row>
    <row r="111" spans="2:24" x14ac:dyDescent="0.2">
      <c r="B111" s="41"/>
      <c r="C111" s="5"/>
      <c r="D111" s="5"/>
      <c r="E111" s="5"/>
      <c r="F111" s="5"/>
      <c r="G111" s="5"/>
      <c r="H111" s="5"/>
      <c r="I111" s="5"/>
      <c r="J111" s="5"/>
      <c r="K111" s="5"/>
      <c r="P111"/>
      <c r="Q111"/>
      <c r="R111"/>
      <c r="S111"/>
      <c r="T111"/>
      <c r="U111"/>
      <c r="V111"/>
      <c r="W111"/>
      <c r="X111"/>
    </row>
    <row r="112" spans="2:24" x14ac:dyDescent="0.2">
      <c r="B112" s="41"/>
      <c r="C112" s="5"/>
      <c r="D112" s="5"/>
      <c r="E112" s="5"/>
      <c r="F112" s="5"/>
      <c r="G112" s="5"/>
      <c r="H112" s="5"/>
      <c r="I112" s="5"/>
      <c r="J112" s="5"/>
      <c r="K112" s="5"/>
      <c r="P112"/>
      <c r="Q112"/>
      <c r="R112"/>
      <c r="S112"/>
      <c r="T112"/>
      <c r="U112"/>
      <c r="V112"/>
      <c r="W112"/>
      <c r="X112"/>
    </row>
    <row r="113" spans="2:25" x14ac:dyDescent="0.2">
      <c r="B113" s="41"/>
      <c r="C113" s="5"/>
      <c r="D113" s="5"/>
      <c r="E113" s="5"/>
      <c r="F113" s="5"/>
      <c r="G113" s="5"/>
      <c r="H113" s="5"/>
      <c r="I113" s="5"/>
      <c r="J113" s="5"/>
      <c r="K113" s="5"/>
      <c r="P113"/>
      <c r="Q113"/>
      <c r="R113"/>
      <c r="S113"/>
      <c r="T113"/>
      <c r="U113"/>
      <c r="V113"/>
      <c r="W113"/>
      <c r="X113"/>
    </row>
    <row r="114" spans="2:25" x14ac:dyDescent="0.2">
      <c r="B114" s="41"/>
      <c r="C114" s="5"/>
      <c r="D114" s="5"/>
      <c r="E114" s="5"/>
      <c r="F114" s="5"/>
      <c r="G114" s="5"/>
      <c r="H114" s="5"/>
      <c r="I114" s="5"/>
      <c r="J114" s="5"/>
      <c r="K114" s="5"/>
      <c r="P114"/>
      <c r="Q114"/>
      <c r="R114"/>
      <c r="S114"/>
      <c r="T114"/>
      <c r="U114"/>
      <c r="V114"/>
      <c r="W114"/>
      <c r="X114"/>
    </row>
    <row r="115" spans="2:25" x14ac:dyDescent="0.2">
      <c r="B115" s="41"/>
      <c r="C115" s="5"/>
      <c r="D115" s="5"/>
      <c r="E115" s="5"/>
      <c r="F115" s="5"/>
      <c r="G115" s="5"/>
      <c r="H115" s="5"/>
      <c r="I115" s="5"/>
      <c r="J115" s="5"/>
      <c r="K115" s="5"/>
      <c r="P115"/>
      <c r="Q115"/>
      <c r="R115"/>
      <c r="S115"/>
      <c r="T115"/>
      <c r="U115"/>
      <c r="V115"/>
      <c r="W115"/>
      <c r="X115"/>
    </row>
    <row r="116" spans="2:25" x14ac:dyDescent="0.2">
      <c r="B116" s="41"/>
      <c r="C116" s="5"/>
      <c r="D116" s="5"/>
      <c r="E116" s="5"/>
      <c r="F116" s="5"/>
      <c r="G116" s="5"/>
      <c r="H116" s="5"/>
      <c r="I116" s="5"/>
      <c r="J116" s="5"/>
      <c r="K116" s="5"/>
      <c r="P116"/>
      <c r="Q116"/>
      <c r="R116"/>
      <c r="S116"/>
      <c r="T116"/>
      <c r="U116"/>
      <c r="V116"/>
      <c r="W116"/>
      <c r="X116"/>
    </row>
    <row r="117" spans="2:25" x14ac:dyDescent="0.2">
      <c r="B117" s="41"/>
      <c r="C117" s="5"/>
      <c r="D117" s="5"/>
      <c r="E117" s="5"/>
      <c r="F117" s="5"/>
      <c r="G117" s="5"/>
      <c r="H117" s="5"/>
      <c r="I117" s="5"/>
      <c r="J117" s="5"/>
      <c r="K117" s="5"/>
      <c r="P117"/>
      <c r="Q117"/>
      <c r="R117"/>
      <c r="S117"/>
      <c r="T117"/>
      <c r="U117"/>
      <c r="V117"/>
      <c r="W117"/>
      <c r="X117"/>
    </row>
    <row r="118" spans="2:25" x14ac:dyDescent="0.2">
      <c r="B118" s="41"/>
      <c r="C118" s="5"/>
      <c r="D118" s="5"/>
      <c r="E118" s="5"/>
      <c r="F118" s="5"/>
      <c r="G118" s="5"/>
      <c r="H118" s="5"/>
      <c r="I118" s="5"/>
      <c r="J118" s="5"/>
      <c r="K118" s="5"/>
      <c r="P118"/>
      <c r="Q118"/>
      <c r="R118"/>
      <c r="S118"/>
      <c r="T118"/>
      <c r="U118"/>
      <c r="V118"/>
      <c r="W118"/>
      <c r="X118"/>
    </row>
    <row r="119" spans="2:25" x14ac:dyDescent="0.2">
      <c r="B119" s="41"/>
      <c r="C119" s="5"/>
      <c r="D119" s="5"/>
      <c r="E119" s="5"/>
      <c r="F119" s="5"/>
      <c r="G119" s="5"/>
      <c r="H119" s="5"/>
      <c r="I119" s="5"/>
      <c r="J119" s="5"/>
      <c r="K119" s="5"/>
      <c r="P119"/>
      <c r="Q119"/>
      <c r="R119"/>
      <c r="S119"/>
      <c r="T119"/>
      <c r="U119"/>
      <c r="V119"/>
      <c r="W119"/>
      <c r="X119"/>
      <c r="Y119" t="s">
        <v>28</v>
      </c>
    </row>
    <row r="120" spans="2:25" x14ac:dyDescent="0.2">
      <c r="B120" s="41"/>
      <c r="C120" s="5"/>
      <c r="D120" s="5"/>
      <c r="E120" s="5"/>
      <c r="F120" s="5"/>
      <c r="G120" s="5"/>
      <c r="H120" s="5"/>
      <c r="I120" s="5"/>
      <c r="J120" s="5"/>
      <c r="K120" s="5"/>
      <c r="P120"/>
      <c r="Q120"/>
      <c r="R120"/>
      <c r="S120"/>
      <c r="T120"/>
      <c r="U120"/>
      <c r="V120"/>
      <c r="W120"/>
      <c r="X120"/>
    </row>
    <row r="121" spans="2:25" x14ac:dyDescent="0.2">
      <c r="B121" s="41"/>
      <c r="C121" s="5"/>
      <c r="D121" s="5"/>
      <c r="E121" s="5"/>
      <c r="F121" s="5"/>
      <c r="G121" s="5"/>
      <c r="H121" s="5"/>
      <c r="I121" s="5"/>
      <c r="J121" s="5"/>
      <c r="K121" s="5"/>
      <c r="P121"/>
      <c r="Q121"/>
      <c r="R121"/>
      <c r="S121"/>
      <c r="T121"/>
      <c r="U121"/>
      <c r="V121"/>
      <c r="W121"/>
      <c r="X121"/>
    </row>
    <row r="122" spans="2:25" x14ac:dyDescent="0.2">
      <c r="B122" s="41"/>
      <c r="C122" s="5"/>
      <c r="D122" s="5"/>
      <c r="E122" s="5"/>
      <c r="F122" s="5"/>
      <c r="G122" s="5"/>
      <c r="H122" s="5"/>
      <c r="I122" s="5"/>
      <c r="J122" s="5"/>
      <c r="K122" s="5"/>
      <c r="P122"/>
      <c r="Q122"/>
      <c r="R122"/>
      <c r="S122"/>
      <c r="T122"/>
      <c r="U122"/>
      <c r="V122"/>
      <c r="W122"/>
      <c r="X122"/>
    </row>
    <row r="123" spans="2:25" x14ac:dyDescent="0.2">
      <c r="B123" s="41"/>
      <c r="C123" s="5"/>
      <c r="D123" s="5"/>
      <c r="E123" s="5"/>
      <c r="F123" s="5"/>
      <c r="G123" s="5"/>
      <c r="H123" s="5"/>
      <c r="I123" s="5"/>
      <c r="J123" s="5"/>
      <c r="K123" s="5"/>
      <c r="P123"/>
      <c r="Q123"/>
      <c r="R123"/>
      <c r="S123"/>
      <c r="T123"/>
      <c r="U123"/>
      <c r="V123"/>
      <c r="W123"/>
      <c r="X123"/>
    </row>
    <row r="124" spans="2:25" x14ac:dyDescent="0.2">
      <c r="B124" s="41"/>
      <c r="C124" s="5"/>
      <c r="D124" s="5"/>
      <c r="E124" s="5"/>
      <c r="F124" s="5"/>
      <c r="G124" s="5"/>
      <c r="H124" s="5"/>
      <c r="I124" s="5"/>
      <c r="J124" s="5"/>
      <c r="K124" s="5"/>
      <c r="P124"/>
      <c r="Q124"/>
      <c r="R124"/>
      <c r="S124"/>
      <c r="T124"/>
      <c r="U124"/>
      <c r="V124"/>
      <c r="W124"/>
      <c r="X124"/>
    </row>
    <row r="125" spans="2:25" x14ac:dyDescent="0.2">
      <c r="B125" s="41"/>
      <c r="C125" s="5"/>
      <c r="D125" s="5"/>
      <c r="E125" s="5"/>
      <c r="F125" s="5"/>
      <c r="G125" s="5"/>
      <c r="H125" s="5"/>
      <c r="I125" s="5"/>
      <c r="J125" s="5"/>
      <c r="K125" s="5"/>
      <c r="P125"/>
      <c r="Q125"/>
      <c r="R125"/>
      <c r="S125"/>
      <c r="T125"/>
      <c r="U125"/>
      <c r="V125"/>
      <c r="W125"/>
      <c r="X125"/>
    </row>
    <row r="126" spans="2:25" x14ac:dyDescent="0.2">
      <c r="B126" s="41"/>
      <c r="C126" s="5"/>
      <c r="D126" s="5"/>
      <c r="E126" s="5"/>
      <c r="F126" s="5"/>
      <c r="G126" s="5"/>
      <c r="H126" s="5"/>
      <c r="I126" s="5"/>
      <c r="J126" s="5"/>
      <c r="K126" s="5"/>
      <c r="P126"/>
      <c r="Q126"/>
      <c r="R126"/>
      <c r="S126"/>
      <c r="T126"/>
      <c r="U126"/>
      <c r="V126"/>
      <c r="W126"/>
      <c r="X126"/>
    </row>
    <row r="127" spans="2:25" x14ac:dyDescent="0.2">
      <c r="B127" s="41"/>
      <c r="C127" s="5"/>
      <c r="D127" s="5"/>
      <c r="E127" s="5"/>
      <c r="F127" s="5"/>
      <c r="G127" s="5"/>
      <c r="H127" s="5"/>
      <c r="I127" s="5"/>
      <c r="J127" s="5"/>
      <c r="K127" s="5"/>
      <c r="P127"/>
      <c r="Q127"/>
      <c r="R127"/>
      <c r="S127"/>
      <c r="T127"/>
      <c r="U127"/>
      <c r="V127"/>
      <c r="W127"/>
      <c r="X127"/>
    </row>
    <row r="128" spans="2:25" x14ac:dyDescent="0.2">
      <c r="B128" s="41"/>
      <c r="C128" s="5"/>
      <c r="D128" s="5"/>
      <c r="E128" s="5"/>
      <c r="F128" s="5"/>
      <c r="G128" s="5"/>
      <c r="H128" s="5"/>
      <c r="I128" s="5"/>
      <c r="J128" s="5"/>
      <c r="K128" s="5"/>
      <c r="P128"/>
      <c r="Q128"/>
      <c r="R128"/>
      <c r="S128"/>
      <c r="T128"/>
      <c r="U128"/>
      <c r="V128"/>
      <c r="W128"/>
      <c r="X128"/>
    </row>
    <row r="129" spans="2:24" x14ac:dyDescent="0.2">
      <c r="B129" s="41"/>
      <c r="C129" s="5"/>
      <c r="D129" s="5"/>
      <c r="E129" s="5"/>
      <c r="F129" s="5"/>
      <c r="G129" s="5"/>
      <c r="H129" s="5"/>
      <c r="I129" s="5"/>
      <c r="J129" s="5"/>
      <c r="K129" s="5"/>
      <c r="P129"/>
      <c r="Q129"/>
      <c r="R129"/>
      <c r="S129"/>
      <c r="T129"/>
      <c r="U129"/>
      <c r="V129"/>
      <c r="W129"/>
      <c r="X129"/>
    </row>
    <row r="130" spans="2:24" x14ac:dyDescent="0.2">
      <c r="B130" s="41"/>
      <c r="C130" s="5"/>
      <c r="D130" s="5"/>
      <c r="E130" s="5"/>
      <c r="F130" s="5"/>
      <c r="G130" s="5"/>
      <c r="H130" s="5"/>
      <c r="I130" s="5"/>
      <c r="J130" s="5"/>
      <c r="K130" s="5"/>
      <c r="P130"/>
      <c r="Q130"/>
      <c r="R130"/>
      <c r="S130"/>
      <c r="T130"/>
      <c r="U130"/>
      <c r="V130"/>
      <c r="W130"/>
      <c r="X130"/>
    </row>
    <row r="131" spans="2:24" x14ac:dyDescent="0.2">
      <c r="B131" s="41"/>
      <c r="C131" s="5"/>
      <c r="D131" s="5"/>
      <c r="E131" s="5"/>
      <c r="F131" s="5"/>
      <c r="G131" s="5"/>
      <c r="H131" s="5"/>
      <c r="I131" s="5"/>
      <c r="J131" s="5"/>
      <c r="K131" s="5"/>
      <c r="P131"/>
      <c r="Q131"/>
      <c r="R131"/>
      <c r="S131"/>
      <c r="T131"/>
      <c r="U131"/>
      <c r="V131"/>
      <c r="W131"/>
      <c r="X131"/>
    </row>
    <row r="132" spans="2:24" x14ac:dyDescent="0.2">
      <c r="B132" s="41"/>
      <c r="C132" s="5"/>
      <c r="D132" s="5"/>
      <c r="E132" s="5"/>
      <c r="F132" s="5"/>
      <c r="G132" s="5"/>
      <c r="H132" s="5"/>
      <c r="I132" s="5"/>
      <c r="J132" s="5"/>
      <c r="K132" s="5"/>
      <c r="P132"/>
      <c r="Q132"/>
      <c r="R132"/>
      <c r="S132"/>
      <c r="T132"/>
      <c r="U132"/>
      <c r="V132"/>
      <c r="W132"/>
      <c r="X132"/>
    </row>
    <row r="133" spans="2:24" x14ac:dyDescent="0.2">
      <c r="B133" s="41"/>
      <c r="C133" s="5"/>
      <c r="D133" s="5"/>
      <c r="E133" s="5"/>
      <c r="F133" s="5"/>
      <c r="G133" s="5"/>
      <c r="H133" s="5"/>
      <c r="I133" s="5"/>
      <c r="J133" s="5"/>
      <c r="K133" s="5"/>
      <c r="P133"/>
      <c r="Q133"/>
      <c r="R133"/>
      <c r="S133"/>
      <c r="T133"/>
      <c r="U133"/>
      <c r="V133"/>
      <c r="W133"/>
      <c r="X133"/>
    </row>
    <row r="134" spans="2:24" x14ac:dyDescent="0.2">
      <c r="B134" s="41"/>
      <c r="C134" s="5"/>
      <c r="D134" s="5"/>
      <c r="E134" s="5"/>
      <c r="F134" s="5"/>
      <c r="G134" s="5"/>
      <c r="H134" s="5"/>
      <c r="I134" s="5"/>
      <c r="J134" s="5"/>
      <c r="K134" s="5"/>
      <c r="P134"/>
      <c r="Q134"/>
      <c r="R134"/>
      <c r="S134"/>
      <c r="T134"/>
      <c r="U134"/>
      <c r="V134"/>
      <c r="W134"/>
      <c r="X134"/>
    </row>
    <row r="135" spans="2:24" x14ac:dyDescent="0.2">
      <c r="B135" s="41"/>
      <c r="C135" s="5"/>
      <c r="D135" s="5"/>
      <c r="E135" s="5"/>
      <c r="F135" s="5"/>
      <c r="G135" s="5"/>
      <c r="H135" s="5"/>
      <c r="I135" s="5"/>
      <c r="J135" s="5"/>
      <c r="K135" s="5"/>
      <c r="P135"/>
      <c r="Q135"/>
      <c r="R135"/>
      <c r="S135"/>
      <c r="T135"/>
      <c r="U135"/>
      <c r="V135"/>
      <c r="W135"/>
      <c r="X135"/>
    </row>
    <row r="136" spans="2:24" x14ac:dyDescent="0.2">
      <c r="B136" s="41"/>
      <c r="C136" s="5"/>
      <c r="D136" s="5"/>
      <c r="E136" s="5"/>
      <c r="F136" s="5"/>
      <c r="G136" s="5"/>
      <c r="H136" s="5"/>
      <c r="I136" s="5"/>
      <c r="J136" s="5"/>
      <c r="K136" s="5"/>
      <c r="P136"/>
      <c r="Q136"/>
      <c r="R136"/>
      <c r="S136"/>
      <c r="T136"/>
      <c r="U136"/>
      <c r="V136"/>
      <c r="W136"/>
      <c r="X136"/>
    </row>
    <row r="137" spans="2:24" x14ac:dyDescent="0.2">
      <c r="B137" s="41"/>
      <c r="C137" s="5"/>
      <c r="D137" s="5"/>
      <c r="E137" s="5"/>
      <c r="F137" s="5"/>
      <c r="G137" s="5"/>
      <c r="H137" s="5"/>
      <c r="I137" s="5"/>
      <c r="J137" s="5"/>
      <c r="K137" s="5"/>
      <c r="P137"/>
      <c r="Q137"/>
      <c r="R137"/>
      <c r="S137"/>
      <c r="T137"/>
      <c r="U137"/>
      <c r="V137"/>
      <c r="W137"/>
      <c r="X137"/>
    </row>
    <row r="138" spans="2:24" x14ac:dyDescent="0.2">
      <c r="B138" s="41"/>
      <c r="C138" s="5"/>
      <c r="D138" s="5"/>
      <c r="E138" s="5"/>
      <c r="F138" s="5"/>
      <c r="G138" s="5"/>
      <c r="H138" s="5"/>
      <c r="I138" s="5"/>
      <c r="J138" s="5"/>
      <c r="K138" s="5"/>
      <c r="P138"/>
      <c r="Q138"/>
      <c r="R138"/>
      <c r="S138"/>
      <c r="T138"/>
      <c r="U138"/>
      <c r="V138"/>
      <c r="W138"/>
      <c r="X138"/>
    </row>
    <row r="139" spans="2:24" x14ac:dyDescent="0.2">
      <c r="B139" s="41"/>
      <c r="C139" s="5"/>
      <c r="D139" s="5"/>
      <c r="E139" s="5"/>
      <c r="F139" s="5"/>
      <c r="G139" s="5"/>
      <c r="H139" s="5"/>
      <c r="I139" s="5"/>
      <c r="J139" s="5"/>
      <c r="K139" s="5"/>
      <c r="P139"/>
      <c r="Q139"/>
      <c r="R139"/>
      <c r="S139"/>
      <c r="T139"/>
      <c r="U139"/>
      <c r="V139"/>
      <c r="W139"/>
      <c r="X139"/>
    </row>
    <row r="140" spans="2:24" x14ac:dyDescent="0.2">
      <c r="B140" s="41"/>
      <c r="C140" s="5"/>
      <c r="D140" s="5"/>
      <c r="E140" s="5"/>
      <c r="F140" s="5"/>
      <c r="G140" s="5"/>
      <c r="H140" s="5"/>
      <c r="I140" s="5"/>
      <c r="J140" s="5"/>
      <c r="K140" s="5"/>
      <c r="P140"/>
      <c r="Q140"/>
      <c r="R140"/>
      <c r="S140"/>
      <c r="T140"/>
      <c r="U140"/>
      <c r="V140"/>
      <c r="W140"/>
      <c r="X140"/>
    </row>
    <row r="141" spans="2:24" x14ac:dyDescent="0.2">
      <c r="B141" s="41"/>
      <c r="C141" s="5"/>
      <c r="D141" s="5"/>
      <c r="E141" s="5"/>
      <c r="F141" s="5"/>
      <c r="G141" s="5"/>
      <c r="H141" s="5"/>
      <c r="I141" s="5"/>
      <c r="J141" s="5"/>
      <c r="K141" s="5"/>
      <c r="P141"/>
      <c r="Q141"/>
      <c r="R141"/>
      <c r="S141"/>
      <c r="T141"/>
      <c r="U141"/>
      <c r="V141"/>
      <c r="W141"/>
      <c r="X141"/>
    </row>
    <row r="142" spans="2:24" x14ac:dyDescent="0.2">
      <c r="B142" s="41"/>
      <c r="C142" s="5"/>
      <c r="D142" s="5"/>
      <c r="E142" s="5"/>
      <c r="F142" s="5"/>
      <c r="G142" s="5"/>
      <c r="H142" s="5"/>
      <c r="I142" s="5"/>
      <c r="J142" s="5"/>
      <c r="K142" s="5"/>
      <c r="P142"/>
      <c r="Q142"/>
      <c r="R142"/>
      <c r="S142"/>
      <c r="T142"/>
      <c r="U142"/>
      <c r="V142"/>
      <c r="W142"/>
      <c r="X142"/>
    </row>
    <row r="143" spans="2:24" x14ac:dyDescent="0.2">
      <c r="B143" s="41"/>
      <c r="C143" s="5"/>
      <c r="D143" s="5"/>
      <c r="E143" s="5"/>
      <c r="F143" s="5"/>
      <c r="G143" s="5"/>
      <c r="H143" s="5"/>
      <c r="I143" s="5"/>
      <c r="J143" s="5"/>
      <c r="K143" s="5"/>
      <c r="P143"/>
      <c r="Q143"/>
      <c r="R143"/>
      <c r="S143"/>
      <c r="T143"/>
      <c r="U143"/>
      <c r="V143"/>
      <c r="W143"/>
      <c r="X143"/>
    </row>
    <row r="144" spans="2:24" x14ac:dyDescent="0.2">
      <c r="B144" s="41"/>
      <c r="C144" s="5"/>
      <c r="D144" s="5"/>
      <c r="E144" s="5"/>
      <c r="F144" s="5"/>
      <c r="G144" s="5"/>
      <c r="H144" s="5"/>
      <c r="I144" s="5"/>
      <c r="J144" s="5"/>
      <c r="K144" s="5"/>
      <c r="P144"/>
      <c r="Q144"/>
      <c r="R144"/>
      <c r="S144"/>
      <c r="T144"/>
      <c r="U144"/>
      <c r="V144"/>
      <c r="W144"/>
      <c r="X144"/>
    </row>
    <row r="145" spans="2:24" x14ac:dyDescent="0.2">
      <c r="B145" s="41"/>
      <c r="C145" s="5"/>
      <c r="D145" s="5"/>
      <c r="E145" s="5"/>
      <c r="F145" s="5"/>
      <c r="G145" s="5"/>
      <c r="H145" s="5"/>
      <c r="I145" s="5"/>
      <c r="J145" s="5"/>
      <c r="K145" s="5"/>
      <c r="P145"/>
      <c r="Q145"/>
      <c r="R145"/>
      <c r="S145"/>
      <c r="T145"/>
      <c r="U145"/>
      <c r="V145"/>
      <c r="W145"/>
      <c r="X145"/>
    </row>
    <row r="146" spans="2:24" x14ac:dyDescent="0.2">
      <c r="B146" s="41"/>
      <c r="C146" s="5"/>
      <c r="D146" s="5"/>
      <c r="E146" s="5"/>
      <c r="F146" s="5"/>
      <c r="G146" s="5"/>
      <c r="H146" s="5"/>
      <c r="I146" s="5"/>
      <c r="J146" s="5"/>
      <c r="K146" s="5"/>
      <c r="N146" t="s">
        <v>33</v>
      </c>
      <c r="P146"/>
      <c r="Q146"/>
      <c r="R146"/>
      <c r="S146"/>
      <c r="T146"/>
      <c r="U146"/>
      <c r="V146"/>
      <c r="W146"/>
      <c r="X146"/>
    </row>
    <row r="147" spans="2:24" x14ac:dyDescent="0.2">
      <c r="B147" s="41"/>
      <c r="C147" s="5"/>
      <c r="D147" s="5"/>
      <c r="E147" s="5"/>
      <c r="F147" s="5"/>
      <c r="G147" s="5"/>
      <c r="H147" s="5"/>
      <c r="I147" s="5"/>
      <c r="J147" s="5"/>
      <c r="K147" s="5"/>
      <c r="P147"/>
      <c r="Q147"/>
      <c r="R147"/>
      <c r="S147"/>
      <c r="T147"/>
      <c r="U147"/>
      <c r="V147"/>
      <c r="W147"/>
      <c r="X147"/>
    </row>
    <row r="148" spans="2:24" x14ac:dyDescent="0.2">
      <c r="B148" s="41"/>
      <c r="C148" s="5"/>
      <c r="D148" s="5"/>
      <c r="E148" s="5"/>
      <c r="F148" s="5"/>
      <c r="G148" s="5"/>
      <c r="H148" s="5"/>
      <c r="I148" s="5"/>
      <c r="J148" s="5"/>
      <c r="K148" s="5"/>
      <c r="P148"/>
      <c r="Q148"/>
      <c r="R148"/>
      <c r="S148"/>
      <c r="T148"/>
      <c r="U148"/>
      <c r="V148"/>
      <c r="W148"/>
      <c r="X148"/>
    </row>
    <row r="149" spans="2:24" x14ac:dyDescent="0.2">
      <c r="B149" s="41"/>
      <c r="C149" s="5"/>
      <c r="D149" s="5"/>
      <c r="E149" s="5"/>
      <c r="F149" s="5"/>
      <c r="G149" s="5"/>
      <c r="H149" s="5"/>
      <c r="I149" s="5"/>
      <c r="J149" s="5"/>
      <c r="K149" s="5"/>
      <c r="P149"/>
      <c r="Q149"/>
      <c r="R149"/>
      <c r="S149"/>
      <c r="T149"/>
      <c r="U149"/>
      <c r="V149"/>
      <c r="W149"/>
      <c r="X149"/>
    </row>
    <row r="150" spans="2:24" x14ac:dyDescent="0.2">
      <c r="B150" s="41"/>
      <c r="C150" s="5"/>
      <c r="D150" s="5"/>
      <c r="E150" s="5"/>
      <c r="F150" s="5"/>
      <c r="G150" s="5"/>
      <c r="H150" s="5"/>
      <c r="I150" s="5"/>
      <c r="J150" s="5"/>
      <c r="K150" s="5"/>
      <c r="P150"/>
      <c r="Q150"/>
      <c r="R150"/>
      <c r="S150"/>
      <c r="T150"/>
      <c r="U150"/>
      <c r="V150"/>
      <c r="W150"/>
      <c r="X150"/>
    </row>
    <row r="151" spans="2:24" x14ac:dyDescent="0.2">
      <c r="B151" s="41"/>
      <c r="C151" s="5"/>
      <c r="D151" s="5"/>
      <c r="E151" s="5"/>
      <c r="F151" s="5"/>
      <c r="G151" s="5"/>
      <c r="H151" s="5"/>
      <c r="I151" s="5"/>
      <c r="J151" s="5"/>
      <c r="K151" s="5"/>
      <c r="P151"/>
      <c r="Q151"/>
      <c r="R151"/>
      <c r="S151"/>
      <c r="T151"/>
      <c r="U151"/>
      <c r="V151"/>
      <c r="W151"/>
      <c r="X151"/>
    </row>
    <row r="152" spans="2:24" x14ac:dyDescent="0.2">
      <c r="B152" s="41"/>
      <c r="C152" s="5"/>
      <c r="D152" s="5"/>
      <c r="E152" s="5"/>
      <c r="F152" s="5"/>
      <c r="G152" s="5"/>
      <c r="H152" s="5"/>
      <c r="I152" s="5"/>
      <c r="J152" s="5"/>
      <c r="K152" s="5"/>
      <c r="P152"/>
      <c r="Q152"/>
      <c r="R152"/>
      <c r="S152"/>
      <c r="T152"/>
      <c r="U152"/>
      <c r="V152"/>
      <c r="W152"/>
      <c r="X152"/>
    </row>
    <row r="153" spans="2:24" x14ac:dyDescent="0.2">
      <c r="B153" s="41"/>
      <c r="C153" s="5"/>
      <c r="D153" s="5"/>
      <c r="E153" s="5"/>
      <c r="F153" s="5"/>
      <c r="G153" s="5"/>
      <c r="H153" s="5"/>
      <c r="I153" s="5"/>
      <c r="J153" s="5"/>
      <c r="K153" s="5"/>
      <c r="P153"/>
      <c r="Q153"/>
      <c r="R153"/>
      <c r="S153"/>
      <c r="T153"/>
      <c r="U153"/>
      <c r="V153"/>
      <c r="W153"/>
      <c r="X153"/>
    </row>
    <row r="154" spans="2:24" x14ac:dyDescent="0.2">
      <c r="B154" s="41"/>
      <c r="C154" s="5"/>
      <c r="D154" s="5"/>
      <c r="E154" s="5"/>
      <c r="F154" s="5"/>
      <c r="G154" s="5"/>
      <c r="H154" s="5"/>
      <c r="I154" s="5"/>
      <c r="J154" s="5"/>
      <c r="K154" s="5"/>
      <c r="P154"/>
      <c r="Q154"/>
      <c r="R154"/>
      <c r="S154"/>
      <c r="T154"/>
      <c r="U154"/>
      <c r="V154"/>
      <c r="W154"/>
      <c r="X154"/>
    </row>
    <row r="155" spans="2:24" x14ac:dyDescent="0.2">
      <c r="B155" s="41"/>
      <c r="C155" s="5"/>
      <c r="D155" s="5"/>
      <c r="E155" s="5"/>
      <c r="F155" s="5"/>
      <c r="G155" s="5"/>
      <c r="H155" s="5"/>
      <c r="I155" s="5"/>
      <c r="J155" s="5"/>
      <c r="K155" s="5"/>
      <c r="P155"/>
      <c r="Q155"/>
      <c r="R155"/>
      <c r="S155"/>
      <c r="T155"/>
      <c r="U155"/>
      <c r="V155"/>
      <c r="W155"/>
      <c r="X155"/>
    </row>
    <row r="156" spans="2:24" x14ac:dyDescent="0.2">
      <c r="B156" s="41"/>
      <c r="C156" s="5"/>
      <c r="D156" s="5"/>
      <c r="E156" s="5"/>
      <c r="F156" s="5"/>
      <c r="G156" s="5"/>
      <c r="H156" s="5"/>
      <c r="I156" s="5"/>
      <c r="J156" s="5"/>
      <c r="K156" s="5"/>
      <c r="P156"/>
      <c r="Q156"/>
      <c r="R156"/>
      <c r="S156"/>
      <c r="T156"/>
      <c r="U156"/>
      <c r="V156"/>
      <c r="W156"/>
      <c r="X156"/>
    </row>
    <row r="157" spans="2:24" x14ac:dyDescent="0.2">
      <c r="B157" s="41"/>
      <c r="C157" s="5"/>
      <c r="D157" s="5"/>
      <c r="E157" s="5"/>
      <c r="F157" s="5"/>
      <c r="G157" s="5"/>
      <c r="H157" s="5"/>
      <c r="I157" s="5"/>
      <c r="J157" s="5"/>
      <c r="K157" s="5"/>
      <c r="P157"/>
      <c r="Q157"/>
      <c r="R157"/>
      <c r="S157"/>
      <c r="T157"/>
      <c r="U157"/>
      <c r="V157"/>
      <c r="W157"/>
      <c r="X157"/>
    </row>
    <row r="158" spans="2:24" x14ac:dyDescent="0.2">
      <c r="B158" s="41"/>
      <c r="C158" s="5"/>
      <c r="D158" s="5"/>
      <c r="E158" s="5"/>
      <c r="F158" s="5"/>
      <c r="G158" s="5"/>
      <c r="H158" s="5"/>
      <c r="I158" s="5"/>
      <c r="J158" s="5"/>
      <c r="K158" s="5"/>
      <c r="P158"/>
      <c r="Q158"/>
      <c r="R158"/>
      <c r="S158"/>
      <c r="T158"/>
      <c r="U158"/>
      <c r="V158"/>
      <c r="W158"/>
      <c r="X158"/>
    </row>
    <row r="159" spans="2:24" x14ac:dyDescent="0.2">
      <c r="B159" s="41"/>
      <c r="C159" s="5"/>
      <c r="D159" s="5"/>
      <c r="E159" s="5"/>
      <c r="F159" s="5"/>
      <c r="G159" s="5"/>
      <c r="H159" s="5"/>
      <c r="I159" s="5"/>
      <c r="J159" s="5"/>
      <c r="K159" s="5"/>
      <c r="P159"/>
      <c r="Q159"/>
      <c r="R159"/>
      <c r="S159"/>
      <c r="T159"/>
      <c r="U159"/>
      <c r="V159"/>
      <c r="W159"/>
      <c r="X159"/>
    </row>
    <row r="160" spans="2:24" x14ac:dyDescent="0.2">
      <c r="B160" s="41"/>
      <c r="C160" s="5"/>
      <c r="D160" s="5"/>
      <c r="E160" s="5"/>
      <c r="F160" s="5"/>
      <c r="G160" s="5"/>
      <c r="H160" s="5"/>
      <c r="I160" s="5"/>
      <c r="J160" s="5"/>
      <c r="K160" s="5"/>
      <c r="P160"/>
      <c r="Q160"/>
      <c r="R160"/>
      <c r="S160"/>
      <c r="T160"/>
      <c r="U160"/>
      <c r="V160"/>
      <c r="W160"/>
      <c r="X160"/>
    </row>
    <row r="161" spans="2:24" x14ac:dyDescent="0.2">
      <c r="B161" s="41"/>
      <c r="C161" s="5"/>
      <c r="D161" s="5"/>
      <c r="E161" s="5"/>
      <c r="F161" s="5"/>
      <c r="G161" s="5"/>
      <c r="H161" s="5"/>
      <c r="I161" s="5"/>
      <c r="J161" s="5"/>
      <c r="K161" s="5"/>
      <c r="P161"/>
      <c r="Q161"/>
      <c r="R161"/>
      <c r="S161"/>
      <c r="T161"/>
      <c r="U161"/>
      <c r="V161"/>
      <c r="W161"/>
      <c r="X161"/>
    </row>
    <row r="162" spans="2:24" x14ac:dyDescent="0.2">
      <c r="B162" s="41"/>
      <c r="C162" s="5"/>
      <c r="D162" s="5"/>
      <c r="E162" s="5"/>
      <c r="F162" s="5"/>
      <c r="G162" s="5"/>
      <c r="H162" s="5"/>
      <c r="I162" s="5"/>
      <c r="J162" s="5"/>
      <c r="K162" s="5"/>
      <c r="P162"/>
      <c r="Q162"/>
      <c r="R162"/>
      <c r="S162"/>
      <c r="T162"/>
      <c r="U162"/>
      <c r="V162"/>
      <c r="W162"/>
      <c r="X162"/>
    </row>
    <row r="163" spans="2:24" x14ac:dyDescent="0.2">
      <c r="B163" s="41"/>
      <c r="C163" s="5"/>
      <c r="D163" s="5"/>
      <c r="E163" s="5"/>
      <c r="F163" s="5"/>
      <c r="G163" s="5"/>
      <c r="H163" s="5"/>
      <c r="I163" s="5"/>
      <c r="J163" s="5"/>
      <c r="K163" s="5"/>
      <c r="P163"/>
      <c r="Q163"/>
      <c r="R163"/>
      <c r="S163"/>
      <c r="T163"/>
      <c r="U163"/>
      <c r="V163"/>
      <c r="W163"/>
      <c r="X163"/>
    </row>
    <row r="164" spans="2:24" x14ac:dyDescent="0.2">
      <c r="B164" s="41"/>
      <c r="C164" s="5"/>
      <c r="D164" s="5"/>
      <c r="E164" s="5"/>
      <c r="F164" s="5"/>
      <c r="G164" s="5"/>
      <c r="H164" s="5"/>
      <c r="I164" s="5"/>
      <c r="J164" s="5"/>
      <c r="K164" s="5"/>
      <c r="P164"/>
      <c r="Q164"/>
      <c r="R164"/>
      <c r="S164"/>
      <c r="T164"/>
      <c r="U164"/>
      <c r="V164"/>
      <c r="W164"/>
      <c r="X164"/>
    </row>
    <row r="165" spans="2:24" x14ac:dyDescent="0.2">
      <c r="B165" s="41"/>
      <c r="C165" s="5"/>
      <c r="D165" s="5"/>
      <c r="E165" s="5"/>
      <c r="F165" s="5"/>
      <c r="G165" s="5"/>
      <c r="H165" s="5"/>
      <c r="I165" s="5"/>
      <c r="J165" s="5"/>
      <c r="K165" s="5"/>
      <c r="P165"/>
      <c r="Q165"/>
      <c r="R165"/>
      <c r="S165"/>
      <c r="T165"/>
      <c r="U165"/>
      <c r="V165"/>
      <c r="W165"/>
      <c r="X165"/>
    </row>
    <row r="166" spans="2:24" x14ac:dyDescent="0.2">
      <c r="B166" s="41"/>
      <c r="C166" s="5"/>
      <c r="D166" s="5"/>
      <c r="E166" s="5"/>
      <c r="F166" s="5"/>
      <c r="G166" s="5"/>
      <c r="H166" s="5"/>
      <c r="I166" s="5"/>
      <c r="J166" s="5"/>
      <c r="K166" s="5"/>
      <c r="P166"/>
      <c r="Q166"/>
      <c r="R166"/>
      <c r="S166"/>
      <c r="T166"/>
      <c r="U166"/>
      <c r="V166"/>
      <c r="W166"/>
      <c r="X166"/>
    </row>
    <row r="167" spans="2:24" x14ac:dyDescent="0.2">
      <c r="B167" s="41"/>
      <c r="C167" s="5"/>
      <c r="D167" s="5"/>
      <c r="E167" s="5"/>
      <c r="F167" s="5"/>
      <c r="G167" s="5"/>
      <c r="H167" s="5"/>
      <c r="I167" s="5"/>
      <c r="J167" s="5"/>
      <c r="K167" s="5"/>
      <c r="P167"/>
      <c r="Q167"/>
      <c r="R167"/>
      <c r="S167"/>
      <c r="T167"/>
      <c r="U167"/>
      <c r="V167"/>
      <c r="W167"/>
      <c r="X167"/>
    </row>
    <row r="168" spans="2:24" x14ac:dyDescent="0.2">
      <c r="B168" s="41"/>
      <c r="C168" s="5"/>
      <c r="D168" s="5"/>
      <c r="E168" s="5"/>
      <c r="F168" s="5"/>
      <c r="G168" s="5"/>
      <c r="H168" s="5"/>
      <c r="I168" s="5"/>
      <c r="J168" s="5"/>
      <c r="K168" s="5"/>
      <c r="P168"/>
      <c r="Q168"/>
      <c r="R168"/>
      <c r="S168"/>
      <c r="T168"/>
      <c r="U168"/>
      <c r="V168"/>
      <c r="W168"/>
      <c r="X168"/>
    </row>
    <row r="169" spans="2:24" x14ac:dyDescent="0.2">
      <c r="B169" s="41"/>
      <c r="C169" s="5"/>
      <c r="D169" s="5"/>
      <c r="E169" s="5"/>
      <c r="F169" s="5"/>
      <c r="G169" s="5"/>
      <c r="H169" s="5"/>
      <c r="I169" s="5"/>
      <c r="J169" s="5"/>
      <c r="K169" s="5"/>
      <c r="P169"/>
      <c r="Q169"/>
      <c r="R169"/>
      <c r="S169"/>
      <c r="T169"/>
      <c r="U169"/>
      <c r="V169"/>
      <c r="W169"/>
      <c r="X169"/>
    </row>
    <row r="170" spans="2:24" x14ac:dyDescent="0.2">
      <c r="B170" s="41"/>
      <c r="C170" s="5"/>
      <c r="D170" s="5"/>
      <c r="E170" s="5"/>
      <c r="F170" s="5"/>
      <c r="G170" s="5"/>
      <c r="H170" s="5"/>
      <c r="I170" s="5"/>
      <c r="J170" s="5"/>
      <c r="K170" s="5"/>
      <c r="P170"/>
      <c r="Q170"/>
      <c r="R170"/>
      <c r="S170"/>
      <c r="T170"/>
      <c r="U170"/>
      <c r="V170"/>
      <c r="W170"/>
      <c r="X170"/>
    </row>
    <row r="171" spans="2:24" x14ac:dyDescent="0.2">
      <c r="B171" s="41"/>
      <c r="C171" s="5"/>
      <c r="D171" s="5"/>
      <c r="E171" s="5"/>
      <c r="F171" s="5"/>
      <c r="G171" s="5"/>
      <c r="H171" s="5"/>
      <c r="I171" s="5"/>
      <c r="J171" s="5"/>
      <c r="K171" s="5"/>
      <c r="P171"/>
      <c r="Q171"/>
      <c r="R171"/>
      <c r="S171"/>
      <c r="T171"/>
      <c r="U171"/>
      <c r="V171"/>
      <c r="W171"/>
      <c r="X171"/>
    </row>
    <row r="172" spans="2:24" x14ac:dyDescent="0.2">
      <c r="B172" s="41"/>
      <c r="C172" s="5"/>
      <c r="D172" s="5"/>
      <c r="E172" s="5"/>
      <c r="F172" s="5"/>
      <c r="G172" s="5"/>
      <c r="H172" s="5"/>
      <c r="I172" s="5"/>
      <c r="J172" s="5"/>
      <c r="K172" s="5"/>
      <c r="P172"/>
      <c r="Q172"/>
      <c r="R172"/>
      <c r="S172"/>
      <c r="T172"/>
      <c r="U172"/>
      <c r="V172"/>
      <c r="W172"/>
      <c r="X172"/>
    </row>
    <row r="173" spans="2:24" x14ac:dyDescent="0.2">
      <c r="B173" s="41"/>
      <c r="C173" s="5"/>
      <c r="D173" s="5"/>
      <c r="E173" s="5"/>
      <c r="F173" s="5"/>
      <c r="G173" s="5"/>
      <c r="H173" s="5"/>
      <c r="I173" s="5"/>
      <c r="J173" s="5"/>
      <c r="K173" s="5"/>
      <c r="P173"/>
      <c r="Q173"/>
      <c r="R173"/>
      <c r="S173"/>
      <c r="T173"/>
      <c r="U173"/>
      <c r="V173"/>
      <c r="W173"/>
      <c r="X173"/>
    </row>
    <row r="174" spans="2:24" x14ac:dyDescent="0.2">
      <c r="B174" s="41"/>
      <c r="C174" s="5"/>
      <c r="D174" s="5"/>
      <c r="E174" s="5"/>
      <c r="F174" s="5"/>
      <c r="G174" s="5"/>
      <c r="H174" s="5"/>
      <c r="I174" s="5"/>
      <c r="J174" s="5"/>
      <c r="K174" s="5"/>
      <c r="P174"/>
      <c r="Q174"/>
      <c r="R174"/>
      <c r="S174"/>
      <c r="T174"/>
      <c r="U174"/>
      <c r="V174"/>
      <c r="W174"/>
      <c r="X174"/>
    </row>
    <row r="175" spans="2:24" x14ac:dyDescent="0.2">
      <c r="B175" s="41"/>
      <c r="C175" s="5"/>
      <c r="D175" s="5"/>
      <c r="E175" s="5"/>
      <c r="F175" s="5"/>
      <c r="G175" s="5"/>
      <c r="H175" s="5"/>
      <c r="I175" s="5"/>
      <c r="J175" s="5"/>
      <c r="K175" s="5"/>
      <c r="P175"/>
      <c r="Q175"/>
      <c r="R175"/>
      <c r="S175"/>
      <c r="T175"/>
      <c r="U175"/>
      <c r="V175"/>
      <c r="W175"/>
      <c r="X175"/>
    </row>
    <row r="176" spans="2:24" x14ac:dyDescent="0.2">
      <c r="B176" s="41"/>
      <c r="C176" s="5"/>
      <c r="D176" s="5"/>
      <c r="E176" s="5"/>
      <c r="F176" s="5"/>
      <c r="G176" s="5"/>
      <c r="H176" s="5"/>
      <c r="I176" s="5"/>
      <c r="J176" s="5"/>
      <c r="K176" s="5"/>
      <c r="P176"/>
      <c r="Q176"/>
      <c r="R176"/>
      <c r="S176"/>
      <c r="T176"/>
      <c r="U176"/>
      <c r="V176"/>
      <c r="W176"/>
      <c r="X176"/>
    </row>
    <row r="177" spans="2:24" x14ac:dyDescent="0.2">
      <c r="B177" s="41"/>
      <c r="C177" s="5"/>
      <c r="D177" s="5"/>
      <c r="E177" s="5"/>
      <c r="F177" s="5"/>
      <c r="G177" s="5"/>
      <c r="H177" s="5"/>
      <c r="I177" s="5"/>
      <c r="J177" s="5"/>
      <c r="K177" s="5"/>
      <c r="P177"/>
      <c r="Q177"/>
      <c r="R177"/>
      <c r="S177"/>
      <c r="T177"/>
      <c r="U177"/>
      <c r="V177"/>
      <c r="W177"/>
      <c r="X177"/>
    </row>
    <row r="178" spans="2:24" x14ac:dyDescent="0.2">
      <c r="B178" s="41"/>
      <c r="C178" s="5"/>
      <c r="D178" s="5"/>
      <c r="E178" s="5"/>
      <c r="F178" s="5"/>
      <c r="G178" s="5"/>
      <c r="H178" s="5"/>
      <c r="I178" s="5"/>
      <c r="J178" s="5"/>
      <c r="K178" s="5"/>
      <c r="P178"/>
      <c r="Q178"/>
      <c r="R178"/>
      <c r="S178"/>
      <c r="T178"/>
      <c r="U178"/>
      <c r="V178"/>
      <c r="W178"/>
      <c r="X178"/>
    </row>
    <row r="179" spans="2:24" x14ac:dyDescent="0.2">
      <c r="B179" s="41"/>
      <c r="C179" s="5"/>
      <c r="D179" s="5"/>
      <c r="E179" s="5"/>
      <c r="F179" s="5"/>
      <c r="G179" s="5"/>
      <c r="H179" s="5"/>
      <c r="I179" s="5"/>
      <c r="J179" s="5"/>
      <c r="K179" s="5"/>
      <c r="P179"/>
      <c r="Q179"/>
      <c r="R179"/>
      <c r="S179"/>
      <c r="T179"/>
      <c r="U179"/>
      <c r="V179"/>
      <c r="W179"/>
      <c r="X179"/>
    </row>
    <row r="180" spans="2:24" x14ac:dyDescent="0.2">
      <c r="B180" s="41"/>
      <c r="C180" s="5"/>
      <c r="D180" s="5"/>
      <c r="E180" s="5"/>
      <c r="F180" s="5"/>
      <c r="G180" s="5"/>
      <c r="H180" s="5"/>
      <c r="I180" s="5"/>
      <c r="J180" s="5"/>
      <c r="K180" s="5"/>
      <c r="P180"/>
      <c r="Q180"/>
      <c r="R180"/>
      <c r="S180"/>
      <c r="T180"/>
      <c r="U180"/>
      <c r="V180"/>
      <c r="W180"/>
      <c r="X180"/>
    </row>
    <row r="181" spans="2:24" x14ac:dyDescent="0.2">
      <c r="B181" s="41"/>
      <c r="C181" s="5"/>
      <c r="D181" s="5"/>
      <c r="E181" s="5"/>
      <c r="F181" s="5"/>
      <c r="G181" s="5"/>
      <c r="H181" s="5"/>
      <c r="I181" s="5"/>
      <c r="J181" s="5"/>
      <c r="K181" s="5"/>
      <c r="P181"/>
      <c r="Q181"/>
      <c r="R181"/>
      <c r="S181"/>
      <c r="T181"/>
      <c r="U181"/>
      <c r="V181"/>
      <c r="W181"/>
      <c r="X181"/>
    </row>
    <row r="182" spans="2:24" x14ac:dyDescent="0.2">
      <c r="B182" s="41"/>
      <c r="C182" s="5"/>
      <c r="D182" s="5"/>
      <c r="E182" s="5"/>
      <c r="F182" s="5"/>
      <c r="G182" s="5"/>
      <c r="H182" s="5"/>
      <c r="I182" s="5"/>
      <c r="J182" s="5"/>
      <c r="K182" s="5"/>
      <c r="P182"/>
      <c r="Q182"/>
      <c r="R182"/>
      <c r="S182"/>
      <c r="T182"/>
      <c r="U182"/>
      <c r="V182"/>
      <c r="W182"/>
      <c r="X182"/>
    </row>
    <row r="183" spans="2:24" x14ac:dyDescent="0.2">
      <c r="B183" s="41"/>
      <c r="C183" s="5"/>
      <c r="D183" s="5"/>
      <c r="E183" s="5"/>
      <c r="F183" s="5"/>
      <c r="G183" s="5"/>
      <c r="H183" s="5"/>
      <c r="I183" s="5"/>
      <c r="J183" s="5"/>
      <c r="K183" s="5"/>
      <c r="P183"/>
      <c r="Q183"/>
      <c r="R183"/>
      <c r="S183"/>
      <c r="T183"/>
      <c r="U183"/>
      <c r="V183"/>
      <c r="W183"/>
      <c r="X183"/>
    </row>
    <row r="184" spans="2:24" x14ac:dyDescent="0.2">
      <c r="B184" s="41"/>
      <c r="C184" s="5"/>
      <c r="D184" s="5"/>
      <c r="E184" s="5"/>
      <c r="F184" s="5"/>
      <c r="G184" s="5"/>
      <c r="H184" s="5"/>
      <c r="I184" s="5"/>
      <c r="J184" s="5"/>
      <c r="K184" s="5"/>
      <c r="P184"/>
      <c r="Q184"/>
      <c r="R184"/>
      <c r="S184"/>
      <c r="T184"/>
      <c r="U184"/>
      <c r="V184"/>
      <c r="W184"/>
      <c r="X184"/>
    </row>
    <row r="185" spans="2:24" x14ac:dyDescent="0.2">
      <c r="B185" s="41"/>
      <c r="C185" s="5"/>
      <c r="D185" s="5"/>
      <c r="E185" s="5"/>
      <c r="F185" s="5"/>
      <c r="G185" s="5"/>
      <c r="H185" s="5"/>
      <c r="I185" s="5"/>
      <c r="J185" s="5"/>
      <c r="K185" s="5"/>
      <c r="P185"/>
      <c r="Q185"/>
      <c r="R185"/>
      <c r="S185"/>
      <c r="T185"/>
      <c r="U185"/>
      <c r="V185"/>
      <c r="W185"/>
      <c r="X185"/>
    </row>
    <row r="186" spans="2:24" x14ac:dyDescent="0.2">
      <c r="B186" s="41"/>
      <c r="C186" s="5"/>
      <c r="D186" s="5"/>
      <c r="E186" s="5"/>
      <c r="F186" s="5"/>
      <c r="G186" s="5"/>
      <c r="H186" s="5"/>
      <c r="I186" s="5"/>
      <c r="J186" s="5"/>
      <c r="K186" s="5"/>
      <c r="P186"/>
      <c r="Q186"/>
      <c r="R186"/>
      <c r="S186"/>
      <c r="T186"/>
      <c r="U186"/>
      <c r="V186"/>
      <c r="W186"/>
      <c r="X186"/>
    </row>
    <row r="187" spans="2:24" x14ac:dyDescent="0.2">
      <c r="B187" s="41"/>
      <c r="C187" s="5"/>
      <c r="D187" s="5"/>
      <c r="E187" s="5"/>
      <c r="F187" s="5"/>
      <c r="G187" s="5"/>
      <c r="H187" s="5"/>
      <c r="I187" s="5"/>
      <c r="J187" s="5"/>
      <c r="K187" s="5"/>
      <c r="P187"/>
      <c r="Q187"/>
      <c r="R187"/>
      <c r="S187"/>
      <c r="T187"/>
      <c r="U187"/>
      <c r="V187"/>
      <c r="W187"/>
      <c r="X187"/>
    </row>
    <row r="188" spans="2:24" x14ac:dyDescent="0.2">
      <c r="B188" s="41"/>
      <c r="C188" s="5"/>
      <c r="D188" s="5"/>
      <c r="E188" s="5"/>
      <c r="F188" s="5"/>
      <c r="G188" s="5"/>
      <c r="H188" s="5"/>
      <c r="I188" s="5"/>
      <c r="J188" s="5"/>
      <c r="K188" s="5"/>
      <c r="P188"/>
      <c r="Q188"/>
      <c r="R188"/>
      <c r="S188"/>
      <c r="T188"/>
      <c r="U188"/>
      <c r="V188"/>
      <c r="W188"/>
      <c r="X188"/>
    </row>
    <row r="189" spans="2:24" x14ac:dyDescent="0.2">
      <c r="B189" s="41"/>
      <c r="C189" s="5"/>
      <c r="D189" s="5"/>
      <c r="E189" s="5"/>
      <c r="F189" s="5"/>
      <c r="G189" s="5"/>
      <c r="H189" s="5"/>
      <c r="I189" s="5"/>
      <c r="J189" s="5"/>
      <c r="K189" s="5"/>
      <c r="P189"/>
      <c r="Q189"/>
      <c r="R189"/>
      <c r="S189"/>
      <c r="T189"/>
      <c r="U189"/>
      <c r="V189"/>
      <c r="W189"/>
      <c r="X189"/>
    </row>
    <row r="190" spans="2:24" x14ac:dyDescent="0.2">
      <c r="B190" s="41"/>
      <c r="C190" s="5"/>
      <c r="D190" s="5"/>
      <c r="E190" s="5"/>
      <c r="F190" s="5"/>
      <c r="G190" s="5"/>
      <c r="H190" s="5"/>
      <c r="I190" s="5"/>
      <c r="J190" s="5"/>
      <c r="K190" s="5"/>
      <c r="P190"/>
      <c r="Q190"/>
      <c r="R190"/>
      <c r="S190"/>
      <c r="T190"/>
      <c r="U190"/>
      <c r="V190"/>
      <c r="W190"/>
      <c r="X190"/>
    </row>
    <row r="191" spans="2:24" x14ac:dyDescent="0.2">
      <c r="B191" s="41"/>
      <c r="C191" s="5"/>
      <c r="D191" s="5"/>
      <c r="E191" s="5"/>
      <c r="F191" s="5"/>
      <c r="G191" s="5"/>
      <c r="H191" s="5"/>
      <c r="I191" s="5"/>
      <c r="J191" s="5"/>
      <c r="K191" s="5"/>
      <c r="P191"/>
      <c r="Q191"/>
      <c r="R191"/>
      <c r="S191"/>
      <c r="T191"/>
      <c r="U191"/>
      <c r="V191"/>
      <c r="W191"/>
      <c r="X191"/>
    </row>
    <row r="192" spans="2:24" x14ac:dyDescent="0.2">
      <c r="B192" s="41"/>
      <c r="C192" s="5"/>
      <c r="D192" s="5"/>
      <c r="E192" s="5"/>
      <c r="F192" s="5"/>
      <c r="G192" s="5"/>
      <c r="H192" s="5"/>
      <c r="I192" s="5"/>
      <c r="J192" s="5"/>
      <c r="K192" s="5"/>
      <c r="P192"/>
      <c r="Q192"/>
      <c r="R192"/>
      <c r="S192"/>
      <c r="T192"/>
      <c r="U192"/>
      <c r="V192"/>
      <c r="W192"/>
      <c r="X192"/>
    </row>
    <row r="193" spans="2:24" x14ac:dyDescent="0.2">
      <c r="B193" s="41"/>
      <c r="C193" s="5"/>
      <c r="D193" s="5"/>
      <c r="E193" s="5"/>
      <c r="F193" s="5"/>
      <c r="G193" s="5"/>
      <c r="H193" s="5"/>
      <c r="I193" s="5"/>
      <c r="J193" s="5"/>
      <c r="K193" s="5"/>
      <c r="P193"/>
      <c r="Q193"/>
      <c r="R193"/>
      <c r="S193"/>
      <c r="T193"/>
      <c r="U193"/>
      <c r="V193"/>
      <c r="W193"/>
      <c r="X193"/>
    </row>
    <row r="194" spans="2:24" x14ac:dyDescent="0.2">
      <c r="B194" s="41"/>
      <c r="C194" s="5"/>
      <c r="D194" s="5"/>
      <c r="E194" s="5"/>
      <c r="F194" s="5"/>
      <c r="G194" s="5"/>
      <c r="H194" s="5"/>
      <c r="I194" s="5"/>
      <c r="J194" s="5"/>
      <c r="K194" s="5"/>
      <c r="P194"/>
      <c r="Q194"/>
      <c r="R194"/>
      <c r="S194"/>
      <c r="T194"/>
      <c r="U194"/>
      <c r="V194"/>
      <c r="W194"/>
      <c r="X194"/>
    </row>
    <row r="195" spans="2:24" x14ac:dyDescent="0.2">
      <c r="B195" s="41"/>
      <c r="C195" s="5"/>
      <c r="D195" s="5"/>
      <c r="E195" s="5"/>
      <c r="F195" s="5"/>
      <c r="G195" s="5"/>
      <c r="H195" s="5"/>
      <c r="I195" s="5"/>
      <c r="J195" s="5"/>
      <c r="K195" s="5"/>
      <c r="P195"/>
      <c r="Q195"/>
      <c r="R195"/>
      <c r="S195"/>
      <c r="T195"/>
      <c r="U195"/>
      <c r="V195"/>
      <c r="W195"/>
      <c r="X195"/>
    </row>
    <row r="196" spans="2:24" x14ac:dyDescent="0.2">
      <c r="B196" s="41"/>
      <c r="C196" s="5"/>
      <c r="D196" s="5"/>
      <c r="E196" s="5"/>
      <c r="F196" s="5"/>
      <c r="G196" s="5"/>
      <c r="H196" s="5"/>
      <c r="I196" s="5"/>
      <c r="J196" s="5"/>
      <c r="K196" s="5"/>
      <c r="P196"/>
      <c r="Q196"/>
      <c r="R196"/>
      <c r="S196"/>
      <c r="T196"/>
      <c r="U196"/>
      <c r="V196"/>
      <c r="W196"/>
      <c r="X196"/>
    </row>
    <row r="197" spans="2:24" x14ac:dyDescent="0.2">
      <c r="B197" s="41"/>
      <c r="C197" s="5"/>
      <c r="D197" s="5"/>
      <c r="E197" s="5"/>
      <c r="F197" s="5"/>
      <c r="G197" s="5"/>
      <c r="H197" s="5"/>
      <c r="I197" s="5"/>
      <c r="J197" s="5"/>
      <c r="K197" s="5"/>
      <c r="P197"/>
      <c r="Q197"/>
      <c r="R197"/>
      <c r="S197"/>
      <c r="T197"/>
      <c r="U197"/>
      <c r="V197"/>
      <c r="W197"/>
      <c r="X197"/>
    </row>
    <row r="198" spans="2:24" x14ac:dyDescent="0.2">
      <c r="B198" s="41"/>
      <c r="C198" s="5"/>
      <c r="D198" s="5"/>
      <c r="E198" s="5"/>
      <c r="F198" s="5"/>
      <c r="G198" s="5"/>
      <c r="H198" s="5"/>
      <c r="I198" s="5"/>
      <c r="J198" s="5"/>
      <c r="K198" s="5"/>
      <c r="P198"/>
      <c r="Q198"/>
      <c r="R198"/>
      <c r="S198"/>
      <c r="T198"/>
      <c r="U198"/>
      <c r="V198"/>
      <c r="W198"/>
      <c r="X198"/>
    </row>
    <row r="199" spans="2:24" x14ac:dyDescent="0.2">
      <c r="B199" s="41"/>
      <c r="C199" s="5"/>
      <c r="D199" s="5"/>
      <c r="E199" s="5"/>
      <c r="F199" s="5"/>
      <c r="G199" s="5"/>
      <c r="H199" s="5"/>
      <c r="I199" s="5"/>
      <c r="J199" s="5"/>
      <c r="K199" s="5"/>
      <c r="P199"/>
      <c r="Q199"/>
      <c r="R199"/>
      <c r="S199"/>
      <c r="T199"/>
      <c r="U199"/>
      <c r="V199"/>
      <c r="W199"/>
      <c r="X199"/>
    </row>
    <row r="200" spans="2:24" x14ac:dyDescent="0.2">
      <c r="B200" s="41"/>
      <c r="C200" s="5"/>
      <c r="D200" s="5"/>
      <c r="E200" s="5"/>
      <c r="F200" s="5"/>
      <c r="G200" s="5"/>
      <c r="H200" s="5"/>
      <c r="I200" s="5"/>
      <c r="J200" s="5"/>
      <c r="K200" s="5"/>
      <c r="P200"/>
      <c r="Q200"/>
      <c r="R200"/>
      <c r="S200"/>
      <c r="T200"/>
      <c r="U200"/>
      <c r="V200"/>
      <c r="W200"/>
      <c r="X200"/>
    </row>
    <row r="201" spans="2:24" x14ac:dyDescent="0.2">
      <c r="B201" s="41"/>
      <c r="C201" s="5"/>
      <c r="D201" s="5"/>
      <c r="E201" s="5"/>
      <c r="F201" s="5"/>
      <c r="G201" s="5"/>
      <c r="H201" s="5"/>
      <c r="I201" s="5"/>
      <c r="J201" s="5"/>
      <c r="K201" s="5"/>
      <c r="P201"/>
      <c r="Q201"/>
      <c r="R201"/>
      <c r="S201"/>
      <c r="T201"/>
      <c r="U201"/>
      <c r="V201"/>
      <c r="W201"/>
      <c r="X201"/>
    </row>
    <row r="202" spans="2:24" x14ac:dyDescent="0.2">
      <c r="B202" s="41"/>
      <c r="C202" s="5"/>
      <c r="D202" s="5"/>
      <c r="E202" s="5"/>
      <c r="F202" s="5"/>
      <c r="G202" s="5"/>
      <c r="H202" s="5"/>
      <c r="I202" s="5"/>
      <c r="J202" s="5"/>
      <c r="K202" s="5"/>
      <c r="P202"/>
      <c r="Q202"/>
      <c r="R202"/>
      <c r="S202"/>
      <c r="T202"/>
      <c r="U202"/>
      <c r="V202"/>
      <c r="W202"/>
      <c r="X202"/>
    </row>
    <row r="203" spans="2:24" x14ac:dyDescent="0.2">
      <c r="B203" s="41"/>
      <c r="C203" s="5"/>
      <c r="D203" s="5"/>
      <c r="E203" s="5"/>
      <c r="F203" s="5"/>
      <c r="G203" s="5"/>
      <c r="H203" s="5"/>
      <c r="I203" s="5"/>
      <c r="J203" s="5"/>
      <c r="K203" s="5"/>
      <c r="P203"/>
      <c r="Q203"/>
      <c r="R203"/>
      <c r="S203"/>
      <c r="T203"/>
      <c r="U203"/>
      <c r="V203"/>
      <c r="W203"/>
      <c r="X203"/>
    </row>
    <row r="204" spans="2:24" x14ac:dyDescent="0.2">
      <c r="B204" s="41"/>
      <c r="C204" s="5"/>
      <c r="D204" s="5"/>
      <c r="E204" s="5"/>
      <c r="F204" s="5"/>
      <c r="G204" s="5"/>
      <c r="H204" s="5"/>
      <c r="I204" s="5"/>
      <c r="J204" s="5"/>
      <c r="K204" s="5"/>
      <c r="P204"/>
      <c r="Q204"/>
      <c r="R204"/>
      <c r="S204"/>
      <c r="T204"/>
      <c r="U204"/>
      <c r="V204"/>
      <c r="W204"/>
      <c r="X204"/>
    </row>
    <row r="205" spans="2:24" x14ac:dyDescent="0.2">
      <c r="B205" s="41"/>
      <c r="C205" s="5"/>
      <c r="D205" s="5"/>
      <c r="E205" s="5"/>
      <c r="F205" s="5"/>
      <c r="G205" s="5"/>
      <c r="H205" s="5"/>
      <c r="I205" s="5"/>
      <c r="J205" s="5"/>
      <c r="K205" s="5"/>
      <c r="P205"/>
      <c r="Q205"/>
      <c r="R205"/>
      <c r="S205"/>
      <c r="T205"/>
      <c r="U205"/>
      <c r="V205"/>
      <c r="W205"/>
      <c r="X205"/>
    </row>
    <row r="206" spans="2:24" x14ac:dyDescent="0.2">
      <c r="B206" s="41"/>
      <c r="C206" s="5"/>
      <c r="D206" s="5"/>
      <c r="E206" s="5"/>
      <c r="F206" s="5"/>
      <c r="G206" s="5"/>
      <c r="H206" s="5"/>
      <c r="I206" s="5"/>
      <c r="J206" s="5"/>
      <c r="K206" s="5"/>
      <c r="P206"/>
      <c r="Q206"/>
      <c r="R206"/>
      <c r="S206"/>
      <c r="T206"/>
      <c r="U206"/>
      <c r="V206"/>
      <c r="W206"/>
      <c r="X206"/>
    </row>
    <row r="207" spans="2:24" x14ac:dyDescent="0.2">
      <c r="B207" s="41"/>
      <c r="C207" s="5"/>
      <c r="D207" s="5"/>
      <c r="E207" s="5"/>
      <c r="F207" s="5"/>
      <c r="G207" s="5"/>
      <c r="H207" s="5"/>
      <c r="I207" s="5"/>
      <c r="J207" s="5"/>
      <c r="K207" s="5"/>
      <c r="P207"/>
      <c r="Q207"/>
      <c r="R207"/>
      <c r="S207"/>
      <c r="T207"/>
      <c r="U207"/>
      <c r="V207"/>
      <c r="W207"/>
      <c r="X207"/>
    </row>
    <row r="208" spans="2:24" x14ac:dyDescent="0.2">
      <c r="B208" s="41"/>
      <c r="C208" s="5"/>
      <c r="D208" s="5"/>
      <c r="E208" s="5"/>
      <c r="F208" s="5"/>
      <c r="G208" s="5"/>
      <c r="H208" s="5"/>
      <c r="I208" s="5"/>
      <c r="J208" s="5"/>
      <c r="K208" s="5"/>
      <c r="P208"/>
      <c r="Q208"/>
      <c r="R208"/>
      <c r="S208"/>
      <c r="T208"/>
      <c r="U208"/>
      <c r="V208"/>
      <c r="W208"/>
      <c r="X208"/>
    </row>
    <row r="209" spans="2:24" x14ac:dyDescent="0.2">
      <c r="B209" s="41"/>
      <c r="C209" s="5"/>
      <c r="D209" s="5"/>
      <c r="E209" s="5"/>
      <c r="F209" s="5"/>
      <c r="G209" s="5"/>
      <c r="H209" s="5"/>
      <c r="I209" s="5"/>
      <c r="J209" s="5"/>
      <c r="K209" s="5"/>
      <c r="P209"/>
      <c r="Q209"/>
      <c r="R209"/>
      <c r="S209"/>
      <c r="T209"/>
      <c r="U209"/>
      <c r="V209"/>
      <c r="W209"/>
      <c r="X209"/>
    </row>
    <row r="210" spans="2:24" x14ac:dyDescent="0.2">
      <c r="B210" s="41"/>
      <c r="C210" s="5"/>
      <c r="D210" s="5"/>
      <c r="E210" s="5"/>
      <c r="F210" s="5"/>
      <c r="G210" s="5"/>
      <c r="H210" s="5"/>
      <c r="I210" s="5"/>
      <c r="J210" s="5"/>
      <c r="K210" s="5"/>
      <c r="P210"/>
      <c r="Q210"/>
      <c r="R210"/>
      <c r="S210"/>
      <c r="T210"/>
      <c r="U210"/>
      <c r="V210"/>
      <c r="W210"/>
      <c r="X210"/>
    </row>
    <row r="211" spans="2:24" x14ac:dyDescent="0.2">
      <c r="B211" s="41"/>
      <c r="C211" s="5"/>
      <c r="D211" s="5"/>
      <c r="E211" s="5"/>
      <c r="F211" s="5"/>
      <c r="G211" s="5"/>
      <c r="H211" s="5"/>
      <c r="I211" s="5"/>
      <c r="J211" s="5"/>
      <c r="K211" s="5"/>
      <c r="P211"/>
      <c r="Q211"/>
      <c r="R211"/>
      <c r="S211"/>
      <c r="T211"/>
      <c r="U211"/>
      <c r="V211"/>
      <c r="W211"/>
      <c r="X211"/>
    </row>
    <row r="212" spans="2:24" x14ac:dyDescent="0.2">
      <c r="B212" s="41"/>
      <c r="C212" s="5"/>
      <c r="D212" s="5"/>
      <c r="E212" s="5"/>
      <c r="F212" s="5"/>
      <c r="G212" s="5"/>
      <c r="H212" s="5"/>
      <c r="I212" s="5"/>
      <c r="J212" s="5"/>
      <c r="K212" s="5"/>
      <c r="P212"/>
      <c r="Q212"/>
      <c r="R212"/>
      <c r="S212"/>
      <c r="T212"/>
      <c r="U212"/>
      <c r="V212"/>
      <c r="W212"/>
      <c r="X212"/>
    </row>
    <row r="213" spans="2:24" x14ac:dyDescent="0.2">
      <c r="B213" s="41"/>
      <c r="C213" s="5"/>
      <c r="D213" s="5"/>
      <c r="E213" s="5"/>
      <c r="F213" s="5"/>
      <c r="G213" s="5"/>
      <c r="H213" s="5"/>
      <c r="I213" s="5"/>
      <c r="J213" s="5"/>
      <c r="K213" s="5"/>
      <c r="P213"/>
      <c r="Q213"/>
      <c r="R213"/>
      <c r="S213"/>
      <c r="T213"/>
      <c r="U213"/>
      <c r="V213"/>
      <c r="W213"/>
      <c r="X213"/>
    </row>
    <row r="214" spans="2:24" x14ac:dyDescent="0.2">
      <c r="B214" s="41"/>
      <c r="C214" s="5"/>
      <c r="D214" s="5"/>
      <c r="E214" s="5"/>
      <c r="F214" s="5"/>
      <c r="G214" s="5"/>
      <c r="H214" s="5"/>
      <c r="I214" s="5"/>
      <c r="J214" s="5"/>
      <c r="K214" s="5"/>
      <c r="P214"/>
      <c r="Q214"/>
      <c r="R214"/>
      <c r="S214"/>
      <c r="T214"/>
      <c r="U214"/>
      <c r="V214"/>
      <c r="W214"/>
      <c r="X214"/>
    </row>
    <row r="215" spans="2:24" x14ac:dyDescent="0.2">
      <c r="B215" s="41"/>
      <c r="C215" s="5"/>
      <c r="D215" s="5"/>
      <c r="E215" s="5"/>
      <c r="F215" s="5"/>
      <c r="G215" s="5"/>
      <c r="H215" s="5"/>
      <c r="I215" s="5"/>
      <c r="J215" s="5"/>
      <c r="K215" s="5"/>
      <c r="P215"/>
      <c r="Q215"/>
      <c r="R215"/>
      <c r="S215"/>
      <c r="T215"/>
      <c r="U215"/>
      <c r="V215"/>
      <c r="W215"/>
      <c r="X215"/>
    </row>
    <row r="216" spans="2:24" x14ac:dyDescent="0.2">
      <c r="B216" s="41"/>
      <c r="C216" s="5"/>
      <c r="D216" s="5"/>
      <c r="E216" s="5"/>
      <c r="F216" s="5"/>
      <c r="G216" s="5"/>
      <c r="H216" s="5"/>
      <c r="I216" s="5"/>
      <c r="J216" s="5"/>
      <c r="K216" s="5"/>
      <c r="P216"/>
      <c r="Q216"/>
      <c r="R216"/>
      <c r="S216"/>
      <c r="T216"/>
      <c r="U216"/>
      <c r="V216"/>
      <c r="W216"/>
      <c r="X216"/>
    </row>
    <row r="217" spans="2:24" x14ac:dyDescent="0.2">
      <c r="B217" s="41"/>
      <c r="C217" s="5"/>
      <c r="D217" s="5"/>
      <c r="E217" s="5"/>
      <c r="F217" s="5"/>
      <c r="G217" s="5"/>
      <c r="H217" s="5"/>
      <c r="I217" s="5"/>
      <c r="J217" s="5"/>
      <c r="K217" s="5"/>
      <c r="P217"/>
      <c r="Q217"/>
      <c r="R217"/>
      <c r="S217"/>
      <c r="T217"/>
      <c r="U217"/>
      <c r="V217"/>
      <c r="W217"/>
      <c r="X217"/>
    </row>
    <row r="218" spans="2:24" x14ac:dyDescent="0.2">
      <c r="B218" s="41"/>
      <c r="C218" s="5"/>
      <c r="D218" s="5"/>
      <c r="E218" s="5"/>
      <c r="F218" s="5"/>
      <c r="G218" s="5"/>
      <c r="H218" s="5"/>
      <c r="I218" s="5"/>
      <c r="J218" s="5"/>
      <c r="K218" s="5"/>
      <c r="P218"/>
      <c r="Q218"/>
      <c r="R218"/>
      <c r="S218"/>
      <c r="T218"/>
      <c r="U218"/>
      <c r="V218"/>
      <c r="W218"/>
      <c r="X218"/>
    </row>
    <row r="219" spans="2:24" x14ac:dyDescent="0.2">
      <c r="B219" s="41"/>
      <c r="C219" s="5"/>
      <c r="D219" s="5"/>
      <c r="E219" s="5"/>
      <c r="F219" s="5"/>
      <c r="G219" s="5"/>
      <c r="H219" s="5"/>
      <c r="I219" s="5"/>
      <c r="J219" s="5"/>
      <c r="K219" s="5"/>
      <c r="P219"/>
      <c r="Q219"/>
      <c r="R219"/>
      <c r="S219"/>
      <c r="T219"/>
      <c r="U219"/>
      <c r="V219"/>
      <c r="W219"/>
      <c r="X219"/>
    </row>
    <row r="220" spans="2:24" x14ac:dyDescent="0.2">
      <c r="B220" s="41"/>
      <c r="C220" s="5"/>
      <c r="D220" s="5"/>
      <c r="E220" s="5"/>
      <c r="F220" s="5"/>
      <c r="G220" s="5"/>
      <c r="H220" s="5"/>
      <c r="I220" s="5"/>
      <c r="J220" s="5"/>
      <c r="K220" s="5"/>
      <c r="P220"/>
      <c r="Q220"/>
      <c r="R220"/>
      <c r="S220"/>
      <c r="T220"/>
      <c r="U220"/>
      <c r="V220"/>
      <c r="W220"/>
      <c r="X220"/>
    </row>
    <row r="221" spans="2:24" x14ac:dyDescent="0.2">
      <c r="B221" s="41"/>
      <c r="C221" s="5"/>
      <c r="D221" s="5"/>
      <c r="E221" s="5"/>
      <c r="F221" s="5"/>
      <c r="G221" s="5"/>
      <c r="H221" s="5"/>
      <c r="I221" s="5"/>
      <c r="J221" s="5"/>
      <c r="K221" s="5"/>
      <c r="P221"/>
      <c r="Q221"/>
      <c r="R221"/>
      <c r="S221"/>
      <c r="T221"/>
      <c r="U221"/>
      <c r="V221"/>
      <c r="W221"/>
      <c r="X221"/>
    </row>
    <row r="222" spans="2:24" x14ac:dyDescent="0.2">
      <c r="B222" s="41"/>
      <c r="C222" s="5"/>
      <c r="D222" s="5"/>
      <c r="E222" s="5"/>
      <c r="F222" s="5"/>
      <c r="G222" s="5"/>
      <c r="H222" s="5"/>
      <c r="I222" s="5"/>
      <c r="J222" s="5"/>
      <c r="K222" s="5"/>
      <c r="P222"/>
      <c r="Q222"/>
      <c r="R222"/>
      <c r="S222"/>
      <c r="T222"/>
      <c r="U222"/>
      <c r="V222"/>
      <c r="W222"/>
      <c r="X222"/>
    </row>
    <row r="223" spans="2:24" x14ac:dyDescent="0.2">
      <c r="B223" s="41"/>
      <c r="C223" s="5"/>
      <c r="D223" s="5"/>
      <c r="E223" s="5"/>
      <c r="F223" s="5"/>
      <c r="G223" s="5"/>
      <c r="H223" s="5"/>
      <c r="I223" s="5"/>
      <c r="J223" s="5"/>
      <c r="K223" s="5"/>
      <c r="P223"/>
      <c r="Q223"/>
      <c r="R223"/>
      <c r="S223"/>
      <c r="T223"/>
      <c r="U223"/>
      <c r="V223"/>
      <c r="W223"/>
      <c r="X223"/>
    </row>
    <row r="224" spans="2:24" x14ac:dyDescent="0.2">
      <c r="B224" s="41"/>
      <c r="C224" s="5"/>
      <c r="D224" s="5"/>
      <c r="E224" s="5"/>
      <c r="F224" s="5"/>
      <c r="G224" s="5"/>
      <c r="H224" s="5"/>
      <c r="I224" s="5"/>
      <c r="J224" s="5"/>
      <c r="K224" s="5"/>
      <c r="P224"/>
      <c r="Q224"/>
      <c r="R224"/>
      <c r="S224"/>
      <c r="T224"/>
      <c r="U224"/>
      <c r="V224"/>
      <c r="W224"/>
      <c r="X224"/>
    </row>
    <row r="225" spans="2:24" x14ac:dyDescent="0.2">
      <c r="B225" s="41"/>
      <c r="C225" s="5"/>
      <c r="D225" s="5"/>
      <c r="E225" s="5"/>
      <c r="F225" s="5"/>
      <c r="G225" s="5"/>
      <c r="H225" s="5"/>
      <c r="I225" s="5"/>
      <c r="J225" s="5"/>
      <c r="K225" s="5"/>
      <c r="P225"/>
      <c r="Q225"/>
      <c r="R225"/>
      <c r="S225"/>
      <c r="T225"/>
      <c r="U225"/>
      <c r="V225"/>
      <c r="W225"/>
      <c r="X225"/>
    </row>
    <row r="226" spans="2:24" x14ac:dyDescent="0.2">
      <c r="B226" s="41"/>
      <c r="C226" s="5"/>
      <c r="D226" s="5"/>
      <c r="E226" s="5"/>
      <c r="F226" s="5"/>
      <c r="G226" s="5"/>
      <c r="H226" s="5"/>
      <c r="I226" s="5"/>
      <c r="J226" s="5"/>
      <c r="K226" s="5"/>
      <c r="P226"/>
      <c r="Q226"/>
      <c r="R226"/>
      <c r="S226"/>
      <c r="T226"/>
      <c r="U226"/>
      <c r="V226"/>
      <c r="W226"/>
      <c r="X226"/>
    </row>
    <row r="227" spans="2:24" x14ac:dyDescent="0.2">
      <c r="B227" s="41"/>
      <c r="C227" s="5"/>
      <c r="D227" s="5"/>
      <c r="E227" s="5"/>
      <c r="F227" s="5"/>
      <c r="G227" s="5"/>
      <c r="H227" s="5"/>
      <c r="I227" s="5"/>
      <c r="J227" s="5"/>
      <c r="K227" s="5"/>
      <c r="P227"/>
      <c r="Q227"/>
      <c r="R227"/>
      <c r="S227"/>
      <c r="T227"/>
      <c r="U227"/>
      <c r="V227"/>
      <c r="W227"/>
      <c r="X227"/>
    </row>
    <row r="228" spans="2:24" x14ac:dyDescent="0.2">
      <c r="B228" s="41"/>
      <c r="C228" s="5"/>
      <c r="D228" s="5"/>
      <c r="E228" s="5"/>
      <c r="F228" s="5"/>
      <c r="G228" s="5"/>
      <c r="H228" s="5"/>
      <c r="I228" s="5"/>
      <c r="J228" s="5"/>
      <c r="K228" s="5"/>
      <c r="P228"/>
      <c r="Q228"/>
      <c r="R228"/>
      <c r="S228"/>
      <c r="T228"/>
      <c r="U228"/>
      <c r="V228"/>
      <c r="W228"/>
      <c r="X228"/>
    </row>
    <row r="229" spans="2:24" x14ac:dyDescent="0.2">
      <c r="B229" s="41"/>
      <c r="C229" s="5"/>
      <c r="D229" s="5"/>
      <c r="E229" s="5"/>
      <c r="F229" s="5"/>
      <c r="G229" s="5"/>
      <c r="H229" s="5"/>
      <c r="I229" s="5"/>
      <c r="J229" s="5"/>
      <c r="K229" s="5"/>
      <c r="P229"/>
      <c r="Q229"/>
      <c r="R229"/>
      <c r="S229"/>
      <c r="T229"/>
      <c r="U229"/>
      <c r="V229"/>
      <c r="W229"/>
      <c r="X229"/>
    </row>
    <row r="230" spans="2:24" x14ac:dyDescent="0.2">
      <c r="B230" s="41"/>
      <c r="C230" s="5"/>
      <c r="D230" s="5"/>
      <c r="E230" s="5"/>
      <c r="F230" s="5"/>
      <c r="G230" s="5"/>
      <c r="H230" s="5"/>
      <c r="I230" s="5"/>
      <c r="J230" s="5"/>
      <c r="K230" s="5"/>
      <c r="P230"/>
      <c r="Q230"/>
      <c r="R230"/>
      <c r="S230"/>
      <c r="T230"/>
      <c r="U230"/>
      <c r="V230"/>
      <c r="W230"/>
      <c r="X230"/>
    </row>
    <row r="231" spans="2:24" x14ac:dyDescent="0.2">
      <c r="B231" s="41"/>
      <c r="C231" s="5"/>
      <c r="D231" s="5"/>
      <c r="E231" s="5"/>
      <c r="F231" s="5"/>
      <c r="G231" s="5"/>
      <c r="H231" s="5"/>
      <c r="I231" s="5"/>
      <c r="J231" s="5"/>
      <c r="K231" s="5"/>
      <c r="P231"/>
      <c r="Q231"/>
      <c r="R231"/>
      <c r="S231"/>
      <c r="T231"/>
      <c r="U231"/>
      <c r="V231"/>
      <c r="W231"/>
      <c r="X231"/>
    </row>
    <row r="232" spans="2:24" x14ac:dyDescent="0.2">
      <c r="B232" s="41"/>
      <c r="C232" s="5"/>
      <c r="D232" s="5"/>
      <c r="E232" s="5"/>
      <c r="F232" s="5"/>
      <c r="G232" s="5"/>
      <c r="H232" s="5"/>
      <c r="I232" s="5"/>
      <c r="J232" s="5"/>
      <c r="K232" s="5"/>
      <c r="P232"/>
      <c r="Q232"/>
      <c r="R232"/>
      <c r="S232"/>
      <c r="T232"/>
      <c r="U232"/>
      <c r="V232"/>
      <c r="W232"/>
      <c r="X232"/>
    </row>
    <row r="233" spans="2:24" x14ac:dyDescent="0.2">
      <c r="B233" s="41"/>
      <c r="C233" s="5"/>
      <c r="D233" s="5"/>
      <c r="E233" s="5"/>
      <c r="F233" s="5"/>
      <c r="G233" s="5"/>
      <c r="H233" s="5"/>
      <c r="I233" s="5"/>
      <c r="J233" s="5"/>
      <c r="K233" s="5"/>
      <c r="P233"/>
      <c r="Q233"/>
      <c r="R233"/>
      <c r="S233"/>
      <c r="T233"/>
      <c r="U233"/>
      <c r="V233"/>
      <c r="W233"/>
      <c r="X233"/>
    </row>
    <row r="234" spans="2:24" x14ac:dyDescent="0.2">
      <c r="B234" s="41"/>
      <c r="C234" s="5"/>
      <c r="D234" s="5"/>
      <c r="E234" s="5"/>
      <c r="F234" s="5"/>
      <c r="G234" s="5"/>
      <c r="H234" s="5"/>
      <c r="I234" s="5"/>
      <c r="J234" s="5"/>
      <c r="K234" s="5"/>
      <c r="P234"/>
      <c r="Q234"/>
      <c r="R234"/>
      <c r="S234"/>
      <c r="T234"/>
      <c r="U234"/>
      <c r="V234"/>
      <c r="W234"/>
      <c r="X234"/>
    </row>
    <row r="235" spans="2:24" x14ac:dyDescent="0.2">
      <c r="B235" s="41"/>
      <c r="C235" s="5"/>
      <c r="D235" s="5"/>
      <c r="E235" s="5"/>
      <c r="F235" s="5"/>
      <c r="G235" s="5"/>
      <c r="H235" s="5"/>
      <c r="I235" s="5"/>
      <c r="J235" s="5"/>
      <c r="K235" s="5"/>
      <c r="P235"/>
      <c r="Q235"/>
      <c r="R235"/>
      <c r="S235"/>
      <c r="T235"/>
      <c r="U235"/>
      <c r="V235"/>
      <c r="W235"/>
      <c r="X235"/>
    </row>
    <row r="236" spans="2:24" x14ac:dyDescent="0.2">
      <c r="B236" s="41"/>
      <c r="C236" s="5"/>
      <c r="D236" s="5"/>
      <c r="E236" s="5"/>
      <c r="F236" s="5"/>
      <c r="G236" s="5"/>
      <c r="H236" s="5"/>
      <c r="I236" s="5"/>
      <c r="J236" s="5"/>
      <c r="K236" s="5"/>
      <c r="P236"/>
      <c r="Q236"/>
      <c r="R236"/>
      <c r="S236"/>
      <c r="T236"/>
      <c r="U236"/>
      <c r="V236"/>
      <c r="W236"/>
      <c r="X236"/>
    </row>
    <row r="237" spans="2:24" x14ac:dyDescent="0.2">
      <c r="B237" s="41"/>
      <c r="C237" s="5"/>
      <c r="D237" s="5"/>
      <c r="E237" s="5"/>
      <c r="F237" s="5"/>
      <c r="G237" s="5"/>
      <c r="H237" s="5"/>
      <c r="I237" s="5"/>
      <c r="J237" s="5"/>
      <c r="K237" s="5"/>
      <c r="P237"/>
      <c r="Q237"/>
      <c r="R237"/>
      <c r="S237"/>
      <c r="T237"/>
      <c r="U237"/>
      <c r="V237"/>
      <c r="W237"/>
      <c r="X237"/>
    </row>
    <row r="238" spans="2:24" x14ac:dyDescent="0.2">
      <c r="B238" s="41"/>
      <c r="C238" s="5"/>
      <c r="D238" s="5"/>
      <c r="E238" s="5"/>
      <c r="F238" s="5"/>
      <c r="G238" s="5"/>
      <c r="H238" s="5"/>
      <c r="I238" s="5"/>
      <c r="J238" s="5"/>
      <c r="K238" s="5"/>
      <c r="P238"/>
      <c r="Q238"/>
      <c r="R238"/>
      <c r="S238"/>
      <c r="T238"/>
      <c r="U238"/>
      <c r="V238"/>
      <c r="W238"/>
      <c r="X238"/>
    </row>
    <row r="239" spans="2:24" x14ac:dyDescent="0.2">
      <c r="B239" s="41"/>
      <c r="C239" s="5"/>
      <c r="D239" s="5"/>
      <c r="E239" s="5"/>
      <c r="F239" s="5"/>
      <c r="G239" s="5"/>
      <c r="H239" s="5"/>
      <c r="I239" s="5"/>
      <c r="J239" s="5"/>
      <c r="K239" s="5"/>
      <c r="P239"/>
      <c r="Q239"/>
      <c r="R239"/>
      <c r="S239"/>
      <c r="T239"/>
      <c r="U239"/>
      <c r="V239"/>
      <c r="W239"/>
      <c r="X239"/>
    </row>
    <row r="240" spans="2:24" x14ac:dyDescent="0.2">
      <c r="B240" s="41"/>
      <c r="C240" s="5"/>
      <c r="D240" s="5"/>
      <c r="E240" s="5"/>
      <c r="F240" s="5"/>
      <c r="G240" s="5"/>
      <c r="H240" s="5"/>
      <c r="I240" s="5"/>
      <c r="J240" s="5"/>
      <c r="K240" s="5"/>
      <c r="P240"/>
      <c r="Q240"/>
      <c r="R240"/>
      <c r="S240"/>
      <c r="T240"/>
      <c r="U240"/>
      <c r="V240"/>
      <c r="W240"/>
      <c r="X240"/>
    </row>
    <row r="241" spans="2:24" x14ac:dyDescent="0.2">
      <c r="B241" s="41"/>
      <c r="C241" s="5"/>
      <c r="D241" s="5"/>
      <c r="E241" s="5"/>
      <c r="F241" s="5"/>
      <c r="G241" s="5"/>
      <c r="H241" s="5"/>
      <c r="I241" s="5"/>
      <c r="J241" s="5"/>
      <c r="K241" s="5"/>
      <c r="P241"/>
      <c r="Q241"/>
      <c r="R241"/>
      <c r="S241"/>
      <c r="T241"/>
      <c r="U241"/>
      <c r="V241"/>
      <c r="W241"/>
      <c r="X241"/>
    </row>
    <row r="242" spans="2:24" x14ac:dyDescent="0.2">
      <c r="B242" s="41"/>
      <c r="C242" s="5"/>
      <c r="D242" s="5"/>
      <c r="E242" s="5"/>
      <c r="F242" s="5"/>
      <c r="G242" s="5"/>
      <c r="H242" s="5"/>
      <c r="I242" s="5"/>
      <c r="J242" s="5"/>
      <c r="K242" s="5"/>
      <c r="P242"/>
      <c r="Q242"/>
      <c r="R242"/>
      <c r="S242"/>
      <c r="T242"/>
      <c r="U242"/>
      <c r="V242"/>
      <c r="W242"/>
      <c r="X242"/>
    </row>
    <row r="243" spans="2:24" x14ac:dyDescent="0.2">
      <c r="B243" s="41"/>
      <c r="C243" s="5"/>
      <c r="D243" s="5"/>
      <c r="E243" s="5"/>
      <c r="F243" s="5"/>
      <c r="G243" s="5"/>
      <c r="H243" s="5"/>
      <c r="I243" s="5"/>
      <c r="J243" s="5"/>
      <c r="K243" s="5"/>
      <c r="P243"/>
      <c r="Q243"/>
      <c r="R243"/>
      <c r="S243"/>
      <c r="T243"/>
      <c r="U243"/>
      <c r="V243"/>
      <c r="W243"/>
      <c r="X243"/>
    </row>
    <row r="244" spans="2:24" x14ac:dyDescent="0.2">
      <c r="B244" s="41"/>
      <c r="C244" s="5"/>
      <c r="D244" s="5"/>
      <c r="E244" s="5"/>
      <c r="F244" s="5"/>
      <c r="G244" s="5"/>
      <c r="H244" s="5"/>
      <c r="I244" s="5"/>
      <c r="J244" s="5"/>
      <c r="K244" s="5"/>
      <c r="P244"/>
      <c r="Q244"/>
      <c r="R244"/>
      <c r="S244"/>
      <c r="T244"/>
      <c r="U244"/>
      <c r="V244"/>
      <c r="W244"/>
      <c r="X244"/>
    </row>
    <row r="245" spans="2:24" x14ac:dyDescent="0.2">
      <c r="B245" s="41"/>
      <c r="C245" s="5"/>
      <c r="D245" s="5"/>
      <c r="E245" s="5"/>
      <c r="F245" s="5"/>
      <c r="G245" s="5"/>
      <c r="H245" s="5"/>
      <c r="I245" s="5"/>
      <c r="J245" s="5"/>
      <c r="K245" s="5"/>
      <c r="P245"/>
      <c r="Q245"/>
      <c r="R245"/>
      <c r="S245"/>
      <c r="T245"/>
      <c r="U245"/>
      <c r="V245"/>
      <c r="W245"/>
      <c r="X245"/>
    </row>
    <row r="246" spans="2:24" x14ac:dyDescent="0.2">
      <c r="B246" s="41"/>
      <c r="C246" s="5"/>
      <c r="D246" s="5"/>
      <c r="E246" s="5"/>
      <c r="F246" s="5"/>
      <c r="G246" s="5"/>
      <c r="H246" s="5"/>
      <c r="I246" s="5"/>
      <c r="J246" s="5"/>
      <c r="K246" s="5"/>
      <c r="P246"/>
      <c r="Q246"/>
      <c r="R246"/>
      <c r="S246"/>
      <c r="T246"/>
      <c r="U246"/>
      <c r="V246"/>
      <c r="W246"/>
      <c r="X246"/>
    </row>
    <row r="247" spans="2:24" x14ac:dyDescent="0.2">
      <c r="B247" s="41"/>
      <c r="C247" s="5"/>
      <c r="D247" s="5"/>
      <c r="E247" s="5"/>
      <c r="F247" s="5"/>
      <c r="G247" s="5"/>
      <c r="H247" s="5"/>
      <c r="I247" s="5"/>
      <c r="J247" s="5"/>
      <c r="K247" s="5"/>
      <c r="P247"/>
      <c r="Q247"/>
      <c r="R247"/>
      <c r="S247"/>
      <c r="T247"/>
      <c r="U247"/>
      <c r="V247"/>
      <c r="W247"/>
      <c r="X247"/>
    </row>
    <row r="248" spans="2:24" x14ac:dyDescent="0.2">
      <c r="B248" s="41"/>
      <c r="C248" s="5"/>
      <c r="D248" s="5"/>
      <c r="E248" s="5"/>
      <c r="F248" s="5"/>
      <c r="G248" s="5"/>
      <c r="H248" s="5"/>
      <c r="I248" s="5"/>
      <c r="J248" s="5"/>
      <c r="K248" s="5"/>
      <c r="P248"/>
      <c r="Q248"/>
      <c r="R248"/>
      <c r="S248"/>
      <c r="T248"/>
      <c r="U248"/>
      <c r="V248"/>
      <c r="W248"/>
      <c r="X248"/>
    </row>
    <row r="249" spans="2:24" x14ac:dyDescent="0.2">
      <c r="B249" s="41"/>
      <c r="C249" s="5"/>
      <c r="D249" s="5"/>
      <c r="E249" s="5"/>
      <c r="F249" s="5"/>
      <c r="G249" s="5"/>
      <c r="H249" s="5"/>
      <c r="I249" s="5"/>
      <c r="J249" s="5"/>
      <c r="K249" s="5"/>
      <c r="P249"/>
      <c r="Q249"/>
      <c r="R249"/>
      <c r="S249"/>
      <c r="T249"/>
      <c r="U249"/>
      <c r="V249"/>
      <c r="W249"/>
      <c r="X249"/>
    </row>
    <row r="250" spans="2:24" x14ac:dyDescent="0.2">
      <c r="B250" s="41"/>
      <c r="C250" s="5"/>
      <c r="D250" s="5"/>
      <c r="E250" s="5"/>
      <c r="F250" s="5"/>
      <c r="G250" s="5"/>
      <c r="H250" s="5"/>
      <c r="I250" s="5"/>
      <c r="J250" s="5"/>
      <c r="K250" s="5"/>
      <c r="P250"/>
      <c r="Q250"/>
      <c r="R250"/>
      <c r="S250"/>
      <c r="T250"/>
      <c r="U250"/>
      <c r="V250"/>
      <c r="W250"/>
      <c r="X250"/>
    </row>
    <row r="251" spans="2:24" x14ac:dyDescent="0.2">
      <c r="B251" s="41"/>
      <c r="C251" s="5"/>
      <c r="D251" s="5"/>
      <c r="E251" s="5"/>
      <c r="F251" s="5"/>
      <c r="G251" s="5"/>
      <c r="H251" s="5"/>
      <c r="I251" s="5"/>
      <c r="J251" s="5"/>
      <c r="K251" s="5"/>
      <c r="P251"/>
      <c r="Q251"/>
      <c r="R251"/>
      <c r="S251"/>
      <c r="T251"/>
      <c r="U251"/>
      <c r="V251"/>
      <c r="W251"/>
      <c r="X251"/>
    </row>
    <row r="252" spans="2:24" x14ac:dyDescent="0.2">
      <c r="B252" s="41"/>
      <c r="C252" s="5"/>
      <c r="D252" s="5"/>
      <c r="E252" s="5"/>
      <c r="F252" s="5"/>
      <c r="G252" s="5"/>
      <c r="H252" s="5"/>
      <c r="I252" s="5"/>
      <c r="J252" s="5"/>
      <c r="K252" s="5"/>
      <c r="P252"/>
      <c r="Q252"/>
      <c r="R252"/>
      <c r="S252"/>
      <c r="T252"/>
      <c r="U252"/>
      <c r="V252"/>
      <c r="W252"/>
      <c r="X252"/>
    </row>
    <row r="253" spans="2:24" x14ac:dyDescent="0.2">
      <c r="B253" s="41"/>
      <c r="C253" s="5"/>
      <c r="D253" s="5"/>
      <c r="E253" s="5"/>
      <c r="F253" s="5"/>
      <c r="G253" s="5"/>
      <c r="H253" s="5"/>
      <c r="I253" s="5"/>
      <c r="J253" s="5"/>
      <c r="K253" s="5"/>
      <c r="P253"/>
      <c r="Q253"/>
      <c r="R253"/>
      <c r="S253"/>
      <c r="T253"/>
      <c r="U253"/>
      <c r="V253"/>
      <c r="W253"/>
      <c r="X253"/>
    </row>
    <row r="254" spans="2:24" x14ac:dyDescent="0.2">
      <c r="B254" s="41"/>
      <c r="C254" s="5"/>
      <c r="D254" s="5"/>
      <c r="E254" s="5"/>
      <c r="F254" s="5"/>
      <c r="G254" s="5"/>
      <c r="H254" s="5"/>
      <c r="I254" s="5"/>
      <c r="J254" s="5"/>
      <c r="K254" s="5"/>
      <c r="P254"/>
      <c r="Q254"/>
      <c r="R254"/>
      <c r="S254"/>
      <c r="T254"/>
      <c r="U254"/>
      <c r="V254"/>
      <c r="W254"/>
      <c r="X254"/>
    </row>
    <row r="255" spans="2:24" x14ac:dyDescent="0.2">
      <c r="B255" s="41"/>
      <c r="C255" s="5"/>
      <c r="D255" s="5"/>
      <c r="E255" s="5"/>
      <c r="F255" s="5"/>
      <c r="G255" s="5"/>
      <c r="H255" s="5"/>
      <c r="I255" s="5"/>
      <c r="J255" s="5"/>
      <c r="K255" s="5"/>
      <c r="P255"/>
      <c r="Q255"/>
      <c r="R255"/>
      <c r="S255"/>
      <c r="T255"/>
      <c r="U255"/>
      <c r="V255"/>
      <c r="W255"/>
      <c r="X255"/>
    </row>
    <row r="256" spans="2:24" x14ac:dyDescent="0.2">
      <c r="B256" s="41"/>
      <c r="C256" s="5"/>
      <c r="D256" s="5"/>
      <c r="E256" s="5"/>
      <c r="F256" s="5"/>
      <c r="G256" s="5"/>
      <c r="H256" s="5"/>
      <c r="I256" s="5"/>
      <c r="J256" s="5"/>
      <c r="K256" s="5"/>
      <c r="P256"/>
      <c r="Q256"/>
      <c r="R256"/>
      <c r="S256"/>
      <c r="T256"/>
      <c r="U256"/>
      <c r="V256"/>
      <c r="W256"/>
      <c r="X256"/>
    </row>
    <row r="257" spans="2:24" x14ac:dyDescent="0.2">
      <c r="B257" s="41"/>
      <c r="C257" s="5"/>
      <c r="D257" s="5"/>
      <c r="E257" s="5"/>
      <c r="F257" s="5"/>
      <c r="G257" s="5"/>
      <c r="H257" s="5"/>
      <c r="I257" s="5"/>
      <c r="J257" s="5"/>
      <c r="K257" s="5"/>
      <c r="P257"/>
      <c r="Q257"/>
      <c r="R257"/>
      <c r="S257"/>
      <c r="T257"/>
      <c r="U257"/>
      <c r="V257"/>
      <c r="W257"/>
      <c r="X257"/>
    </row>
    <row r="258" spans="2:24" x14ac:dyDescent="0.2">
      <c r="B258" s="41"/>
      <c r="C258" s="5"/>
      <c r="D258" s="5"/>
      <c r="E258" s="5"/>
      <c r="F258" s="5"/>
      <c r="G258" s="5"/>
      <c r="H258" s="5"/>
      <c r="I258" s="5"/>
      <c r="J258" s="5"/>
      <c r="K258" s="5"/>
      <c r="P258"/>
      <c r="Q258"/>
      <c r="R258"/>
      <c r="S258"/>
      <c r="T258"/>
      <c r="U258"/>
      <c r="V258"/>
      <c r="W258"/>
      <c r="X258"/>
    </row>
    <row r="259" spans="2:24" x14ac:dyDescent="0.2">
      <c r="B259" s="41"/>
      <c r="C259" s="5"/>
      <c r="D259" s="5"/>
      <c r="E259" s="5"/>
      <c r="F259" s="5"/>
      <c r="G259" s="5"/>
      <c r="H259" s="5"/>
      <c r="I259" s="5"/>
      <c r="J259" s="5"/>
      <c r="K259" s="5"/>
      <c r="P259"/>
      <c r="Q259"/>
      <c r="R259"/>
      <c r="S259"/>
      <c r="T259"/>
      <c r="U259"/>
      <c r="V259"/>
      <c r="W259"/>
      <c r="X259"/>
    </row>
    <row r="260" spans="2:24" x14ac:dyDescent="0.2">
      <c r="B260" s="41"/>
      <c r="C260" s="5"/>
      <c r="D260" s="5"/>
      <c r="E260" s="5"/>
      <c r="F260" s="5"/>
      <c r="G260" s="5"/>
      <c r="H260" s="5"/>
      <c r="I260" s="5"/>
      <c r="J260" s="5"/>
      <c r="K260" s="5"/>
      <c r="P260"/>
      <c r="Q260"/>
      <c r="R260"/>
      <c r="S260"/>
      <c r="T260"/>
      <c r="U260"/>
      <c r="V260"/>
      <c r="W260"/>
      <c r="X260"/>
    </row>
    <row r="261" spans="2:24" x14ac:dyDescent="0.2">
      <c r="B261" s="41"/>
      <c r="C261" s="5"/>
      <c r="D261" s="5"/>
      <c r="E261" s="5"/>
      <c r="F261" s="5"/>
      <c r="G261" s="5"/>
      <c r="H261" s="5"/>
      <c r="I261" s="5"/>
      <c r="J261" s="5"/>
      <c r="K261" s="5"/>
      <c r="P261"/>
      <c r="Q261"/>
      <c r="R261"/>
      <c r="S261"/>
      <c r="T261"/>
      <c r="U261"/>
      <c r="V261"/>
      <c r="W261"/>
      <c r="X261"/>
    </row>
    <row r="262" spans="2:24" x14ac:dyDescent="0.2">
      <c r="B262" s="41"/>
      <c r="C262" s="5"/>
      <c r="D262" s="5"/>
      <c r="E262" s="5"/>
      <c r="F262" s="5"/>
      <c r="G262" s="5"/>
      <c r="H262" s="5"/>
      <c r="I262" s="5"/>
      <c r="J262" s="5"/>
      <c r="K262" s="5"/>
      <c r="P262"/>
      <c r="Q262"/>
      <c r="R262"/>
      <c r="S262"/>
      <c r="T262"/>
      <c r="U262"/>
      <c r="V262"/>
      <c r="W262"/>
      <c r="X262"/>
    </row>
    <row r="263" spans="2:24" x14ac:dyDescent="0.2">
      <c r="B263" s="41"/>
      <c r="C263" s="5"/>
      <c r="D263" s="5"/>
      <c r="E263" s="5"/>
      <c r="F263" s="5"/>
      <c r="G263" s="5"/>
      <c r="H263" s="5"/>
      <c r="I263" s="5"/>
      <c r="J263" s="5"/>
      <c r="K263" s="5"/>
      <c r="P263"/>
      <c r="Q263"/>
      <c r="R263"/>
      <c r="S263"/>
      <c r="T263"/>
      <c r="U263"/>
      <c r="V263"/>
      <c r="W263"/>
      <c r="X263"/>
    </row>
    <row r="264" spans="2:24" x14ac:dyDescent="0.2">
      <c r="B264" s="41"/>
      <c r="C264" s="5"/>
      <c r="D264" s="5"/>
      <c r="E264" s="5"/>
      <c r="F264" s="5"/>
      <c r="G264" s="5"/>
      <c r="H264" s="5"/>
      <c r="I264" s="5"/>
      <c r="J264" s="5"/>
      <c r="K264" s="5"/>
      <c r="P264"/>
      <c r="Q264"/>
      <c r="R264"/>
      <c r="S264"/>
      <c r="T264"/>
      <c r="U264"/>
      <c r="V264"/>
      <c r="W264"/>
      <c r="X264"/>
    </row>
    <row r="265" spans="2:24" x14ac:dyDescent="0.2">
      <c r="B265" s="41"/>
      <c r="C265" s="5"/>
      <c r="D265" s="5"/>
      <c r="E265" s="5"/>
      <c r="F265" s="5"/>
      <c r="G265" s="5"/>
      <c r="H265" s="5"/>
      <c r="I265" s="5"/>
      <c r="J265" s="5"/>
      <c r="K265" s="5"/>
      <c r="P265"/>
      <c r="Q265"/>
      <c r="R265"/>
      <c r="S265"/>
      <c r="T265"/>
      <c r="U265"/>
      <c r="V265"/>
      <c r="W265"/>
      <c r="X265"/>
    </row>
    <row r="266" spans="2:24" x14ac:dyDescent="0.2">
      <c r="B266" s="41"/>
      <c r="C266" s="5"/>
      <c r="D266" s="5"/>
      <c r="E266" s="5"/>
      <c r="F266" s="5"/>
      <c r="G266" s="5"/>
      <c r="H266" s="5"/>
      <c r="I266" s="5"/>
      <c r="J266" s="5"/>
      <c r="K266" s="5"/>
      <c r="P266"/>
      <c r="Q266"/>
      <c r="R266"/>
      <c r="S266"/>
      <c r="T266"/>
      <c r="U266"/>
      <c r="V266"/>
      <c r="W266"/>
      <c r="X266"/>
    </row>
    <row r="267" spans="2:24" x14ac:dyDescent="0.2">
      <c r="B267" s="41"/>
      <c r="C267" s="5"/>
      <c r="D267" s="5"/>
      <c r="E267" s="5"/>
      <c r="F267" s="5"/>
      <c r="G267" s="5"/>
      <c r="H267" s="5"/>
      <c r="I267" s="5"/>
      <c r="J267" s="5"/>
      <c r="K267" s="5"/>
      <c r="P267"/>
      <c r="Q267"/>
      <c r="R267"/>
      <c r="S267"/>
      <c r="T267"/>
      <c r="U267"/>
      <c r="V267"/>
      <c r="W267"/>
      <c r="X267"/>
    </row>
    <row r="268" spans="2:24" x14ac:dyDescent="0.2">
      <c r="B268" s="41"/>
      <c r="C268" s="5"/>
      <c r="D268" s="5"/>
      <c r="E268" s="5"/>
      <c r="F268" s="5"/>
      <c r="G268" s="5"/>
      <c r="H268" s="5"/>
      <c r="I268" s="5"/>
      <c r="J268" s="5"/>
      <c r="K268" s="5"/>
      <c r="P268"/>
      <c r="Q268"/>
      <c r="R268"/>
      <c r="S268"/>
      <c r="T268"/>
      <c r="U268"/>
      <c r="V268"/>
      <c r="W268"/>
      <c r="X268"/>
    </row>
    <row r="269" spans="2:24" x14ac:dyDescent="0.2">
      <c r="B269" s="41"/>
      <c r="C269" s="5"/>
      <c r="D269" s="5"/>
      <c r="E269" s="5"/>
      <c r="F269" s="5"/>
      <c r="G269" s="5"/>
      <c r="H269" s="5"/>
      <c r="I269" s="5"/>
      <c r="J269" s="5"/>
      <c r="K269" s="5"/>
      <c r="P269"/>
      <c r="Q269"/>
      <c r="R269"/>
      <c r="S269"/>
      <c r="T269"/>
      <c r="U269"/>
      <c r="V269"/>
      <c r="W269"/>
      <c r="X269"/>
    </row>
    <row r="270" spans="2:24" x14ac:dyDescent="0.2">
      <c r="B270" s="41"/>
      <c r="C270" s="5"/>
      <c r="D270" s="5"/>
      <c r="E270" s="5"/>
      <c r="F270" s="5"/>
      <c r="G270" s="5"/>
      <c r="H270" s="5"/>
      <c r="I270" s="5"/>
      <c r="J270" s="5"/>
      <c r="K270" s="5"/>
      <c r="P270"/>
      <c r="Q270"/>
      <c r="R270"/>
      <c r="S270"/>
      <c r="T270"/>
      <c r="U270"/>
      <c r="V270"/>
      <c r="W270"/>
      <c r="X270"/>
    </row>
    <row r="271" spans="2:24" x14ac:dyDescent="0.2">
      <c r="B271" s="41"/>
      <c r="C271" s="5"/>
      <c r="D271" s="5"/>
      <c r="E271" s="5"/>
      <c r="F271" s="5"/>
      <c r="G271" s="5"/>
      <c r="H271" s="5"/>
      <c r="I271" s="5"/>
      <c r="J271" s="5"/>
      <c r="K271" s="5"/>
      <c r="P271"/>
      <c r="Q271"/>
      <c r="R271"/>
      <c r="S271"/>
      <c r="T271"/>
      <c r="U271"/>
      <c r="V271"/>
      <c r="W271"/>
      <c r="X271"/>
    </row>
    <row r="272" spans="2:24" x14ac:dyDescent="0.2">
      <c r="B272" s="41"/>
      <c r="C272" s="5"/>
      <c r="D272" s="5"/>
      <c r="E272" s="5"/>
      <c r="F272" s="5"/>
      <c r="G272" s="5"/>
      <c r="H272" s="5"/>
      <c r="I272" s="5"/>
      <c r="J272" s="5"/>
      <c r="K272" s="5"/>
      <c r="P272"/>
      <c r="Q272"/>
      <c r="R272"/>
      <c r="S272"/>
      <c r="T272"/>
      <c r="U272"/>
      <c r="V272"/>
      <c r="W272"/>
      <c r="X272"/>
    </row>
    <row r="273" spans="2:24" x14ac:dyDescent="0.2">
      <c r="B273" s="41"/>
      <c r="C273" s="5"/>
      <c r="D273" s="5"/>
      <c r="E273" s="5"/>
      <c r="F273" s="5"/>
      <c r="G273" s="5"/>
      <c r="H273" s="5"/>
      <c r="I273" s="5"/>
      <c r="J273" s="5"/>
      <c r="K273" s="5"/>
      <c r="P273"/>
      <c r="Q273"/>
      <c r="R273"/>
      <c r="S273"/>
      <c r="T273"/>
      <c r="U273"/>
      <c r="V273"/>
      <c r="W273"/>
      <c r="X273"/>
    </row>
    <row r="274" spans="2:24" x14ac:dyDescent="0.2">
      <c r="B274" s="41"/>
      <c r="C274" s="5"/>
      <c r="D274" s="5"/>
      <c r="E274" s="5"/>
      <c r="F274" s="5"/>
      <c r="G274" s="5"/>
      <c r="H274" s="5"/>
      <c r="I274" s="5"/>
      <c r="J274" s="5"/>
      <c r="K274" s="5"/>
      <c r="P274"/>
      <c r="Q274"/>
      <c r="R274"/>
      <c r="S274"/>
      <c r="T274"/>
      <c r="U274"/>
      <c r="V274"/>
      <c r="W274"/>
      <c r="X274"/>
    </row>
    <row r="275" spans="2:24" x14ac:dyDescent="0.2">
      <c r="B275" s="41"/>
      <c r="C275" s="5"/>
      <c r="D275" s="5"/>
      <c r="E275" s="5"/>
      <c r="F275" s="5"/>
      <c r="G275" s="5"/>
      <c r="H275" s="5"/>
      <c r="I275" s="5"/>
      <c r="J275" s="5"/>
      <c r="K275" s="5"/>
      <c r="P275"/>
      <c r="Q275"/>
      <c r="R275"/>
      <c r="S275"/>
      <c r="T275"/>
      <c r="U275"/>
      <c r="V275"/>
      <c r="W275"/>
      <c r="X275"/>
    </row>
    <row r="276" spans="2:24" x14ac:dyDescent="0.2">
      <c r="B276" s="41"/>
      <c r="C276" s="5"/>
      <c r="D276" s="5"/>
      <c r="E276" s="5"/>
      <c r="F276" s="5"/>
      <c r="G276" s="5"/>
      <c r="H276" s="5"/>
      <c r="I276" s="5"/>
      <c r="J276" s="5"/>
      <c r="K276" s="5"/>
      <c r="P276"/>
      <c r="Q276"/>
      <c r="R276"/>
      <c r="S276"/>
      <c r="T276"/>
      <c r="U276"/>
      <c r="V276"/>
      <c r="W276"/>
      <c r="X276"/>
    </row>
    <row r="277" spans="2:24" x14ac:dyDescent="0.2">
      <c r="B277" s="41"/>
      <c r="C277" s="5"/>
      <c r="D277" s="5"/>
      <c r="E277" s="5"/>
      <c r="F277" s="5"/>
      <c r="G277" s="5"/>
      <c r="H277" s="5"/>
      <c r="I277" s="5"/>
      <c r="J277" s="5"/>
      <c r="K277" s="5"/>
      <c r="P277"/>
      <c r="Q277"/>
      <c r="R277"/>
      <c r="S277"/>
      <c r="T277"/>
      <c r="U277"/>
      <c r="V277"/>
      <c r="W277"/>
      <c r="X277"/>
    </row>
    <row r="278" spans="2:24" x14ac:dyDescent="0.2">
      <c r="B278" s="41"/>
      <c r="C278" s="5"/>
      <c r="D278" s="5"/>
      <c r="E278" s="5"/>
      <c r="F278" s="5"/>
      <c r="G278" s="5"/>
      <c r="H278" s="5"/>
      <c r="I278" s="5"/>
      <c r="J278" s="5"/>
      <c r="K278" s="5"/>
      <c r="P278"/>
      <c r="Q278"/>
      <c r="R278"/>
      <c r="S278"/>
      <c r="T278"/>
      <c r="U278"/>
      <c r="V278"/>
      <c r="W278"/>
      <c r="X278"/>
    </row>
    <row r="279" spans="2:24" x14ac:dyDescent="0.2">
      <c r="B279" s="41"/>
      <c r="C279" s="5"/>
      <c r="D279" s="5"/>
      <c r="E279" s="5"/>
      <c r="F279" s="5"/>
      <c r="G279" s="5"/>
      <c r="H279" s="5"/>
      <c r="I279" s="5"/>
      <c r="J279" s="5"/>
      <c r="K279" s="5"/>
      <c r="P279"/>
      <c r="Q279"/>
      <c r="R279"/>
      <c r="S279"/>
      <c r="T279"/>
      <c r="U279"/>
      <c r="V279"/>
      <c r="W279"/>
      <c r="X279"/>
    </row>
    <row r="280" spans="2:24" x14ac:dyDescent="0.2">
      <c r="B280" s="41"/>
      <c r="C280" s="5"/>
      <c r="D280" s="5"/>
      <c r="E280" s="5"/>
      <c r="F280" s="5"/>
      <c r="G280" s="5"/>
      <c r="H280" s="5"/>
      <c r="I280" s="5"/>
      <c r="J280" s="5"/>
      <c r="K280" s="5"/>
      <c r="P280"/>
      <c r="Q280"/>
      <c r="R280"/>
      <c r="S280"/>
      <c r="T280"/>
      <c r="U280"/>
      <c r="V280"/>
      <c r="W280"/>
      <c r="X280"/>
    </row>
    <row r="281" spans="2:24" x14ac:dyDescent="0.2">
      <c r="B281" s="41"/>
      <c r="C281" s="5"/>
      <c r="D281" s="5"/>
      <c r="E281" s="5"/>
      <c r="F281" s="5"/>
      <c r="G281" s="5"/>
      <c r="H281" s="5"/>
      <c r="I281" s="5"/>
      <c r="J281" s="5"/>
      <c r="K281" s="5"/>
      <c r="P281"/>
      <c r="Q281"/>
      <c r="R281"/>
      <c r="S281"/>
      <c r="T281"/>
      <c r="U281"/>
      <c r="V281"/>
      <c r="W281"/>
      <c r="X281"/>
    </row>
    <row r="282" spans="2:24" x14ac:dyDescent="0.2">
      <c r="B282" s="41"/>
      <c r="C282" s="5"/>
      <c r="D282" s="5"/>
      <c r="E282" s="5"/>
      <c r="F282" s="5"/>
      <c r="G282" s="5"/>
      <c r="H282" s="5"/>
      <c r="I282" s="5"/>
      <c r="J282" s="5"/>
      <c r="K282" s="5"/>
      <c r="P282"/>
      <c r="Q282"/>
      <c r="R282"/>
      <c r="S282"/>
      <c r="T282"/>
      <c r="U282"/>
      <c r="V282"/>
      <c r="W282"/>
      <c r="X282"/>
    </row>
    <row r="283" spans="2:24" x14ac:dyDescent="0.2">
      <c r="B283" s="41"/>
      <c r="C283" s="5"/>
      <c r="D283" s="5"/>
      <c r="E283" s="5"/>
      <c r="F283" s="5"/>
      <c r="G283" s="5"/>
      <c r="H283" s="5"/>
      <c r="I283" s="5"/>
      <c r="J283" s="5"/>
      <c r="K283" s="5"/>
      <c r="P283"/>
      <c r="Q283"/>
      <c r="R283"/>
      <c r="S283"/>
      <c r="T283"/>
      <c r="U283"/>
      <c r="V283"/>
      <c r="W283"/>
      <c r="X283"/>
    </row>
    <row r="284" spans="2:24" x14ac:dyDescent="0.2">
      <c r="B284" s="41"/>
      <c r="C284" s="5"/>
      <c r="D284" s="5"/>
      <c r="E284" s="5"/>
      <c r="F284" s="5"/>
      <c r="G284" s="5"/>
      <c r="H284" s="5"/>
      <c r="I284" s="5"/>
      <c r="J284" s="5"/>
      <c r="K284" s="5"/>
      <c r="P284"/>
      <c r="Q284"/>
      <c r="R284"/>
      <c r="S284"/>
      <c r="T284"/>
      <c r="U284"/>
      <c r="V284"/>
      <c r="W284"/>
      <c r="X284"/>
    </row>
    <row r="285" spans="2:24" x14ac:dyDescent="0.2">
      <c r="B285" s="41"/>
      <c r="C285" s="5"/>
      <c r="D285" s="5"/>
      <c r="E285" s="5"/>
      <c r="F285" s="5"/>
      <c r="G285" s="5"/>
      <c r="H285" s="5"/>
      <c r="I285" s="5"/>
      <c r="J285" s="5"/>
      <c r="K285" s="5"/>
      <c r="P285"/>
      <c r="Q285"/>
      <c r="R285"/>
      <c r="S285"/>
      <c r="T285"/>
      <c r="U285"/>
      <c r="V285"/>
      <c r="W285"/>
      <c r="X285"/>
    </row>
    <row r="286" spans="2:24" x14ac:dyDescent="0.2">
      <c r="B286" s="41"/>
      <c r="C286" s="5"/>
      <c r="D286" s="5"/>
      <c r="E286" s="5"/>
      <c r="F286" s="5"/>
      <c r="G286" s="5"/>
      <c r="H286" s="5"/>
      <c r="I286" s="5"/>
      <c r="J286" s="5"/>
      <c r="K286" s="5"/>
      <c r="P286"/>
      <c r="Q286"/>
      <c r="R286"/>
      <c r="S286"/>
      <c r="T286"/>
      <c r="U286"/>
      <c r="V286"/>
      <c r="W286"/>
      <c r="X286"/>
    </row>
    <row r="287" spans="2:24" x14ac:dyDescent="0.2">
      <c r="B287" s="41"/>
      <c r="C287" s="5"/>
      <c r="D287" s="5"/>
      <c r="E287" s="5"/>
      <c r="F287" s="5"/>
      <c r="G287" s="5"/>
      <c r="H287" s="5"/>
      <c r="I287" s="5"/>
      <c r="J287" s="5"/>
      <c r="K287" s="5"/>
      <c r="P287"/>
      <c r="Q287"/>
      <c r="R287"/>
      <c r="S287"/>
      <c r="T287"/>
      <c r="U287"/>
      <c r="V287"/>
      <c r="W287"/>
      <c r="X287"/>
    </row>
    <row r="288" spans="2:24" x14ac:dyDescent="0.2">
      <c r="B288" s="41"/>
      <c r="C288" s="5"/>
      <c r="D288" s="5"/>
      <c r="E288" s="5"/>
      <c r="F288" s="5"/>
      <c r="G288" s="5"/>
      <c r="H288" s="5"/>
      <c r="I288" s="5"/>
      <c r="J288" s="5"/>
      <c r="K288" s="5"/>
      <c r="P288"/>
      <c r="Q288"/>
      <c r="R288"/>
      <c r="S288"/>
      <c r="T288"/>
      <c r="U288"/>
      <c r="V288"/>
      <c r="W288"/>
      <c r="X288"/>
    </row>
    <row r="289" spans="2:24" x14ac:dyDescent="0.2">
      <c r="B289" s="41"/>
      <c r="C289" s="5"/>
      <c r="D289" s="5"/>
      <c r="E289" s="5"/>
      <c r="F289" s="5"/>
      <c r="G289" s="5"/>
      <c r="H289" s="5"/>
      <c r="I289" s="5"/>
      <c r="J289" s="5"/>
      <c r="K289" s="5"/>
      <c r="P289"/>
      <c r="Q289"/>
      <c r="R289"/>
      <c r="S289"/>
      <c r="T289"/>
      <c r="U289"/>
      <c r="V289"/>
      <c r="W289"/>
      <c r="X289"/>
    </row>
    <row r="290" spans="2:24" x14ac:dyDescent="0.2">
      <c r="B290" s="41"/>
      <c r="C290" s="5"/>
      <c r="D290" s="5"/>
      <c r="E290" s="5"/>
      <c r="F290" s="5"/>
      <c r="G290" s="5"/>
      <c r="H290" s="5"/>
      <c r="I290" s="5"/>
      <c r="J290" s="5"/>
      <c r="K290" s="5"/>
      <c r="P290"/>
      <c r="Q290"/>
      <c r="R290"/>
      <c r="S290"/>
      <c r="T290"/>
      <c r="U290"/>
      <c r="V290"/>
      <c r="W290"/>
      <c r="X290"/>
    </row>
    <row r="291" spans="2:24" x14ac:dyDescent="0.2">
      <c r="B291" s="41"/>
      <c r="C291" s="5"/>
      <c r="D291" s="5"/>
      <c r="E291" s="5"/>
      <c r="F291" s="5"/>
      <c r="G291" s="5"/>
      <c r="H291" s="5"/>
      <c r="I291" s="5"/>
      <c r="J291" s="5"/>
      <c r="K291" s="5"/>
      <c r="P291"/>
      <c r="Q291"/>
      <c r="R291"/>
      <c r="S291"/>
      <c r="T291"/>
      <c r="U291"/>
      <c r="V291"/>
      <c r="W291"/>
      <c r="X291"/>
    </row>
    <row r="292" spans="2:24" x14ac:dyDescent="0.2">
      <c r="B292" s="41"/>
      <c r="C292" s="5"/>
      <c r="D292" s="5"/>
      <c r="E292" s="5"/>
      <c r="F292" s="5"/>
      <c r="G292" s="5"/>
      <c r="H292" s="5"/>
      <c r="I292" s="5"/>
      <c r="J292" s="5"/>
      <c r="K292" s="5"/>
      <c r="P292"/>
      <c r="Q292"/>
      <c r="R292"/>
      <c r="S292"/>
      <c r="T292"/>
      <c r="U292"/>
      <c r="V292"/>
      <c r="W292"/>
      <c r="X292"/>
    </row>
    <row r="293" spans="2:24" x14ac:dyDescent="0.2">
      <c r="B293" s="41"/>
      <c r="C293" s="5"/>
      <c r="D293" s="5"/>
      <c r="E293" s="5"/>
      <c r="F293" s="5"/>
      <c r="G293" s="5"/>
      <c r="H293" s="5"/>
      <c r="I293" s="5"/>
      <c r="J293" s="5"/>
      <c r="K293" s="5"/>
      <c r="P293"/>
      <c r="Q293"/>
      <c r="R293"/>
      <c r="S293"/>
      <c r="T293"/>
      <c r="U293"/>
      <c r="V293"/>
      <c r="W293"/>
      <c r="X293"/>
    </row>
    <row r="294" spans="2:24" x14ac:dyDescent="0.2">
      <c r="B294" s="41"/>
      <c r="C294" s="5"/>
      <c r="D294" s="5"/>
      <c r="E294" s="5"/>
      <c r="F294" s="5"/>
      <c r="G294" s="5"/>
      <c r="H294" s="5"/>
      <c r="I294" s="5"/>
      <c r="J294" s="5"/>
      <c r="K294" s="5"/>
      <c r="P294"/>
      <c r="Q294"/>
      <c r="R294"/>
      <c r="S294"/>
      <c r="T294"/>
      <c r="U294"/>
      <c r="V294"/>
      <c r="W294"/>
      <c r="X294"/>
    </row>
    <row r="295" spans="2:24" x14ac:dyDescent="0.2">
      <c r="B295" s="41"/>
      <c r="C295" s="5"/>
      <c r="D295" s="5"/>
      <c r="E295" s="5"/>
      <c r="F295" s="5"/>
      <c r="G295" s="5"/>
      <c r="H295" s="5"/>
      <c r="I295" s="5"/>
      <c r="J295" s="5"/>
      <c r="K295" s="5"/>
      <c r="P295"/>
      <c r="Q295"/>
      <c r="R295"/>
      <c r="S295"/>
      <c r="T295"/>
      <c r="U295"/>
      <c r="V295"/>
      <c r="W295"/>
      <c r="X295"/>
    </row>
    <row r="296" spans="2:24" x14ac:dyDescent="0.2">
      <c r="B296" s="41"/>
      <c r="C296" s="5"/>
      <c r="D296" s="5"/>
      <c r="E296" s="5"/>
      <c r="F296" s="5"/>
      <c r="G296" s="5"/>
      <c r="H296" s="5"/>
      <c r="I296" s="5"/>
      <c r="J296" s="5"/>
      <c r="K296" s="5"/>
      <c r="P296"/>
      <c r="Q296"/>
      <c r="R296"/>
      <c r="S296"/>
      <c r="T296"/>
      <c r="U296"/>
      <c r="V296"/>
      <c r="W296"/>
      <c r="X296"/>
    </row>
    <row r="297" spans="2:24" x14ac:dyDescent="0.2">
      <c r="B297" s="41"/>
      <c r="C297" s="5"/>
      <c r="D297" s="5"/>
      <c r="E297" s="5"/>
      <c r="F297" s="5"/>
      <c r="G297" s="5"/>
      <c r="H297" s="5"/>
      <c r="I297" s="5"/>
      <c r="J297" s="5"/>
      <c r="K297" s="5"/>
      <c r="P297"/>
      <c r="Q297"/>
      <c r="R297"/>
      <c r="S297"/>
      <c r="T297"/>
      <c r="U297"/>
      <c r="V297"/>
      <c r="W297"/>
      <c r="X297"/>
    </row>
    <row r="298" spans="2:24" x14ac:dyDescent="0.2">
      <c r="B298" s="41"/>
      <c r="C298" s="5"/>
      <c r="D298" s="5"/>
      <c r="E298" s="5"/>
      <c r="F298" s="5"/>
      <c r="G298" s="5"/>
      <c r="H298" s="5"/>
      <c r="I298" s="5"/>
      <c r="J298" s="5"/>
      <c r="K298" s="5"/>
      <c r="P298"/>
      <c r="Q298"/>
      <c r="R298"/>
      <c r="S298"/>
      <c r="T298"/>
      <c r="U298"/>
      <c r="V298"/>
      <c r="W298"/>
      <c r="X298"/>
    </row>
    <row r="299" spans="2:24" x14ac:dyDescent="0.2">
      <c r="B299" s="41"/>
      <c r="C299" s="5"/>
      <c r="D299" s="5"/>
      <c r="E299" s="5"/>
      <c r="F299" s="5"/>
      <c r="G299" s="5"/>
      <c r="H299" s="5"/>
      <c r="I299" s="5"/>
      <c r="J299" s="5"/>
      <c r="K299" s="5"/>
      <c r="P299"/>
      <c r="Q299"/>
      <c r="R299"/>
      <c r="S299"/>
      <c r="T299"/>
      <c r="U299"/>
      <c r="V299"/>
      <c r="W299"/>
      <c r="X299"/>
    </row>
    <row r="300" spans="2:24" x14ac:dyDescent="0.2">
      <c r="B300" s="41"/>
      <c r="C300" s="5"/>
      <c r="D300" s="5"/>
      <c r="E300" s="5"/>
      <c r="F300" s="5"/>
      <c r="G300" s="5"/>
      <c r="H300" s="5"/>
      <c r="I300" s="5"/>
      <c r="J300" s="5"/>
      <c r="K300" s="5"/>
      <c r="P300"/>
      <c r="Q300"/>
      <c r="R300"/>
      <c r="S300"/>
      <c r="T300"/>
      <c r="U300"/>
      <c r="V300"/>
      <c r="W300"/>
      <c r="X300"/>
    </row>
    <row r="301" spans="2:24" x14ac:dyDescent="0.2">
      <c r="B301" s="41"/>
      <c r="C301" s="5"/>
      <c r="D301" s="5"/>
      <c r="E301" s="5"/>
      <c r="F301" s="5"/>
      <c r="G301" s="5"/>
      <c r="H301" s="5"/>
      <c r="I301" s="5"/>
      <c r="J301" s="5"/>
      <c r="K301" s="5"/>
      <c r="P301"/>
      <c r="Q301"/>
      <c r="R301"/>
      <c r="S301"/>
      <c r="T301"/>
      <c r="U301"/>
      <c r="V301"/>
      <c r="W301"/>
      <c r="X301"/>
    </row>
    <row r="302" spans="2:24" x14ac:dyDescent="0.2">
      <c r="B302" s="41"/>
      <c r="C302" s="5"/>
      <c r="D302" s="5"/>
      <c r="E302" s="5"/>
      <c r="F302" s="5"/>
      <c r="G302" s="5"/>
      <c r="H302" s="5"/>
      <c r="I302" s="5"/>
      <c r="J302" s="5"/>
      <c r="K302" s="5"/>
      <c r="P302"/>
      <c r="Q302"/>
      <c r="R302"/>
      <c r="S302"/>
      <c r="T302"/>
      <c r="U302"/>
      <c r="V302"/>
      <c r="W302"/>
      <c r="X302"/>
    </row>
    <row r="303" spans="2:24" x14ac:dyDescent="0.2">
      <c r="B303" s="41"/>
      <c r="C303" s="5"/>
      <c r="D303" s="5"/>
      <c r="E303" s="5"/>
      <c r="F303" s="5"/>
      <c r="G303" s="5"/>
      <c r="H303" s="5"/>
      <c r="I303" s="5"/>
      <c r="J303" s="5"/>
      <c r="K303" s="5"/>
      <c r="P303"/>
      <c r="Q303"/>
      <c r="R303"/>
      <c r="S303"/>
      <c r="T303"/>
      <c r="U303"/>
      <c r="V303"/>
      <c r="W303"/>
      <c r="X303"/>
    </row>
    <row r="304" spans="2:24" x14ac:dyDescent="0.2">
      <c r="B304" s="41"/>
      <c r="C304" s="5"/>
      <c r="D304" s="5"/>
      <c r="E304" s="5"/>
      <c r="F304" s="5"/>
      <c r="G304" s="5"/>
      <c r="H304" s="5"/>
      <c r="I304" s="5"/>
      <c r="J304" s="5"/>
      <c r="K304" s="5"/>
      <c r="P304"/>
      <c r="Q304"/>
      <c r="R304"/>
      <c r="S304"/>
      <c r="T304"/>
      <c r="U304"/>
      <c r="V304"/>
      <c r="W304"/>
      <c r="X304"/>
    </row>
    <row r="305" spans="2:24" x14ac:dyDescent="0.2">
      <c r="B305" s="41"/>
      <c r="C305" s="5"/>
      <c r="D305" s="5"/>
      <c r="E305" s="5"/>
      <c r="F305" s="5"/>
      <c r="G305" s="5"/>
      <c r="H305" s="5"/>
      <c r="I305" s="5"/>
      <c r="J305" s="5"/>
      <c r="K305" s="5"/>
      <c r="P305"/>
      <c r="Q305"/>
      <c r="R305"/>
      <c r="S305"/>
      <c r="T305"/>
      <c r="U305"/>
      <c r="V305"/>
      <c r="W305"/>
      <c r="X305"/>
    </row>
    <row r="306" spans="2:24" x14ac:dyDescent="0.2">
      <c r="B306" s="41"/>
      <c r="C306" s="5"/>
      <c r="D306" s="5"/>
      <c r="E306" s="5"/>
      <c r="F306" s="5"/>
      <c r="G306" s="5"/>
      <c r="H306" s="5"/>
      <c r="I306" s="5"/>
      <c r="J306" s="5"/>
      <c r="K306" s="5"/>
      <c r="P306"/>
      <c r="Q306"/>
      <c r="R306"/>
      <c r="S306"/>
      <c r="T306"/>
      <c r="U306"/>
      <c r="V306"/>
      <c r="W306"/>
      <c r="X306"/>
    </row>
    <row r="307" spans="2:24" x14ac:dyDescent="0.2">
      <c r="B307" s="41"/>
      <c r="C307" s="5"/>
      <c r="D307" s="5"/>
      <c r="E307" s="5"/>
      <c r="F307" s="5"/>
      <c r="G307" s="5"/>
      <c r="H307" s="5"/>
      <c r="I307" s="5"/>
      <c r="J307" s="5"/>
      <c r="K307" s="5"/>
      <c r="P307"/>
      <c r="Q307"/>
      <c r="R307"/>
      <c r="S307"/>
      <c r="T307"/>
      <c r="U307"/>
      <c r="V307"/>
      <c r="W307"/>
      <c r="X307"/>
    </row>
    <row r="308" spans="2:24" x14ac:dyDescent="0.2">
      <c r="B308" s="41"/>
      <c r="C308" s="5"/>
      <c r="D308" s="5"/>
      <c r="E308" s="5"/>
      <c r="F308" s="5"/>
      <c r="G308" s="5"/>
      <c r="H308" s="5"/>
      <c r="I308" s="5"/>
      <c r="J308" s="5"/>
      <c r="K308" s="5"/>
      <c r="P308"/>
      <c r="Q308"/>
      <c r="R308"/>
      <c r="S308"/>
      <c r="T308"/>
      <c r="U308"/>
      <c r="V308"/>
      <c r="W308"/>
      <c r="X308"/>
    </row>
    <row r="309" spans="2:24" x14ac:dyDescent="0.2">
      <c r="B309" s="41"/>
      <c r="C309" s="5"/>
      <c r="D309" s="5"/>
      <c r="E309" s="5"/>
      <c r="F309" s="5"/>
      <c r="G309" s="5"/>
      <c r="H309" s="5"/>
      <c r="I309" s="5"/>
      <c r="J309" s="5"/>
      <c r="K309" s="5"/>
      <c r="P309"/>
      <c r="Q309"/>
      <c r="R309"/>
      <c r="S309"/>
      <c r="T309"/>
      <c r="U309"/>
      <c r="V309"/>
      <c r="W309"/>
      <c r="X309"/>
    </row>
    <row r="310" spans="2:24" x14ac:dyDescent="0.2">
      <c r="B310" s="41"/>
      <c r="C310" s="5"/>
      <c r="D310" s="5"/>
      <c r="E310" s="5"/>
      <c r="F310" s="5"/>
      <c r="G310" s="5"/>
      <c r="H310" s="5"/>
      <c r="I310" s="5"/>
      <c r="J310" s="5"/>
      <c r="K310" s="5"/>
      <c r="P310"/>
      <c r="Q310"/>
      <c r="R310"/>
      <c r="S310"/>
      <c r="T310"/>
      <c r="U310"/>
      <c r="V310"/>
      <c r="W310"/>
      <c r="X310"/>
    </row>
    <row r="311" spans="2:24" x14ac:dyDescent="0.2">
      <c r="B311" s="41"/>
      <c r="C311" s="5"/>
      <c r="D311" s="5"/>
      <c r="E311" s="5"/>
      <c r="F311" s="5"/>
      <c r="G311" s="5"/>
      <c r="H311" s="5"/>
      <c r="I311" s="5"/>
      <c r="J311" s="5"/>
      <c r="K311" s="5"/>
      <c r="P311"/>
      <c r="Q311"/>
      <c r="R311"/>
      <c r="S311"/>
      <c r="T311"/>
      <c r="U311"/>
      <c r="V311"/>
      <c r="W311"/>
      <c r="X311"/>
    </row>
    <row r="312" spans="2:24" x14ac:dyDescent="0.2">
      <c r="B312" s="41"/>
      <c r="C312" s="5"/>
      <c r="D312" s="5"/>
      <c r="E312" s="5"/>
      <c r="F312" s="5"/>
      <c r="G312" s="5"/>
      <c r="H312" s="5"/>
      <c r="I312" s="5"/>
      <c r="J312" s="5"/>
      <c r="K312" s="5"/>
      <c r="P312"/>
      <c r="Q312"/>
      <c r="R312"/>
      <c r="S312"/>
      <c r="T312"/>
      <c r="U312"/>
      <c r="V312"/>
      <c r="W312"/>
      <c r="X312"/>
    </row>
    <row r="313" spans="2:24" x14ac:dyDescent="0.2">
      <c r="B313" s="41"/>
      <c r="C313" s="5"/>
      <c r="D313" s="5"/>
      <c r="E313" s="5"/>
      <c r="F313" s="5"/>
      <c r="G313" s="5"/>
      <c r="H313" s="5"/>
      <c r="I313" s="5"/>
      <c r="J313" s="5"/>
      <c r="K313" s="5"/>
      <c r="P313"/>
      <c r="Q313"/>
      <c r="R313"/>
      <c r="S313"/>
      <c r="T313"/>
      <c r="U313"/>
      <c r="V313"/>
      <c r="W313"/>
      <c r="X313"/>
    </row>
    <row r="314" spans="2:24" x14ac:dyDescent="0.2">
      <c r="B314" s="41"/>
      <c r="C314" s="5"/>
      <c r="D314" s="5"/>
      <c r="E314" s="5"/>
      <c r="F314" s="5"/>
      <c r="G314" s="5"/>
      <c r="H314" s="5"/>
      <c r="I314" s="5"/>
      <c r="J314" s="5"/>
      <c r="K314" s="5"/>
      <c r="P314"/>
      <c r="Q314"/>
      <c r="R314"/>
      <c r="S314"/>
      <c r="T314"/>
      <c r="U314"/>
      <c r="V314"/>
      <c r="W314"/>
      <c r="X314"/>
    </row>
    <row r="315" spans="2:24" x14ac:dyDescent="0.2">
      <c r="B315" s="41"/>
      <c r="C315" s="5"/>
      <c r="D315" s="5"/>
      <c r="E315" s="5"/>
      <c r="F315" s="5"/>
      <c r="G315" s="5"/>
      <c r="H315" s="5"/>
      <c r="I315" s="5"/>
      <c r="J315" s="5"/>
      <c r="K315" s="5"/>
      <c r="P315"/>
      <c r="Q315"/>
      <c r="R315"/>
      <c r="S315"/>
      <c r="T315"/>
      <c r="U315"/>
      <c r="V315"/>
      <c r="W315"/>
      <c r="X315"/>
    </row>
    <row r="316" spans="2:24" x14ac:dyDescent="0.2">
      <c r="B316" s="41"/>
      <c r="C316" s="5"/>
      <c r="D316" s="5"/>
      <c r="E316" s="5"/>
      <c r="F316" s="5"/>
      <c r="G316" s="5"/>
      <c r="H316" s="5"/>
      <c r="I316" s="5"/>
      <c r="J316" s="5"/>
      <c r="K316" s="5"/>
      <c r="P316"/>
      <c r="Q316"/>
      <c r="R316"/>
      <c r="S316"/>
      <c r="T316"/>
      <c r="U316"/>
      <c r="V316"/>
      <c r="W316"/>
      <c r="X316"/>
    </row>
    <row r="317" spans="2:24" x14ac:dyDescent="0.2">
      <c r="B317" s="41"/>
      <c r="C317" s="5"/>
      <c r="D317" s="5"/>
      <c r="E317" s="5"/>
      <c r="F317" s="5"/>
      <c r="G317" s="5"/>
      <c r="H317" s="5"/>
      <c r="I317" s="5"/>
      <c r="J317" s="5"/>
      <c r="K317" s="5"/>
      <c r="P317"/>
      <c r="Q317"/>
      <c r="R317"/>
      <c r="S317"/>
      <c r="T317"/>
      <c r="U317"/>
      <c r="V317"/>
      <c r="W317"/>
      <c r="X317"/>
    </row>
    <row r="318" spans="2:24" x14ac:dyDescent="0.2">
      <c r="B318" s="41"/>
      <c r="C318" s="5"/>
      <c r="D318" s="5"/>
      <c r="E318" s="5"/>
      <c r="F318" s="5"/>
      <c r="G318" s="5"/>
      <c r="H318" s="5"/>
      <c r="I318" s="5"/>
      <c r="J318" s="5"/>
      <c r="K318" s="5"/>
      <c r="P318"/>
      <c r="Q318"/>
      <c r="R318"/>
      <c r="S318"/>
      <c r="T318"/>
      <c r="U318"/>
      <c r="V318"/>
      <c r="W318"/>
      <c r="X318"/>
    </row>
    <row r="319" spans="2:24" x14ac:dyDescent="0.2">
      <c r="B319" s="41"/>
      <c r="C319" s="5"/>
      <c r="D319" s="5"/>
      <c r="E319" s="5"/>
      <c r="F319" s="5"/>
      <c r="G319" s="5"/>
      <c r="H319" s="5"/>
      <c r="I319" s="5"/>
      <c r="J319" s="5"/>
      <c r="K319" s="5"/>
      <c r="P319"/>
      <c r="Q319"/>
      <c r="R319"/>
      <c r="S319"/>
      <c r="T319"/>
      <c r="U319"/>
      <c r="V319"/>
      <c r="W319"/>
      <c r="X319"/>
    </row>
    <row r="320" spans="2:24" x14ac:dyDescent="0.2">
      <c r="B320" s="41"/>
      <c r="C320" s="5"/>
      <c r="D320" s="5"/>
      <c r="E320" s="5"/>
      <c r="F320" s="5"/>
      <c r="G320" s="5"/>
      <c r="H320" s="5"/>
      <c r="I320" s="5"/>
      <c r="J320" s="5"/>
      <c r="K320" s="5"/>
      <c r="P320"/>
      <c r="Q320"/>
      <c r="R320"/>
      <c r="S320"/>
      <c r="T320"/>
      <c r="U320"/>
      <c r="V320"/>
      <c r="W320"/>
      <c r="X320"/>
    </row>
    <row r="321" spans="2:24" x14ac:dyDescent="0.2">
      <c r="B321" s="41"/>
      <c r="C321" s="5"/>
      <c r="D321" s="5"/>
      <c r="E321" s="5"/>
      <c r="F321" s="5"/>
      <c r="G321" s="5"/>
      <c r="H321" s="5"/>
      <c r="I321" s="5"/>
      <c r="J321" s="5"/>
      <c r="K321" s="5"/>
      <c r="P321"/>
      <c r="Q321"/>
      <c r="R321"/>
      <c r="S321"/>
      <c r="T321"/>
      <c r="U321"/>
      <c r="V321"/>
      <c r="W321"/>
      <c r="X321"/>
    </row>
    <row r="322" spans="2:24" x14ac:dyDescent="0.2">
      <c r="B322" s="41"/>
      <c r="C322" s="5"/>
      <c r="D322" s="5"/>
      <c r="E322" s="5"/>
      <c r="F322" s="5"/>
      <c r="G322" s="5"/>
      <c r="H322" s="5"/>
      <c r="I322" s="5"/>
      <c r="J322" s="5"/>
      <c r="K322" s="5"/>
      <c r="P322"/>
      <c r="Q322"/>
      <c r="R322"/>
      <c r="S322"/>
      <c r="T322"/>
      <c r="U322"/>
      <c r="V322"/>
      <c r="W322"/>
      <c r="X322"/>
    </row>
    <row r="323" spans="2:24" x14ac:dyDescent="0.2">
      <c r="B323" s="41"/>
      <c r="C323" s="5"/>
      <c r="D323" s="5"/>
      <c r="E323" s="5"/>
      <c r="F323" s="5"/>
      <c r="G323" s="5"/>
      <c r="H323" s="5"/>
      <c r="I323" s="5"/>
      <c r="J323" s="5"/>
      <c r="K323" s="5"/>
      <c r="P323"/>
      <c r="Q323"/>
      <c r="R323"/>
      <c r="S323"/>
      <c r="T323"/>
      <c r="U323"/>
      <c r="V323"/>
      <c r="W323"/>
      <c r="X323"/>
    </row>
    <row r="324" spans="2:24" x14ac:dyDescent="0.2">
      <c r="B324" s="41"/>
      <c r="C324" s="5"/>
      <c r="D324" s="5"/>
      <c r="E324" s="5"/>
      <c r="F324" s="5"/>
      <c r="G324" s="5"/>
      <c r="H324" s="5"/>
      <c r="I324" s="5"/>
      <c r="J324" s="5"/>
      <c r="K324" s="5"/>
      <c r="P324"/>
      <c r="Q324"/>
      <c r="R324"/>
      <c r="S324"/>
      <c r="T324"/>
      <c r="U324"/>
      <c r="V324"/>
      <c r="W324"/>
      <c r="X324"/>
    </row>
    <row r="325" spans="2:24" x14ac:dyDescent="0.2">
      <c r="B325" s="41"/>
      <c r="C325" s="5"/>
      <c r="D325" s="5"/>
      <c r="E325" s="5"/>
      <c r="F325" s="5"/>
      <c r="G325" s="5"/>
      <c r="H325" s="5"/>
      <c r="I325" s="5"/>
      <c r="J325" s="5"/>
      <c r="K325" s="5"/>
      <c r="P325"/>
      <c r="Q325"/>
      <c r="R325"/>
      <c r="S325"/>
      <c r="T325"/>
      <c r="U325"/>
      <c r="V325"/>
      <c r="W325"/>
      <c r="X325"/>
    </row>
    <row r="326" spans="2:24" x14ac:dyDescent="0.2">
      <c r="B326" s="41"/>
      <c r="C326" s="5"/>
      <c r="D326" s="5"/>
      <c r="E326" s="5"/>
      <c r="F326" s="5"/>
      <c r="G326" s="5"/>
      <c r="H326" s="5"/>
      <c r="I326" s="5"/>
      <c r="J326" s="5"/>
      <c r="K326" s="5"/>
      <c r="P326"/>
      <c r="Q326"/>
      <c r="R326"/>
      <c r="S326"/>
      <c r="T326"/>
      <c r="U326"/>
      <c r="V326"/>
      <c r="W326"/>
      <c r="X326"/>
    </row>
    <row r="327" spans="2:24" x14ac:dyDescent="0.2">
      <c r="B327" s="41"/>
      <c r="C327" s="5"/>
      <c r="D327" s="5"/>
      <c r="E327" s="5"/>
      <c r="F327" s="5"/>
      <c r="G327" s="5"/>
      <c r="H327" s="5"/>
      <c r="I327" s="5"/>
      <c r="J327" s="5"/>
      <c r="K327" s="5"/>
      <c r="P327"/>
      <c r="Q327"/>
      <c r="R327"/>
      <c r="S327"/>
      <c r="T327"/>
      <c r="U327"/>
      <c r="V327"/>
      <c r="W327"/>
      <c r="X327"/>
    </row>
    <row r="328" spans="2:24" x14ac:dyDescent="0.2">
      <c r="B328" s="41"/>
      <c r="C328" s="5"/>
      <c r="D328" s="5"/>
      <c r="E328" s="5"/>
      <c r="F328" s="5"/>
      <c r="G328" s="5"/>
      <c r="H328" s="5"/>
      <c r="I328" s="5"/>
      <c r="J328" s="5"/>
      <c r="K328" s="5"/>
      <c r="P328"/>
      <c r="Q328"/>
      <c r="R328"/>
      <c r="S328"/>
      <c r="T328"/>
      <c r="U328"/>
      <c r="V328"/>
      <c r="W328"/>
      <c r="X328"/>
    </row>
    <row r="329" spans="2:24" x14ac:dyDescent="0.2">
      <c r="B329" s="41"/>
      <c r="C329" s="5"/>
      <c r="D329" s="5"/>
      <c r="E329" s="5"/>
      <c r="F329" s="5"/>
      <c r="G329" s="5"/>
      <c r="H329" s="5"/>
      <c r="I329" s="5"/>
      <c r="J329" s="5"/>
      <c r="K329" s="5"/>
      <c r="P329"/>
      <c r="Q329"/>
      <c r="R329"/>
      <c r="S329"/>
      <c r="T329"/>
      <c r="U329"/>
      <c r="V329"/>
      <c r="W329"/>
      <c r="X329"/>
    </row>
    <row r="330" spans="2:24" x14ac:dyDescent="0.2">
      <c r="B330" s="41"/>
      <c r="C330" s="5"/>
      <c r="D330" s="5"/>
      <c r="E330" s="5"/>
      <c r="F330" s="5"/>
      <c r="G330" s="5"/>
      <c r="H330" s="5"/>
      <c r="I330" s="5"/>
      <c r="J330" s="5"/>
      <c r="K330" s="5"/>
      <c r="P330"/>
      <c r="Q330"/>
      <c r="R330"/>
      <c r="S330"/>
      <c r="T330"/>
      <c r="U330"/>
      <c r="V330"/>
      <c r="W330"/>
      <c r="X330"/>
    </row>
    <row r="331" spans="2:24" x14ac:dyDescent="0.2">
      <c r="B331" s="41"/>
      <c r="C331" s="5"/>
      <c r="D331" s="5"/>
      <c r="E331" s="5"/>
      <c r="F331" s="5"/>
      <c r="G331" s="5"/>
      <c r="H331" s="5"/>
      <c r="I331" s="5"/>
      <c r="J331" s="5"/>
      <c r="K331" s="5"/>
      <c r="P331"/>
      <c r="Q331"/>
      <c r="R331"/>
      <c r="S331"/>
      <c r="T331"/>
      <c r="U331"/>
      <c r="V331"/>
      <c r="W331"/>
      <c r="X331"/>
    </row>
    <row r="332" spans="2:24" x14ac:dyDescent="0.2">
      <c r="B332" s="41"/>
      <c r="C332" s="5"/>
      <c r="D332" s="5"/>
      <c r="E332" s="5"/>
      <c r="F332" s="5"/>
      <c r="G332" s="5"/>
      <c r="H332" s="5"/>
      <c r="I332" s="5"/>
      <c r="J332" s="5"/>
      <c r="K332" s="5"/>
      <c r="P332"/>
      <c r="Q332"/>
      <c r="R332"/>
      <c r="S332"/>
      <c r="T332"/>
      <c r="U332"/>
      <c r="V332"/>
      <c r="W332"/>
      <c r="X332"/>
    </row>
    <row r="333" spans="2:24" x14ac:dyDescent="0.2">
      <c r="B333" s="41"/>
      <c r="C333" s="5"/>
      <c r="D333" s="5"/>
      <c r="E333" s="5"/>
      <c r="F333" s="5"/>
      <c r="G333" s="5"/>
      <c r="H333" s="5"/>
      <c r="I333" s="5"/>
      <c r="J333" s="5"/>
      <c r="K333" s="5"/>
      <c r="P333"/>
      <c r="Q333"/>
      <c r="R333"/>
      <c r="S333"/>
      <c r="T333"/>
      <c r="U333"/>
      <c r="V333"/>
      <c r="W333"/>
      <c r="X333"/>
    </row>
    <row r="334" spans="2:24" x14ac:dyDescent="0.2">
      <c r="B334" s="41"/>
      <c r="C334" s="5"/>
      <c r="D334" s="5"/>
      <c r="E334" s="5"/>
      <c r="F334" s="5"/>
      <c r="G334" s="5"/>
      <c r="H334" s="5"/>
      <c r="I334" s="5"/>
      <c r="J334" s="5"/>
      <c r="K334" s="5"/>
      <c r="P334"/>
      <c r="Q334"/>
      <c r="R334"/>
      <c r="S334"/>
      <c r="T334"/>
      <c r="U334"/>
      <c r="V334"/>
      <c r="W334"/>
      <c r="X334"/>
    </row>
    <row r="335" spans="2:24" x14ac:dyDescent="0.2">
      <c r="B335" s="41"/>
      <c r="C335" s="5"/>
      <c r="D335" s="5"/>
      <c r="E335" s="5"/>
      <c r="F335" s="5"/>
      <c r="G335" s="5"/>
      <c r="H335" s="5"/>
      <c r="I335" s="5"/>
      <c r="J335" s="5"/>
      <c r="K335" s="5"/>
      <c r="P335"/>
      <c r="Q335"/>
      <c r="R335"/>
      <c r="S335"/>
      <c r="T335"/>
      <c r="U335"/>
      <c r="V335"/>
      <c r="W335"/>
      <c r="X335"/>
    </row>
    <row r="336" spans="2:24" x14ac:dyDescent="0.2">
      <c r="B336" s="41"/>
      <c r="C336" s="5"/>
      <c r="D336" s="5"/>
      <c r="E336" s="5"/>
      <c r="F336" s="5"/>
      <c r="G336" s="5"/>
      <c r="H336" s="5"/>
      <c r="I336" s="5"/>
      <c r="J336" s="5"/>
      <c r="K336" s="5"/>
      <c r="P336"/>
      <c r="Q336"/>
      <c r="R336"/>
      <c r="S336"/>
      <c r="T336"/>
      <c r="U336"/>
      <c r="V336"/>
      <c r="W336"/>
      <c r="X336"/>
    </row>
    <row r="337" spans="2:29" x14ac:dyDescent="0.2">
      <c r="B337" s="41"/>
      <c r="C337" s="5"/>
      <c r="D337" s="5"/>
      <c r="E337" s="5"/>
      <c r="F337" s="5"/>
      <c r="G337" s="5"/>
      <c r="H337" s="5"/>
      <c r="I337" s="5"/>
      <c r="J337" s="5"/>
      <c r="K337" s="5"/>
      <c r="P337"/>
      <c r="Q337"/>
      <c r="R337"/>
      <c r="S337"/>
      <c r="T337"/>
      <c r="U337"/>
      <c r="V337"/>
      <c r="W337"/>
      <c r="X337"/>
    </row>
    <row r="338" spans="2:29" x14ac:dyDescent="0.2">
      <c r="B338" s="41"/>
      <c r="C338" s="5"/>
      <c r="D338" s="5"/>
      <c r="E338" s="5"/>
      <c r="F338" s="5"/>
      <c r="G338" s="5"/>
      <c r="H338" s="5"/>
      <c r="I338" s="5"/>
      <c r="J338" s="5"/>
      <c r="K338" s="5"/>
      <c r="P338"/>
      <c r="Q338"/>
      <c r="R338"/>
      <c r="S338"/>
      <c r="T338"/>
      <c r="U338"/>
      <c r="V338"/>
      <c r="W338"/>
      <c r="X338"/>
    </row>
    <row r="339" spans="2:29" x14ac:dyDescent="0.2">
      <c r="B339" s="41"/>
      <c r="C339" s="5"/>
      <c r="D339" s="5"/>
      <c r="E339" s="5"/>
      <c r="F339" s="5"/>
      <c r="G339" s="5"/>
      <c r="H339" s="5"/>
      <c r="I339" s="5"/>
      <c r="J339" s="5"/>
      <c r="K339" s="5"/>
      <c r="P339"/>
      <c r="Q339"/>
      <c r="R339"/>
      <c r="S339"/>
      <c r="T339"/>
      <c r="U339"/>
      <c r="V339"/>
      <c r="W339"/>
      <c r="X339"/>
    </row>
    <row r="340" spans="2:29" x14ac:dyDescent="0.2">
      <c r="B340" s="41"/>
      <c r="C340" s="5"/>
      <c r="D340" s="5"/>
      <c r="E340" s="5"/>
      <c r="F340" s="5"/>
      <c r="G340" s="5"/>
      <c r="H340" s="5"/>
      <c r="I340" s="5"/>
      <c r="J340" s="5"/>
      <c r="K340" s="5"/>
      <c r="P340"/>
      <c r="Q340"/>
      <c r="R340"/>
      <c r="S340"/>
      <c r="T340"/>
      <c r="U340"/>
      <c r="V340"/>
      <c r="W340"/>
      <c r="X340"/>
    </row>
    <row r="341" spans="2:29" x14ac:dyDescent="0.2">
      <c r="B341" s="41"/>
      <c r="C341" s="5"/>
      <c r="D341" s="5"/>
      <c r="E341" s="5"/>
      <c r="F341" s="5"/>
      <c r="G341" s="5"/>
      <c r="H341" s="5"/>
      <c r="I341" s="5"/>
      <c r="J341" s="5"/>
      <c r="K341" s="5"/>
      <c r="P341"/>
      <c r="Q341"/>
      <c r="R341"/>
      <c r="S341"/>
      <c r="T341"/>
      <c r="U341"/>
      <c r="V341"/>
      <c r="W341"/>
      <c r="X341"/>
    </row>
    <row r="342" spans="2:29" x14ac:dyDescent="0.2">
      <c r="B342" s="41"/>
      <c r="C342" s="5"/>
      <c r="D342" s="5"/>
      <c r="E342" s="5"/>
      <c r="F342" s="5"/>
      <c r="G342" s="5"/>
      <c r="H342" s="5"/>
      <c r="I342" s="5"/>
      <c r="J342" s="5"/>
      <c r="K342" s="5"/>
      <c r="P342"/>
      <c r="Q342"/>
      <c r="R342"/>
      <c r="S342"/>
      <c r="T342"/>
      <c r="U342"/>
      <c r="V342"/>
      <c r="W342"/>
      <c r="X342"/>
    </row>
    <row r="343" spans="2:29" x14ac:dyDescent="0.2">
      <c r="B343" s="41"/>
      <c r="C343" s="5"/>
      <c r="D343" s="5"/>
      <c r="E343" s="5"/>
      <c r="F343" s="5"/>
      <c r="G343" s="5"/>
      <c r="H343" s="5"/>
      <c r="I343" s="5"/>
      <c r="J343" s="5"/>
      <c r="K343" s="5"/>
      <c r="P343"/>
      <c r="Q343"/>
      <c r="R343"/>
      <c r="S343"/>
      <c r="T343"/>
      <c r="U343"/>
      <c r="V343"/>
      <c r="W343"/>
      <c r="X343"/>
    </row>
    <row r="344" spans="2:29" x14ac:dyDescent="0.2">
      <c r="B344" s="41"/>
      <c r="C344" s="5"/>
      <c r="D344" s="5"/>
      <c r="E344" s="5"/>
      <c r="F344" s="5"/>
      <c r="G344" s="5"/>
      <c r="H344" s="5"/>
      <c r="I344" s="5"/>
      <c r="J344" s="5"/>
      <c r="K344" s="5"/>
      <c r="P344"/>
      <c r="Q344"/>
      <c r="R344"/>
      <c r="S344"/>
      <c r="T344"/>
      <c r="U344"/>
      <c r="V344"/>
      <c r="W344"/>
      <c r="X344"/>
    </row>
    <row r="345" spans="2:29" x14ac:dyDescent="0.2">
      <c r="B345" s="41"/>
      <c r="C345" s="5"/>
      <c r="D345" s="5"/>
      <c r="E345" s="5"/>
      <c r="F345" s="5"/>
      <c r="G345" s="5"/>
      <c r="H345" s="5"/>
      <c r="I345" s="5"/>
      <c r="J345" s="5"/>
      <c r="K345" s="5"/>
      <c r="P345"/>
      <c r="Q345"/>
      <c r="R345"/>
      <c r="S345"/>
      <c r="T345"/>
      <c r="U345"/>
      <c r="V345"/>
      <c r="W345"/>
      <c r="X345"/>
    </row>
    <row r="346" spans="2:29" x14ac:dyDescent="0.2">
      <c r="B346" s="41"/>
      <c r="C346" s="5"/>
      <c r="D346" s="5"/>
      <c r="E346" s="5"/>
      <c r="F346" s="5"/>
      <c r="G346" s="5"/>
      <c r="H346" s="5"/>
      <c r="I346" s="5"/>
      <c r="J346" s="5"/>
      <c r="K346" s="5"/>
      <c r="P346"/>
      <c r="Q346"/>
      <c r="R346"/>
      <c r="S346"/>
      <c r="T346"/>
      <c r="U346"/>
      <c r="V346"/>
      <c r="W346"/>
      <c r="X346"/>
      <c r="AC346" t="s">
        <v>76</v>
      </c>
    </row>
    <row r="347" spans="2:29" x14ac:dyDescent="0.2">
      <c r="B347" s="41"/>
      <c r="C347" s="5"/>
      <c r="D347" s="5"/>
      <c r="E347" s="5"/>
      <c r="F347" s="5"/>
      <c r="G347" s="5"/>
      <c r="H347" s="5"/>
      <c r="I347" s="5"/>
      <c r="J347" s="5"/>
      <c r="K347" s="5"/>
      <c r="P347"/>
      <c r="Q347"/>
      <c r="R347"/>
      <c r="S347"/>
      <c r="T347"/>
      <c r="U347"/>
      <c r="V347"/>
      <c r="W347"/>
      <c r="X347"/>
    </row>
    <row r="348" spans="2:29" x14ac:dyDescent="0.2">
      <c r="B348" s="41"/>
      <c r="C348" s="5"/>
      <c r="D348" s="5"/>
      <c r="E348" s="5"/>
      <c r="F348" s="5"/>
      <c r="G348" s="5"/>
      <c r="H348" s="5"/>
      <c r="I348" s="5"/>
      <c r="J348" s="5"/>
      <c r="K348" s="5"/>
      <c r="P348"/>
      <c r="Q348"/>
      <c r="R348"/>
      <c r="S348"/>
      <c r="T348"/>
      <c r="U348"/>
      <c r="V348"/>
      <c r="W348"/>
      <c r="X348"/>
    </row>
    <row r="349" spans="2:29" x14ac:dyDescent="0.2">
      <c r="B349" s="41"/>
      <c r="C349" s="5"/>
      <c r="D349" s="5"/>
      <c r="E349" s="5"/>
      <c r="F349" s="5"/>
      <c r="G349" s="5"/>
      <c r="H349" s="5"/>
      <c r="I349" s="5"/>
      <c r="J349" s="5"/>
      <c r="K349" s="5"/>
      <c r="P349"/>
      <c r="Q349"/>
      <c r="R349"/>
      <c r="S349"/>
      <c r="T349"/>
      <c r="U349"/>
      <c r="V349"/>
      <c r="W349"/>
      <c r="X349"/>
    </row>
    <row r="350" spans="2:29" x14ac:dyDescent="0.2">
      <c r="B350" s="41"/>
      <c r="C350" s="5"/>
      <c r="D350" s="5"/>
      <c r="E350" s="5"/>
      <c r="F350" s="5"/>
      <c r="G350" s="5"/>
      <c r="H350" s="5"/>
      <c r="I350" s="5"/>
      <c r="J350" s="5"/>
      <c r="K350" s="5"/>
      <c r="P350"/>
      <c r="Q350"/>
      <c r="R350"/>
      <c r="S350"/>
      <c r="T350"/>
      <c r="U350"/>
      <c r="V350"/>
      <c r="W350"/>
      <c r="X350"/>
    </row>
    <row r="351" spans="2:29" x14ac:dyDescent="0.2">
      <c r="B351" s="41"/>
      <c r="C351" s="5"/>
      <c r="D351" s="5"/>
      <c r="E351" s="5"/>
      <c r="F351" s="5"/>
      <c r="G351" s="5"/>
      <c r="H351" s="5"/>
      <c r="I351" s="5"/>
      <c r="J351" s="5"/>
      <c r="K351" s="5"/>
      <c r="P351"/>
      <c r="Q351"/>
      <c r="R351"/>
      <c r="S351"/>
      <c r="T351"/>
      <c r="U351"/>
      <c r="V351"/>
      <c r="W351"/>
      <c r="X351"/>
    </row>
    <row r="352" spans="2:29" x14ac:dyDescent="0.2">
      <c r="B352" s="41"/>
      <c r="C352" s="5"/>
      <c r="D352" s="5"/>
      <c r="E352" s="5"/>
      <c r="F352" s="5"/>
      <c r="G352" s="5"/>
      <c r="H352" s="5"/>
      <c r="I352" s="5"/>
      <c r="J352" s="5"/>
      <c r="K352" s="5"/>
      <c r="P352"/>
      <c r="Q352"/>
      <c r="R352"/>
      <c r="S352"/>
      <c r="T352"/>
      <c r="U352"/>
      <c r="V352"/>
      <c r="W352"/>
      <c r="X352"/>
    </row>
    <row r="353" spans="2:24" x14ac:dyDescent="0.2">
      <c r="B353" s="41"/>
      <c r="C353" s="5"/>
      <c r="D353" s="5"/>
      <c r="E353" s="5"/>
      <c r="F353" s="5"/>
      <c r="G353" s="5"/>
      <c r="H353" s="5"/>
      <c r="I353" s="5"/>
      <c r="J353" s="5"/>
      <c r="K353" s="5"/>
      <c r="P353"/>
      <c r="Q353"/>
      <c r="R353"/>
      <c r="S353"/>
      <c r="T353"/>
      <c r="U353"/>
      <c r="V353"/>
      <c r="W353"/>
      <c r="X353"/>
    </row>
    <row r="354" spans="2:24" x14ac:dyDescent="0.2">
      <c r="B354" s="41"/>
      <c r="C354" s="5"/>
      <c r="D354" s="5"/>
      <c r="E354" s="5"/>
      <c r="F354" s="5"/>
      <c r="G354" s="5"/>
      <c r="H354" s="5"/>
      <c r="I354" s="5"/>
      <c r="J354" s="5"/>
      <c r="K354" s="5"/>
      <c r="P354"/>
      <c r="Q354"/>
      <c r="R354"/>
      <c r="S354"/>
      <c r="T354"/>
      <c r="U354"/>
      <c r="V354"/>
      <c r="W354"/>
      <c r="X354"/>
    </row>
    <row r="355" spans="2:24" x14ac:dyDescent="0.2">
      <c r="B355" s="41"/>
      <c r="C355" s="5"/>
      <c r="D355" s="5"/>
      <c r="E355" s="5"/>
      <c r="F355" s="5"/>
      <c r="G355" s="5"/>
      <c r="H355" s="5"/>
      <c r="I355" s="5"/>
      <c r="J355" s="5"/>
      <c r="K355" s="5"/>
      <c r="P355"/>
      <c r="Q355"/>
      <c r="R355"/>
      <c r="S355"/>
      <c r="T355"/>
      <c r="U355"/>
      <c r="V355"/>
      <c r="W355"/>
      <c r="X355"/>
    </row>
    <row r="356" spans="2:24" x14ac:dyDescent="0.2">
      <c r="B356" s="41"/>
      <c r="C356" s="5"/>
      <c r="D356" s="5"/>
      <c r="E356" s="5"/>
      <c r="F356" s="5"/>
      <c r="G356" s="5"/>
      <c r="H356" s="5"/>
      <c r="I356" s="5"/>
      <c r="J356" s="5"/>
      <c r="K356" s="5"/>
      <c r="P356"/>
      <c r="Q356"/>
      <c r="R356"/>
      <c r="S356"/>
      <c r="T356"/>
      <c r="U356"/>
      <c r="V356"/>
      <c r="W356"/>
      <c r="X356"/>
    </row>
    <row r="357" spans="2:24" x14ac:dyDescent="0.2">
      <c r="B357" s="41"/>
      <c r="C357" s="5"/>
      <c r="D357" s="5"/>
      <c r="E357" s="5"/>
      <c r="F357" s="5"/>
      <c r="G357" s="5"/>
      <c r="H357" s="5"/>
      <c r="I357" s="5"/>
      <c r="J357" s="5"/>
      <c r="K357" s="5"/>
      <c r="P357"/>
      <c r="Q357"/>
      <c r="R357"/>
      <c r="S357"/>
      <c r="T357"/>
      <c r="U357"/>
      <c r="V357"/>
      <c r="W357"/>
      <c r="X357"/>
    </row>
    <row r="358" spans="2:24" x14ac:dyDescent="0.2">
      <c r="B358" s="41"/>
      <c r="C358" s="5"/>
      <c r="D358" s="5"/>
      <c r="E358" s="5"/>
      <c r="F358" s="5"/>
      <c r="G358" s="5"/>
      <c r="H358" s="5"/>
      <c r="I358" s="5"/>
      <c r="J358" s="5"/>
      <c r="K358" s="5"/>
      <c r="P358"/>
      <c r="Q358"/>
      <c r="R358"/>
      <c r="S358"/>
      <c r="T358"/>
      <c r="U358"/>
      <c r="V358"/>
      <c r="W358"/>
      <c r="X358"/>
    </row>
    <row r="359" spans="2:24" x14ac:dyDescent="0.2">
      <c r="B359" s="41"/>
      <c r="C359" s="5"/>
      <c r="D359" s="5"/>
      <c r="E359" s="5"/>
      <c r="F359" s="5"/>
      <c r="G359" s="5"/>
      <c r="H359" s="5"/>
      <c r="I359" s="5"/>
      <c r="J359" s="5"/>
      <c r="K359" s="5"/>
      <c r="P359"/>
      <c r="Q359"/>
      <c r="R359"/>
      <c r="S359"/>
      <c r="T359"/>
      <c r="U359"/>
      <c r="V359"/>
      <c r="W359"/>
      <c r="X359"/>
    </row>
    <row r="360" spans="2:24" x14ac:dyDescent="0.2">
      <c r="B360" s="41"/>
      <c r="C360" s="5"/>
      <c r="D360" s="5"/>
      <c r="E360" s="5"/>
      <c r="F360" s="5"/>
      <c r="G360" s="5"/>
      <c r="H360" s="5"/>
      <c r="I360" s="5"/>
      <c r="J360" s="5"/>
      <c r="K360" s="5"/>
      <c r="P360"/>
      <c r="Q360"/>
      <c r="R360"/>
      <c r="S360"/>
      <c r="T360"/>
      <c r="U360"/>
      <c r="V360"/>
      <c r="W360"/>
      <c r="X360"/>
    </row>
    <row r="361" spans="2:24" x14ac:dyDescent="0.2">
      <c r="B361" s="41"/>
      <c r="C361" s="5"/>
      <c r="D361" s="5"/>
      <c r="E361" s="5"/>
      <c r="F361" s="5"/>
      <c r="G361" s="5"/>
      <c r="H361" s="5"/>
      <c r="I361" s="5"/>
      <c r="J361" s="5"/>
      <c r="K361" s="5"/>
      <c r="P361"/>
      <c r="Q361"/>
      <c r="R361"/>
      <c r="S361"/>
      <c r="T361"/>
      <c r="U361"/>
      <c r="V361"/>
      <c r="W361"/>
      <c r="X361"/>
    </row>
    <row r="362" spans="2:24" x14ac:dyDescent="0.2">
      <c r="B362" s="41"/>
      <c r="C362" s="5"/>
      <c r="D362" s="5"/>
      <c r="E362" s="5"/>
      <c r="F362" s="5"/>
      <c r="G362" s="5"/>
      <c r="H362" s="5"/>
      <c r="I362" s="5"/>
      <c r="J362" s="5"/>
      <c r="K362" s="5"/>
      <c r="P362"/>
      <c r="Q362"/>
      <c r="R362"/>
      <c r="S362"/>
      <c r="T362"/>
      <c r="U362"/>
      <c r="V362"/>
      <c r="W362"/>
      <c r="X362"/>
    </row>
    <row r="363" spans="2:24" x14ac:dyDescent="0.2">
      <c r="B363" s="41"/>
      <c r="C363" s="5"/>
      <c r="D363" s="5"/>
      <c r="E363" s="5"/>
      <c r="F363" s="5"/>
      <c r="G363" s="5"/>
      <c r="H363" s="5"/>
      <c r="I363" s="5"/>
      <c r="J363" s="5"/>
      <c r="K363" s="5"/>
      <c r="P363"/>
      <c r="Q363"/>
      <c r="R363"/>
      <c r="S363"/>
      <c r="T363"/>
      <c r="U363"/>
      <c r="V363"/>
      <c r="W363"/>
      <c r="X363"/>
    </row>
    <row r="364" spans="2:24" x14ac:dyDescent="0.2">
      <c r="B364" s="41"/>
      <c r="C364" s="5"/>
      <c r="D364" s="5"/>
      <c r="E364" s="5"/>
      <c r="F364" s="5"/>
      <c r="G364" s="5"/>
      <c r="H364" s="5"/>
      <c r="I364" s="5"/>
      <c r="J364" s="5"/>
      <c r="K364" s="5"/>
      <c r="P364"/>
      <c r="Q364"/>
      <c r="R364"/>
      <c r="S364"/>
      <c r="T364"/>
      <c r="U364"/>
      <c r="V364"/>
      <c r="W364"/>
      <c r="X364"/>
    </row>
    <row r="365" spans="2:24" x14ac:dyDescent="0.2">
      <c r="B365" s="41"/>
      <c r="C365" s="5"/>
      <c r="D365" s="5"/>
      <c r="E365" s="5"/>
      <c r="F365" s="5"/>
      <c r="G365" s="5"/>
      <c r="H365" s="5"/>
      <c r="I365" s="5"/>
      <c r="J365" s="5"/>
      <c r="K365" s="5"/>
      <c r="P365"/>
      <c r="Q365"/>
      <c r="R365"/>
      <c r="S365"/>
      <c r="T365"/>
      <c r="U365"/>
      <c r="V365"/>
      <c r="W365"/>
      <c r="X365"/>
    </row>
    <row r="366" spans="2:24" x14ac:dyDescent="0.2">
      <c r="B366" s="41"/>
      <c r="C366" s="5"/>
      <c r="D366" s="5"/>
      <c r="E366" s="5"/>
      <c r="F366" s="5"/>
      <c r="G366" s="5"/>
      <c r="H366" s="5"/>
      <c r="I366" s="5"/>
      <c r="J366" s="5"/>
      <c r="K366" s="5"/>
      <c r="P366"/>
      <c r="Q366"/>
      <c r="R366"/>
      <c r="S366"/>
      <c r="T366"/>
      <c r="U366"/>
      <c r="V366"/>
      <c r="W366"/>
      <c r="X366"/>
    </row>
    <row r="367" spans="2:24" x14ac:dyDescent="0.2">
      <c r="B367" s="41"/>
      <c r="C367" s="5"/>
      <c r="D367" s="5"/>
      <c r="E367" s="5"/>
      <c r="F367" s="5"/>
      <c r="G367" s="5"/>
      <c r="H367" s="5"/>
      <c r="I367" s="5"/>
      <c r="J367" s="5"/>
      <c r="K367" s="5"/>
      <c r="P367"/>
      <c r="Q367"/>
      <c r="R367"/>
      <c r="S367"/>
      <c r="T367"/>
      <c r="U367"/>
      <c r="V367"/>
      <c r="W367"/>
      <c r="X367"/>
    </row>
    <row r="368" spans="2:24" x14ac:dyDescent="0.2">
      <c r="B368" s="41"/>
      <c r="C368" s="5"/>
      <c r="D368" s="5"/>
      <c r="E368" s="5"/>
      <c r="F368" s="5"/>
      <c r="G368" s="5"/>
      <c r="H368" s="5"/>
      <c r="I368" s="5"/>
      <c r="J368" s="5"/>
      <c r="K368" s="5"/>
      <c r="P368"/>
      <c r="Q368"/>
      <c r="R368"/>
      <c r="S368"/>
      <c r="T368"/>
      <c r="U368"/>
      <c r="V368"/>
      <c r="W368"/>
      <c r="X368"/>
    </row>
    <row r="369" spans="2:24" x14ac:dyDescent="0.2">
      <c r="B369" s="41"/>
      <c r="C369" s="5"/>
      <c r="D369" s="5"/>
      <c r="E369" s="5"/>
      <c r="F369" s="5"/>
      <c r="G369" s="5"/>
      <c r="H369" s="5"/>
      <c r="I369" s="5"/>
      <c r="J369" s="5"/>
      <c r="K369" s="5"/>
      <c r="P369"/>
      <c r="Q369"/>
      <c r="R369"/>
      <c r="S369"/>
      <c r="T369"/>
      <c r="U369"/>
      <c r="V369"/>
      <c r="W369"/>
      <c r="X369"/>
    </row>
    <row r="370" spans="2:24" x14ac:dyDescent="0.2">
      <c r="P370"/>
      <c r="Q370"/>
      <c r="R370"/>
      <c r="S370"/>
      <c r="T370"/>
      <c r="U370"/>
      <c r="V370"/>
      <c r="W370"/>
      <c r="X370"/>
    </row>
  </sheetData>
  <conditionalFormatting sqref="O5:X95">
    <cfRule type="expression" dxfId="23" priority="4">
      <formula>AND(LEN($O5)&gt;0,MOD(ROW(O5)-ROW($O$4),2))</formula>
    </cfRule>
  </conditionalFormatting>
  <conditionalFormatting sqref="O5:O95">
    <cfRule type="expression" dxfId="22" priority="3">
      <formula>LEN(O5)=0</formula>
    </cfRule>
  </conditionalFormatting>
  <conditionalFormatting sqref="B5:K369">
    <cfRule type="expression" dxfId="21" priority="1" stopIfTrue="1">
      <formula>LEN($B5)=0</formula>
    </cfRule>
    <cfRule type="expression" dxfId="20" priority="2" stopIfTrue="1">
      <formula>(LEN($B5)&gt;0)*(MOD(ROW(B5)-ROW(B$4),2)=0)</formula>
    </cfRule>
    <cfRule type="expression" dxfId="19" priority="5" stopIfTrue="1">
      <formula>AND(LEN($B5)&gt;0,MOD(ROW(B5)-ROW(B$4),2)=1)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5F8F4-F02E-491D-8929-12439DC1AD26}">
  <sheetPr codeName="Sheet3">
    <tabColor theme="4" tint="0.79998168889431442"/>
  </sheetPr>
  <dimension ref="D7:AC411"/>
  <sheetViews>
    <sheetView topLeftCell="A4" workbookViewId="0">
      <pane ySplit="5" topLeftCell="A401" activePane="bottomLeft" state="frozen"/>
      <selection activeCell="A4" sqref="A4"/>
      <selection pane="bottomLeft" activeCell="Z416" sqref="Z416"/>
    </sheetView>
  </sheetViews>
  <sheetFormatPr defaultRowHeight="12.75" x14ac:dyDescent="0.2"/>
  <cols>
    <col min="5" max="25" width="3.28515625" style="5" customWidth="1"/>
    <col min="26" max="28" width="3.28515625" customWidth="1"/>
  </cols>
  <sheetData>
    <row r="7" spans="4:27" ht="13.5" thickBot="1" x14ac:dyDescent="0.25"/>
    <row r="8" spans="4:27" ht="128.25" thickBot="1" x14ac:dyDescent="0.25">
      <c r="D8" s="3" t="s">
        <v>0</v>
      </c>
      <c r="E8" s="18" t="s">
        <v>2</v>
      </c>
      <c r="F8" s="6" t="s">
        <v>20</v>
      </c>
      <c r="G8" s="18" t="s">
        <v>3</v>
      </c>
      <c r="H8" s="2" t="s">
        <v>21</v>
      </c>
      <c r="I8" s="18" t="s">
        <v>12</v>
      </c>
      <c r="J8" s="18" t="s">
        <v>19</v>
      </c>
      <c r="K8" s="2" t="s">
        <v>16</v>
      </c>
      <c r="L8" s="18" t="s">
        <v>17</v>
      </c>
      <c r="M8" s="2" t="s">
        <v>22</v>
      </c>
      <c r="N8" s="19" t="s">
        <v>32</v>
      </c>
      <c r="O8" s="19" t="s">
        <v>40</v>
      </c>
      <c r="P8" s="19" t="s">
        <v>38</v>
      </c>
      <c r="Q8" s="2" t="s">
        <v>27</v>
      </c>
      <c r="R8" s="18" t="s">
        <v>29</v>
      </c>
      <c r="S8" s="19" t="s">
        <v>37</v>
      </c>
      <c r="T8" s="23" t="s">
        <v>42</v>
      </c>
      <c r="U8" s="23" t="s">
        <v>43</v>
      </c>
      <c r="V8" s="23" t="s">
        <v>44</v>
      </c>
      <c r="W8" s="23" t="s">
        <v>159</v>
      </c>
      <c r="X8" s="23" t="s">
        <v>552</v>
      </c>
      <c r="Y8" s="18" t="s">
        <v>18</v>
      </c>
    </row>
    <row r="9" spans="4:27" ht="13.5" thickTop="1" x14ac:dyDescent="0.2">
      <c r="D9" t="str" cm="1">
        <f t="array" aca="1" ref="D9:D411" ca="1">TEXT(DATE(2025,1,_xlfn.SEQUENCE(1+_xlfn.DAYS(TODAY(),DATE(2025,1,1)))),"dd-mmm")</f>
        <v>01-Jan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U9" s="5">
        <v>0</v>
      </c>
      <c r="V9" s="5">
        <v>0</v>
      </c>
      <c r="W9" s="5">
        <v>0</v>
      </c>
      <c r="X9" s="5">
        <v>0</v>
      </c>
      <c r="Y9" s="5">
        <v>0</v>
      </c>
      <c r="AA9" cm="1">
        <f t="array" ref="AA9:AA411">_xlfn.BYROW(_xlfn.DROP(_xlnm.Print_Area,,1),_xleta.SUM)</f>
        <v>0</v>
      </c>
    </row>
    <row r="10" spans="4:27" x14ac:dyDescent="0.2">
      <c r="D10" t="str">
        <f ca="1"/>
        <v>02-Jan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Q10" s="5">
        <v>0</v>
      </c>
      <c r="R10" s="5">
        <v>0</v>
      </c>
      <c r="S10" s="5">
        <v>0</v>
      </c>
      <c r="T10" s="5">
        <v>0</v>
      </c>
      <c r="U10" s="5">
        <v>0</v>
      </c>
      <c r="V10" s="5">
        <v>0</v>
      </c>
      <c r="W10" s="5">
        <v>0</v>
      </c>
      <c r="X10" s="5">
        <v>0</v>
      </c>
      <c r="Y10" s="5">
        <v>0</v>
      </c>
      <c r="AA10">
        <v>0</v>
      </c>
    </row>
    <row r="11" spans="4:27" x14ac:dyDescent="0.2">
      <c r="D11" t="str">
        <f ca="1"/>
        <v>03-Jan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Q11" s="5">
        <v>0</v>
      </c>
      <c r="R11" s="5">
        <v>0</v>
      </c>
      <c r="S11" s="5">
        <v>0</v>
      </c>
      <c r="T11" s="5">
        <v>0</v>
      </c>
      <c r="U11" s="5">
        <v>0</v>
      </c>
      <c r="V11" s="5">
        <v>0</v>
      </c>
      <c r="W11" s="5">
        <v>0</v>
      </c>
      <c r="X11" s="5">
        <v>0</v>
      </c>
      <c r="Y11" s="5">
        <v>0</v>
      </c>
      <c r="AA11">
        <v>0</v>
      </c>
    </row>
    <row r="12" spans="4:27" x14ac:dyDescent="0.2">
      <c r="D12" t="str">
        <f ca="1"/>
        <v>04-Jan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Q12" s="5">
        <v>0</v>
      </c>
      <c r="R12" s="5">
        <v>0</v>
      </c>
      <c r="S12" s="5">
        <v>0</v>
      </c>
      <c r="T12" s="5">
        <v>0</v>
      </c>
      <c r="U12" s="5">
        <v>0</v>
      </c>
      <c r="V12" s="5">
        <v>0</v>
      </c>
      <c r="W12" s="5">
        <v>0</v>
      </c>
      <c r="X12" s="5">
        <v>0</v>
      </c>
      <c r="Y12" s="5">
        <v>0</v>
      </c>
      <c r="AA12">
        <v>0</v>
      </c>
    </row>
    <row r="13" spans="4:27" x14ac:dyDescent="0.2">
      <c r="D13" t="str">
        <f ca="1"/>
        <v>05-Jan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Q13" s="5">
        <v>0</v>
      </c>
      <c r="R13" s="5">
        <v>0</v>
      </c>
      <c r="S13" s="5">
        <v>0</v>
      </c>
      <c r="T13" s="5">
        <v>0</v>
      </c>
      <c r="U13" s="5">
        <v>0</v>
      </c>
      <c r="V13" s="5">
        <v>0</v>
      </c>
      <c r="W13" s="5">
        <v>0</v>
      </c>
      <c r="X13" s="5">
        <v>0</v>
      </c>
      <c r="Y13" s="5">
        <v>0</v>
      </c>
      <c r="AA13">
        <v>0</v>
      </c>
    </row>
    <row r="14" spans="4:27" x14ac:dyDescent="0.2">
      <c r="D14" t="str">
        <f ca="1"/>
        <v>06-Jan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0</v>
      </c>
      <c r="Q14" s="5">
        <v>0</v>
      </c>
      <c r="R14" s="5">
        <v>0</v>
      </c>
      <c r="S14" s="5">
        <v>0</v>
      </c>
      <c r="T14" s="5">
        <v>0</v>
      </c>
      <c r="U14" s="5">
        <v>0</v>
      </c>
      <c r="V14" s="5">
        <v>0</v>
      </c>
      <c r="W14" s="5">
        <v>0</v>
      </c>
      <c r="X14" s="5">
        <v>0</v>
      </c>
      <c r="Y14" s="5">
        <v>0</v>
      </c>
      <c r="AA14">
        <v>0</v>
      </c>
    </row>
    <row r="15" spans="4:27" x14ac:dyDescent="0.2">
      <c r="D15" t="str">
        <f ca="1"/>
        <v>07-Jan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O15" s="5">
        <v>0</v>
      </c>
      <c r="Q15" s="5">
        <v>0</v>
      </c>
      <c r="R15" s="5">
        <v>0</v>
      </c>
      <c r="S15" s="5">
        <v>0</v>
      </c>
      <c r="T15" s="5">
        <v>0</v>
      </c>
      <c r="U15" s="5">
        <v>0</v>
      </c>
      <c r="V15" s="5">
        <v>0</v>
      </c>
      <c r="W15" s="5">
        <v>0</v>
      </c>
      <c r="X15" s="5">
        <v>0</v>
      </c>
      <c r="Y15" s="5">
        <v>0</v>
      </c>
      <c r="AA15">
        <v>0</v>
      </c>
    </row>
    <row r="16" spans="4:27" x14ac:dyDescent="0.2">
      <c r="D16" t="str">
        <f ca="1"/>
        <v>08-Jan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O16" s="5">
        <v>0</v>
      </c>
      <c r="Q16" s="5">
        <v>0</v>
      </c>
      <c r="R16" s="5">
        <v>0</v>
      </c>
      <c r="S16" s="5">
        <v>0</v>
      </c>
      <c r="T16" s="5">
        <v>0</v>
      </c>
      <c r="U16" s="5">
        <v>0</v>
      </c>
      <c r="V16" s="5">
        <v>0</v>
      </c>
      <c r="W16" s="5">
        <v>0</v>
      </c>
      <c r="X16" s="5">
        <v>0</v>
      </c>
      <c r="Y16" s="5">
        <v>0</v>
      </c>
      <c r="AA16">
        <v>0</v>
      </c>
    </row>
    <row r="17" spans="4:27" x14ac:dyDescent="0.2">
      <c r="D17" t="str">
        <f ca="1"/>
        <v>09-Jan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 s="5">
        <v>0</v>
      </c>
      <c r="O17" s="5">
        <v>0</v>
      </c>
      <c r="Q17" s="5">
        <v>0</v>
      </c>
      <c r="R17" s="5">
        <v>0</v>
      </c>
      <c r="S17" s="5">
        <v>0</v>
      </c>
      <c r="T17" s="5">
        <v>0</v>
      </c>
      <c r="U17" s="5">
        <v>0</v>
      </c>
      <c r="V17" s="5">
        <v>0</v>
      </c>
      <c r="W17" s="5">
        <v>0</v>
      </c>
      <c r="X17" s="5">
        <v>0</v>
      </c>
      <c r="Y17" s="5">
        <v>0</v>
      </c>
      <c r="AA17">
        <v>0</v>
      </c>
    </row>
    <row r="18" spans="4:27" x14ac:dyDescent="0.2">
      <c r="D18" t="str">
        <f ca="1"/>
        <v>10-Jan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 s="5">
        <v>0</v>
      </c>
      <c r="O18" s="5">
        <v>0</v>
      </c>
      <c r="Q18" s="5">
        <v>0</v>
      </c>
      <c r="R18" s="5">
        <v>0</v>
      </c>
      <c r="S18" s="5">
        <v>0</v>
      </c>
      <c r="T18" s="5">
        <v>0</v>
      </c>
      <c r="U18" s="5">
        <v>0</v>
      </c>
      <c r="V18" s="5">
        <v>0</v>
      </c>
      <c r="W18" s="5">
        <v>0</v>
      </c>
      <c r="X18" s="5">
        <v>0</v>
      </c>
      <c r="Y18" s="5">
        <v>0</v>
      </c>
      <c r="AA18">
        <v>0</v>
      </c>
    </row>
    <row r="19" spans="4:27" x14ac:dyDescent="0.2">
      <c r="D19" t="str">
        <f ca="1"/>
        <v>11-Jan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O19" s="5">
        <v>0</v>
      </c>
      <c r="Q19" s="5">
        <v>0</v>
      </c>
      <c r="R19" s="5">
        <v>0</v>
      </c>
      <c r="S19" s="5">
        <v>0</v>
      </c>
      <c r="T19" s="5">
        <v>0</v>
      </c>
      <c r="U19" s="5">
        <v>0</v>
      </c>
      <c r="V19" s="5">
        <v>0</v>
      </c>
      <c r="W19" s="5">
        <v>0</v>
      </c>
      <c r="X19" s="5">
        <v>0</v>
      </c>
      <c r="Y19" s="5">
        <v>0</v>
      </c>
      <c r="AA19">
        <v>0</v>
      </c>
    </row>
    <row r="20" spans="4:27" x14ac:dyDescent="0.2">
      <c r="D20" t="str">
        <f ca="1"/>
        <v>12-Jan</v>
      </c>
      <c r="E20" s="5">
        <v>1</v>
      </c>
      <c r="F20" s="5">
        <v>0</v>
      </c>
      <c r="G20" s="5">
        <v>1</v>
      </c>
      <c r="H20" s="5">
        <v>0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 s="5">
        <v>0</v>
      </c>
      <c r="O20" s="5">
        <v>0</v>
      </c>
      <c r="Q20" s="5">
        <v>0</v>
      </c>
      <c r="R20" s="5">
        <v>0</v>
      </c>
      <c r="S20" s="5">
        <v>0</v>
      </c>
      <c r="T20" s="5">
        <v>0</v>
      </c>
      <c r="U20" s="5">
        <v>0</v>
      </c>
      <c r="V20" s="5">
        <v>0</v>
      </c>
      <c r="W20" s="5">
        <v>0</v>
      </c>
      <c r="X20" s="5">
        <v>0</v>
      </c>
      <c r="Y20" s="5">
        <v>0</v>
      </c>
      <c r="AA20">
        <v>2</v>
      </c>
    </row>
    <row r="21" spans="4:27" x14ac:dyDescent="0.2">
      <c r="D21" t="str">
        <f ca="1"/>
        <v>13-Jan</v>
      </c>
      <c r="E21" s="5">
        <v>1</v>
      </c>
      <c r="F21" s="5">
        <v>0</v>
      </c>
      <c r="G21" s="5">
        <v>1</v>
      </c>
      <c r="H21" s="5">
        <v>0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 s="5">
        <v>0</v>
      </c>
      <c r="O21" s="5">
        <v>0</v>
      </c>
      <c r="Q21" s="5">
        <v>0</v>
      </c>
      <c r="R21" s="5">
        <v>0</v>
      </c>
      <c r="S21" s="5">
        <v>0</v>
      </c>
      <c r="T21" s="5">
        <v>0</v>
      </c>
      <c r="U21" s="5">
        <v>0</v>
      </c>
      <c r="V21" s="5">
        <v>0</v>
      </c>
      <c r="W21" s="5">
        <v>0</v>
      </c>
      <c r="X21" s="5">
        <v>0</v>
      </c>
      <c r="Y21" s="5">
        <v>0</v>
      </c>
      <c r="AA21">
        <v>2</v>
      </c>
    </row>
    <row r="22" spans="4:27" x14ac:dyDescent="0.2">
      <c r="D22" t="str">
        <f ca="1"/>
        <v>14-Jan</v>
      </c>
      <c r="E22" s="5">
        <v>1</v>
      </c>
      <c r="F22" s="5">
        <v>0</v>
      </c>
      <c r="G22" s="5">
        <v>1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O22" s="5">
        <v>0</v>
      </c>
      <c r="Q22" s="5">
        <v>0</v>
      </c>
      <c r="R22" s="5">
        <v>0</v>
      </c>
      <c r="S22" s="5">
        <v>0</v>
      </c>
      <c r="T22" s="5">
        <v>0</v>
      </c>
      <c r="U22" s="5">
        <v>0</v>
      </c>
      <c r="V22" s="5">
        <v>0</v>
      </c>
      <c r="W22" s="5">
        <v>0</v>
      </c>
      <c r="X22" s="5">
        <v>0</v>
      </c>
      <c r="Y22" s="5">
        <v>0</v>
      </c>
      <c r="AA22">
        <v>2</v>
      </c>
    </row>
    <row r="23" spans="4:27" x14ac:dyDescent="0.2">
      <c r="D23" t="str">
        <f ca="1"/>
        <v>15-Jan</v>
      </c>
      <c r="E23" s="5">
        <v>1</v>
      </c>
      <c r="F23" s="5">
        <v>0</v>
      </c>
      <c r="G23" s="5">
        <v>1</v>
      </c>
      <c r="H23" s="5">
        <v>0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 s="5">
        <v>0</v>
      </c>
      <c r="O23" s="5">
        <v>0</v>
      </c>
      <c r="Q23" s="5">
        <v>0</v>
      </c>
      <c r="R23" s="5">
        <v>0</v>
      </c>
      <c r="S23" s="5">
        <v>0</v>
      </c>
      <c r="T23" s="5">
        <v>0</v>
      </c>
      <c r="U23" s="5">
        <v>0</v>
      </c>
      <c r="V23" s="5">
        <v>0</v>
      </c>
      <c r="W23" s="5">
        <v>0</v>
      </c>
      <c r="X23" s="5">
        <v>0</v>
      </c>
      <c r="Y23" s="5">
        <v>0</v>
      </c>
      <c r="AA23">
        <v>2</v>
      </c>
    </row>
    <row r="24" spans="4:27" x14ac:dyDescent="0.2">
      <c r="D24" t="str">
        <f ca="1"/>
        <v>16-Jan</v>
      </c>
      <c r="E24" s="5">
        <v>1</v>
      </c>
      <c r="F24" s="5">
        <v>0</v>
      </c>
      <c r="G24" s="5">
        <v>1</v>
      </c>
      <c r="H24" s="5">
        <v>0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 s="5">
        <v>0</v>
      </c>
      <c r="O24" s="5">
        <v>0</v>
      </c>
      <c r="Q24" s="5">
        <v>0</v>
      </c>
      <c r="R24" s="5">
        <v>0</v>
      </c>
      <c r="S24" s="5">
        <v>0</v>
      </c>
      <c r="T24" s="5">
        <v>0</v>
      </c>
      <c r="U24" s="5">
        <v>0</v>
      </c>
      <c r="V24" s="5">
        <v>0</v>
      </c>
      <c r="W24" s="5">
        <v>0</v>
      </c>
      <c r="X24" s="5">
        <v>0</v>
      </c>
      <c r="Y24" s="5">
        <v>0</v>
      </c>
      <c r="AA24">
        <v>2</v>
      </c>
    </row>
    <row r="25" spans="4:27" x14ac:dyDescent="0.2">
      <c r="D25" t="str">
        <f ca="1"/>
        <v>17-Jan</v>
      </c>
      <c r="E25" s="5">
        <v>1</v>
      </c>
      <c r="F25" s="5">
        <v>0</v>
      </c>
      <c r="G25" s="5">
        <v>1</v>
      </c>
      <c r="H25" s="5">
        <v>0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 s="5">
        <v>0</v>
      </c>
      <c r="O25" s="5">
        <v>0</v>
      </c>
      <c r="Q25" s="5">
        <v>0</v>
      </c>
      <c r="R25" s="5">
        <v>0</v>
      </c>
      <c r="S25" s="5">
        <v>0</v>
      </c>
      <c r="T25" s="5">
        <v>0</v>
      </c>
      <c r="U25" s="5">
        <v>0</v>
      </c>
      <c r="V25" s="5">
        <v>0</v>
      </c>
      <c r="W25" s="5">
        <v>0</v>
      </c>
      <c r="X25" s="5">
        <v>0</v>
      </c>
      <c r="Y25" s="5">
        <v>0</v>
      </c>
      <c r="AA25">
        <v>2</v>
      </c>
    </row>
    <row r="26" spans="4:27" x14ac:dyDescent="0.2">
      <c r="D26" t="str">
        <f ca="1"/>
        <v>18-Jan</v>
      </c>
      <c r="E26" s="5">
        <v>1</v>
      </c>
      <c r="F26" s="5">
        <v>0</v>
      </c>
      <c r="G26" s="5">
        <v>1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 s="5">
        <v>0</v>
      </c>
      <c r="O26" s="5">
        <v>0</v>
      </c>
      <c r="Q26" s="5">
        <v>0</v>
      </c>
      <c r="R26" s="5">
        <v>0</v>
      </c>
      <c r="S26" s="5">
        <v>0</v>
      </c>
      <c r="T26" s="5">
        <v>0</v>
      </c>
      <c r="U26" s="5">
        <v>0</v>
      </c>
      <c r="V26" s="5">
        <v>0</v>
      </c>
      <c r="W26" s="5">
        <v>0</v>
      </c>
      <c r="X26" s="5">
        <v>0</v>
      </c>
      <c r="Y26" s="5">
        <v>0</v>
      </c>
      <c r="AA26">
        <v>2</v>
      </c>
    </row>
    <row r="27" spans="4:27" x14ac:dyDescent="0.2">
      <c r="D27" t="str">
        <f ca="1"/>
        <v>19-Jan</v>
      </c>
      <c r="E27" s="5">
        <v>1</v>
      </c>
      <c r="F27" s="5">
        <v>0</v>
      </c>
      <c r="G27" s="5">
        <v>1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O27" s="5">
        <v>0</v>
      </c>
      <c r="Q27" s="5">
        <v>0</v>
      </c>
      <c r="R27" s="5">
        <v>0</v>
      </c>
      <c r="S27" s="5">
        <v>0</v>
      </c>
      <c r="T27" s="5">
        <v>0</v>
      </c>
      <c r="U27" s="5">
        <v>0</v>
      </c>
      <c r="V27" s="5">
        <v>0</v>
      </c>
      <c r="W27" s="5">
        <v>0</v>
      </c>
      <c r="X27" s="5">
        <v>0</v>
      </c>
      <c r="Y27" s="5">
        <v>0</v>
      </c>
      <c r="AA27">
        <v>2</v>
      </c>
    </row>
    <row r="28" spans="4:27" x14ac:dyDescent="0.2">
      <c r="D28" t="str">
        <f ca="1"/>
        <v>20-Jan</v>
      </c>
      <c r="E28" s="5">
        <v>1</v>
      </c>
      <c r="F28" s="5">
        <v>0</v>
      </c>
      <c r="G28" s="5">
        <v>1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O28" s="5">
        <v>0</v>
      </c>
      <c r="Q28" s="5">
        <v>0</v>
      </c>
      <c r="R28" s="5">
        <v>0</v>
      </c>
      <c r="S28" s="5">
        <v>0</v>
      </c>
      <c r="T28" s="5">
        <v>0</v>
      </c>
      <c r="U28" s="5">
        <v>0</v>
      </c>
      <c r="V28" s="5">
        <v>0</v>
      </c>
      <c r="W28" s="5">
        <v>0</v>
      </c>
      <c r="X28" s="5">
        <v>0</v>
      </c>
      <c r="Y28" s="5">
        <v>0</v>
      </c>
      <c r="AA28">
        <v>2</v>
      </c>
    </row>
    <row r="29" spans="4:27" x14ac:dyDescent="0.2">
      <c r="D29" t="str">
        <f ca="1"/>
        <v>21-Jan</v>
      </c>
      <c r="E29" s="5">
        <v>1</v>
      </c>
      <c r="F29" s="5">
        <v>0</v>
      </c>
      <c r="G29" s="5">
        <v>1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0</v>
      </c>
      <c r="Q29" s="5">
        <v>0</v>
      </c>
      <c r="R29" s="5">
        <v>0</v>
      </c>
      <c r="S29" s="5">
        <v>0</v>
      </c>
      <c r="T29" s="5">
        <v>0</v>
      </c>
      <c r="U29" s="5">
        <v>0</v>
      </c>
      <c r="V29" s="5">
        <v>0</v>
      </c>
      <c r="W29" s="5">
        <v>0</v>
      </c>
      <c r="X29" s="5">
        <v>0</v>
      </c>
      <c r="Y29" s="5">
        <v>0</v>
      </c>
      <c r="AA29">
        <v>2</v>
      </c>
    </row>
    <row r="30" spans="4:27" x14ac:dyDescent="0.2">
      <c r="D30" t="str">
        <f ca="1"/>
        <v>22-Jan</v>
      </c>
      <c r="E30" s="5">
        <v>1</v>
      </c>
      <c r="F30" s="5">
        <v>0</v>
      </c>
      <c r="G30" s="5">
        <v>1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Q30" s="5">
        <v>0</v>
      </c>
      <c r="R30" s="5">
        <v>0</v>
      </c>
      <c r="S30" s="5">
        <v>0</v>
      </c>
      <c r="T30" s="5">
        <v>0</v>
      </c>
      <c r="U30" s="5">
        <v>0</v>
      </c>
      <c r="V30" s="5">
        <v>0</v>
      </c>
      <c r="W30" s="5">
        <v>0</v>
      </c>
      <c r="X30" s="5">
        <v>0</v>
      </c>
      <c r="Y30" s="5">
        <v>0</v>
      </c>
      <c r="AA30">
        <v>2</v>
      </c>
    </row>
    <row r="31" spans="4:27" x14ac:dyDescent="0.2">
      <c r="D31" t="str">
        <f ca="1"/>
        <v>23-Jan</v>
      </c>
      <c r="E31" s="5">
        <v>1</v>
      </c>
      <c r="F31" s="5">
        <v>0</v>
      </c>
      <c r="G31" s="5">
        <v>1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Q31" s="5">
        <v>0</v>
      </c>
      <c r="R31" s="5">
        <v>0</v>
      </c>
      <c r="S31" s="5">
        <v>0</v>
      </c>
      <c r="T31" s="5">
        <v>0</v>
      </c>
      <c r="U31" s="5">
        <v>0</v>
      </c>
      <c r="V31" s="5">
        <v>0</v>
      </c>
      <c r="W31" s="5">
        <v>0</v>
      </c>
      <c r="X31" s="5">
        <v>0</v>
      </c>
      <c r="Y31" s="5">
        <v>0</v>
      </c>
      <c r="AA31">
        <v>2</v>
      </c>
    </row>
    <row r="32" spans="4:27" x14ac:dyDescent="0.2">
      <c r="D32" t="str">
        <f ca="1"/>
        <v>24-Jan</v>
      </c>
      <c r="E32" s="5">
        <v>1</v>
      </c>
      <c r="F32" s="5">
        <v>0</v>
      </c>
      <c r="G32" s="5">
        <v>1</v>
      </c>
      <c r="H32" s="5">
        <v>0</v>
      </c>
      <c r="I32" s="5">
        <v>0</v>
      </c>
      <c r="J32" s="5">
        <v>0</v>
      </c>
      <c r="K32" s="5">
        <v>0</v>
      </c>
      <c r="L32" s="5">
        <v>0</v>
      </c>
      <c r="M32" s="5">
        <v>0</v>
      </c>
      <c r="N32" s="5">
        <v>0</v>
      </c>
      <c r="O32" s="5">
        <v>0</v>
      </c>
      <c r="Q32" s="5">
        <v>0</v>
      </c>
      <c r="R32" s="5">
        <v>0</v>
      </c>
      <c r="S32" s="5">
        <v>0</v>
      </c>
      <c r="T32" s="5">
        <v>0</v>
      </c>
      <c r="U32" s="5">
        <v>0</v>
      </c>
      <c r="V32" s="5">
        <v>0</v>
      </c>
      <c r="W32" s="5">
        <v>0</v>
      </c>
      <c r="X32" s="5">
        <v>0</v>
      </c>
      <c r="Y32" s="5">
        <v>0</v>
      </c>
      <c r="AA32">
        <v>2</v>
      </c>
    </row>
    <row r="33" spans="4:27" x14ac:dyDescent="0.2">
      <c r="D33" t="str">
        <f ca="1"/>
        <v>25-Jan</v>
      </c>
      <c r="E33" s="5">
        <v>1</v>
      </c>
      <c r="F33" s="5">
        <v>0</v>
      </c>
      <c r="G33" s="5">
        <v>1</v>
      </c>
      <c r="H33" s="5">
        <v>0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 s="5">
        <v>0</v>
      </c>
      <c r="O33" s="5">
        <v>0</v>
      </c>
      <c r="Q33" s="5">
        <v>0</v>
      </c>
      <c r="R33" s="5">
        <v>0</v>
      </c>
      <c r="S33" s="5">
        <v>0</v>
      </c>
      <c r="T33" s="5">
        <v>0</v>
      </c>
      <c r="U33" s="5">
        <v>0</v>
      </c>
      <c r="V33" s="5">
        <v>0</v>
      </c>
      <c r="W33" s="5">
        <v>0</v>
      </c>
      <c r="X33" s="5">
        <v>0</v>
      </c>
      <c r="Y33" s="5">
        <v>0</v>
      </c>
      <c r="AA33">
        <v>2</v>
      </c>
    </row>
    <row r="34" spans="4:27" x14ac:dyDescent="0.2">
      <c r="D34" t="str">
        <f ca="1"/>
        <v>26-Jan</v>
      </c>
      <c r="E34" s="5">
        <v>1</v>
      </c>
      <c r="F34" s="5">
        <v>0</v>
      </c>
      <c r="G34" s="5">
        <v>1</v>
      </c>
      <c r="H34" s="5">
        <v>0</v>
      </c>
      <c r="I34" s="5">
        <v>0</v>
      </c>
      <c r="J34" s="5">
        <v>0</v>
      </c>
      <c r="K34" s="5">
        <v>0</v>
      </c>
      <c r="L34" s="5">
        <v>0</v>
      </c>
      <c r="M34" s="5">
        <v>0</v>
      </c>
      <c r="N34" s="5">
        <v>0</v>
      </c>
      <c r="O34" s="5">
        <v>0</v>
      </c>
      <c r="Q34" s="5">
        <v>0</v>
      </c>
      <c r="R34" s="5">
        <v>0</v>
      </c>
      <c r="S34" s="5">
        <v>0</v>
      </c>
      <c r="T34" s="5">
        <v>0</v>
      </c>
      <c r="U34" s="5">
        <v>0</v>
      </c>
      <c r="V34" s="5">
        <v>0</v>
      </c>
      <c r="W34" s="5">
        <v>0</v>
      </c>
      <c r="X34" s="5">
        <v>0</v>
      </c>
      <c r="Y34" s="5">
        <v>0</v>
      </c>
      <c r="AA34">
        <v>2</v>
      </c>
    </row>
    <row r="35" spans="4:27" x14ac:dyDescent="0.2">
      <c r="D35" t="str">
        <f ca="1"/>
        <v>27-Jan</v>
      </c>
      <c r="E35" s="5">
        <v>1</v>
      </c>
      <c r="F35" s="5">
        <v>0</v>
      </c>
      <c r="G35" s="5">
        <v>1</v>
      </c>
      <c r="H35" s="5">
        <v>0</v>
      </c>
      <c r="I35" s="5">
        <v>0</v>
      </c>
      <c r="J35" s="5">
        <v>0</v>
      </c>
      <c r="K35" s="5">
        <v>0</v>
      </c>
      <c r="L35" s="5">
        <v>0</v>
      </c>
      <c r="M35" s="5">
        <v>0</v>
      </c>
      <c r="N35" s="5">
        <v>0</v>
      </c>
      <c r="O35" s="5">
        <v>0</v>
      </c>
      <c r="Q35" s="5">
        <v>0</v>
      </c>
      <c r="R35" s="5">
        <v>0</v>
      </c>
      <c r="S35" s="5">
        <v>0</v>
      </c>
      <c r="T35" s="5">
        <v>0</v>
      </c>
      <c r="U35" s="5">
        <v>0</v>
      </c>
      <c r="V35" s="5">
        <v>0</v>
      </c>
      <c r="W35" s="5">
        <v>0</v>
      </c>
      <c r="X35" s="5">
        <v>0</v>
      </c>
      <c r="Y35" s="5">
        <v>0</v>
      </c>
      <c r="AA35">
        <v>2</v>
      </c>
    </row>
    <row r="36" spans="4:27" x14ac:dyDescent="0.2">
      <c r="D36" t="str">
        <f ca="1"/>
        <v>28-Jan</v>
      </c>
      <c r="E36" s="5">
        <v>1</v>
      </c>
      <c r="F36" s="5">
        <v>0</v>
      </c>
      <c r="G36" s="5">
        <v>1</v>
      </c>
      <c r="H36" s="5">
        <v>0</v>
      </c>
      <c r="I36" s="5">
        <v>0</v>
      </c>
      <c r="J36" s="5">
        <v>0</v>
      </c>
      <c r="K36" s="5">
        <v>0</v>
      </c>
      <c r="L36" s="5">
        <v>0</v>
      </c>
      <c r="M36" s="5">
        <v>0</v>
      </c>
      <c r="N36" s="5">
        <v>0</v>
      </c>
      <c r="O36" s="5">
        <v>0</v>
      </c>
      <c r="Q36" s="5">
        <v>0</v>
      </c>
      <c r="R36" s="5">
        <v>0</v>
      </c>
      <c r="S36" s="5">
        <v>0</v>
      </c>
      <c r="T36" s="5">
        <v>0</v>
      </c>
      <c r="U36" s="5">
        <v>0</v>
      </c>
      <c r="V36" s="5">
        <v>0</v>
      </c>
      <c r="W36" s="5">
        <v>0</v>
      </c>
      <c r="X36" s="5">
        <v>0</v>
      </c>
      <c r="Y36" s="5">
        <v>0</v>
      </c>
      <c r="AA36">
        <v>2</v>
      </c>
    </row>
    <row r="37" spans="4:27" x14ac:dyDescent="0.2">
      <c r="D37" t="str">
        <f ca="1"/>
        <v>29-Jan</v>
      </c>
      <c r="E37" s="5">
        <v>1</v>
      </c>
      <c r="F37" s="5">
        <v>0</v>
      </c>
      <c r="G37" s="5">
        <v>1</v>
      </c>
      <c r="H37" s="5">
        <v>0</v>
      </c>
      <c r="I37" s="5">
        <v>0</v>
      </c>
      <c r="J37" s="5">
        <v>0</v>
      </c>
      <c r="K37" s="5">
        <v>0</v>
      </c>
      <c r="L37" s="5">
        <v>0</v>
      </c>
      <c r="M37" s="5">
        <v>0</v>
      </c>
      <c r="N37" s="5">
        <v>0</v>
      </c>
      <c r="O37" s="5">
        <v>0</v>
      </c>
      <c r="Q37" s="5">
        <v>0</v>
      </c>
      <c r="R37" s="5">
        <v>0</v>
      </c>
      <c r="S37" s="5">
        <v>0</v>
      </c>
      <c r="T37" s="5">
        <v>0</v>
      </c>
      <c r="U37" s="5">
        <v>0</v>
      </c>
      <c r="V37" s="5">
        <v>0</v>
      </c>
      <c r="W37" s="5">
        <v>0</v>
      </c>
      <c r="X37" s="5">
        <v>0</v>
      </c>
      <c r="Y37" s="5">
        <v>0</v>
      </c>
      <c r="AA37">
        <v>2</v>
      </c>
    </row>
    <row r="38" spans="4:27" x14ac:dyDescent="0.2">
      <c r="D38" t="str">
        <f ca="1"/>
        <v>30-Jan</v>
      </c>
      <c r="E38" s="5">
        <v>1</v>
      </c>
      <c r="F38" s="5">
        <v>0</v>
      </c>
      <c r="G38" s="5">
        <v>1</v>
      </c>
      <c r="H38" s="5">
        <v>0</v>
      </c>
      <c r="I38" s="5">
        <v>0</v>
      </c>
      <c r="J38" s="5">
        <v>0</v>
      </c>
      <c r="K38" s="5">
        <v>0</v>
      </c>
      <c r="L38" s="5">
        <v>0</v>
      </c>
      <c r="M38" s="5">
        <v>0</v>
      </c>
      <c r="N38" s="5">
        <v>0</v>
      </c>
      <c r="O38" s="5">
        <v>0</v>
      </c>
      <c r="Q38" s="5">
        <v>0</v>
      </c>
      <c r="R38" s="5">
        <v>0</v>
      </c>
      <c r="S38" s="5">
        <v>0</v>
      </c>
      <c r="T38" s="5">
        <v>0</v>
      </c>
      <c r="U38" s="5">
        <v>0</v>
      </c>
      <c r="V38" s="5">
        <v>0</v>
      </c>
      <c r="W38" s="5">
        <v>0</v>
      </c>
      <c r="X38" s="5">
        <v>0</v>
      </c>
      <c r="Y38" s="5">
        <v>0</v>
      </c>
      <c r="AA38">
        <v>2</v>
      </c>
    </row>
    <row r="39" spans="4:27" x14ac:dyDescent="0.2">
      <c r="D39" t="str">
        <f ca="1"/>
        <v>31-Jan</v>
      </c>
      <c r="E39" s="5">
        <v>1</v>
      </c>
      <c r="F39" s="5">
        <v>0</v>
      </c>
      <c r="G39" s="5">
        <v>0</v>
      </c>
      <c r="H39" s="5">
        <v>0</v>
      </c>
      <c r="I39" s="5">
        <v>0</v>
      </c>
      <c r="J39" s="5">
        <v>0</v>
      </c>
      <c r="K39" s="5">
        <v>0</v>
      </c>
      <c r="L39" s="5">
        <v>0</v>
      </c>
      <c r="M39" s="5">
        <v>0</v>
      </c>
      <c r="N39" s="5">
        <v>0</v>
      </c>
      <c r="O39" s="5">
        <v>0</v>
      </c>
      <c r="Q39" s="5">
        <v>0</v>
      </c>
      <c r="R39" s="5">
        <v>0</v>
      </c>
      <c r="S39" s="5">
        <v>0</v>
      </c>
      <c r="T39" s="5">
        <v>0</v>
      </c>
      <c r="U39" s="5">
        <v>0</v>
      </c>
      <c r="V39" s="5">
        <v>0</v>
      </c>
      <c r="W39" s="5">
        <v>0</v>
      </c>
      <c r="X39" s="5">
        <v>0</v>
      </c>
      <c r="Y39" s="5">
        <v>0</v>
      </c>
      <c r="AA39">
        <v>1</v>
      </c>
    </row>
    <row r="40" spans="4:27" x14ac:dyDescent="0.2">
      <c r="D40" t="str">
        <f ca="1"/>
        <v>01-Feb</v>
      </c>
      <c r="E40" s="5">
        <v>1</v>
      </c>
      <c r="F40" s="5">
        <v>0</v>
      </c>
      <c r="G40" s="5">
        <v>0</v>
      </c>
      <c r="H40" s="5">
        <v>0</v>
      </c>
      <c r="I40" s="5">
        <v>0</v>
      </c>
      <c r="J40" s="5">
        <v>0</v>
      </c>
      <c r="K40" s="5">
        <v>0</v>
      </c>
      <c r="L40" s="5">
        <v>0</v>
      </c>
      <c r="M40" s="5">
        <v>0</v>
      </c>
      <c r="N40" s="5">
        <v>0</v>
      </c>
      <c r="O40" s="5">
        <v>0</v>
      </c>
      <c r="Q40" s="5">
        <v>0</v>
      </c>
      <c r="R40" s="5">
        <v>0</v>
      </c>
      <c r="S40" s="5">
        <v>0</v>
      </c>
      <c r="T40" s="5">
        <v>0</v>
      </c>
      <c r="U40" s="5">
        <v>0</v>
      </c>
      <c r="V40" s="5">
        <v>0</v>
      </c>
      <c r="W40" s="5">
        <v>0</v>
      </c>
      <c r="X40" s="5">
        <v>0</v>
      </c>
      <c r="Y40" s="5">
        <v>0</v>
      </c>
      <c r="AA40">
        <v>1</v>
      </c>
    </row>
    <row r="41" spans="4:27" x14ac:dyDescent="0.2">
      <c r="D41" t="str">
        <f ca="1"/>
        <v>02-Feb</v>
      </c>
      <c r="E41" s="5">
        <v>1</v>
      </c>
      <c r="F41" s="5">
        <v>0</v>
      </c>
      <c r="G41" s="5">
        <v>0</v>
      </c>
      <c r="H41" s="5">
        <v>0</v>
      </c>
      <c r="I41" s="5">
        <v>0</v>
      </c>
      <c r="J41" s="5">
        <v>0</v>
      </c>
      <c r="K41" s="5">
        <v>0</v>
      </c>
      <c r="L41" s="5">
        <v>0</v>
      </c>
      <c r="M41" s="5">
        <v>0</v>
      </c>
      <c r="N41" s="5">
        <v>0</v>
      </c>
      <c r="O41" s="5">
        <v>0</v>
      </c>
      <c r="Q41" s="5">
        <v>0</v>
      </c>
      <c r="R41" s="5">
        <v>0</v>
      </c>
      <c r="S41" s="5">
        <v>0</v>
      </c>
      <c r="T41" s="5">
        <v>0</v>
      </c>
      <c r="U41" s="5">
        <v>0</v>
      </c>
      <c r="V41" s="5">
        <v>0</v>
      </c>
      <c r="W41" s="5">
        <v>0</v>
      </c>
      <c r="X41" s="5">
        <v>0</v>
      </c>
      <c r="Y41" s="5">
        <v>0</v>
      </c>
      <c r="AA41">
        <v>1</v>
      </c>
    </row>
    <row r="42" spans="4:27" x14ac:dyDescent="0.2">
      <c r="D42" t="str">
        <f ca="1"/>
        <v>03-Feb</v>
      </c>
      <c r="E42" s="5">
        <v>1</v>
      </c>
      <c r="F42" s="5">
        <v>0</v>
      </c>
      <c r="G42" s="5">
        <v>0</v>
      </c>
      <c r="H42" s="5">
        <v>0</v>
      </c>
      <c r="I42" s="5">
        <v>0</v>
      </c>
      <c r="J42" s="5">
        <v>0</v>
      </c>
      <c r="K42" s="5">
        <v>0</v>
      </c>
      <c r="L42" s="5">
        <v>0</v>
      </c>
      <c r="M42" s="5">
        <v>0</v>
      </c>
      <c r="N42" s="5">
        <v>0</v>
      </c>
      <c r="O42" s="5">
        <v>0</v>
      </c>
      <c r="Q42" s="5">
        <v>0</v>
      </c>
      <c r="R42" s="5">
        <v>0</v>
      </c>
      <c r="S42" s="5">
        <v>0</v>
      </c>
      <c r="T42" s="5">
        <v>0</v>
      </c>
      <c r="U42" s="5">
        <v>0</v>
      </c>
      <c r="V42" s="5">
        <v>0</v>
      </c>
      <c r="W42" s="5">
        <v>0</v>
      </c>
      <c r="X42" s="5">
        <v>0</v>
      </c>
      <c r="Y42" s="5">
        <v>0</v>
      </c>
      <c r="AA42">
        <v>1</v>
      </c>
    </row>
    <row r="43" spans="4:27" x14ac:dyDescent="0.2">
      <c r="D43" t="str">
        <f ca="1"/>
        <v>04-Feb</v>
      </c>
      <c r="E43" s="5">
        <v>1</v>
      </c>
      <c r="F43" s="5">
        <v>0</v>
      </c>
      <c r="G43" s="5">
        <v>0</v>
      </c>
      <c r="H43" s="5">
        <v>0</v>
      </c>
      <c r="I43" s="5">
        <v>0</v>
      </c>
      <c r="J43" s="5">
        <v>0</v>
      </c>
      <c r="K43" s="5">
        <v>0</v>
      </c>
      <c r="L43" s="5">
        <v>0</v>
      </c>
      <c r="M43" s="5">
        <v>0</v>
      </c>
      <c r="N43" s="5">
        <v>0</v>
      </c>
      <c r="O43" s="5">
        <v>0</v>
      </c>
      <c r="Q43" s="5">
        <v>0</v>
      </c>
      <c r="R43" s="5">
        <v>0</v>
      </c>
      <c r="S43" s="5">
        <v>0</v>
      </c>
      <c r="T43" s="5">
        <v>0</v>
      </c>
      <c r="U43" s="5">
        <v>0</v>
      </c>
      <c r="V43" s="5">
        <v>0</v>
      </c>
      <c r="W43" s="5">
        <v>0</v>
      </c>
      <c r="X43" s="5">
        <v>0</v>
      </c>
      <c r="Y43" s="5">
        <v>0</v>
      </c>
      <c r="AA43">
        <v>1</v>
      </c>
    </row>
    <row r="44" spans="4:27" x14ac:dyDescent="0.2">
      <c r="D44" t="str">
        <f ca="1"/>
        <v>05-Feb</v>
      </c>
      <c r="E44" s="5">
        <v>1</v>
      </c>
      <c r="F44" s="5">
        <v>0</v>
      </c>
      <c r="G44" s="5">
        <v>0</v>
      </c>
      <c r="H44" s="5">
        <v>0</v>
      </c>
      <c r="I44" s="5">
        <v>0</v>
      </c>
      <c r="J44" s="5">
        <v>0</v>
      </c>
      <c r="K44" s="5">
        <v>0</v>
      </c>
      <c r="L44" s="5">
        <v>0</v>
      </c>
      <c r="M44" s="5">
        <v>0</v>
      </c>
      <c r="N44" s="5">
        <v>0</v>
      </c>
      <c r="O44" s="5">
        <v>0</v>
      </c>
      <c r="Q44" s="5">
        <v>0</v>
      </c>
      <c r="R44" s="5">
        <v>0</v>
      </c>
      <c r="S44" s="5">
        <v>0</v>
      </c>
      <c r="T44" s="5">
        <v>0</v>
      </c>
      <c r="U44" s="5">
        <v>0</v>
      </c>
      <c r="V44" s="5">
        <v>0</v>
      </c>
      <c r="W44" s="5">
        <v>0</v>
      </c>
      <c r="X44" s="5">
        <v>0</v>
      </c>
      <c r="Y44" s="5">
        <v>0</v>
      </c>
      <c r="AA44">
        <v>1</v>
      </c>
    </row>
    <row r="45" spans="4:27" x14ac:dyDescent="0.2">
      <c r="D45" t="str">
        <f ca="1"/>
        <v>06-Feb</v>
      </c>
      <c r="E45" s="5">
        <v>0</v>
      </c>
      <c r="F45" s="5">
        <v>0</v>
      </c>
      <c r="G45" s="5">
        <v>0</v>
      </c>
      <c r="H45" s="5">
        <v>0</v>
      </c>
      <c r="I45" s="5">
        <v>0</v>
      </c>
      <c r="J45" s="5">
        <v>0</v>
      </c>
      <c r="K45" s="5">
        <v>0</v>
      </c>
      <c r="L45" s="5">
        <v>0</v>
      </c>
      <c r="M45" s="5">
        <v>0</v>
      </c>
      <c r="N45" s="5">
        <v>0</v>
      </c>
      <c r="O45" s="5">
        <v>0</v>
      </c>
      <c r="Q45" s="5">
        <v>0</v>
      </c>
      <c r="R45" s="5">
        <v>0</v>
      </c>
      <c r="S45" s="5">
        <v>0</v>
      </c>
      <c r="T45" s="5">
        <v>0</v>
      </c>
      <c r="U45" s="5">
        <v>0</v>
      </c>
      <c r="V45" s="5">
        <v>0</v>
      </c>
      <c r="W45" s="5">
        <v>0</v>
      </c>
      <c r="X45" s="5">
        <v>0</v>
      </c>
      <c r="Y45" s="5">
        <v>0</v>
      </c>
      <c r="AA45">
        <v>0</v>
      </c>
    </row>
    <row r="46" spans="4:27" x14ac:dyDescent="0.2">
      <c r="D46" t="str">
        <f ca="1"/>
        <v>07-Feb</v>
      </c>
      <c r="E46" s="5">
        <v>0</v>
      </c>
      <c r="F46" s="5">
        <v>0</v>
      </c>
      <c r="G46" s="5">
        <v>0</v>
      </c>
      <c r="H46" s="5">
        <v>0</v>
      </c>
      <c r="I46" s="5">
        <v>0</v>
      </c>
      <c r="J46" s="5">
        <v>0</v>
      </c>
      <c r="K46" s="5">
        <v>0</v>
      </c>
      <c r="L46" s="5">
        <v>0</v>
      </c>
      <c r="M46" s="5">
        <v>0</v>
      </c>
      <c r="N46" s="5">
        <v>0</v>
      </c>
      <c r="O46" s="5">
        <v>0</v>
      </c>
      <c r="Q46" s="5">
        <v>0</v>
      </c>
      <c r="R46" s="5">
        <v>0</v>
      </c>
      <c r="S46" s="5">
        <v>0</v>
      </c>
      <c r="T46" s="5">
        <v>0</v>
      </c>
      <c r="U46" s="5">
        <v>0</v>
      </c>
      <c r="V46" s="5">
        <v>0</v>
      </c>
      <c r="W46" s="5">
        <v>0</v>
      </c>
      <c r="X46" s="5">
        <v>0</v>
      </c>
      <c r="Y46" s="5">
        <v>0</v>
      </c>
      <c r="AA46">
        <v>0</v>
      </c>
    </row>
    <row r="47" spans="4:27" x14ac:dyDescent="0.2">
      <c r="D47" t="str">
        <f ca="1"/>
        <v>08-Feb</v>
      </c>
      <c r="E47" s="5">
        <v>0</v>
      </c>
      <c r="F47" s="5">
        <v>0</v>
      </c>
      <c r="G47" s="5">
        <v>0</v>
      </c>
      <c r="H47" s="5">
        <v>0</v>
      </c>
      <c r="I47" s="5">
        <v>0</v>
      </c>
      <c r="J47" s="5">
        <v>0</v>
      </c>
      <c r="K47" s="5">
        <v>0</v>
      </c>
      <c r="L47" s="5">
        <v>0</v>
      </c>
      <c r="M47" s="5">
        <v>0</v>
      </c>
      <c r="N47" s="5">
        <v>0</v>
      </c>
      <c r="O47" s="5">
        <v>0</v>
      </c>
      <c r="Q47" s="5">
        <v>0</v>
      </c>
      <c r="R47" s="5">
        <v>0</v>
      </c>
      <c r="S47" s="5">
        <v>0</v>
      </c>
      <c r="T47" s="5">
        <v>0</v>
      </c>
      <c r="U47" s="5">
        <v>0</v>
      </c>
      <c r="V47" s="5">
        <v>0</v>
      </c>
      <c r="W47" s="5">
        <v>0</v>
      </c>
      <c r="X47" s="5">
        <v>0</v>
      </c>
      <c r="Y47" s="5">
        <v>0</v>
      </c>
      <c r="AA47">
        <v>0</v>
      </c>
    </row>
    <row r="48" spans="4:27" x14ac:dyDescent="0.2">
      <c r="D48" t="str">
        <f ca="1"/>
        <v>09-Feb</v>
      </c>
      <c r="E48" s="5">
        <v>0</v>
      </c>
      <c r="F48" s="5">
        <v>0</v>
      </c>
      <c r="G48" s="5">
        <v>0</v>
      </c>
      <c r="H48" s="5">
        <v>0</v>
      </c>
      <c r="I48" s="5">
        <v>0</v>
      </c>
      <c r="J48" s="5">
        <v>0</v>
      </c>
      <c r="K48" s="5">
        <v>0</v>
      </c>
      <c r="L48" s="5">
        <v>0</v>
      </c>
      <c r="M48" s="5">
        <v>0</v>
      </c>
      <c r="N48" s="5">
        <v>0</v>
      </c>
      <c r="O48" s="5">
        <v>0</v>
      </c>
      <c r="Q48" s="5">
        <v>0</v>
      </c>
      <c r="R48" s="5">
        <v>0</v>
      </c>
      <c r="S48" s="5">
        <v>0</v>
      </c>
      <c r="T48" s="5">
        <v>0</v>
      </c>
      <c r="U48" s="5">
        <v>0</v>
      </c>
      <c r="V48" s="5">
        <v>0</v>
      </c>
      <c r="W48" s="5">
        <v>0</v>
      </c>
      <c r="X48" s="5">
        <v>0</v>
      </c>
      <c r="Y48" s="5">
        <v>0</v>
      </c>
      <c r="AA48">
        <v>0</v>
      </c>
    </row>
    <row r="49" spans="4:27" x14ac:dyDescent="0.2">
      <c r="D49" t="str">
        <f ca="1"/>
        <v>10-Feb</v>
      </c>
      <c r="E49" s="5">
        <v>0</v>
      </c>
      <c r="F49" s="5">
        <v>0</v>
      </c>
      <c r="G49" s="5">
        <v>0</v>
      </c>
      <c r="H49" s="5">
        <v>0</v>
      </c>
      <c r="I49" s="5">
        <v>0</v>
      </c>
      <c r="J49" s="5">
        <v>0</v>
      </c>
      <c r="K49" s="5">
        <v>0</v>
      </c>
      <c r="L49" s="5">
        <v>0</v>
      </c>
      <c r="M49" s="5">
        <v>0</v>
      </c>
      <c r="N49" s="5">
        <v>0</v>
      </c>
      <c r="O49" s="5">
        <v>0</v>
      </c>
      <c r="Q49" s="5">
        <v>0</v>
      </c>
      <c r="R49" s="5">
        <v>0</v>
      </c>
      <c r="S49" s="5">
        <v>0</v>
      </c>
      <c r="T49" s="5">
        <v>0</v>
      </c>
      <c r="U49" s="5">
        <v>0</v>
      </c>
      <c r="V49" s="5">
        <v>0</v>
      </c>
      <c r="W49" s="5">
        <v>0</v>
      </c>
      <c r="X49" s="5">
        <v>0</v>
      </c>
      <c r="Y49" s="5">
        <v>0</v>
      </c>
      <c r="AA49">
        <v>0</v>
      </c>
    </row>
    <row r="50" spans="4:27" x14ac:dyDescent="0.2">
      <c r="D50" t="str">
        <f ca="1"/>
        <v>11-Feb</v>
      </c>
      <c r="E50" s="5">
        <v>0</v>
      </c>
      <c r="F50" s="5">
        <v>0</v>
      </c>
      <c r="G50" s="5">
        <v>0</v>
      </c>
      <c r="H50" s="5">
        <v>0</v>
      </c>
      <c r="I50" s="5">
        <v>0</v>
      </c>
      <c r="J50" s="5">
        <v>0</v>
      </c>
      <c r="K50" s="5">
        <v>0</v>
      </c>
      <c r="L50" s="5">
        <v>0</v>
      </c>
      <c r="M50" s="5">
        <v>0</v>
      </c>
      <c r="N50" s="5">
        <v>0</v>
      </c>
      <c r="O50" s="5">
        <v>0</v>
      </c>
      <c r="Q50" s="5">
        <v>0</v>
      </c>
      <c r="R50" s="5">
        <v>0</v>
      </c>
      <c r="S50" s="5">
        <v>0</v>
      </c>
      <c r="T50" s="5">
        <v>0</v>
      </c>
      <c r="U50" s="5">
        <v>0</v>
      </c>
      <c r="V50" s="5">
        <v>0</v>
      </c>
      <c r="W50" s="5">
        <v>0</v>
      </c>
      <c r="X50" s="5">
        <v>0</v>
      </c>
      <c r="Y50" s="5">
        <v>0</v>
      </c>
      <c r="AA50">
        <v>0</v>
      </c>
    </row>
    <row r="51" spans="4:27" x14ac:dyDescent="0.2">
      <c r="D51" t="str">
        <f ca="1"/>
        <v>12-Feb</v>
      </c>
      <c r="E51" s="5">
        <v>0</v>
      </c>
      <c r="F51" s="5">
        <v>0</v>
      </c>
      <c r="G51" s="5">
        <v>0</v>
      </c>
      <c r="H51" s="5">
        <v>0</v>
      </c>
      <c r="I51" s="5">
        <v>1</v>
      </c>
      <c r="J51" s="5">
        <v>0</v>
      </c>
      <c r="K51" s="5">
        <v>0</v>
      </c>
      <c r="L51" s="5">
        <v>0</v>
      </c>
      <c r="M51" s="5">
        <v>0</v>
      </c>
      <c r="N51" s="5">
        <v>0</v>
      </c>
      <c r="O51" s="5">
        <v>0</v>
      </c>
      <c r="Q51" s="5">
        <v>0</v>
      </c>
      <c r="R51" s="5">
        <v>0</v>
      </c>
      <c r="S51" s="5">
        <v>0</v>
      </c>
      <c r="T51" s="5">
        <v>0</v>
      </c>
      <c r="U51" s="5">
        <v>0</v>
      </c>
      <c r="V51" s="5">
        <v>0</v>
      </c>
      <c r="W51" s="5">
        <v>0</v>
      </c>
      <c r="X51" s="5">
        <v>0</v>
      </c>
      <c r="Y51" s="5">
        <v>0</v>
      </c>
      <c r="AA51">
        <v>1</v>
      </c>
    </row>
    <row r="52" spans="4:27" x14ac:dyDescent="0.2">
      <c r="D52" t="str">
        <f ca="1"/>
        <v>13-Feb</v>
      </c>
      <c r="E52" s="5">
        <v>0</v>
      </c>
      <c r="F52" s="5">
        <v>0</v>
      </c>
      <c r="G52" s="5">
        <v>0</v>
      </c>
      <c r="H52" s="5">
        <v>0</v>
      </c>
      <c r="I52" s="5">
        <v>1</v>
      </c>
      <c r="J52" s="5">
        <v>0</v>
      </c>
      <c r="K52" s="5">
        <v>0</v>
      </c>
      <c r="L52" s="5">
        <v>0</v>
      </c>
      <c r="M52" s="5">
        <v>0</v>
      </c>
      <c r="N52" s="5">
        <v>0</v>
      </c>
      <c r="O52" s="5">
        <v>0</v>
      </c>
      <c r="Q52" s="5">
        <v>0</v>
      </c>
      <c r="R52" s="5">
        <v>0</v>
      </c>
      <c r="S52" s="5">
        <v>0</v>
      </c>
      <c r="T52" s="5">
        <v>0</v>
      </c>
      <c r="U52" s="5">
        <v>0</v>
      </c>
      <c r="V52" s="5">
        <v>0</v>
      </c>
      <c r="W52" s="5">
        <v>0</v>
      </c>
      <c r="X52" s="5">
        <v>0</v>
      </c>
      <c r="Y52" s="5">
        <v>0</v>
      </c>
      <c r="AA52">
        <v>1</v>
      </c>
    </row>
    <row r="53" spans="4:27" x14ac:dyDescent="0.2">
      <c r="D53" t="str">
        <f ca="1"/>
        <v>14-Feb</v>
      </c>
      <c r="E53" s="5">
        <v>0</v>
      </c>
      <c r="F53" s="5">
        <v>0</v>
      </c>
      <c r="G53" s="5">
        <v>0</v>
      </c>
      <c r="H53" s="5">
        <v>0</v>
      </c>
      <c r="I53" s="5">
        <v>1</v>
      </c>
      <c r="J53" s="5">
        <v>0</v>
      </c>
      <c r="K53" s="5">
        <v>0</v>
      </c>
      <c r="L53" s="5">
        <v>0</v>
      </c>
      <c r="M53" s="5">
        <v>0</v>
      </c>
      <c r="N53" s="5">
        <v>0</v>
      </c>
      <c r="O53" s="5">
        <v>0</v>
      </c>
      <c r="Q53" s="5">
        <v>0</v>
      </c>
      <c r="R53" s="5">
        <v>0</v>
      </c>
      <c r="S53" s="5">
        <v>0</v>
      </c>
      <c r="T53" s="5">
        <v>0</v>
      </c>
      <c r="U53" s="5">
        <v>0</v>
      </c>
      <c r="V53" s="5">
        <v>0</v>
      </c>
      <c r="W53" s="5">
        <v>0</v>
      </c>
      <c r="X53" s="5">
        <v>0</v>
      </c>
      <c r="Y53" s="5">
        <v>0</v>
      </c>
      <c r="AA53">
        <v>1</v>
      </c>
    </row>
    <row r="54" spans="4:27" x14ac:dyDescent="0.2">
      <c r="D54" t="str">
        <f ca="1"/>
        <v>15-Feb</v>
      </c>
      <c r="E54" s="5">
        <v>0</v>
      </c>
      <c r="F54" s="5">
        <v>0</v>
      </c>
      <c r="G54" s="5">
        <v>0</v>
      </c>
      <c r="H54" s="5">
        <v>0</v>
      </c>
      <c r="I54" s="5">
        <v>1</v>
      </c>
      <c r="J54" s="5">
        <v>0</v>
      </c>
      <c r="K54" s="5">
        <v>0</v>
      </c>
      <c r="L54" s="5">
        <v>0</v>
      </c>
      <c r="M54" s="5">
        <v>0</v>
      </c>
      <c r="N54" s="5">
        <v>0</v>
      </c>
      <c r="O54" s="5">
        <v>0</v>
      </c>
      <c r="Q54" s="5">
        <v>0</v>
      </c>
      <c r="R54" s="5">
        <v>0</v>
      </c>
      <c r="S54" s="5">
        <v>0</v>
      </c>
      <c r="T54" s="5">
        <v>0</v>
      </c>
      <c r="U54" s="5">
        <v>0</v>
      </c>
      <c r="V54" s="5">
        <v>0</v>
      </c>
      <c r="W54" s="5">
        <v>0</v>
      </c>
      <c r="X54" s="5">
        <v>0</v>
      </c>
      <c r="Y54" s="5">
        <v>0</v>
      </c>
      <c r="AA54">
        <v>1</v>
      </c>
    </row>
    <row r="55" spans="4:27" x14ac:dyDescent="0.2">
      <c r="D55" t="str">
        <f ca="1"/>
        <v>16-Feb</v>
      </c>
      <c r="E55" s="5">
        <v>0</v>
      </c>
      <c r="F55" s="5">
        <v>0</v>
      </c>
      <c r="G55" s="5">
        <v>0</v>
      </c>
      <c r="H55" s="5">
        <v>0</v>
      </c>
      <c r="I55" s="5">
        <v>1</v>
      </c>
      <c r="J55" s="5">
        <v>0</v>
      </c>
      <c r="K55" s="5">
        <v>0</v>
      </c>
      <c r="L55" s="5">
        <v>0</v>
      </c>
      <c r="M55" s="5">
        <v>0</v>
      </c>
      <c r="N55" s="5">
        <v>0</v>
      </c>
      <c r="O55" s="5">
        <v>0</v>
      </c>
      <c r="Q55" s="5">
        <v>0</v>
      </c>
      <c r="R55" s="5">
        <v>0</v>
      </c>
      <c r="S55" s="5">
        <v>0</v>
      </c>
      <c r="T55" s="5">
        <v>0</v>
      </c>
      <c r="U55" s="5">
        <v>0</v>
      </c>
      <c r="V55" s="5">
        <v>0</v>
      </c>
      <c r="W55" s="5">
        <v>0</v>
      </c>
      <c r="X55" s="5">
        <v>0</v>
      </c>
      <c r="Y55" s="5">
        <v>0</v>
      </c>
      <c r="AA55">
        <v>1</v>
      </c>
    </row>
    <row r="56" spans="4:27" x14ac:dyDescent="0.2">
      <c r="D56" t="str">
        <f ca="1"/>
        <v>17-Feb</v>
      </c>
      <c r="E56" s="5">
        <v>0</v>
      </c>
      <c r="F56" s="5">
        <v>0</v>
      </c>
      <c r="G56" s="5">
        <v>0</v>
      </c>
      <c r="H56" s="5">
        <v>0</v>
      </c>
      <c r="I56" s="5">
        <v>1</v>
      </c>
      <c r="J56" s="5">
        <v>0</v>
      </c>
      <c r="K56" s="5">
        <v>0</v>
      </c>
      <c r="L56" s="5">
        <v>1</v>
      </c>
      <c r="M56" s="5">
        <v>0</v>
      </c>
      <c r="N56" s="5">
        <v>0</v>
      </c>
      <c r="O56" s="5">
        <v>0</v>
      </c>
      <c r="Q56" s="5">
        <v>0</v>
      </c>
      <c r="R56" s="5">
        <v>0</v>
      </c>
      <c r="S56" s="5">
        <v>0</v>
      </c>
      <c r="T56" s="5">
        <v>0</v>
      </c>
      <c r="U56" s="5">
        <v>0</v>
      </c>
      <c r="V56" s="5">
        <v>0</v>
      </c>
      <c r="W56" s="5">
        <v>0</v>
      </c>
      <c r="X56" s="5">
        <v>0</v>
      </c>
      <c r="Y56" s="5">
        <v>0</v>
      </c>
      <c r="AA56">
        <v>2</v>
      </c>
    </row>
    <row r="57" spans="4:27" x14ac:dyDescent="0.2">
      <c r="D57" t="str">
        <f ca="1"/>
        <v>18-Feb</v>
      </c>
      <c r="E57" s="5">
        <v>0</v>
      </c>
      <c r="F57" s="5">
        <v>0</v>
      </c>
      <c r="G57" s="5">
        <v>0</v>
      </c>
      <c r="H57" s="5">
        <v>0</v>
      </c>
      <c r="I57" s="5">
        <v>1</v>
      </c>
      <c r="J57" s="5">
        <v>0</v>
      </c>
      <c r="K57" s="5">
        <v>0</v>
      </c>
      <c r="L57" s="5">
        <v>1</v>
      </c>
      <c r="M57" s="5">
        <v>0</v>
      </c>
      <c r="N57" s="5">
        <v>0</v>
      </c>
      <c r="O57" s="5">
        <v>0</v>
      </c>
      <c r="Q57" s="5">
        <v>0</v>
      </c>
      <c r="R57" s="5">
        <v>0</v>
      </c>
      <c r="S57" s="5">
        <v>0</v>
      </c>
      <c r="T57" s="5">
        <v>0</v>
      </c>
      <c r="U57" s="5">
        <v>0</v>
      </c>
      <c r="V57" s="5">
        <v>0</v>
      </c>
      <c r="W57" s="5">
        <v>0</v>
      </c>
      <c r="X57" s="5">
        <v>0</v>
      </c>
      <c r="Y57" s="5">
        <v>0</v>
      </c>
      <c r="AA57">
        <v>2</v>
      </c>
    </row>
    <row r="58" spans="4:27" x14ac:dyDescent="0.2">
      <c r="D58" t="str">
        <f ca="1"/>
        <v>19-Feb</v>
      </c>
      <c r="E58" s="5">
        <v>0</v>
      </c>
      <c r="F58" s="5">
        <v>0</v>
      </c>
      <c r="G58" s="5">
        <v>0</v>
      </c>
      <c r="H58" s="5">
        <v>0</v>
      </c>
      <c r="I58" s="5">
        <v>1</v>
      </c>
      <c r="J58" s="5">
        <v>0</v>
      </c>
      <c r="K58" s="5">
        <v>0</v>
      </c>
      <c r="L58" s="5">
        <v>1</v>
      </c>
      <c r="M58" s="5">
        <v>0</v>
      </c>
      <c r="N58" s="5">
        <v>0</v>
      </c>
      <c r="O58" s="5">
        <v>0</v>
      </c>
      <c r="Q58" s="5">
        <v>0</v>
      </c>
      <c r="R58" s="5">
        <v>0</v>
      </c>
      <c r="S58" s="5">
        <v>0</v>
      </c>
      <c r="T58" s="5">
        <v>0</v>
      </c>
      <c r="U58" s="5">
        <v>0</v>
      </c>
      <c r="V58" s="5">
        <v>0</v>
      </c>
      <c r="W58" s="5">
        <v>0</v>
      </c>
      <c r="X58" s="5">
        <v>0</v>
      </c>
      <c r="Y58" s="5">
        <v>0</v>
      </c>
      <c r="AA58">
        <v>2</v>
      </c>
    </row>
    <row r="59" spans="4:27" x14ac:dyDescent="0.2">
      <c r="D59" t="str">
        <f ca="1"/>
        <v>20-Feb</v>
      </c>
      <c r="E59" s="5">
        <v>0</v>
      </c>
      <c r="F59" s="5">
        <v>0</v>
      </c>
      <c r="G59" s="5">
        <v>0</v>
      </c>
      <c r="H59" s="5">
        <v>0</v>
      </c>
      <c r="I59" s="5">
        <v>1</v>
      </c>
      <c r="J59" s="5">
        <v>0</v>
      </c>
      <c r="K59" s="5">
        <v>0</v>
      </c>
      <c r="L59" s="5">
        <v>1</v>
      </c>
      <c r="M59" s="5">
        <v>0</v>
      </c>
      <c r="N59" s="5">
        <v>0</v>
      </c>
      <c r="O59" s="5">
        <v>0</v>
      </c>
      <c r="Q59" s="5">
        <v>0</v>
      </c>
      <c r="R59" s="5">
        <v>0</v>
      </c>
      <c r="S59" s="5">
        <v>0</v>
      </c>
      <c r="T59" s="5">
        <v>0</v>
      </c>
      <c r="U59" s="5">
        <v>0</v>
      </c>
      <c r="V59" s="5">
        <v>0</v>
      </c>
      <c r="W59" s="5">
        <v>0</v>
      </c>
      <c r="X59" s="5">
        <v>0</v>
      </c>
      <c r="Y59" s="5">
        <v>0</v>
      </c>
      <c r="AA59">
        <v>2</v>
      </c>
    </row>
    <row r="60" spans="4:27" x14ac:dyDescent="0.2">
      <c r="D60" t="str">
        <f ca="1"/>
        <v>21-Feb</v>
      </c>
      <c r="E60" s="5">
        <v>0</v>
      </c>
      <c r="F60" s="5">
        <v>0</v>
      </c>
      <c r="G60" s="5">
        <v>0</v>
      </c>
      <c r="H60" s="5">
        <v>0</v>
      </c>
      <c r="I60" s="5">
        <v>1</v>
      </c>
      <c r="J60" s="5">
        <v>0</v>
      </c>
      <c r="K60" s="5">
        <v>0</v>
      </c>
      <c r="L60" s="5">
        <v>1</v>
      </c>
      <c r="M60" s="5">
        <v>0</v>
      </c>
      <c r="N60" s="5">
        <v>0</v>
      </c>
      <c r="O60" s="5">
        <v>0</v>
      </c>
      <c r="Q60" s="5">
        <v>0</v>
      </c>
      <c r="R60" s="5">
        <v>0</v>
      </c>
      <c r="S60" s="5">
        <v>0</v>
      </c>
      <c r="T60" s="5">
        <v>0</v>
      </c>
      <c r="U60" s="5">
        <v>0</v>
      </c>
      <c r="V60" s="5">
        <v>0</v>
      </c>
      <c r="W60" s="5">
        <v>0</v>
      </c>
      <c r="X60" s="5">
        <v>0</v>
      </c>
      <c r="Y60" s="5">
        <v>0</v>
      </c>
      <c r="AA60">
        <v>2</v>
      </c>
    </row>
    <row r="61" spans="4:27" x14ac:dyDescent="0.2">
      <c r="D61" t="str">
        <f ca="1"/>
        <v>22-Feb</v>
      </c>
      <c r="E61" s="5">
        <v>0</v>
      </c>
      <c r="F61" s="5">
        <v>0</v>
      </c>
      <c r="G61" s="5">
        <v>0</v>
      </c>
      <c r="H61" s="5">
        <v>0</v>
      </c>
      <c r="I61" s="5">
        <v>1</v>
      </c>
      <c r="J61" s="5">
        <v>0</v>
      </c>
      <c r="K61" s="5">
        <v>0</v>
      </c>
      <c r="L61" s="5">
        <v>1</v>
      </c>
      <c r="M61" s="5">
        <v>0</v>
      </c>
      <c r="N61" s="5">
        <v>0</v>
      </c>
      <c r="O61" s="5">
        <v>0</v>
      </c>
      <c r="Q61" s="5">
        <v>0</v>
      </c>
      <c r="R61" s="5">
        <v>0</v>
      </c>
      <c r="S61" s="5">
        <v>0</v>
      </c>
      <c r="T61" s="5">
        <v>0</v>
      </c>
      <c r="U61" s="5">
        <v>0</v>
      </c>
      <c r="V61" s="5">
        <v>0</v>
      </c>
      <c r="W61" s="5">
        <v>0</v>
      </c>
      <c r="X61" s="5">
        <v>0</v>
      </c>
      <c r="Y61" s="5">
        <v>0</v>
      </c>
      <c r="AA61">
        <v>2</v>
      </c>
    </row>
    <row r="62" spans="4:27" x14ac:dyDescent="0.2">
      <c r="D62" t="str">
        <f ca="1"/>
        <v>23-Feb</v>
      </c>
      <c r="E62" s="5">
        <v>0</v>
      </c>
      <c r="F62" s="5">
        <v>0</v>
      </c>
      <c r="G62" s="5">
        <v>0</v>
      </c>
      <c r="H62" s="5">
        <v>0</v>
      </c>
      <c r="I62" s="5">
        <v>1</v>
      </c>
      <c r="J62" s="5">
        <v>0</v>
      </c>
      <c r="K62" s="5">
        <v>0</v>
      </c>
      <c r="L62" s="5">
        <v>1</v>
      </c>
      <c r="M62" s="5">
        <v>0</v>
      </c>
      <c r="N62" s="5">
        <v>0</v>
      </c>
      <c r="O62" s="5">
        <v>0</v>
      </c>
      <c r="Q62" s="5">
        <v>0</v>
      </c>
      <c r="R62" s="5">
        <v>0</v>
      </c>
      <c r="S62" s="5">
        <v>0</v>
      </c>
      <c r="T62" s="5">
        <v>0</v>
      </c>
      <c r="U62" s="5">
        <v>0</v>
      </c>
      <c r="V62" s="5">
        <v>0</v>
      </c>
      <c r="W62" s="5">
        <v>0</v>
      </c>
      <c r="X62" s="5">
        <v>0</v>
      </c>
      <c r="Y62" s="5">
        <v>0</v>
      </c>
      <c r="AA62">
        <v>2</v>
      </c>
    </row>
    <row r="63" spans="4:27" x14ac:dyDescent="0.2">
      <c r="D63" t="str">
        <f ca="1"/>
        <v>24-Feb</v>
      </c>
      <c r="E63" s="5">
        <v>0</v>
      </c>
      <c r="F63" s="5">
        <v>0</v>
      </c>
      <c r="G63" s="5">
        <v>0</v>
      </c>
      <c r="H63" s="5">
        <v>0</v>
      </c>
      <c r="I63" s="5">
        <v>1</v>
      </c>
      <c r="J63" s="5">
        <v>0</v>
      </c>
      <c r="K63" s="5">
        <v>0</v>
      </c>
      <c r="L63" s="5">
        <v>1</v>
      </c>
      <c r="M63" s="5">
        <v>0</v>
      </c>
      <c r="N63" s="5">
        <v>0</v>
      </c>
      <c r="O63" s="5">
        <v>0</v>
      </c>
      <c r="Q63" s="5">
        <v>0</v>
      </c>
      <c r="R63" s="5">
        <v>0</v>
      </c>
      <c r="S63" s="5">
        <v>0</v>
      </c>
      <c r="T63" s="5">
        <v>0</v>
      </c>
      <c r="U63" s="5">
        <v>0</v>
      </c>
      <c r="V63" s="5">
        <v>0</v>
      </c>
      <c r="W63" s="5">
        <v>0</v>
      </c>
      <c r="X63" s="5">
        <v>0</v>
      </c>
      <c r="Y63" s="5">
        <v>0</v>
      </c>
      <c r="AA63">
        <v>2</v>
      </c>
    </row>
    <row r="64" spans="4:27" x14ac:dyDescent="0.2">
      <c r="D64" t="str">
        <f ca="1"/>
        <v>25-Feb</v>
      </c>
      <c r="E64" s="5">
        <v>0</v>
      </c>
      <c r="F64" s="5">
        <v>0</v>
      </c>
      <c r="G64" s="5">
        <v>0</v>
      </c>
      <c r="H64" s="5">
        <v>0</v>
      </c>
      <c r="I64" s="5">
        <v>1</v>
      </c>
      <c r="J64" s="5">
        <v>0</v>
      </c>
      <c r="K64" s="5">
        <v>0</v>
      </c>
      <c r="L64" s="5">
        <v>1</v>
      </c>
      <c r="M64" s="5">
        <v>0</v>
      </c>
      <c r="N64" s="5">
        <v>0</v>
      </c>
      <c r="O64" s="5">
        <v>0</v>
      </c>
      <c r="Q64" s="5">
        <v>0</v>
      </c>
      <c r="R64" s="5">
        <v>0</v>
      </c>
      <c r="S64" s="5">
        <v>0</v>
      </c>
      <c r="T64" s="5">
        <v>0</v>
      </c>
      <c r="U64" s="5">
        <v>0</v>
      </c>
      <c r="V64" s="5">
        <v>0</v>
      </c>
      <c r="W64" s="5">
        <v>0</v>
      </c>
      <c r="X64" s="5">
        <v>0</v>
      </c>
      <c r="Y64" s="5">
        <v>0</v>
      </c>
      <c r="AA64">
        <v>2</v>
      </c>
    </row>
    <row r="65" spans="4:27" x14ac:dyDescent="0.2">
      <c r="D65" t="str">
        <f ca="1"/>
        <v>26-Feb</v>
      </c>
      <c r="E65" s="5">
        <v>0</v>
      </c>
      <c r="F65" s="5">
        <v>0</v>
      </c>
      <c r="G65" s="5">
        <v>0</v>
      </c>
      <c r="H65" s="5">
        <v>0</v>
      </c>
      <c r="I65" s="5">
        <v>1</v>
      </c>
      <c r="J65" s="5">
        <v>0</v>
      </c>
      <c r="K65" s="5">
        <v>0</v>
      </c>
      <c r="L65" s="5">
        <v>1</v>
      </c>
      <c r="M65" s="5">
        <v>0</v>
      </c>
      <c r="N65" s="5">
        <v>0</v>
      </c>
      <c r="O65" s="5">
        <v>0</v>
      </c>
      <c r="Q65" s="5">
        <v>0</v>
      </c>
      <c r="R65" s="5">
        <v>0</v>
      </c>
      <c r="S65" s="5">
        <v>0</v>
      </c>
      <c r="T65" s="5">
        <v>0</v>
      </c>
      <c r="U65" s="5">
        <v>0</v>
      </c>
      <c r="V65" s="5">
        <v>0</v>
      </c>
      <c r="W65" s="5">
        <v>0</v>
      </c>
      <c r="X65" s="5">
        <v>0</v>
      </c>
      <c r="Y65" s="5">
        <v>0</v>
      </c>
      <c r="AA65">
        <v>2</v>
      </c>
    </row>
    <row r="66" spans="4:27" x14ac:dyDescent="0.2">
      <c r="D66" t="str">
        <f ca="1"/>
        <v>27-Feb</v>
      </c>
      <c r="E66" s="5">
        <v>0</v>
      </c>
      <c r="F66" s="5">
        <v>0</v>
      </c>
      <c r="G66" s="5">
        <v>0</v>
      </c>
      <c r="H66" s="5">
        <v>0</v>
      </c>
      <c r="I66" s="5">
        <v>1</v>
      </c>
      <c r="J66" s="5">
        <v>0</v>
      </c>
      <c r="K66" s="5">
        <v>0</v>
      </c>
      <c r="L66" s="5">
        <v>1</v>
      </c>
      <c r="M66" s="5">
        <v>0</v>
      </c>
      <c r="N66" s="5">
        <v>0</v>
      </c>
      <c r="O66" s="5">
        <v>0</v>
      </c>
      <c r="Q66" s="5">
        <v>0</v>
      </c>
      <c r="R66" s="5">
        <v>0</v>
      </c>
      <c r="S66" s="5">
        <v>0</v>
      </c>
      <c r="T66" s="5">
        <v>0</v>
      </c>
      <c r="U66" s="5">
        <v>0</v>
      </c>
      <c r="V66" s="5">
        <v>0</v>
      </c>
      <c r="W66" s="5">
        <v>0</v>
      </c>
      <c r="X66" s="5">
        <v>0</v>
      </c>
      <c r="Y66" s="5">
        <v>0</v>
      </c>
      <c r="AA66">
        <v>2</v>
      </c>
    </row>
    <row r="67" spans="4:27" x14ac:dyDescent="0.2">
      <c r="D67" t="str">
        <f ca="1"/>
        <v>28-Feb</v>
      </c>
      <c r="E67" s="5">
        <v>0</v>
      </c>
      <c r="F67" s="5">
        <v>0</v>
      </c>
      <c r="G67" s="5">
        <v>0</v>
      </c>
      <c r="H67" s="5">
        <v>0</v>
      </c>
      <c r="I67" s="5">
        <v>1</v>
      </c>
      <c r="J67" s="5">
        <v>0</v>
      </c>
      <c r="K67" s="5">
        <v>0</v>
      </c>
      <c r="L67" s="5">
        <v>1</v>
      </c>
      <c r="M67" s="5">
        <v>0</v>
      </c>
      <c r="N67" s="5">
        <v>0</v>
      </c>
      <c r="O67" s="5">
        <v>0</v>
      </c>
      <c r="Q67" s="5">
        <v>0</v>
      </c>
      <c r="R67" s="5">
        <v>0</v>
      </c>
      <c r="S67" s="5">
        <v>0</v>
      </c>
      <c r="T67" s="5">
        <v>0</v>
      </c>
      <c r="U67" s="5">
        <v>0</v>
      </c>
      <c r="V67" s="5">
        <v>0</v>
      </c>
      <c r="W67" s="5">
        <v>0</v>
      </c>
      <c r="X67" s="5">
        <v>0</v>
      </c>
      <c r="Y67" s="5">
        <v>0</v>
      </c>
      <c r="AA67">
        <v>2</v>
      </c>
    </row>
    <row r="68" spans="4:27" x14ac:dyDescent="0.2">
      <c r="D68" t="str">
        <f ca="1"/>
        <v>01-Mar</v>
      </c>
      <c r="E68" s="5">
        <v>0</v>
      </c>
      <c r="F68" s="5">
        <v>0</v>
      </c>
      <c r="G68" s="5">
        <v>0</v>
      </c>
      <c r="H68" s="5">
        <v>0</v>
      </c>
      <c r="I68" s="5">
        <v>1</v>
      </c>
      <c r="J68" s="5">
        <v>0</v>
      </c>
      <c r="K68" s="5">
        <v>0</v>
      </c>
      <c r="L68" s="5">
        <v>1</v>
      </c>
      <c r="M68" s="5">
        <v>0</v>
      </c>
      <c r="N68" s="5">
        <v>0</v>
      </c>
      <c r="O68" s="5">
        <v>0</v>
      </c>
      <c r="Q68" s="5">
        <v>0</v>
      </c>
      <c r="R68" s="5">
        <v>0</v>
      </c>
      <c r="S68" s="5">
        <v>0</v>
      </c>
      <c r="T68" s="5">
        <v>0</v>
      </c>
      <c r="U68" s="5">
        <v>0</v>
      </c>
      <c r="V68" s="5">
        <v>0</v>
      </c>
      <c r="W68" s="5">
        <v>0</v>
      </c>
      <c r="X68" s="5">
        <v>0</v>
      </c>
      <c r="Y68" s="5">
        <v>0</v>
      </c>
      <c r="AA68">
        <v>2</v>
      </c>
    </row>
    <row r="69" spans="4:27" x14ac:dyDescent="0.2">
      <c r="D69" t="str">
        <f ca="1"/>
        <v>02-Mar</v>
      </c>
      <c r="E69" s="5">
        <v>0</v>
      </c>
      <c r="F69" s="5">
        <v>0</v>
      </c>
      <c r="G69" s="5">
        <v>0</v>
      </c>
      <c r="H69" s="5">
        <v>0</v>
      </c>
      <c r="I69" s="5">
        <v>1</v>
      </c>
      <c r="J69" s="5">
        <v>0</v>
      </c>
      <c r="K69" s="5">
        <v>0</v>
      </c>
      <c r="L69" s="5">
        <v>1</v>
      </c>
      <c r="M69" s="5">
        <v>0</v>
      </c>
      <c r="N69" s="5">
        <v>0</v>
      </c>
      <c r="O69" s="5">
        <v>0</v>
      </c>
      <c r="Q69" s="5">
        <v>0</v>
      </c>
      <c r="R69" s="5">
        <v>0</v>
      </c>
      <c r="S69" s="5">
        <v>0</v>
      </c>
      <c r="T69" s="5">
        <v>0</v>
      </c>
      <c r="U69" s="5">
        <v>0</v>
      </c>
      <c r="V69" s="5">
        <v>0</v>
      </c>
      <c r="W69" s="5">
        <v>0</v>
      </c>
      <c r="X69" s="5">
        <v>0</v>
      </c>
      <c r="Y69" s="5">
        <v>0</v>
      </c>
      <c r="AA69">
        <v>2</v>
      </c>
    </row>
    <row r="70" spans="4:27" x14ac:dyDescent="0.2">
      <c r="D70" t="str">
        <f ca="1"/>
        <v>03-Mar</v>
      </c>
      <c r="E70" s="5">
        <v>0</v>
      </c>
      <c r="F70" s="5">
        <v>0</v>
      </c>
      <c r="G70" s="5">
        <v>0</v>
      </c>
      <c r="H70" s="5">
        <v>0</v>
      </c>
      <c r="I70" s="5">
        <v>1</v>
      </c>
      <c r="J70" s="5">
        <v>0</v>
      </c>
      <c r="K70" s="5">
        <v>0</v>
      </c>
      <c r="L70" s="5">
        <v>1</v>
      </c>
      <c r="M70" s="5">
        <v>0</v>
      </c>
      <c r="N70" s="5">
        <v>0</v>
      </c>
      <c r="O70" s="5">
        <v>0</v>
      </c>
      <c r="Q70" s="5">
        <v>0</v>
      </c>
      <c r="R70" s="5">
        <v>0</v>
      </c>
      <c r="S70" s="5">
        <v>0</v>
      </c>
      <c r="T70" s="5">
        <v>0</v>
      </c>
      <c r="U70" s="5">
        <v>0</v>
      </c>
      <c r="V70" s="5">
        <v>0</v>
      </c>
      <c r="W70" s="5">
        <v>0</v>
      </c>
      <c r="X70" s="5">
        <v>0</v>
      </c>
      <c r="Y70" s="5">
        <v>0</v>
      </c>
      <c r="AA70">
        <v>2</v>
      </c>
    </row>
    <row r="71" spans="4:27" x14ac:dyDescent="0.2">
      <c r="D71" t="str">
        <f ca="1"/>
        <v>04-Mar</v>
      </c>
      <c r="E71" s="5">
        <v>0</v>
      </c>
      <c r="F71" s="5">
        <v>0</v>
      </c>
      <c r="G71" s="5">
        <v>0</v>
      </c>
      <c r="H71" s="5">
        <v>0</v>
      </c>
      <c r="I71" s="5">
        <v>1</v>
      </c>
      <c r="J71" s="5">
        <v>0</v>
      </c>
      <c r="K71" s="5">
        <v>0</v>
      </c>
      <c r="L71" s="5">
        <v>1</v>
      </c>
      <c r="M71" s="5">
        <v>0</v>
      </c>
      <c r="N71" s="5">
        <v>0</v>
      </c>
      <c r="O71" s="5">
        <v>0</v>
      </c>
      <c r="Q71" s="5">
        <v>0</v>
      </c>
      <c r="R71" s="5">
        <v>0</v>
      </c>
      <c r="S71" s="5">
        <v>0</v>
      </c>
      <c r="T71" s="5">
        <v>0</v>
      </c>
      <c r="U71" s="5">
        <v>0</v>
      </c>
      <c r="V71" s="5">
        <v>0</v>
      </c>
      <c r="W71" s="5">
        <v>0</v>
      </c>
      <c r="X71" s="5">
        <v>0</v>
      </c>
      <c r="Y71" s="5">
        <v>0</v>
      </c>
      <c r="AA71">
        <v>2</v>
      </c>
    </row>
    <row r="72" spans="4:27" x14ac:dyDescent="0.2">
      <c r="D72" t="str">
        <f ca="1"/>
        <v>05-Mar</v>
      </c>
      <c r="E72" s="5">
        <v>0</v>
      </c>
      <c r="F72" s="5">
        <v>0</v>
      </c>
      <c r="G72" s="5">
        <v>0</v>
      </c>
      <c r="H72" s="5">
        <v>0</v>
      </c>
      <c r="I72" s="5">
        <v>1</v>
      </c>
      <c r="J72" s="5">
        <v>0</v>
      </c>
      <c r="K72" s="5">
        <v>0</v>
      </c>
      <c r="L72" s="5">
        <v>1</v>
      </c>
      <c r="M72" s="5">
        <v>0</v>
      </c>
      <c r="N72" s="5">
        <v>0</v>
      </c>
      <c r="O72" s="5">
        <v>0</v>
      </c>
      <c r="Q72" s="5">
        <v>0</v>
      </c>
      <c r="R72" s="5">
        <v>0</v>
      </c>
      <c r="S72" s="5">
        <v>0</v>
      </c>
      <c r="T72" s="5">
        <v>0</v>
      </c>
      <c r="U72" s="5">
        <v>0</v>
      </c>
      <c r="V72" s="5">
        <v>0</v>
      </c>
      <c r="W72" s="5">
        <v>0</v>
      </c>
      <c r="X72" s="5">
        <v>0</v>
      </c>
      <c r="Y72" s="5">
        <v>0</v>
      </c>
      <c r="AA72">
        <v>2</v>
      </c>
    </row>
    <row r="73" spans="4:27" x14ac:dyDescent="0.2">
      <c r="D73" t="str">
        <f ca="1"/>
        <v>06-Mar</v>
      </c>
      <c r="E73" s="5">
        <v>0</v>
      </c>
      <c r="F73" s="5">
        <v>0</v>
      </c>
      <c r="G73" s="5">
        <v>0</v>
      </c>
      <c r="H73" s="5">
        <v>0</v>
      </c>
      <c r="I73" s="5">
        <v>1</v>
      </c>
      <c r="J73" s="5">
        <v>0</v>
      </c>
      <c r="K73" s="5">
        <v>0</v>
      </c>
      <c r="L73" s="5">
        <v>1</v>
      </c>
      <c r="M73" s="5">
        <v>0</v>
      </c>
      <c r="N73" s="5">
        <v>0</v>
      </c>
      <c r="O73" s="5">
        <v>0</v>
      </c>
      <c r="Q73" s="5">
        <v>0</v>
      </c>
      <c r="R73" s="5">
        <v>0</v>
      </c>
      <c r="S73" s="5">
        <v>0</v>
      </c>
      <c r="T73" s="5">
        <v>0</v>
      </c>
      <c r="U73" s="5">
        <v>0</v>
      </c>
      <c r="V73" s="5">
        <v>0</v>
      </c>
      <c r="W73" s="5">
        <v>0</v>
      </c>
      <c r="X73" s="5">
        <v>0</v>
      </c>
      <c r="Y73" s="5">
        <v>0</v>
      </c>
      <c r="AA73">
        <v>2</v>
      </c>
    </row>
    <row r="74" spans="4:27" x14ac:dyDescent="0.2">
      <c r="D74" t="str">
        <f ca="1"/>
        <v>07-Mar</v>
      </c>
      <c r="E74" s="5">
        <v>0</v>
      </c>
      <c r="F74" s="5">
        <v>0</v>
      </c>
      <c r="G74" s="5">
        <v>0</v>
      </c>
      <c r="H74" s="5">
        <v>0</v>
      </c>
      <c r="I74" s="5">
        <v>1</v>
      </c>
      <c r="J74" s="5">
        <v>0</v>
      </c>
      <c r="K74" s="5">
        <v>0</v>
      </c>
      <c r="L74" s="5">
        <v>1</v>
      </c>
      <c r="M74" s="5">
        <v>0</v>
      </c>
      <c r="N74" s="5">
        <v>0</v>
      </c>
      <c r="O74" s="5">
        <v>0</v>
      </c>
      <c r="Q74" s="5">
        <v>0</v>
      </c>
      <c r="R74" s="5">
        <v>0</v>
      </c>
      <c r="S74" s="5">
        <v>0</v>
      </c>
      <c r="T74" s="5">
        <v>0</v>
      </c>
      <c r="U74" s="5">
        <v>0</v>
      </c>
      <c r="V74" s="5">
        <v>0</v>
      </c>
      <c r="W74" s="5">
        <v>0</v>
      </c>
      <c r="X74" s="5">
        <v>0</v>
      </c>
      <c r="Y74" s="5">
        <v>0</v>
      </c>
      <c r="AA74">
        <v>2</v>
      </c>
    </row>
    <row r="75" spans="4:27" x14ac:dyDescent="0.2">
      <c r="D75" t="str">
        <f ca="1"/>
        <v>08-Mar</v>
      </c>
      <c r="E75" s="5">
        <v>0</v>
      </c>
      <c r="F75" s="5">
        <v>0</v>
      </c>
      <c r="G75" s="5">
        <v>0</v>
      </c>
      <c r="H75" s="5">
        <v>0</v>
      </c>
      <c r="I75" s="5">
        <v>1</v>
      </c>
      <c r="J75" s="5">
        <v>0</v>
      </c>
      <c r="K75" s="5">
        <v>0</v>
      </c>
      <c r="L75" s="5">
        <v>1</v>
      </c>
      <c r="M75" s="5">
        <v>0</v>
      </c>
      <c r="N75" s="5">
        <v>0</v>
      </c>
      <c r="O75" s="5">
        <v>0</v>
      </c>
      <c r="Q75" s="5">
        <v>1</v>
      </c>
      <c r="R75" s="5">
        <v>0</v>
      </c>
      <c r="S75" s="5">
        <v>0</v>
      </c>
      <c r="T75" s="5">
        <v>0</v>
      </c>
      <c r="U75" s="5">
        <v>0</v>
      </c>
      <c r="V75" s="5">
        <v>0</v>
      </c>
      <c r="W75" s="5">
        <v>0</v>
      </c>
      <c r="X75" s="5">
        <v>0</v>
      </c>
      <c r="Y75" s="5">
        <v>0</v>
      </c>
      <c r="AA75">
        <v>3</v>
      </c>
    </row>
    <row r="76" spans="4:27" x14ac:dyDescent="0.2">
      <c r="D76" t="str">
        <f ca="1"/>
        <v>09-Mar</v>
      </c>
      <c r="E76" s="5">
        <v>0</v>
      </c>
      <c r="F76" s="5">
        <v>0</v>
      </c>
      <c r="G76" s="5">
        <v>0</v>
      </c>
      <c r="H76" s="5">
        <v>0</v>
      </c>
      <c r="I76" s="5">
        <v>1</v>
      </c>
      <c r="J76" s="5">
        <v>0</v>
      </c>
      <c r="K76" s="5">
        <v>0</v>
      </c>
      <c r="L76" s="5">
        <v>1</v>
      </c>
      <c r="M76" s="5">
        <v>0</v>
      </c>
      <c r="N76" s="5">
        <v>0</v>
      </c>
      <c r="O76" s="5">
        <v>0</v>
      </c>
      <c r="Q76" s="5">
        <v>1</v>
      </c>
      <c r="R76" s="5">
        <v>0</v>
      </c>
      <c r="S76" s="5">
        <v>0</v>
      </c>
      <c r="T76" s="5">
        <v>0</v>
      </c>
      <c r="U76" s="5">
        <v>0</v>
      </c>
      <c r="V76" s="5">
        <v>0</v>
      </c>
      <c r="W76" s="5">
        <v>0</v>
      </c>
      <c r="X76" s="5">
        <v>0</v>
      </c>
      <c r="Y76" s="5">
        <v>0</v>
      </c>
      <c r="AA76">
        <v>3</v>
      </c>
    </row>
    <row r="77" spans="4:27" x14ac:dyDescent="0.2">
      <c r="D77" t="str">
        <f ca="1"/>
        <v>10-Mar</v>
      </c>
      <c r="E77" s="5">
        <v>0</v>
      </c>
      <c r="F77" s="5">
        <v>0</v>
      </c>
      <c r="G77" s="5">
        <v>0</v>
      </c>
      <c r="H77" s="5">
        <v>0</v>
      </c>
      <c r="I77" s="5">
        <v>1</v>
      </c>
      <c r="J77" s="5">
        <v>0</v>
      </c>
      <c r="K77" s="5">
        <v>0</v>
      </c>
      <c r="L77" s="5">
        <v>1</v>
      </c>
      <c r="M77" s="5">
        <v>0</v>
      </c>
      <c r="N77" s="5">
        <v>0</v>
      </c>
      <c r="O77" s="5">
        <v>0</v>
      </c>
      <c r="Q77" s="5">
        <v>1</v>
      </c>
      <c r="R77" s="5">
        <v>0</v>
      </c>
      <c r="S77" s="5">
        <v>0</v>
      </c>
      <c r="T77" s="5">
        <v>0</v>
      </c>
      <c r="U77" s="5">
        <v>0</v>
      </c>
      <c r="V77" s="5">
        <v>0</v>
      </c>
      <c r="W77" s="5">
        <v>0</v>
      </c>
      <c r="X77" s="5">
        <v>0</v>
      </c>
      <c r="Y77" s="5">
        <v>1</v>
      </c>
      <c r="AA77">
        <v>4</v>
      </c>
    </row>
    <row r="78" spans="4:27" x14ac:dyDescent="0.2">
      <c r="D78" t="str">
        <f ca="1"/>
        <v>11-Mar</v>
      </c>
      <c r="E78" s="5">
        <v>0</v>
      </c>
      <c r="F78" s="5">
        <v>0</v>
      </c>
      <c r="G78" s="5">
        <v>0</v>
      </c>
      <c r="H78" s="5">
        <v>0</v>
      </c>
      <c r="I78" s="5">
        <v>1</v>
      </c>
      <c r="J78" s="5">
        <v>0</v>
      </c>
      <c r="K78" s="5">
        <v>0</v>
      </c>
      <c r="L78" s="5">
        <v>1</v>
      </c>
      <c r="M78" s="5">
        <v>0</v>
      </c>
      <c r="N78" s="5">
        <v>0</v>
      </c>
      <c r="O78" s="5">
        <v>0</v>
      </c>
      <c r="Q78" s="5">
        <v>1</v>
      </c>
      <c r="R78" s="5">
        <v>0</v>
      </c>
      <c r="S78" s="5">
        <v>0</v>
      </c>
      <c r="T78" s="5">
        <v>0</v>
      </c>
      <c r="U78" s="5">
        <v>0</v>
      </c>
      <c r="V78" s="5">
        <v>0</v>
      </c>
      <c r="W78" s="5">
        <v>0</v>
      </c>
      <c r="X78" s="5">
        <v>0</v>
      </c>
      <c r="Y78" s="5">
        <v>1</v>
      </c>
      <c r="AA78">
        <v>4</v>
      </c>
    </row>
    <row r="79" spans="4:27" x14ac:dyDescent="0.2">
      <c r="D79" t="str">
        <f ca="1"/>
        <v>12-Mar</v>
      </c>
      <c r="E79" s="5">
        <v>0</v>
      </c>
      <c r="F79" s="5">
        <v>0</v>
      </c>
      <c r="G79" s="5">
        <v>0</v>
      </c>
      <c r="H79" s="5">
        <v>0</v>
      </c>
      <c r="I79" s="5">
        <v>1</v>
      </c>
      <c r="J79" s="5">
        <v>0</v>
      </c>
      <c r="K79" s="5">
        <v>0</v>
      </c>
      <c r="L79" s="5">
        <v>1</v>
      </c>
      <c r="M79" s="5">
        <v>0</v>
      </c>
      <c r="N79" s="5">
        <v>0</v>
      </c>
      <c r="O79" s="5">
        <v>0</v>
      </c>
      <c r="Q79" s="5">
        <v>0</v>
      </c>
      <c r="R79" s="5">
        <v>0</v>
      </c>
      <c r="S79" s="5">
        <v>0</v>
      </c>
      <c r="T79" s="5">
        <v>0</v>
      </c>
      <c r="U79" s="5">
        <v>0</v>
      </c>
      <c r="V79" s="5">
        <v>0</v>
      </c>
      <c r="W79" s="5">
        <v>0</v>
      </c>
      <c r="X79" s="5">
        <v>0</v>
      </c>
      <c r="Y79" s="5">
        <v>1</v>
      </c>
      <c r="AA79">
        <v>3</v>
      </c>
    </row>
    <row r="80" spans="4:27" x14ac:dyDescent="0.2">
      <c r="D80" t="str">
        <f ca="1"/>
        <v>13-Mar</v>
      </c>
      <c r="E80" s="5">
        <v>0</v>
      </c>
      <c r="F80" s="5">
        <v>0</v>
      </c>
      <c r="G80" s="5">
        <v>0</v>
      </c>
      <c r="H80" s="5">
        <v>0</v>
      </c>
      <c r="I80" s="5">
        <v>1</v>
      </c>
      <c r="J80" s="5">
        <v>0</v>
      </c>
      <c r="K80" s="5">
        <v>0</v>
      </c>
      <c r="L80" s="5">
        <v>1</v>
      </c>
      <c r="M80" s="5">
        <v>0</v>
      </c>
      <c r="N80" s="5">
        <v>0</v>
      </c>
      <c r="O80" s="5">
        <v>0</v>
      </c>
      <c r="Q80" s="5">
        <v>1</v>
      </c>
      <c r="R80" s="5">
        <v>0</v>
      </c>
      <c r="S80" s="5">
        <v>0</v>
      </c>
      <c r="T80" s="5">
        <v>0</v>
      </c>
      <c r="U80" s="5">
        <v>0</v>
      </c>
      <c r="V80" s="5">
        <v>0</v>
      </c>
      <c r="W80" s="5">
        <v>0</v>
      </c>
      <c r="X80" s="5">
        <v>0</v>
      </c>
      <c r="Y80" s="5">
        <v>1</v>
      </c>
      <c r="AA80">
        <v>4</v>
      </c>
    </row>
    <row r="81" spans="4:27" x14ac:dyDescent="0.2">
      <c r="D81" t="str">
        <f ca="1"/>
        <v>14-Mar</v>
      </c>
      <c r="E81" s="5">
        <v>0</v>
      </c>
      <c r="F81" s="5">
        <v>0</v>
      </c>
      <c r="G81" s="5">
        <v>0</v>
      </c>
      <c r="H81" s="5">
        <v>0</v>
      </c>
      <c r="I81" s="5">
        <v>1</v>
      </c>
      <c r="J81" s="5">
        <v>0</v>
      </c>
      <c r="K81" s="5">
        <v>0</v>
      </c>
      <c r="L81" s="5">
        <v>1</v>
      </c>
      <c r="M81" s="5">
        <v>0</v>
      </c>
      <c r="N81" s="5">
        <v>0</v>
      </c>
      <c r="O81" s="5">
        <v>0</v>
      </c>
      <c r="Q81" s="5">
        <v>0</v>
      </c>
      <c r="R81" s="5">
        <v>0</v>
      </c>
      <c r="S81" s="5">
        <v>0</v>
      </c>
      <c r="T81" s="5">
        <v>0</v>
      </c>
      <c r="U81" s="5">
        <v>0</v>
      </c>
      <c r="V81" s="5">
        <v>0</v>
      </c>
      <c r="W81" s="5">
        <v>0</v>
      </c>
      <c r="X81" s="5">
        <v>0</v>
      </c>
      <c r="Y81" s="5">
        <v>1</v>
      </c>
      <c r="AA81">
        <v>3</v>
      </c>
    </row>
    <row r="82" spans="4:27" x14ac:dyDescent="0.2">
      <c r="D82" t="str">
        <f ca="1"/>
        <v>15-Mar</v>
      </c>
      <c r="E82" s="5">
        <v>0</v>
      </c>
      <c r="F82" s="5">
        <v>0</v>
      </c>
      <c r="G82" s="5">
        <v>0</v>
      </c>
      <c r="H82" s="5">
        <v>0</v>
      </c>
      <c r="I82" s="5">
        <v>1</v>
      </c>
      <c r="J82" s="5">
        <v>0</v>
      </c>
      <c r="K82" s="5">
        <v>0</v>
      </c>
      <c r="L82" s="5">
        <v>1</v>
      </c>
      <c r="M82" s="5">
        <v>0</v>
      </c>
      <c r="N82" s="5">
        <v>0</v>
      </c>
      <c r="O82" s="5">
        <v>0</v>
      </c>
      <c r="Q82" s="5">
        <v>1</v>
      </c>
      <c r="R82" s="5">
        <v>0</v>
      </c>
      <c r="S82" s="5">
        <v>0</v>
      </c>
      <c r="T82" s="5">
        <v>0</v>
      </c>
      <c r="U82" s="5">
        <v>0</v>
      </c>
      <c r="V82" s="5">
        <v>0</v>
      </c>
      <c r="W82" s="5">
        <v>0</v>
      </c>
      <c r="X82" s="5">
        <v>0</v>
      </c>
      <c r="Y82" s="5">
        <v>1</v>
      </c>
      <c r="AA82">
        <v>4</v>
      </c>
    </row>
    <row r="83" spans="4:27" x14ac:dyDescent="0.2">
      <c r="D83" t="str">
        <f ca="1"/>
        <v>16-Mar</v>
      </c>
      <c r="E83" s="5">
        <v>0</v>
      </c>
      <c r="F83" s="5">
        <v>0</v>
      </c>
      <c r="G83" s="5">
        <v>0</v>
      </c>
      <c r="H83" s="5">
        <v>0</v>
      </c>
      <c r="I83" s="5">
        <v>1</v>
      </c>
      <c r="J83" s="5">
        <v>0</v>
      </c>
      <c r="K83" s="5">
        <v>0</v>
      </c>
      <c r="L83" s="5">
        <v>1</v>
      </c>
      <c r="M83" s="5">
        <v>0</v>
      </c>
      <c r="N83" s="5">
        <v>0</v>
      </c>
      <c r="O83" s="5">
        <v>0</v>
      </c>
      <c r="Q83" s="5">
        <v>1</v>
      </c>
      <c r="R83" s="5">
        <v>0</v>
      </c>
      <c r="S83" s="5">
        <v>0</v>
      </c>
      <c r="T83" s="5">
        <v>0</v>
      </c>
      <c r="U83" s="5">
        <v>0</v>
      </c>
      <c r="V83" s="5">
        <v>0</v>
      </c>
      <c r="W83" s="5">
        <v>0</v>
      </c>
      <c r="X83" s="5">
        <v>0</v>
      </c>
      <c r="Y83" s="5">
        <v>1</v>
      </c>
      <c r="AA83">
        <v>4</v>
      </c>
    </row>
    <row r="84" spans="4:27" x14ac:dyDescent="0.2">
      <c r="D84" t="str">
        <f ca="1"/>
        <v>17-Mar</v>
      </c>
      <c r="E84" s="5">
        <v>0</v>
      </c>
      <c r="F84" s="5">
        <v>0</v>
      </c>
      <c r="G84" s="5">
        <v>0</v>
      </c>
      <c r="H84" s="5">
        <v>0</v>
      </c>
      <c r="I84" s="5">
        <v>1</v>
      </c>
      <c r="J84" s="5">
        <v>0</v>
      </c>
      <c r="K84" s="5">
        <v>0</v>
      </c>
      <c r="L84" s="5">
        <v>1</v>
      </c>
      <c r="M84" s="5">
        <v>0</v>
      </c>
      <c r="N84" s="5">
        <v>0</v>
      </c>
      <c r="O84" s="5">
        <v>0</v>
      </c>
      <c r="Q84" s="5">
        <v>1</v>
      </c>
      <c r="R84" s="5">
        <v>0</v>
      </c>
      <c r="S84" s="5">
        <v>0</v>
      </c>
      <c r="T84" s="5">
        <v>0</v>
      </c>
      <c r="U84" s="5">
        <v>0</v>
      </c>
      <c r="V84" s="5">
        <v>0</v>
      </c>
      <c r="W84" s="5">
        <v>0</v>
      </c>
      <c r="X84" s="5">
        <v>0</v>
      </c>
      <c r="Y84" s="5">
        <v>1</v>
      </c>
      <c r="AA84">
        <v>4</v>
      </c>
    </row>
    <row r="85" spans="4:27" x14ac:dyDescent="0.2">
      <c r="D85" t="str">
        <f ca="1"/>
        <v>18-Mar</v>
      </c>
      <c r="E85" s="5">
        <v>0</v>
      </c>
      <c r="F85" s="5">
        <v>0</v>
      </c>
      <c r="G85" s="5">
        <v>0</v>
      </c>
      <c r="H85" s="5">
        <v>0</v>
      </c>
      <c r="I85" s="5">
        <v>1</v>
      </c>
      <c r="J85" s="5">
        <v>0</v>
      </c>
      <c r="K85" s="5">
        <v>0</v>
      </c>
      <c r="L85" s="5">
        <v>1</v>
      </c>
      <c r="M85" s="5">
        <v>0</v>
      </c>
      <c r="N85" s="5">
        <v>0</v>
      </c>
      <c r="O85" s="5">
        <v>0</v>
      </c>
      <c r="Q85" s="5">
        <v>0</v>
      </c>
      <c r="R85" s="5">
        <v>0</v>
      </c>
      <c r="S85" s="5">
        <v>0</v>
      </c>
      <c r="T85" s="5">
        <v>0</v>
      </c>
      <c r="U85" s="5">
        <v>0</v>
      </c>
      <c r="V85" s="5">
        <v>0</v>
      </c>
      <c r="W85" s="5">
        <v>0</v>
      </c>
      <c r="X85" s="5">
        <v>0</v>
      </c>
      <c r="Y85" s="5">
        <v>1</v>
      </c>
      <c r="AA85">
        <v>3</v>
      </c>
    </row>
    <row r="86" spans="4:27" x14ac:dyDescent="0.2">
      <c r="D86" t="str">
        <f ca="1"/>
        <v>19-Mar</v>
      </c>
      <c r="E86" s="5">
        <v>0</v>
      </c>
      <c r="F86" s="5">
        <v>0</v>
      </c>
      <c r="G86" s="5">
        <v>0</v>
      </c>
      <c r="H86" s="5">
        <v>0</v>
      </c>
      <c r="I86" s="5">
        <v>1</v>
      </c>
      <c r="J86" s="5">
        <v>0</v>
      </c>
      <c r="K86" s="5">
        <v>0</v>
      </c>
      <c r="L86" s="5">
        <v>1</v>
      </c>
      <c r="M86" s="5">
        <v>0</v>
      </c>
      <c r="N86" s="5">
        <v>0</v>
      </c>
      <c r="O86" s="5">
        <v>0</v>
      </c>
      <c r="Q86" s="5">
        <v>0</v>
      </c>
      <c r="R86" s="5">
        <v>0</v>
      </c>
      <c r="S86" s="5">
        <v>0</v>
      </c>
      <c r="T86" s="5">
        <v>0</v>
      </c>
      <c r="U86" s="5">
        <v>0</v>
      </c>
      <c r="V86" s="5">
        <v>0</v>
      </c>
      <c r="W86" s="5">
        <v>0</v>
      </c>
      <c r="X86" s="5">
        <v>0</v>
      </c>
      <c r="Y86" s="5">
        <v>1</v>
      </c>
      <c r="AA86">
        <v>3</v>
      </c>
    </row>
    <row r="87" spans="4:27" x14ac:dyDescent="0.2">
      <c r="D87" t="str">
        <f ca="1"/>
        <v>20-Mar</v>
      </c>
      <c r="E87" s="5">
        <v>0</v>
      </c>
      <c r="F87" s="5">
        <v>0</v>
      </c>
      <c r="G87" s="5">
        <v>0</v>
      </c>
      <c r="H87" s="5">
        <v>0</v>
      </c>
      <c r="I87" s="5">
        <v>1</v>
      </c>
      <c r="J87" s="5">
        <v>0</v>
      </c>
      <c r="K87" s="5">
        <v>0</v>
      </c>
      <c r="L87" s="5">
        <v>1</v>
      </c>
      <c r="M87" s="5">
        <v>0</v>
      </c>
      <c r="N87" s="5">
        <v>0</v>
      </c>
      <c r="O87" s="5">
        <v>0</v>
      </c>
      <c r="Q87" s="5">
        <v>0</v>
      </c>
      <c r="R87" s="5">
        <v>0</v>
      </c>
      <c r="S87" s="5">
        <v>0</v>
      </c>
      <c r="T87" s="5">
        <v>0</v>
      </c>
      <c r="U87" s="5">
        <v>0</v>
      </c>
      <c r="V87" s="5">
        <v>0</v>
      </c>
      <c r="W87" s="5">
        <v>0</v>
      </c>
      <c r="X87" s="5">
        <v>0</v>
      </c>
      <c r="Y87" s="5">
        <v>1</v>
      </c>
      <c r="AA87">
        <v>3</v>
      </c>
    </row>
    <row r="88" spans="4:27" x14ac:dyDescent="0.2">
      <c r="D88" t="str">
        <f ca="1"/>
        <v>21-Mar</v>
      </c>
      <c r="E88" s="5">
        <v>0</v>
      </c>
      <c r="F88" s="5">
        <v>0</v>
      </c>
      <c r="G88" s="5">
        <v>0</v>
      </c>
      <c r="H88" s="5">
        <v>0</v>
      </c>
      <c r="I88" s="5">
        <v>1</v>
      </c>
      <c r="J88" s="5">
        <v>0</v>
      </c>
      <c r="K88" s="5">
        <v>0</v>
      </c>
      <c r="L88" s="5">
        <v>1</v>
      </c>
      <c r="M88" s="5">
        <v>0</v>
      </c>
      <c r="N88" s="5">
        <v>0</v>
      </c>
      <c r="O88" s="5">
        <v>0</v>
      </c>
      <c r="Q88" s="5">
        <v>0</v>
      </c>
      <c r="R88" s="5">
        <v>0</v>
      </c>
      <c r="S88" s="5">
        <v>0</v>
      </c>
      <c r="T88" s="5">
        <v>0</v>
      </c>
      <c r="U88" s="5">
        <v>0</v>
      </c>
      <c r="V88" s="5">
        <v>0</v>
      </c>
      <c r="W88" s="5">
        <v>0</v>
      </c>
      <c r="X88" s="5">
        <v>0</v>
      </c>
      <c r="Y88" s="5">
        <v>1</v>
      </c>
      <c r="AA88">
        <v>3</v>
      </c>
    </row>
    <row r="89" spans="4:27" x14ac:dyDescent="0.2">
      <c r="D89" t="str">
        <f ca="1"/>
        <v>22-Mar</v>
      </c>
      <c r="E89" s="5">
        <v>0</v>
      </c>
      <c r="F89" s="5">
        <v>0</v>
      </c>
      <c r="G89" s="5">
        <v>0</v>
      </c>
      <c r="H89" s="5">
        <v>0</v>
      </c>
      <c r="I89" s="5">
        <v>1</v>
      </c>
      <c r="J89" s="5">
        <v>0</v>
      </c>
      <c r="K89" s="5">
        <v>0</v>
      </c>
      <c r="L89" s="5">
        <v>1</v>
      </c>
      <c r="M89" s="5">
        <v>0</v>
      </c>
      <c r="N89" s="5">
        <v>0</v>
      </c>
      <c r="O89" s="5">
        <v>0</v>
      </c>
      <c r="Q89" s="5">
        <v>0</v>
      </c>
      <c r="R89" s="5">
        <v>0</v>
      </c>
      <c r="S89" s="5">
        <v>0</v>
      </c>
      <c r="T89" s="5">
        <v>0</v>
      </c>
      <c r="U89" s="5">
        <v>0</v>
      </c>
      <c r="V89" s="5">
        <v>0</v>
      </c>
      <c r="W89" s="5">
        <v>0</v>
      </c>
      <c r="X89" s="5">
        <v>0</v>
      </c>
      <c r="Y89" s="5">
        <v>1</v>
      </c>
      <c r="AA89">
        <v>3</v>
      </c>
    </row>
    <row r="90" spans="4:27" x14ac:dyDescent="0.2">
      <c r="D90" t="str">
        <f ca="1"/>
        <v>23-Mar</v>
      </c>
      <c r="E90" s="5">
        <v>0</v>
      </c>
      <c r="F90" s="5">
        <v>0</v>
      </c>
      <c r="G90" s="5">
        <v>0</v>
      </c>
      <c r="H90" s="5">
        <v>0</v>
      </c>
      <c r="I90" s="5">
        <v>1</v>
      </c>
      <c r="J90" s="5">
        <v>0</v>
      </c>
      <c r="K90" s="5">
        <v>0</v>
      </c>
      <c r="L90" s="5">
        <v>1</v>
      </c>
      <c r="M90" s="5">
        <v>0</v>
      </c>
      <c r="N90" s="5">
        <v>0</v>
      </c>
      <c r="O90" s="5">
        <v>0</v>
      </c>
      <c r="Q90" s="5">
        <v>0</v>
      </c>
      <c r="R90" s="5">
        <v>0</v>
      </c>
      <c r="S90" s="5">
        <v>0</v>
      </c>
      <c r="T90" s="5">
        <v>0</v>
      </c>
      <c r="U90" s="5">
        <v>0</v>
      </c>
      <c r="V90" s="5">
        <v>0</v>
      </c>
      <c r="W90" s="5">
        <v>0</v>
      </c>
      <c r="X90" s="5">
        <v>0</v>
      </c>
      <c r="Y90" s="5">
        <v>1</v>
      </c>
      <c r="AA90">
        <v>3</v>
      </c>
    </row>
    <row r="91" spans="4:27" x14ac:dyDescent="0.2">
      <c r="D91" t="str">
        <f ca="1"/>
        <v>24-Mar</v>
      </c>
      <c r="E91" s="5">
        <v>0</v>
      </c>
      <c r="F91" s="5">
        <v>0</v>
      </c>
      <c r="G91" s="5">
        <v>0</v>
      </c>
      <c r="H91" s="5">
        <v>0</v>
      </c>
      <c r="I91" s="5">
        <v>0</v>
      </c>
      <c r="J91" s="5">
        <v>0</v>
      </c>
      <c r="K91" s="5">
        <v>0</v>
      </c>
      <c r="L91" s="5">
        <v>0</v>
      </c>
      <c r="M91" s="5">
        <v>0</v>
      </c>
      <c r="N91" s="5">
        <v>0</v>
      </c>
      <c r="O91" s="5">
        <v>0</v>
      </c>
      <c r="Q91" s="5">
        <v>0</v>
      </c>
      <c r="R91" s="5">
        <v>0</v>
      </c>
      <c r="S91" s="5">
        <v>0</v>
      </c>
      <c r="T91" s="5">
        <v>0</v>
      </c>
      <c r="U91" s="5">
        <v>0</v>
      </c>
      <c r="V91" s="5">
        <v>0</v>
      </c>
      <c r="W91" s="5">
        <v>0</v>
      </c>
      <c r="X91" s="5">
        <v>0</v>
      </c>
      <c r="Y91" s="5">
        <v>0</v>
      </c>
      <c r="AA91">
        <v>0</v>
      </c>
    </row>
    <row r="92" spans="4:27" x14ac:dyDescent="0.2">
      <c r="D92" t="str">
        <f ca="1"/>
        <v>25-Mar</v>
      </c>
      <c r="E92" s="5">
        <v>0</v>
      </c>
      <c r="F92" s="5">
        <v>0</v>
      </c>
      <c r="G92" s="5">
        <v>0</v>
      </c>
      <c r="H92" s="5">
        <v>0</v>
      </c>
      <c r="I92" s="5">
        <v>1</v>
      </c>
      <c r="J92" s="5">
        <v>0</v>
      </c>
      <c r="K92" s="5">
        <v>0</v>
      </c>
      <c r="L92" s="5">
        <v>1</v>
      </c>
      <c r="M92" s="5">
        <v>0</v>
      </c>
      <c r="N92" s="5">
        <v>0</v>
      </c>
      <c r="O92" s="5">
        <v>0</v>
      </c>
      <c r="Q92" s="5">
        <v>0</v>
      </c>
      <c r="R92" s="5">
        <v>0</v>
      </c>
      <c r="S92" s="5">
        <v>0</v>
      </c>
      <c r="T92" s="5">
        <v>0</v>
      </c>
      <c r="U92" s="5">
        <v>0</v>
      </c>
      <c r="V92" s="5">
        <v>0</v>
      </c>
      <c r="W92" s="5">
        <v>0</v>
      </c>
      <c r="X92" s="5">
        <v>0</v>
      </c>
      <c r="Y92" s="5">
        <v>0</v>
      </c>
      <c r="AA92">
        <v>2</v>
      </c>
    </row>
    <row r="93" spans="4:27" x14ac:dyDescent="0.2">
      <c r="D93" t="str">
        <f ca="1"/>
        <v>26-Mar</v>
      </c>
      <c r="E93" s="5">
        <v>0</v>
      </c>
      <c r="F93" s="5">
        <v>0</v>
      </c>
      <c r="G93" s="5">
        <v>0</v>
      </c>
      <c r="H93" s="5">
        <v>0</v>
      </c>
      <c r="I93" s="5">
        <v>1</v>
      </c>
      <c r="J93" s="5">
        <v>0</v>
      </c>
      <c r="K93" s="5">
        <v>0</v>
      </c>
      <c r="L93" s="5">
        <v>1</v>
      </c>
      <c r="M93" s="5">
        <v>0</v>
      </c>
      <c r="N93" s="5">
        <v>0</v>
      </c>
      <c r="O93" s="5">
        <v>0</v>
      </c>
      <c r="Q93" s="5">
        <v>0</v>
      </c>
      <c r="R93" s="5">
        <v>0</v>
      </c>
      <c r="S93" s="5">
        <v>0</v>
      </c>
      <c r="T93" s="5">
        <v>0</v>
      </c>
      <c r="U93" s="5">
        <v>0</v>
      </c>
      <c r="V93" s="5">
        <v>0</v>
      </c>
      <c r="W93" s="5">
        <v>0</v>
      </c>
      <c r="X93" s="5">
        <v>0</v>
      </c>
      <c r="Y93" s="5">
        <v>0</v>
      </c>
      <c r="AA93">
        <v>2</v>
      </c>
    </row>
    <row r="94" spans="4:27" x14ac:dyDescent="0.2">
      <c r="D94" t="str">
        <f ca="1"/>
        <v>27-Mar</v>
      </c>
      <c r="E94" s="5">
        <v>0</v>
      </c>
      <c r="F94" s="5">
        <v>0</v>
      </c>
      <c r="G94" s="5">
        <v>0</v>
      </c>
      <c r="H94" s="5">
        <v>0</v>
      </c>
      <c r="I94" s="5">
        <v>1</v>
      </c>
      <c r="J94" s="5">
        <v>0</v>
      </c>
      <c r="K94" s="5">
        <v>0</v>
      </c>
      <c r="L94" s="5">
        <v>1</v>
      </c>
      <c r="M94" s="5">
        <v>0</v>
      </c>
      <c r="N94" s="5">
        <v>0</v>
      </c>
      <c r="O94" s="5">
        <v>0</v>
      </c>
      <c r="Q94" s="5">
        <v>0</v>
      </c>
      <c r="R94" s="5">
        <v>0</v>
      </c>
      <c r="S94" s="5">
        <v>0</v>
      </c>
      <c r="T94" s="5">
        <v>0</v>
      </c>
      <c r="U94" s="5">
        <v>0</v>
      </c>
      <c r="V94" s="5">
        <v>0</v>
      </c>
      <c r="W94" s="5">
        <v>0</v>
      </c>
      <c r="X94" s="5">
        <v>0</v>
      </c>
      <c r="Y94" s="5">
        <v>0</v>
      </c>
      <c r="AA94">
        <v>2</v>
      </c>
    </row>
    <row r="95" spans="4:27" x14ac:dyDescent="0.2">
      <c r="D95" t="str">
        <f ca="1"/>
        <v>28-Mar</v>
      </c>
      <c r="E95" s="5">
        <v>0</v>
      </c>
      <c r="F95" s="5">
        <v>0</v>
      </c>
      <c r="G95" s="5">
        <v>0</v>
      </c>
      <c r="H95" s="5">
        <v>0</v>
      </c>
      <c r="I95" s="5">
        <v>1</v>
      </c>
      <c r="J95" s="5">
        <v>0</v>
      </c>
      <c r="K95" s="5">
        <v>0</v>
      </c>
      <c r="L95" s="5">
        <v>1</v>
      </c>
      <c r="M95" s="5">
        <v>0</v>
      </c>
      <c r="N95" s="5">
        <v>0</v>
      </c>
      <c r="O95" s="5">
        <v>0</v>
      </c>
      <c r="Q95" s="5">
        <v>0</v>
      </c>
      <c r="R95" s="5">
        <v>0</v>
      </c>
      <c r="S95" s="5">
        <v>0</v>
      </c>
      <c r="T95" s="5">
        <v>0</v>
      </c>
      <c r="U95" s="5">
        <v>0</v>
      </c>
      <c r="V95" s="5">
        <v>0</v>
      </c>
      <c r="W95" s="5">
        <v>0</v>
      </c>
      <c r="X95" s="5">
        <v>0</v>
      </c>
      <c r="Y95" s="5">
        <v>0</v>
      </c>
      <c r="AA95">
        <v>2</v>
      </c>
    </row>
    <row r="96" spans="4:27" x14ac:dyDescent="0.2">
      <c r="D96" t="str">
        <f ca="1"/>
        <v>29-Mar</v>
      </c>
      <c r="E96" s="5">
        <v>0</v>
      </c>
      <c r="F96" s="5">
        <v>0</v>
      </c>
      <c r="G96" s="5">
        <v>0</v>
      </c>
      <c r="H96" s="5">
        <v>0</v>
      </c>
      <c r="I96" s="5">
        <v>1</v>
      </c>
      <c r="J96" s="5">
        <v>0</v>
      </c>
      <c r="K96" s="5">
        <v>0</v>
      </c>
      <c r="L96" s="5">
        <v>1</v>
      </c>
      <c r="M96" s="5">
        <v>0</v>
      </c>
      <c r="N96" s="5">
        <v>0</v>
      </c>
      <c r="O96" s="5">
        <v>0</v>
      </c>
      <c r="Q96" s="5">
        <v>1</v>
      </c>
      <c r="R96" s="5">
        <v>0</v>
      </c>
      <c r="S96" s="5">
        <v>0</v>
      </c>
      <c r="T96" s="5">
        <v>0</v>
      </c>
      <c r="U96" s="5">
        <v>0</v>
      </c>
      <c r="V96" s="5">
        <v>0</v>
      </c>
      <c r="W96" s="5">
        <v>0</v>
      </c>
      <c r="X96" s="5">
        <v>0</v>
      </c>
      <c r="Y96" s="5">
        <v>0</v>
      </c>
      <c r="AA96">
        <v>3</v>
      </c>
    </row>
    <row r="97" spans="4:27" x14ac:dyDescent="0.2">
      <c r="D97" t="str">
        <f ca="1"/>
        <v>30-Mar</v>
      </c>
      <c r="E97" s="5">
        <v>0</v>
      </c>
      <c r="F97" s="5">
        <v>0</v>
      </c>
      <c r="G97" s="5">
        <v>0</v>
      </c>
      <c r="H97" s="5">
        <v>0</v>
      </c>
      <c r="I97" s="5">
        <v>1</v>
      </c>
      <c r="J97" s="5">
        <v>0</v>
      </c>
      <c r="K97" s="5">
        <v>0</v>
      </c>
      <c r="L97" s="5">
        <v>1</v>
      </c>
      <c r="M97" s="5">
        <v>0</v>
      </c>
      <c r="N97" s="5">
        <v>0</v>
      </c>
      <c r="O97" s="5">
        <v>0</v>
      </c>
      <c r="Q97" s="5">
        <v>1</v>
      </c>
      <c r="R97" s="5">
        <v>0</v>
      </c>
      <c r="S97" s="5">
        <v>0</v>
      </c>
      <c r="T97" s="5">
        <v>0</v>
      </c>
      <c r="U97" s="5">
        <v>0</v>
      </c>
      <c r="V97" s="5">
        <v>0</v>
      </c>
      <c r="W97" s="5">
        <v>0</v>
      </c>
      <c r="X97" s="5">
        <v>0</v>
      </c>
      <c r="Y97" s="5">
        <v>0</v>
      </c>
      <c r="AA97">
        <v>3</v>
      </c>
    </row>
    <row r="98" spans="4:27" x14ac:dyDescent="0.2">
      <c r="D98" t="str">
        <f ca="1"/>
        <v>31-Mar</v>
      </c>
      <c r="E98" s="5">
        <v>0</v>
      </c>
      <c r="F98" s="5">
        <v>0</v>
      </c>
      <c r="G98" s="5">
        <v>0</v>
      </c>
      <c r="H98" s="5">
        <v>0</v>
      </c>
      <c r="I98" s="5">
        <v>1</v>
      </c>
      <c r="J98" s="5">
        <v>0</v>
      </c>
      <c r="K98" s="5">
        <v>0</v>
      </c>
      <c r="L98" s="5">
        <v>1</v>
      </c>
      <c r="M98" s="5">
        <v>0</v>
      </c>
      <c r="N98" s="5">
        <v>0</v>
      </c>
      <c r="O98" s="5">
        <v>0</v>
      </c>
      <c r="Q98" s="5">
        <v>1</v>
      </c>
      <c r="R98" s="5">
        <v>0</v>
      </c>
      <c r="S98" s="5">
        <v>0</v>
      </c>
      <c r="T98" s="5">
        <v>0</v>
      </c>
      <c r="U98" s="5">
        <v>0</v>
      </c>
      <c r="V98" s="5">
        <v>0</v>
      </c>
      <c r="W98" s="5">
        <v>0</v>
      </c>
      <c r="X98" s="5">
        <v>0</v>
      </c>
      <c r="Y98" s="5">
        <v>0</v>
      </c>
      <c r="AA98">
        <v>3</v>
      </c>
    </row>
    <row r="99" spans="4:27" x14ac:dyDescent="0.2">
      <c r="D99" t="str">
        <f ca="1"/>
        <v>01-Apr</v>
      </c>
      <c r="E99" s="5">
        <v>0</v>
      </c>
      <c r="F99" s="5">
        <v>0</v>
      </c>
      <c r="G99" s="5">
        <v>0</v>
      </c>
      <c r="H99" s="5">
        <v>0</v>
      </c>
      <c r="I99" s="5">
        <v>1</v>
      </c>
      <c r="J99" s="5">
        <v>0</v>
      </c>
      <c r="K99" s="5">
        <v>0</v>
      </c>
      <c r="L99" s="5">
        <v>1</v>
      </c>
      <c r="M99" s="5">
        <v>0</v>
      </c>
      <c r="N99" s="5">
        <v>0</v>
      </c>
      <c r="O99" s="5">
        <v>0</v>
      </c>
      <c r="Q99" s="5">
        <v>1</v>
      </c>
      <c r="R99" s="5">
        <v>0</v>
      </c>
      <c r="S99" s="5">
        <v>0</v>
      </c>
      <c r="T99" s="5">
        <v>0</v>
      </c>
      <c r="U99" s="5">
        <v>0</v>
      </c>
      <c r="V99" s="5">
        <v>0</v>
      </c>
      <c r="W99" s="5">
        <v>0</v>
      </c>
      <c r="X99" s="5">
        <v>0</v>
      </c>
      <c r="Y99" s="5">
        <v>0</v>
      </c>
      <c r="AA99">
        <v>3</v>
      </c>
    </row>
    <row r="100" spans="4:27" x14ac:dyDescent="0.2">
      <c r="D100" t="str">
        <f ca="1"/>
        <v>02-Apr</v>
      </c>
      <c r="E100" s="5">
        <v>0</v>
      </c>
      <c r="F100" s="5">
        <v>0</v>
      </c>
      <c r="G100" s="5">
        <v>0</v>
      </c>
      <c r="H100" s="5">
        <v>0</v>
      </c>
      <c r="I100" s="5">
        <v>1</v>
      </c>
      <c r="J100" s="5">
        <v>0</v>
      </c>
      <c r="K100" s="5">
        <v>0</v>
      </c>
      <c r="L100" s="5">
        <v>1</v>
      </c>
      <c r="M100" s="5">
        <v>0</v>
      </c>
      <c r="N100" s="5">
        <v>0</v>
      </c>
      <c r="O100" s="5">
        <v>0</v>
      </c>
      <c r="Q100" s="5">
        <v>0</v>
      </c>
      <c r="R100" s="5">
        <v>0</v>
      </c>
      <c r="S100" s="5">
        <v>0</v>
      </c>
      <c r="T100" s="5">
        <v>0</v>
      </c>
      <c r="U100" s="5">
        <v>0</v>
      </c>
      <c r="V100" s="5">
        <v>0</v>
      </c>
      <c r="W100" s="5">
        <v>0</v>
      </c>
      <c r="X100" s="5">
        <v>0</v>
      </c>
      <c r="Y100" s="5">
        <v>0</v>
      </c>
      <c r="AA100">
        <v>2</v>
      </c>
    </row>
    <row r="101" spans="4:27" x14ac:dyDescent="0.2">
      <c r="D101" t="str">
        <f ca="1"/>
        <v>03-Apr</v>
      </c>
      <c r="E101" s="5">
        <v>0</v>
      </c>
      <c r="F101" s="5">
        <v>0</v>
      </c>
      <c r="G101" s="5">
        <v>0</v>
      </c>
      <c r="H101" s="5">
        <v>0</v>
      </c>
      <c r="I101" s="5">
        <v>1</v>
      </c>
      <c r="J101" s="5">
        <v>0</v>
      </c>
      <c r="K101" s="5">
        <v>0</v>
      </c>
      <c r="L101" s="5">
        <v>1</v>
      </c>
      <c r="M101" s="5">
        <v>0</v>
      </c>
      <c r="N101" s="5">
        <v>0</v>
      </c>
      <c r="O101" s="5">
        <v>0</v>
      </c>
      <c r="Q101" s="5">
        <v>0</v>
      </c>
      <c r="R101" s="5">
        <v>0</v>
      </c>
      <c r="S101" s="5">
        <v>0</v>
      </c>
      <c r="T101" s="5">
        <v>0</v>
      </c>
      <c r="U101" s="5">
        <v>0</v>
      </c>
      <c r="V101" s="5">
        <v>0</v>
      </c>
      <c r="W101" s="5">
        <v>0</v>
      </c>
      <c r="X101" s="5">
        <v>0</v>
      </c>
      <c r="Y101" s="5">
        <v>0</v>
      </c>
      <c r="AA101">
        <v>2</v>
      </c>
    </row>
    <row r="102" spans="4:27" x14ac:dyDescent="0.2">
      <c r="D102" t="str">
        <f ca="1"/>
        <v>04-Apr</v>
      </c>
      <c r="E102" s="5">
        <v>0</v>
      </c>
      <c r="F102" s="5">
        <v>0</v>
      </c>
      <c r="G102" s="5">
        <v>0</v>
      </c>
      <c r="H102" s="5">
        <v>0</v>
      </c>
      <c r="I102" s="5">
        <v>1</v>
      </c>
      <c r="J102" s="5">
        <v>0</v>
      </c>
      <c r="K102" s="5">
        <v>0</v>
      </c>
      <c r="L102" s="5">
        <v>1</v>
      </c>
      <c r="M102" s="5">
        <v>0</v>
      </c>
      <c r="N102" s="5">
        <v>0</v>
      </c>
      <c r="O102" s="5">
        <v>0</v>
      </c>
      <c r="Q102" s="5">
        <v>0</v>
      </c>
      <c r="R102" s="5">
        <v>0</v>
      </c>
      <c r="S102" s="5">
        <v>0</v>
      </c>
      <c r="T102" s="5">
        <v>0</v>
      </c>
      <c r="U102" s="5">
        <v>0</v>
      </c>
      <c r="V102" s="5">
        <v>0</v>
      </c>
      <c r="W102" s="5">
        <v>0</v>
      </c>
      <c r="X102" s="5">
        <v>0</v>
      </c>
      <c r="Y102" s="5">
        <v>0</v>
      </c>
      <c r="AA102">
        <v>2</v>
      </c>
    </row>
    <row r="103" spans="4:27" x14ac:dyDescent="0.2">
      <c r="D103" t="str">
        <f ca="1"/>
        <v>05-Apr</v>
      </c>
      <c r="E103" s="5">
        <v>0</v>
      </c>
      <c r="F103" s="5">
        <v>0</v>
      </c>
      <c r="G103" s="5">
        <v>0</v>
      </c>
      <c r="H103" s="5">
        <v>0</v>
      </c>
      <c r="I103" s="5">
        <v>1</v>
      </c>
      <c r="J103" s="5">
        <v>0</v>
      </c>
      <c r="K103" s="5">
        <v>0</v>
      </c>
      <c r="L103" s="5">
        <v>1</v>
      </c>
      <c r="M103" s="5">
        <v>0</v>
      </c>
      <c r="N103" s="5">
        <v>0</v>
      </c>
      <c r="O103" s="5">
        <v>0</v>
      </c>
      <c r="Q103" s="5">
        <v>0</v>
      </c>
      <c r="R103" s="5">
        <v>0</v>
      </c>
      <c r="S103" s="5">
        <v>0</v>
      </c>
      <c r="T103" s="5">
        <v>0</v>
      </c>
      <c r="U103" s="5">
        <v>0</v>
      </c>
      <c r="V103" s="5">
        <v>0</v>
      </c>
      <c r="W103" s="5">
        <v>0</v>
      </c>
      <c r="X103" s="5">
        <v>0</v>
      </c>
      <c r="Y103" s="5">
        <v>0</v>
      </c>
      <c r="AA103">
        <v>2</v>
      </c>
    </row>
    <row r="104" spans="4:27" x14ac:dyDescent="0.2">
      <c r="D104" t="str">
        <f ca="1"/>
        <v>06-Apr</v>
      </c>
      <c r="E104" s="5">
        <v>0</v>
      </c>
      <c r="F104" s="5">
        <v>0</v>
      </c>
      <c r="G104" s="5">
        <v>0</v>
      </c>
      <c r="H104" s="5">
        <v>0</v>
      </c>
      <c r="I104" s="5">
        <v>1</v>
      </c>
      <c r="J104" s="5">
        <v>0</v>
      </c>
      <c r="K104" s="5">
        <v>0</v>
      </c>
      <c r="L104" s="5">
        <v>1</v>
      </c>
      <c r="M104" s="5">
        <v>0</v>
      </c>
      <c r="N104" s="5">
        <v>0</v>
      </c>
      <c r="O104" s="5">
        <v>0</v>
      </c>
      <c r="Q104" s="5">
        <v>0</v>
      </c>
      <c r="R104" s="5">
        <v>0</v>
      </c>
      <c r="S104" s="5">
        <v>0</v>
      </c>
      <c r="T104" s="5">
        <v>0</v>
      </c>
      <c r="U104" s="5">
        <v>0</v>
      </c>
      <c r="V104" s="5">
        <v>0</v>
      </c>
      <c r="W104" s="5">
        <v>0</v>
      </c>
      <c r="X104" s="5">
        <v>0</v>
      </c>
      <c r="Y104" s="5">
        <v>0</v>
      </c>
      <c r="AA104">
        <v>2</v>
      </c>
    </row>
    <row r="105" spans="4:27" x14ac:dyDescent="0.2">
      <c r="D105" t="str">
        <f ca="1"/>
        <v>07-Apr</v>
      </c>
      <c r="E105" s="5">
        <v>0</v>
      </c>
      <c r="F105" s="5">
        <v>0</v>
      </c>
      <c r="G105" s="5">
        <v>0</v>
      </c>
      <c r="H105" s="5">
        <v>0</v>
      </c>
      <c r="I105" s="5">
        <v>1</v>
      </c>
      <c r="J105" s="5">
        <v>0</v>
      </c>
      <c r="K105" s="5">
        <v>0</v>
      </c>
      <c r="L105" s="5">
        <v>1</v>
      </c>
      <c r="M105" s="5">
        <v>0</v>
      </c>
      <c r="N105" s="5">
        <v>0</v>
      </c>
      <c r="O105" s="5">
        <v>0</v>
      </c>
      <c r="Q105" s="5">
        <v>0</v>
      </c>
      <c r="R105" s="5">
        <v>0</v>
      </c>
      <c r="S105" s="5">
        <v>0</v>
      </c>
      <c r="T105" s="5">
        <v>0</v>
      </c>
      <c r="U105" s="5">
        <v>0</v>
      </c>
      <c r="V105" s="5">
        <v>0</v>
      </c>
      <c r="W105" s="5">
        <v>0</v>
      </c>
      <c r="X105" s="5">
        <v>0</v>
      </c>
      <c r="Y105" s="5">
        <v>0</v>
      </c>
      <c r="AA105">
        <v>2</v>
      </c>
    </row>
    <row r="106" spans="4:27" x14ac:dyDescent="0.2">
      <c r="D106" t="str">
        <f ca="1"/>
        <v>08-Apr</v>
      </c>
      <c r="E106" s="5">
        <v>0</v>
      </c>
      <c r="F106" s="5">
        <v>0</v>
      </c>
      <c r="G106" s="5">
        <v>0</v>
      </c>
      <c r="H106" s="5">
        <v>0</v>
      </c>
      <c r="I106" s="5">
        <v>1</v>
      </c>
      <c r="J106" s="5">
        <v>0</v>
      </c>
      <c r="K106" s="5">
        <v>0</v>
      </c>
      <c r="L106" s="5">
        <v>1</v>
      </c>
      <c r="M106" s="5">
        <v>0</v>
      </c>
      <c r="N106" s="5">
        <v>0</v>
      </c>
      <c r="O106" s="5">
        <v>0</v>
      </c>
      <c r="Q106" s="5">
        <v>0</v>
      </c>
      <c r="R106" s="5">
        <v>0</v>
      </c>
      <c r="S106" s="5">
        <v>0</v>
      </c>
      <c r="T106" s="5">
        <v>0</v>
      </c>
      <c r="U106" s="5">
        <v>0</v>
      </c>
      <c r="V106" s="5">
        <v>0</v>
      </c>
      <c r="W106" s="5">
        <v>0</v>
      </c>
      <c r="X106" s="5">
        <v>0</v>
      </c>
      <c r="Y106" s="5">
        <v>0</v>
      </c>
      <c r="AA106">
        <v>2</v>
      </c>
    </row>
    <row r="107" spans="4:27" x14ac:dyDescent="0.2">
      <c r="D107" t="str">
        <f ca="1"/>
        <v>09-Apr</v>
      </c>
      <c r="E107" s="5">
        <v>0</v>
      </c>
      <c r="F107" s="5">
        <v>0</v>
      </c>
      <c r="G107" s="5">
        <v>0</v>
      </c>
      <c r="H107" s="5">
        <v>0</v>
      </c>
      <c r="I107" s="5">
        <v>1</v>
      </c>
      <c r="J107" s="5">
        <v>0</v>
      </c>
      <c r="K107" s="5">
        <v>0</v>
      </c>
      <c r="L107" s="5">
        <v>1</v>
      </c>
      <c r="M107" s="5">
        <v>0</v>
      </c>
      <c r="N107" s="5">
        <v>0</v>
      </c>
      <c r="O107" s="5">
        <v>0</v>
      </c>
      <c r="Q107" s="5">
        <v>0</v>
      </c>
      <c r="R107" s="5">
        <v>0</v>
      </c>
      <c r="S107" s="5">
        <v>0</v>
      </c>
      <c r="T107" s="5">
        <v>0</v>
      </c>
      <c r="U107" s="5">
        <v>0</v>
      </c>
      <c r="V107" s="5">
        <v>0</v>
      </c>
      <c r="W107" s="5">
        <v>0</v>
      </c>
      <c r="X107" s="5">
        <v>0</v>
      </c>
      <c r="Y107" s="5">
        <v>0</v>
      </c>
      <c r="AA107">
        <v>2</v>
      </c>
    </row>
    <row r="108" spans="4:27" x14ac:dyDescent="0.2">
      <c r="D108" t="str">
        <f ca="1"/>
        <v>10-Apr</v>
      </c>
      <c r="E108" s="5">
        <v>0</v>
      </c>
      <c r="F108" s="5">
        <v>0</v>
      </c>
      <c r="G108" s="5">
        <v>0</v>
      </c>
      <c r="H108" s="5">
        <v>0</v>
      </c>
      <c r="I108" s="5">
        <v>1</v>
      </c>
      <c r="J108" s="5">
        <v>0</v>
      </c>
      <c r="K108" s="5">
        <v>0</v>
      </c>
      <c r="L108" s="5">
        <v>1</v>
      </c>
      <c r="M108" s="5">
        <v>0</v>
      </c>
      <c r="N108" s="5">
        <v>0</v>
      </c>
      <c r="O108" s="5">
        <v>0</v>
      </c>
      <c r="Q108" s="5">
        <v>0</v>
      </c>
      <c r="R108" s="5">
        <v>0</v>
      </c>
      <c r="S108" s="5">
        <v>0</v>
      </c>
      <c r="T108" s="5">
        <v>0</v>
      </c>
      <c r="U108" s="5">
        <v>0</v>
      </c>
      <c r="V108" s="5">
        <v>0</v>
      </c>
      <c r="W108" s="5">
        <v>0</v>
      </c>
      <c r="X108" s="5">
        <v>0</v>
      </c>
      <c r="Y108" s="5">
        <v>0</v>
      </c>
      <c r="AA108">
        <v>2</v>
      </c>
    </row>
    <row r="109" spans="4:27" x14ac:dyDescent="0.2">
      <c r="D109" t="str">
        <f ca="1"/>
        <v>11-Apr</v>
      </c>
      <c r="E109" s="5">
        <v>0</v>
      </c>
      <c r="F109" s="5">
        <v>0</v>
      </c>
      <c r="G109" s="5">
        <v>0</v>
      </c>
      <c r="H109" s="5">
        <v>0</v>
      </c>
      <c r="I109" s="5">
        <v>1</v>
      </c>
      <c r="J109" s="5">
        <v>0</v>
      </c>
      <c r="K109" s="5">
        <v>0</v>
      </c>
      <c r="L109" s="5">
        <v>1</v>
      </c>
      <c r="M109" s="5">
        <v>0</v>
      </c>
      <c r="N109" s="5">
        <v>0</v>
      </c>
      <c r="O109" s="5">
        <v>0</v>
      </c>
      <c r="Q109" s="5">
        <v>0</v>
      </c>
      <c r="R109" s="5">
        <v>0</v>
      </c>
      <c r="S109" s="5">
        <v>0</v>
      </c>
      <c r="T109" s="5">
        <v>0</v>
      </c>
      <c r="U109" s="5">
        <v>0</v>
      </c>
      <c r="V109" s="5">
        <v>0</v>
      </c>
      <c r="W109" s="5">
        <v>0</v>
      </c>
      <c r="X109" s="5">
        <v>0</v>
      </c>
      <c r="Y109" s="5">
        <v>0</v>
      </c>
      <c r="AA109">
        <v>2</v>
      </c>
    </row>
    <row r="110" spans="4:27" x14ac:dyDescent="0.2">
      <c r="D110" t="str">
        <f ca="1"/>
        <v>12-Apr</v>
      </c>
      <c r="E110" s="5">
        <v>0</v>
      </c>
      <c r="F110" s="5">
        <v>0</v>
      </c>
      <c r="G110" s="5">
        <v>0</v>
      </c>
      <c r="H110" s="5">
        <v>0</v>
      </c>
      <c r="I110" s="5">
        <v>1</v>
      </c>
      <c r="J110" s="5">
        <v>0</v>
      </c>
      <c r="K110" s="5">
        <v>0</v>
      </c>
      <c r="L110" s="5">
        <v>1</v>
      </c>
      <c r="M110" s="5">
        <v>0</v>
      </c>
      <c r="N110" s="5">
        <v>0</v>
      </c>
      <c r="O110" s="5">
        <v>0</v>
      </c>
      <c r="Q110" s="5">
        <v>0</v>
      </c>
      <c r="R110" s="5">
        <v>0</v>
      </c>
      <c r="S110" s="5">
        <v>0</v>
      </c>
      <c r="T110" s="5">
        <v>0</v>
      </c>
      <c r="U110" s="5">
        <v>0</v>
      </c>
      <c r="V110" s="5">
        <v>0</v>
      </c>
      <c r="W110" s="5">
        <v>0</v>
      </c>
      <c r="X110" s="5">
        <v>0</v>
      </c>
      <c r="Y110" s="5">
        <v>0</v>
      </c>
      <c r="AA110">
        <v>2</v>
      </c>
    </row>
    <row r="111" spans="4:27" x14ac:dyDescent="0.2">
      <c r="D111" t="str">
        <f ca="1"/>
        <v>13-Apr</v>
      </c>
      <c r="E111" s="5">
        <v>0</v>
      </c>
      <c r="F111" s="5">
        <v>0</v>
      </c>
      <c r="G111" s="5">
        <v>0</v>
      </c>
      <c r="H111" s="5">
        <v>0</v>
      </c>
      <c r="I111" s="5">
        <v>1</v>
      </c>
      <c r="J111" s="5">
        <v>0</v>
      </c>
      <c r="K111" s="5">
        <v>0</v>
      </c>
      <c r="L111" s="5">
        <v>1</v>
      </c>
      <c r="M111" s="5">
        <v>0</v>
      </c>
      <c r="N111" s="5">
        <v>0</v>
      </c>
      <c r="O111" s="5">
        <v>0</v>
      </c>
      <c r="Q111" s="5">
        <v>0</v>
      </c>
      <c r="R111" s="5">
        <v>0</v>
      </c>
      <c r="S111" s="5">
        <v>0</v>
      </c>
      <c r="T111" s="5">
        <v>0</v>
      </c>
      <c r="U111" s="5">
        <v>0</v>
      </c>
      <c r="V111" s="5">
        <v>0</v>
      </c>
      <c r="W111" s="5">
        <v>0</v>
      </c>
      <c r="X111" s="5">
        <v>0</v>
      </c>
      <c r="Y111" s="5">
        <v>0</v>
      </c>
      <c r="AA111">
        <v>2</v>
      </c>
    </row>
    <row r="112" spans="4:27" x14ac:dyDescent="0.2">
      <c r="D112" t="str">
        <f ca="1"/>
        <v>14-Apr</v>
      </c>
      <c r="E112" s="5">
        <v>0</v>
      </c>
      <c r="F112" s="5">
        <v>0</v>
      </c>
      <c r="G112" s="5">
        <v>0</v>
      </c>
      <c r="H112" s="5">
        <v>0</v>
      </c>
      <c r="I112" s="5">
        <v>1</v>
      </c>
      <c r="J112" s="5">
        <v>0</v>
      </c>
      <c r="K112" s="5">
        <v>0</v>
      </c>
      <c r="L112" s="5">
        <v>1</v>
      </c>
      <c r="M112" s="5">
        <v>0</v>
      </c>
      <c r="N112" s="5">
        <v>0</v>
      </c>
      <c r="O112" s="5">
        <v>0</v>
      </c>
      <c r="Q112" s="5">
        <v>0</v>
      </c>
      <c r="R112" s="5">
        <v>0</v>
      </c>
      <c r="S112" s="5">
        <v>0</v>
      </c>
      <c r="T112" s="5">
        <v>0</v>
      </c>
      <c r="U112" s="5">
        <v>0</v>
      </c>
      <c r="V112" s="5">
        <v>0</v>
      </c>
      <c r="W112" s="5">
        <v>0</v>
      </c>
      <c r="X112" s="5">
        <v>0</v>
      </c>
      <c r="Y112" s="5">
        <v>0</v>
      </c>
      <c r="AA112">
        <v>2</v>
      </c>
    </row>
    <row r="113" spans="4:27" x14ac:dyDescent="0.2">
      <c r="D113" t="str">
        <f ca="1"/>
        <v>15-Apr</v>
      </c>
      <c r="E113" s="5">
        <v>0</v>
      </c>
      <c r="F113" s="5">
        <v>0</v>
      </c>
      <c r="G113" s="5">
        <v>0</v>
      </c>
      <c r="H113" s="5">
        <v>0</v>
      </c>
      <c r="I113" s="5">
        <v>1</v>
      </c>
      <c r="J113" s="5">
        <v>0</v>
      </c>
      <c r="K113" s="5">
        <v>0</v>
      </c>
      <c r="L113" s="5">
        <v>1</v>
      </c>
      <c r="M113" s="5">
        <v>0</v>
      </c>
      <c r="N113" s="5">
        <v>0</v>
      </c>
      <c r="O113" s="5">
        <v>0</v>
      </c>
      <c r="Q113" s="5">
        <v>0</v>
      </c>
      <c r="R113" s="5">
        <v>0</v>
      </c>
      <c r="S113" s="5">
        <v>0</v>
      </c>
      <c r="T113" s="5">
        <v>0</v>
      </c>
      <c r="U113" s="5">
        <v>0</v>
      </c>
      <c r="V113" s="5">
        <v>0</v>
      </c>
      <c r="W113" s="5">
        <v>0</v>
      </c>
      <c r="X113" s="5">
        <v>0</v>
      </c>
      <c r="Y113" s="5">
        <v>0</v>
      </c>
      <c r="AA113">
        <v>2</v>
      </c>
    </row>
    <row r="114" spans="4:27" x14ac:dyDescent="0.2">
      <c r="D114" t="str">
        <f ca="1"/>
        <v>16-Apr</v>
      </c>
      <c r="E114" s="5">
        <v>0</v>
      </c>
      <c r="F114" s="5">
        <v>0</v>
      </c>
      <c r="G114" s="5">
        <v>0</v>
      </c>
      <c r="H114" s="5">
        <v>0</v>
      </c>
      <c r="I114" s="5">
        <v>1</v>
      </c>
      <c r="J114" s="5">
        <v>0</v>
      </c>
      <c r="K114" s="5">
        <v>0</v>
      </c>
      <c r="L114" s="5">
        <v>1</v>
      </c>
      <c r="M114" s="5">
        <v>0</v>
      </c>
      <c r="N114" s="5">
        <v>0</v>
      </c>
      <c r="O114" s="5">
        <v>0</v>
      </c>
      <c r="Q114" s="5">
        <v>0</v>
      </c>
      <c r="R114" s="5">
        <v>0</v>
      </c>
      <c r="S114" s="5">
        <v>0</v>
      </c>
      <c r="T114" s="5">
        <v>0</v>
      </c>
      <c r="U114" s="5">
        <v>0</v>
      </c>
      <c r="V114" s="5">
        <v>0</v>
      </c>
      <c r="W114" s="5">
        <v>0</v>
      </c>
      <c r="X114" s="5">
        <v>0</v>
      </c>
      <c r="Y114" s="5">
        <v>0</v>
      </c>
      <c r="AA114">
        <v>2</v>
      </c>
    </row>
    <row r="115" spans="4:27" x14ac:dyDescent="0.2">
      <c r="D115" t="str">
        <f ca="1"/>
        <v>17-Apr</v>
      </c>
      <c r="E115" s="5">
        <v>0</v>
      </c>
      <c r="F115" s="5">
        <v>0</v>
      </c>
      <c r="G115" s="5">
        <v>0</v>
      </c>
      <c r="H115" s="5">
        <v>0</v>
      </c>
      <c r="I115" s="5">
        <v>1</v>
      </c>
      <c r="J115" s="5">
        <v>0</v>
      </c>
      <c r="K115" s="5">
        <v>0</v>
      </c>
      <c r="L115" s="5">
        <v>1</v>
      </c>
      <c r="M115" s="5">
        <v>0</v>
      </c>
      <c r="N115" s="5">
        <v>0</v>
      </c>
      <c r="O115" s="5">
        <v>0</v>
      </c>
      <c r="Q115" s="5">
        <v>0</v>
      </c>
      <c r="R115" s="5">
        <v>0</v>
      </c>
      <c r="S115" s="5">
        <v>0</v>
      </c>
      <c r="T115" s="5">
        <v>0</v>
      </c>
      <c r="U115" s="5">
        <v>0</v>
      </c>
      <c r="V115" s="5">
        <v>0</v>
      </c>
      <c r="W115" s="5">
        <v>0</v>
      </c>
      <c r="X115" s="5">
        <v>0</v>
      </c>
      <c r="Y115" s="5">
        <v>0</v>
      </c>
      <c r="AA115">
        <v>2</v>
      </c>
    </row>
    <row r="116" spans="4:27" x14ac:dyDescent="0.2">
      <c r="D116" t="str">
        <f ca="1"/>
        <v>18-Apr</v>
      </c>
      <c r="E116" s="5">
        <v>0</v>
      </c>
      <c r="F116" s="5">
        <v>0</v>
      </c>
      <c r="G116" s="5">
        <v>0</v>
      </c>
      <c r="H116" s="5">
        <v>0</v>
      </c>
      <c r="I116" s="5">
        <v>1</v>
      </c>
      <c r="J116" s="5">
        <v>0</v>
      </c>
      <c r="K116" s="5">
        <v>0</v>
      </c>
      <c r="L116" s="5">
        <v>1</v>
      </c>
      <c r="M116" s="5">
        <v>0</v>
      </c>
      <c r="N116" s="5">
        <v>0</v>
      </c>
      <c r="O116" s="5">
        <v>0</v>
      </c>
      <c r="Q116" s="5">
        <v>0</v>
      </c>
      <c r="R116" s="5">
        <v>0</v>
      </c>
      <c r="S116" s="5">
        <v>0</v>
      </c>
      <c r="T116" s="5">
        <v>0</v>
      </c>
      <c r="U116" s="5">
        <v>0</v>
      </c>
      <c r="V116" s="5">
        <v>0</v>
      </c>
      <c r="W116" s="5">
        <v>0</v>
      </c>
      <c r="X116" s="5">
        <v>0</v>
      </c>
      <c r="Y116" s="5">
        <v>0</v>
      </c>
      <c r="AA116">
        <v>2</v>
      </c>
    </row>
    <row r="117" spans="4:27" x14ac:dyDescent="0.2">
      <c r="D117" t="str">
        <f ca="1"/>
        <v>19-Apr</v>
      </c>
      <c r="E117" s="5">
        <v>0</v>
      </c>
      <c r="F117" s="5">
        <v>0</v>
      </c>
      <c r="G117" s="5">
        <v>0</v>
      </c>
      <c r="H117" s="5">
        <v>0</v>
      </c>
      <c r="I117" s="5">
        <v>1</v>
      </c>
      <c r="J117" s="5">
        <v>0</v>
      </c>
      <c r="K117" s="5">
        <v>0</v>
      </c>
      <c r="L117" s="5">
        <v>1</v>
      </c>
      <c r="M117" s="5">
        <v>0</v>
      </c>
      <c r="N117" s="5">
        <v>0</v>
      </c>
      <c r="O117" s="5">
        <v>0</v>
      </c>
      <c r="Q117" s="5">
        <v>0</v>
      </c>
      <c r="R117" s="5">
        <v>0</v>
      </c>
      <c r="S117" s="5">
        <v>0</v>
      </c>
      <c r="T117" s="5">
        <v>0</v>
      </c>
      <c r="U117" s="5">
        <v>0</v>
      </c>
      <c r="V117" s="5">
        <v>0</v>
      </c>
      <c r="W117" s="5">
        <v>0</v>
      </c>
      <c r="X117" s="5">
        <v>0</v>
      </c>
      <c r="Y117" s="5">
        <v>0</v>
      </c>
      <c r="AA117">
        <v>2</v>
      </c>
    </row>
    <row r="118" spans="4:27" x14ac:dyDescent="0.2">
      <c r="D118" t="str">
        <f ca="1"/>
        <v>20-Apr</v>
      </c>
      <c r="E118" s="5">
        <v>0</v>
      </c>
      <c r="F118" s="5">
        <v>0</v>
      </c>
      <c r="G118" s="5">
        <v>0</v>
      </c>
      <c r="H118" s="5">
        <v>0</v>
      </c>
      <c r="I118" s="5">
        <v>1</v>
      </c>
      <c r="J118" s="5">
        <v>0</v>
      </c>
      <c r="K118" s="5">
        <v>0</v>
      </c>
      <c r="L118" s="5">
        <v>1</v>
      </c>
      <c r="M118" s="5">
        <v>0</v>
      </c>
      <c r="N118" s="5">
        <v>0</v>
      </c>
      <c r="O118" s="5">
        <v>0</v>
      </c>
      <c r="Q118" s="5">
        <v>0</v>
      </c>
      <c r="R118" s="5">
        <v>0</v>
      </c>
      <c r="S118" s="5">
        <v>0</v>
      </c>
      <c r="T118" s="5">
        <v>0</v>
      </c>
      <c r="U118" s="5">
        <v>0</v>
      </c>
      <c r="V118" s="5">
        <v>0</v>
      </c>
      <c r="W118" s="5">
        <v>0</v>
      </c>
      <c r="X118" s="5">
        <v>0</v>
      </c>
      <c r="Y118" s="5">
        <v>0</v>
      </c>
      <c r="AA118">
        <v>2</v>
      </c>
    </row>
    <row r="119" spans="4:27" x14ac:dyDescent="0.2">
      <c r="D119" t="str">
        <f ca="1"/>
        <v>21-Apr</v>
      </c>
      <c r="E119" s="5">
        <v>0</v>
      </c>
      <c r="F119" s="5">
        <v>0</v>
      </c>
      <c r="G119" s="5">
        <v>0</v>
      </c>
      <c r="H119" s="5">
        <v>0</v>
      </c>
      <c r="I119" s="5">
        <v>1</v>
      </c>
      <c r="J119" s="5">
        <v>0</v>
      </c>
      <c r="K119" s="5">
        <v>0</v>
      </c>
      <c r="L119" s="5">
        <v>1</v>
      </c>
      <c r="M119" s="5">
        <v>0</v>
      </c>
      <c r="N119" s="5">
        <v>0</v>
      </c>
      <c r="O119" s="5">
        <v>0</v>
      </c>
      <c r="Q119" s="5">
        <v>0</v>
      </c>
      <c r="R119" s="5">
        <v>0</v>
      </c>
      <c r="S119" s="5">
        <v>0</v>
      </c>
      <c r="T119" s="5">
        <v>0</v>
      </c>
      <c r="U119" s="5">
        <v>0</v>
      </c>
      <c r="V119" s="5">
        <v>0</v>
      </c>
      <c r="W119" s="5">
        <v>0</v>
      </c>
      <c r="X119" s="5">
        <v>0</v>
      </c>
      <c r="Y119" s="5">
        <v>0</v>
      </c>
      <c r="AA119">
        <v>2</v>
      </c>
    </row>
    <row r="120" spans="4:27" x14ac:dyDescent="0.2">
      <c r="D120" t="str">
        <f ca="1"/>
        <v>22-Apr</v>
      </c>
      <c r="E120" s="5">
        <v>0</v>
      </c>
      <c r="F120" s="5">
        <v>0</v>
      </c>
      <c r="G120" s="5">
        <v>0</v>
      </c>
      <c r="H120" s="5">
        <v>0</v>
      </c>
      <c r="I120" s="5">
        <v>1</v>
      </c>
      <c r="J120" s="5">
        <v>0</v>
      </c>
      <c r="K120" s="5">
        <v>0</v>
      </c>
      <c r="L120" s="5">
        <v>1</v>
      </c>
      <c r="M120" s="5">
        <v>0</v>
      </c>
      <c r="N120" s="5">
        <v>0</v>
      </c>
      <c r="O120" s="5">
        <v>0</v>
      </c>
      <c r="Q120" s="5">
        <v>0</v>
      </c>
      <c r="R120" s="5">
        <v>0</v>
      </c>
      <c r="S120" s="5">
        <v>0</v>
      </c>
      <c r="T120" s="5">
        <v>0</v>
      </c>
      <c r="U120" s="5">
        <v>0</v>
      </c>
      <c r="V120" s="5">
        <v>0</v>
      </c>
      <c r="W120" s="5">
        <v>0</v>
      </c>
      <c r="X120" s="5">
        <v>0</v>
      </c>
      <c r="Y120" s="5">
        <v>0</v>
      </c>
      <c r="AA120">
        <v>2</v>
      </c>
    </row>
    <row r="121" spans="4:27" x14ac:dyDescent="0.2">
      <c r="D121" t="str">
        <f ca="1"/>
        <v>23-Apr</v>
      </c>
      <c r="E121" s="5">
        <v>0</v>
      </c>
      <c r="F121" s="5">
        <v>0</v>
      </c>
      <c r="G121" s="5">
        <v>0</v>
      </c>
      <c r="H121" s="5">
        <v>0</v>
      </c>
      <c r="I121" s="5">
        <v>1</v>
      </c>
      <c r="J121" s="5">
        <v>0</v>
      </c>
      <c r="K121" s="5">
        <v>0</v>
      </c>
      <c r="L121" s="5">
        <v>1</v>
      </c>
      <c r="M121" s="5">
        <v>0</v>
      </c>
      <c r="N121" s="5">
        <v>0</v>
      </c>
      <c r="O121" s="5">
        <v>0</v>
      </c>
      <c r="Q121" s="5">
        <v>0</v>
      </c>
      <c r="R121" s="5">
        <v>0</v>
      </c>
      <c r="S121" s="5">
        <v>0</v>
      </c>
      <c r="T121" s="5">
        <v>0</v>
      </c>
      <c r="U121" s="5">
        <v>0</v>
      </c>
      <c r="V121" s="5">
        <v>0</v>
      </c>
      <c r="W121" s="5">
        <v>0</v>
      </c>
      <c r="X121" s="5">
        <v>0</v>
      </c>
      <c r="Y121" s="5">
        <v>0</v>
      </c>
      <c r="AA121">
        <v>2</v>
      </c>
    </row>
    <row r="122" spans="4:27" x14ac:dyDescent="0.2">
      <c r="D122" t="str">
        <f ca="1"/>
        <v>24-Apr</v>
      </c>
      <c r="E122" s="5">
        <v>0</v>
      </c>
      <c r="F122" s="5">
        <v>0</v>
      </c>
      <c r="G122" s="5">
        <v>0</v>
      </c>
      <c r="H122" s="5">
        <v>0</v>
      </c>
      <c r="I122" s="5">
        <v>1</v>
      </c>
      <c r="J122" s="5">
        <v>0</v>
      </c>
      <c r="K122" s="5">
        <v>0</v>
      </c>
      <c r="L122" s="5">
        <v>1</v>
      </c>
      <c r="M122" s="5">
        <v>0</v>
      </c>
      <c r="N122" s="5">
        <v>0</v>
      </c>
      <c r="O122" s="5">
        <v>0</v>
      </c>
      <c r="Q122" s="5">
        <v>0</v>
      </c>
      <c r="R122" s="5">
        <v>0</v>
      </c>
      <c r="S122" s="5">
        <v>0</v>
      </c>
      <c r="T122" s="5">
        <v>0</v>
      </c>
      <c r="U122" s="5">
        <v>0</v>
      </c>
      <c r="V122" s="5">
        <v>0</v>
      </c>
      <c r="W122" s="5">
        <v>0</v>
      </c>
      <c r="X122" s="5">
        <v>0</v>
      </c>
      <c r="Y122" s="5">
        <v>0</v>
      </c>
      <c r="AA122">
        <v>2</v>
      </c>
    </row>
    <row r="123" spans="4:27" x14ac:dyDescent="0.2">
      <c r="D123" t="str">
        <f ca="1"/>
        <v>25-Apr</v>
      </c>
      <c r="E123" s="5">
        <v>0</v>
      </c>
      <c r="F123" s="5">
        <v>0</v>
      </c>
      <c r="G123" s="5">
        <v>0</v>
      </c>
      <c r="H123" s="5">
        <v>0</v>
      </c>
      <c r="I123" s="5">
        <v>1</v>
      </c>
      <c r="J123" s="5">
        <v>0</v>
      </c>
      <c r="K123" s="5">
        <v>0</v>
      </c>
      <c r="L123" s="5">
        <v>1</v>
      </c>
      <c r="M123" s="5">
        <v>0</v>
      </c>
      <c r="N123" s="5">
        <v>0</v>
      </c>
      <c r="O123" s="5">
        <v>0</v>
      </c>
      <c r="Q123" s="5">
        <v>0</v>
      </c>
      <c r="R123" s="5">
        <v>0</v>
      </c>
      <c r="S123" s="5">
        <v>0</v>
      </c>
      <c r="T123" s="5">
        <v>0</v>
      </c>
      <c r="U123" s="5">
        <v>0</v>
      </c>
      <c r="V123" s="5">
        <v>0</v>
      </c>
      <c r="W123" s="5">
        <v>0</v>
      </c>
      <c r="X123" s="5">
        <v>0</v>
      </c>
      <c r="Y123" s="5">
        <v>0</v>
      </c>
      <c r="AA123">
        <v>2</v>
      </c>
    </row>
    <row r="124" spans="4:27" x14ac:dyDescent="0.2">
      <c r="D124" t="str">
        <f ca="1"/>
        <v>26-Apr</v>
      </c>
      <c r="E124" s="5">
        <v>0</v>
      </c>
      <c r="F124" s="5">
        <v>0</v>
      </c>
      <c r="G124" s="5">
        <v>0</v>
      </c>
      <c r="H124" s="5">
        <v>0</v>
      </c>
      <c r="I124" s="5">
        <v>1</v>
      </c>
      <c r="J124" s="5">
        <v>0</v>
      </c>
      <c r="K124" s="5">
        <v>0</v>
      </c>
      <c r="L124" s="5">
        <v>1</v>
      </c>
      <c r="M124" s="5">
        <v>0</v>
      </c>
      <c r="N124" s="5">
        <v>0</v>
      </c>
      <c r="O124" s="5">
        <v>0</v>
      </c>
      <c r="Q124" s="5">
        <v>0</v>
      </c>
      <c r="R124" s="5">
        <v>0</v>
      </c>
      <c r="S124" s="5">
        <v>0</v>
      </c>
      <c r="T124" s="5">
        <v>0</v>
      </c>
      <c r="U124" s="5">
        <v>0</v>
      </c>
      <c r="V124" s="5">
        <v>0</v>
      </c>
      <c r="W124" s="5">
        <v>0</v>
      </c>
      <c r="X124" s="5">
        <v>0</v>
      </c>
      <c r="Y124" s="5">
        <v>0</v>
      </c>
      <c r="AA124">
        <v>2</v>
      </c>
    </row>
    <row r="125" spans="4:27" x14ac:dyDescent="0.2">
      <c r="D125" t="str">
        <f ca="1"/>
        <v>27-Apr</v>
      </c>
      <c r="E125" s="5">
        <v>0</v>
      </c>
      <c r="F125" s="5">
        <v>0</v>
      </c>
      <c r="G125" s="5">
        <v>0</v>
      </c>
      <c r="H125" s="5">
        <v>0</v>
      </c>
      <c r="I125" s="5">
        <v>1</v>
      </c>
      <c r="J125" s="5">
        <v>0</v>
      </c>
      <c r="K125" s="5">
        <v>0</v>
      </c>
      <c r="L125" s="5">
        <v>1</v>
      </c>
      <c r="M125" s="5">
        <v>0</v>
      </c>
      <c r="N125" s="5">
        <v>0</v>
      </c>
      <c r="O125" s="5">
        <v>0</v>
      </c>
      <c r="Q125" s="5">
        <v>0</v>
      </c>
      <c r="R125" s="5">
        <v>0</v>
      </c>
      <c r="S125" s="5">
        <v>0</v>
      </c>
      <c r="T125" s="5">
        <v>0</v>
      </c>
      <c r="U125" s="5">
        <v>0</v>
      </c>
      <c r="V125" s="5">
        <v>0</v>
      </c>
      <c r="W125" s="5">
        <v>0</v>
      </c>
      <c r="X125" s="5">
        <v>0</v>
      </c>
      <c r="Y125" s="5">
        <v>0</v>
      </c>
      <c r="AA125">
        <v>2</v>
      </c>
    </row>
    <row r="126" spans="4:27" x14ac:dyDescent="0.2">
      <c r="D126" t="str">
        <f ca="1"/>
        <v>28-Apr</v>
      </c>
      <c r="E126" s="5">
        <v>0</v>
      </c>
      <c r="F126" s="5">
        <v>0</v>
      </c>
      <c r="G126" s="5">
        <v>0</v>
      </c>
      <c r="H126" s="5">
        <v>0</v>
      </c>
      <c r="I126" s="5">
        <v>1</v>
      </c>
      <c r="J126" s="5">
        <v>0</v>
      </c>
      <c r="K126" s="5">
        <v>0</v>
      </c>
      <c r="L126" s="5">
        <v>1</v>
      </c>
      <c r="M126" s="5">
        <v>0</v>
      </c>
      <c r="N126" s="5">
        <v>0</v>
      </c>
      <c r="O126" s="5">
        <v>0</v>
      </c>
      <c r="Q126" s="5">
        <v>0</v>
      </c>
      <c r="R126" s="5">
        <v>0</v>
      </c>
      <c r="S126" s="5">
        <v>0</v>
      </c>
      <c r="T126" s="5">
        <v>0</v>
      </c>
      <c r="U126" s="5">
        <v>0</v>
      </c>
      <c r="V126" s="5">
        <v>0</v>
      </c>
      <c r="W126" s="5">
        <v>0</v>
      </c>
      <c r="X126" s="5">
        <v>0</v>
      </c>
      <c r="Y126" s="5">
        <v>0</v>
      </c>
      <c r="AA126">
        <v>2</v>
      </c>
    </row>
    <row r="127" spans="4:27" x14ac:dyDescent="0.2">
      <c r="D127" t="str">
        <f ca="1"/>
        <v>29-Apr</v>
      </c>
      <c r="E127" s="5">
        <v>0</v>
      </c>
      <c r="F127" s="5">
        <v>0</v>
      </c>
      <c r="G127" s="5">
        <v>0</v>
      </c>
      <c r="H127" s="5">
        <v>0</v>
      </c>
      <c r="I127" s="5">
        <v>1</v>
      </c>
      <c r="J127" s="5">
        <v>0</v>
      </c>
      <c r="K127" s="5">
        <v>0</v>
      </c>
      <c r="L127" s="5">
        <v>1</v>
      </c>
      <c r="M127" s="5">
        <v>0</v>
      </c>
      <c r="N127" s="5">
        <v>0</v>
      </c>
      <c r="O127" s="5">
        <v>0</v>
      </c>
      <c r="Q127" s="5">
        <v>0</v>
      </c>
      <c r="R127" s="5">
        <v>0</v>
      </c>
      <c r="S127" s="5">
        <v>0</v>
      </c>
      <c r="T127" s="5">
        <v>0</v>
      </c>
      <c r="U127" s="5">
        <v>0</v>
      </c>
      <c r="V127" s="5">
        <v>0</v>
      </c>
      <c r="W127" s="5">
        <v>0</v>
      </c>
      <c r="X127" s="5">
        <v>0</v>
      </c>
      <c r="Y127" s="5">
        <v>0</v>
      </c>
      <c r="AA127">
        <v>2</v>
      </c>
    </row>
    <row r="128" spans="4:27" x14ac:dyDescent="0.2">
      <c r="D128" t="str">
        <f ca="1"/>
        <v>30-Apr</v>
      </c>
      <c r="E128" s="5">
        <v>0</v>
      </c>
      <c r="F128" s="5">
        <v>0</v>
      </c>
      <c r="G128" s="5">
        <v>0</v>
      </c>
      <c r="H128" s="5">
        <v>0</v>
      </c>
      <c r="I128" s="5">
        <v>1</v>
      </c>
      <c r="J128" s="5">
        <v>0</v>
      </c>
      <c r="K128" s="5">
        <v>0</v>
      </c>
      <c r="L128" s="5">
        <v>1</v>
      </c>
      <c r="M128" s="5">
        <v>0</v>
      </c>
      <c r="N128" s="5">
        <v>0</v>
      </c>
      <c r="O128" s="5">
        <v>0</v>
      </c>
      <c r="Q128" s="5">
        <v>0</v>
      </c>
      <c r="R128" s="5">
        <v>0</v>
      </c>
      <c r="S128" s="5">
        <v>0</v>
      </c>
      <c r="T128" s="5">
        <v>0</v>
      </c>
      <c r="U128" s="5">
        <v>0</v>
      </c>
      <c r="V128" s="5">
        <v>0</v>
      </c>
      <c r="W128" s="5">
        <v>0</v>
      </c>
      <c r="X128" s="5">
        <v>0</v>
      </c>
      <c r="Y128" s="5">
        <v>0</v>
      </c>
      <c r="AA128">
        <v>2</v>
      </c>
    </row>
    <row r="129" spans="4:27" x14ac:dyDescent="0.2">
      <c r="D129" t="str">
        <f ca="1"/>
        <v>01-May</v>
      </c>
      <c r="E129" s="5">
        <v>0</v>
      </c>
      <c r="F129" s="5">
        <v>0</v>
      </c>
      <c r="G129" s="5">
        <v>0</v>
      </c>
      <c r="H129" s="5">
        <v>0</v>
      </c>
      <c r="I129" s="5">
        <v>1</v>
      </c>
      <c r="J129" s="5">
        <v>0</v>
      </c>
      <c r="K129" s="5">
        <v>0</v>
      </c>
      <c r="L129" s="5">
        <v>0</v>
      </c>
      <c r="M129" s="5">
        <v>0</v>
      </c>
      <c r="N129" s="5">
        <v>0</v>
      </c>
      <c r="O129" s="5">
        <v>0</v>
      </c>
      <c r="Q129" s="5">
        <v>0</v>
      </c>
      <c r="R129" s="5">
        <v>1</v>
      </c>
      <c r="S129" s="5">
        <v>0</v>
      </c>
      <c r="T129" s="5">
        <v>0</v>
      </c>
      <c r="U129" s="5">
        <v>0</v>
      </c>
      <c r="V129" s="5">
        <v>0</v>
      </c>
      <c r="W129" s="5">
        <v>0</v>
      </c>
      <c r="X129" s="5">
        <v>0</v>
      </c>
      <c r="Y129" s="5">
        <v>0</v>
      </c>
      <c r="AA129">
        <v>2</v>
      </c>
    </row>
    <row r="130" spans="4:27" x14ac:dyDescent="0.2">
      <c r="D130" t="str">
        <f ca="1"/>
        <v>02-May</v>
      </c>
      <c r="E130" s="5">
        <v>0</v>
      </c>
      <c r="F130" s="5">
        <v>0</v>
      </c>
      <c r="G130" s="5">
        <v>0</v>
      </c>
      <c r="H130" s="5">
        <v>0</v>
      </c>
      <c r="I130" s="5">
        <v>0</v>
      </c>
      <c r="J130" s="5">
        <v>1</v>
      </c>
      <c r="K130" s="5">
        <v>0</v>
      </c>
      <c r="L130" s="5">
        <v>0</v>
      </c>
      <c r="M130" s="5">
        <v>0</v>
      </c>
      <c r="N130" s="5">
        <v>0</v>
      </c>
      <c r="O130" s="5">
        <v>0</v>
      </c>
      <c r="Q130" s="5">
        <v>0</v>
      </c>
      <c r="R130" s="5">
        <v>1</v>
      </c>
      <c r="S130" s="5">
        <v>0</v>
      </c>
      <c r="T130" s="5">
        <v>0</v>
      </c>
      <c r="U130" s="5">
        <v>0</v>
      </c>
      <c r="V130" s="5">
        <v>0</v>
      </c>
      <c r="W130" s="5">
        <v>0</v>
      </c>
      <c r="X130" s="5">
        <v>0</v>
      </c>
      <c r="Y130" s="5">
        <v>0</v>
      </c>
      <c r="AA130">
        <v>2</v>
      </c>
    </row>
    <row r="131" spans="4:27" x14ac:dyDescent="0.2">
      <c r="D131" t="str">
        <f ca="1"/>
        <v>03-May</v>
      </c>
      <c r="E131" s="5">
        <v>0</v>
      </c>
      <c r="F131" s="5">
        <v>0</v>
      </c>
      <c r="G131" s="5">
        <v>0</v>
      </c>
      <c r="H131" s="5">
        <v>0</v>
      </c>
      <c r="I131" s="5">
        <v>0</v>
      </c>
      <c r="J131" s="5">
        <v>1</v>
      </c>
      <c r="K131" s="5">
        <v>0</v>
      </c>
      <c r="L131" s="5">
        <v>0</v>
      </c>
      <c r="M131" s="5">
        <v>0</v>
      </c>
      <c r="N131" s="5">
        <v>0</v>
      </c>
      <c r="O131" s="5">
        <v>0</v>
      </c>
      <c r="Q131" s="5">
        <v>0</v>
      </c>
      <c r="R131" s="5">
        <v>1</v>
      </c>
      <c r="S131" s="5">
        <v>0</v>
      </c>
      <c r="T131" s="5">
        <v>0</v>
      </c>
      <c r="U131" s="5">
        <v>0</v>
      </c>
      <c r="V131" s="5">
        <v>0</v>
      </c>
      <c r="W131" s="5">
        <v>0</v>
      </c>
      <c r="X131" s="5">
        <v>0</v>
      </c>
      <c r="Y131" s="5">
        <v>0</v>
      </c>
      <c r="AA131">
        <v>2</v>
      </c>
    </row>
    <row r="132" spans="4:27" x14ac:dyDescent="0.2">
      <c r="D132" t="str">
        <f ca="1"/>
        <v>04-May</v>
      </c>
      <c r="E132" s="5">
        <v>0</v>
      </c>
      <c r="F132" s="5">
        <v>0</v>
      </c>
      <c r="G132" s="5">
        <v>0</v>
      </c>
      <c r="H132" s="5">
        <v>0</v>
      </c>
      <c r="I132" s="5">
        <v>0</v>
      </c>
      <c r="J132" s="5">
        <v>1</v>
      </c>
      <c r="K132" s="5">
        <v>0</v>
      </c>
      <c r="L132" s="5">
        <v>0</v>
      </c>
      <c r="M132" s="5">
        <v>0</v>
      </c>
      <c r="N132" s="5">
        <v>0</v>
      </c>
      <c r="O132" s="5">
        <v>0</v>
      </c>
      <c r="Q132" s="5">
        <v>0</v>
      </c>
      <c r="R132" s="5">
        <v>1</v>
      </c>
      <c r="S132" s="5">
        <v>0</v>
      </c>
      <c r="T132" s="5">
        <v>0</v>
      </c>
      <c r="U132" s="5">
        <v>0</v>
      </c>
      <c r="V132" s="5">
        <v>0</v>
      </c>
      <c r="W132" s="5">
        <v>0</v>
      </c>
      <c r="X132" s="5">
        <v>0</v>
      </c>
      <c r="Y132" s="5">
        <v>0</v>
      </c>
      <c r="AA132">
        <v>2</v>
      </c>
    </row>
    <row r="133" spans="4:27" x14ac:dyDescent="0.2">
      <c r="D133" t="str">
        <f ca="1"/>
        <v>05-May</v>
      </c>
      <c r="E133" s="5">
        <v>0</v>
      </c>
      <c r="F133" s="5">
        <v>0</v>
      </c>
      <c r="G133" s="5">
        <v>0</v>
      </c>
      <c r="H133" s="5">
        <v>0</v>
      </c>
      <c r="I133" s="5">
        <v>0</v>
      </c>
      <c r="J133" s="5">
        <v>1</v>
      </c>
      <c r="K133" s="5">
        <v>0</v>
      </c>
      <c r="L133" s="5">
        <v>0</v>
      </c>
      <c r="M133" s="5">
        <v>0</v>
      </c>
      <c r="N133" s="5">
        <v>0</v>
      </c>
      <c r="O133" s="5">
        <v>0</v>
      </c>
      <c r="Q133" s="5">
        <v>0</v>
      </c>
      <c r="R133" s="5">
        <v>1</v>
      </c>
      <c r="S133" s="5">
        <v>0</v>
      </c>
      <c r="T133" s="5">
        <v>0</v>
      </c>
      <c r="U133" s="5">
        <v>0</v>
      </c>
      <c r="V133" s="5">
        <v>0</v>
      </c>
      <c r="W133" s="5">
        <v>0</v>
      </c>
      <c r="X133" s="5">
        <v>0</v>
      </c>
      <c r="Y133" s="5">
        <v>0</v>
      </c>
      <c r="AA133">
        <v>2</v>
      </c>
    </row>
    <row r="134" spans="4:27" x14ac:dyDescent="0.2">
      <c r="D134" t="str">
        <f ca="1"/>
        <v>06-May</v>
      </c>
      <c r="E134" s="5">
        <v>0</v>
      </c>
      <c r="F134" s="5">
        <v>0</v>
      </c>
      <c r="G134" s="5">
        <v>0</v>
      </c>
      <c r="H134" s="5">
        <v>0</v>
      </c>
      <c r="I134" s="5">
        <v>0</v>
      </c>
      <c r="J134" s="5">
        <v>1</v>
      </c>
      <c r="K134" s="5">
        <v>0</v>
      </c>
      <c r="L134" s="5">
        <v>0</v>
      </c>
      <c r="M134" s="5">
        <v>0</v>
      </c>
      <c r="N134" s="5">
        <v>1</v>
      </c>
      <c r="O134" s="5">
        <v>0</v>
      </c>
      <c r="Q134" s="5">
        <v>0</v>
      </c>
      <c r="R134" s="5">
        <v>1</v>
      </c>
      <c r="S134" s="5">
        <v>0</v>
      </c>
      <c r="T134" s="5">
        <v>0</v>
      </c>
      <c r="U134" s="5">
        <v>0</v>
      </c>
      <c r="V134" s="5">
        <v>0</v>
      </c>
      <c r="W134" s="5">
        <v>0</v>
      </c>
      <c r="X134" s="5">
        <v>0</v>
      </c>
      <c r="Y134" s="5">
        <v>0</v>
      </c>
      <c r="AA134">
        <v>3</v>
      </c>
    </row>
    <row r="135" spans="4:27" x14ac:dyDescent="0.2">
      <c r="D135" t="str">
        <f ca="1"/>
        <v>07-May</v>
      </c>
      <c r="E135" s="5">
        <v>0</v>
      </c>
      <c r="F135" s="5">
        <v>0</v>
      </c>
      <c r="G135" s="5">
        <v>0</v>
      </c>
      <c r="H135" s="5">
        <v>0</v>
      </c>
      <c r="I135" s="5">
        <v>0</v>
      </c>
      <c r="J135" s="5">
        <v>1</v>
      </c>
      <c r="K135" s="5">
        <v>0</v>
      </c>
      <c r="L135" s="5">
        <v>0</v>
      </c>
      <c r="M135" s="5">
        <v>0</v>
      </c>
      <c r="N135" s="5">
        <v>1</v>
      </c>
      <c r="O135" s="5">
        <v>0</v>
      </c>
      <c r="Q135" s="5">
        <v>0</v>
      </c>
      <c r="R135" s="5">
        <v>1</v>
      </c>
      <c r="S135" s="5">
        <v>0</v>
      </c>
      <c r="T135" s="5">
        <v>0</v>
      </c>
      <c r="U135" s="5">
        <v>0</v>
      </c>
      <c r="V135" s="5">
        <v>0</v>
      </c>
      <c r="W135" s="5">
        <v>0</v>
      </c>
      <c r="X135" s="5">
        <v>0</v>
      </c>
      <c r="Y135" s="5">
        <v>0</v>
      </c>
      <c r="AA135">
        <v>3</v>
      </c>
    </row>
    <row r="136" spans="4:27" x14ac:dyDescent="0.2">
      <c r="D136" t="str">
        <f ca="1"/>
        <v>08-May</v>
      </c>
      <c r="E136" s="5">
        <v>0</v>
      </c>
      <c r="F136" s="5">
        <v>0</v>
      </c>
      <c r="G136" s="5">
        <v>0</v>
      </c>
      <c r="H136" s="5">
        <v>0</v>
      </c>
      <c r="I136" s="5">
        <v>0</v>
      </c>
      <c r="J136" s="5">
        <v>1</v>
      </c>
      <c r="K136" s="5">
        <v>0</v>
      </c>
      <c r="L136" s="5">
        <v>0</v>
      </c>
      <c r="M136" s="5">
        <v>0</v>
      </c>
      <c r="N136" s="5">
        <v>1</v>
      </c>
      <c r="O136" s="5">
        <v>0</v>
      </c>
      <c r="Q136" s="5">
        <v>0</v>
      </c>
      <c r="R136" s="5">
        <v>1</v>
      </c>
      <c r="S136" s="5">
        <v>0</v>
      </c>
      <c r="T136" s="5">
        <v>0</v>
      </c>
      <c r="U136" s="5">
        <v>0</v>
      </c>
      <c r="V136" s="5">
        <v>0</v>
      </c>
      <c r="W136" s="5">
        <v>0</v>
      </c>
      <c r="X136" s="5">
        <v>0</v>
      </c>
      <c r="Y136" s="5">
        <v>0</v>
      </c>
      <c r="AA136">
        <v>3</v>
      </c>
    </row>
    <row r="137" spans="4:27" x14ac:dyDescent="0.2">
      <c r="D137" t="str">
        <f ca="1"/>
        <v>09-May</v>
      </c>
      <c r="E137" s="5">
        <v>0</v>
      </c>
      <c r="F137" s="5">
        <v>0</v>
      </c>
      <c r="G137" s="5">
        <v>0</v>
      </c>
      <c r="H137" s="5">
        <v>0</v>
      </c>
      <c r="I137" s="5">
        <v>0</v>
      </c>
      <c r="J137" s="5">
        <v>1</v>
      </c>
      <c r="K137" s="5">
        <v>0</v>
      </c>
      <c r="L137" s="5">
        <v>0</v>
      </c>
      <c r="M137" s="5">
        <v>0</v>
      </c>
      <c r="N137" s="5">
        <v>0</v>
      </c>
      <c r="O137" s="5">
        <v>0</v>
      </c>
      <c r="Q137" s="5">
        <v>0</v>
      </c>
      <c r="R137" s="5">
        <v>1</v>
      </c>
      <c r="S137" s="5">
        <v>0</v>
      </c>
      <c r="T137" s="5">
        <v>0</v>
      </c>
      <c r="U137" s="5">
        <v>0</v>
      </c>
      <c r="V137" s="5">
        <v>0</v>
      </c>
      <c r="W137" s="5">
        <v>0</v>
      </c>
      <c r="X137" s="5">
        <v>0</v>
      </c>
      <c r="Y137" s="5">
        <v>0</v>
      </c>
      <c r="AA137">
        <v>2</v>
      </c>
    </row>
    <row r="138" spans="4:27" x14ac:dyDescent="0.2">
      <c r="D138" t="str">
        <f ca="1"/>
        <v>10-May</v>
      </c>
      <c r="E138" s="5">
        <v>0</v>
      </c>
      <c r="F138" s="5">
        <v>0</v>
      </c>
      <c r="G138" s="5">
        <v>0</v>
      </c>
      <c r="H138" s="5">
        <v>0</v>
      </c>
      <c r="I138" s="5">
        <v>0</v>
      </c>
      <c r="J138" s="5">
        <v>1</v>
      </c>
      <c r="K138" s="5">
        <v>0</v>
      </c>
      <c r="L138" s="5">
        <v>0</v>
      </c>
      <c r="M138" s="5">
        <v>0</v>
      </c>
      <c r="N138" s="5">
        <v>1</v>
      </c>
      <c r="O138" s="5">
        <v>0</v>
      </c>
      <c r="Q138" s="5">
        <v>0</v>
      </c>
      <c r="R138" s="5">
        <v>1</v>
      </c>
      <c r="S138" s="5">
        <v>0</v>
      </c>
      <c r="T138" s="5">
        <v>0</v>
      </c>
      <c r="U138" s="5">
        <v>0</v>
      </c>
      <c r="V138" s="5">
        <v>0</v>
      </c>
      <c r="W138" s="5">
        <v>0</v>
      </c>
      <c r="X138" s="5">
        <v>0</v>
      </c>
      <c r="Y138" s="5">
        <v>0</v>
      </c>
      <c r="AA138">
        <v>3</v>
      </c>
    </row>
    <row r="139" spans="4:27" x14ac:dyDescent="0.2">
      <c r="D139" t="str">
        <f ca="1"/>
        <v>11-May</v>
      </c>
      <c r="E139" s="5">
        <v>0</v>
      </c>
      <c r="F139" s="5">
        <v>0</v>
      </c>
      <c r="G139" s="5">
        <v>0</v>
      </c>
      <c r="H139" s="5">
        <v>0</v>
      </c>
      <c r="I139" s="5">
        <v>0</v>
      </c>
      <c r="J139" s="5">
        <v>1</v>
      </c>
      <c r="K139" s="5">
        <v>0</v>
      </c>
      <c r="L139" s="5">
        <v>0</v>
      </c>
      <c r="M139" s="5">
        <v>0</v>
      </c>
      <c r="N139" s="5">
        <v>1</v>
      </c>
      <c r="O139" s="5">
        <v>0</v>
      </c>
      <c r="Q139" s="5">
        <v>0</v>
      </c>
      <c r="R139" s="5">
        <v>1</v>
      </c>
      <c r="S139" s="5">
        <v>0</v>
      </c>
      <c r="T139" s="5">
        <v>0</v>
      </c>
      <c r="U139" s="5">
        <v>0</v>
      </c>
      <c r="V139" s="5">
        <v>0</v>
      </c>
      <c r="W139" s="5">
        <v>0</v>
      </c>
      <c r="X139" s="5">
        <v>0</v>
      </c>
      <c r="Y139" s="5">
        <v>0</v>
      </c>
      <c r="AA139">
        <v>3</v>
      </c>
    </row>
    <row r="140" spans="4:27" x14ac:dyDescent="0.2">
      <c r="D140" t="str">
        <f ca="1"/>
        <v>12-May</v>
      </c>
      <c r="E140" s="5">
        <v>0</v>
      </c>
      <c r="F140" s="5">
        <v>0</v>
      </c>
      <c r="G140" s="5">
        <v>0</v>
      </c>
      <c r="H140" s="5">
        <v>0</v>
      </c>
      <c r="I140" s="5">
        <v>0</v>
      </c>
      <c r="J140" s="5">
        <v>1</v>
      </c>
      <c r="K140" s="5">
        <v>0</v>
      </c>
      <c r="L140" s="5">
        <v>0</v>
      </c>
      <c r="M140" s="5">
        <v>0</v>
      </c>
      <c r="N140" s="5">
        <v>1</v>
      </c>
      <c r="O140" s="5">
        <v>0</v>
      </c>
      <c r="Q140" s="5">
        <v>0</v>
      </c>
      <c r="R140" s="5">
        <v>1</v>
      </c>
      <c r="S140" s="5">
        <v>0</v>
      </c>
      <c r="T140" s="5">
        <v>0</v>
      </c>
      <c r="U140" s="5">
        <v>0</v>
      </c>
      <c r="V140" s="5">
        <v>0</v>
      </c>
      <c r="W140" s="5">
        <v>0</v>
      </c>
      <c r="X140" s="5">
        <v>0</v>
      </c>
      <c r="Y140" s="5">
        <v>0</v>
      </c>
      <c r="AA140">
        <v>3</v>
      </c>
    </row>
    <row r="141" spans="4:27" x14ac:dyDescent="0.2">
      <c r="D141" t="str">
        <f ca="1"/>
        <v>13-May</v>
      </c>
      <c r="E141" s="5">
        <v>0</v>
      </c>
      <c r="F141" s="5">
        <v>0</v>
      </c>
      <c r="G141" s="5">
        <v>0</v>
      </c>
      <c r="H141" s="5">
        <v>0</v>
      </c>
      <c r="I141" s="5">
        <v>0</v>
      </c>
      <c r="J141" s="5">
        <v>1</v>
      </c>
      <c r="K141" s="5">
        <v>0</v>
      </c>
      <c r="L141" s="5">
        <v>0</v>
      </c>
      <c r="M141" s="5">
        <v>0</v>
      </c>
      <c r="N141" s="5">
        <v>1</v>
      </c>
      <c r="O141" s="5">
        <v>0</v>
      </c>
      <c r="Q141" s="5">
        <v>0</v>
      </c>
      <c r="R141" s="5">
        <v>1</v>
      </c>
      <c r="S141" s="5">
        <v>0</v>
      </c>
      <c r="T141" s="5">
        <v>0</v>
      </c>
      <c r="U141" s="5">
        <v>0</v>
      </c>
      <c r="V141" s="5">
        <v>0</v>
      </c>
      <c r="W141" s="5">
        <v>0</v>
      </c>
      <c r="X141" s="5">
        <v>0</v>
      </c>
      <c r="Y141" s="5">
        <v>0</v>
      </c>
      <c r="AA141">
        <v>3</v>
      </c>
    </row>
    <row r="142" spans="4:27" x14ac:dyDescent="0.2">
      <c r="D142" t="str">
        <f ca="1"/>
        <v>14-May</v>
      </c>
      <c r="E142" s="5">
        <v>0</v>
      </c>
      <c r="F142" s="5">
        <v>0</v>
      </c>
      <c r="G142" s="5">
        <v>0</v>
      </c>
      <c r="H142" s="5">
        <v>0</v>
      </c>
      <c r="I142" s="5">
        <v>0</v>
      </c>
      <c r="J142" s="5">
        <v>1</v>
      </c>
      <c r="K142" s="5">
        <v>0</v>
      </c>
      <c r="L142" s="5">
        <v>0</v>
      </c>
      <c r="M142" s="5">
        <v>0</v>
      </c>
      <c r="N142" s="5">
        <v>1</v>
      </c>
      <c r="O142" s="5">
        <v>0</v>
      </c>
      <c r="Q142" s="5">
        <v>0</v>
      </c>
      <c r="R142" s="5">
        <v>1</v>
      </c>
      <c r="S142" s="5">
        <v>0</v>
      </c>
      <c r="T142" s="5">
        <v>0</v>
      </c>
      <c r="U142" s="5">
        <v>0</v>
      </c>
      <c r="V142" s="5">
        <v>0</v>
      </c>
      <c r="W142" s="5">
        <v>0</v>
      </c>
      <c r="X142" s="5">
        <v>0</v>
      </c>
      <c r="Y142" s="5">
        <v>0</v>
      </c>
      <c r="AA142">
        <v>3</v>
      </c>
    </row>
    <row r="143" spans="4:27" x14ac:dyDescent="0.2">
      <c r="D143" t="str">
        <f ca="1"/>
        <v>15-May</v>
      </c>
      <c r="E143" s="5">
        <v>0</v>
      </c>
      <c r="F143" s="5">
        <v>0</v>
      </c>
      <c r="G143" s="5">
        <v>0</v>
      </c>
      <c r="H143" s="5">
        <v>0</v>
      </c>
      <c r="I143" s="5">
        <v>0</v>
      </c>
      <c r="J143" s="5">
        <v>1</v>
      </c>
      <c r="K143" s="5">
        <v>0</v>
      </c>
      <c r="L143" s="5">
        <v>0</v>
      </c>
      <c r="M143" s="5">
        <v>0</v>
      </c>
      <c r="N143" s="5">
        <v>1</v>
      </c>
      <c r="O143" s="5">
        <v>0</v>
      </c>
      <c r="Q143" s="5">
        <v>0</v>
      </c>
      <c r="R143" s="5">
        <v>1</v>
      </c>
      <c r="S143" s="5">
        <v>0</v>
      </c>
      <c r="T143" s="5">
        <v>0</v>
      </c>
      <c r="U143" s="5">
        <v>0</v>
      </c>
      <c r="V143" s="5">
        <v>0</v>
      </c>
      <c r="W143" s="5">
        <v>0</v>
      </c>
      <c r="X143" s="5">
        <v>0</v>
      </c>
      <c r="Y143" s="5">
        <v>0</v>
      </c>
      <c r="AA143">
        <v>3</v>
      </c>
    </row>
    <row r="144" spans="4:27" x14ac:dyDescent="0.2">
      <c r="D144" t="str">
        <f ca="1"/>
        <v>16-May</v>
      </c>
      <c r="E144" s="5">
        <v>0</v>
      </c>
      <c r="F144" s="5">
        <v>0</v>
      </c>
      <c r="G144" s="5">
        <v>0</v>
      </c>
      <c r="H144" s="5">
        <v>0</v>
      </c>
      <c r="I144" s="5">
        <v>0</v>
      </c>
      <c r="J144" s="5">
        <v>1</v>
      </c>
      <c r="K144" s="5">
        <v>0</v>
      </c>
      <c r="L144" s="5">
        <v>0</v>
      </c>
      <c r="M144" s="5">
        <v>0</v>
      </c>
      <c r="N144" s="5">
        <v>1</v>
      </c>
      <c r="O144" s="5">
        <v>0</v>
      </c>
      <c r="Q144" s="5">
        <v>0</v>
      </c>
      <c r="R144" s="5">
        <v>1</v>
      </c>
      <c r="S144" s="5">
        <v>0</v>
      </c>
      <c r="T144" s="5">
        <v>0</v>
      </c>
      <c r="U144" s="5">
        <v>0</v>
      </c>
      <c r="V144" s="5">
        <v>0</v>
      </c>
      <c r="W144" s="5">
        <v>0</v>
      </c>
      <c r="X144" s="5">
        <v>0</v>
      </c>
      <c r="Y144" s="5">
        <v>0</v>
      </c>
      <c r="AA144">
        <v>3</v>
      </c>
    </row>
    <row r="145" spans="4:27" x14ac:dyDescent="0.2">
      <c r="D145" t="str">
        <f ca="1"/>
        <v>17-May</v>
      </c>
      <c r="E145" s="5">
        <v>0</v>
      </c>
      <c r="F145" s="5">
        <v>0</v>
      </c>
      <c r="G145" s="5">
        <v>0</v>
      </c>
      <c r="H145" s="5">
        <v>0</v>
      </c>
      <c r="I145" s="5">
        <v>0</v>
      </c>
      <c r="J145" s="5">
        <v>1</v>
      </c>
      <c r="K145" s="5">
        <v>0</v>
      </c>
      <c r="L145" s="5">
        <v>0</v>
      </c>
      <c r="M145" s="5">
        <v>0</v>
      </c>
      <c r="N145" s="5">
        <v>1</v>
      </c>
      <c r="O145" s="5">
        <v>0</v>
      </c>
      <c r="Q145" s="5">
        <v>0</v>
      </c>
      <c r="R145" s="5">
        <v>1</v>
      </c>
      <c r="S145" s="5">
        <v>0</v>
      </c>
      <c r="T145" s="5">
        <v>0</v>
      </c>
      <c r="U145" s="5">
        <v>0</v>
      </c>
      <c r="V145" s="5">
        <v>0</v>
      </c>
      <c r="W145" s="5">
        <v>0</v>
      </c>
      <c r="X145" s="5">
        <v>0</v>
      </c>
      <c r="Y145" s="5">
        <v>0</v>
      </c>
      <c r="AA145">
        <v>3</v>
      </c>
    </row>
    <row r="146" spans="4:27" x14ac:dyDescent="0.2">
      <c r="D146" t="str">
        <f ca="1"/>
        <v>18-May</v>
      </c>
      <c r="E146" s="5">
        <v>0</v>
      </c>
      <c r="F146" s="5">
        <v>0</v>
      </c>
      <c r="G146" s="5">
        <v>0</v>
      </c>
      <c r="H146" s="5">
        <v>0</v>
      </c>
      <c r="I146" s="5">
        <v>0</v>
      </c>
      <c r="J146" s="5">
        <v>1</v>
      </c>
      <c r="K146" s="5">
        <v>0</v>
      </c>
      <c r="L146" s="5">
        <v>0</v>
      </c>
      <c r="M146" s="5">
        <v>0</v>
      </c>
      <c r="N146" s="5">
        <v>1</v>
      </c>
      <c r="O146" s="5">
        <v>0</v>
      </c>
      <c r="Q146" s="5">
        <v>0</v>
      </c>
      <c r="R146" s="5">
        <v>1</v>
      </c>
      <c r="S146" s="5">
        <v>0</v>
      </c>
      <c r="T146" s="5">
        <v>0</v>
      </c>
      <c r="U146" s="5">
        <v>0</v>
      </c>
      <c r="V146" s="5">
        <v>0</v>
      </c>
      <c r="W146" s="5">
        <v>0</v>
      </c>
      <c r="X146" s="5">
        <v>0</v>
      </c>
      <c r="Y146" s="5">
        <v>0</v>
      </c>
      <c r="AA146">
        <v>3</v>
      </c>
    </row>
    <row r="147" spans="4:27" x14ac:dyDescent="0.2">
      <c r="D147" t="str">
        <f ca="1"/>
        <v>19-May</v>
      </c>
      <c r="E147" s="5">
        <v>0</v>
      </c>
      <c r="F147" s="5">
        <v>0</v>
      </c>
      <c r="G147" s="5">
        <v>0</v>
      </c>
      <c r="H147" s="5">
        <v>0</v>
      </c>
      <c r="I147" s="5">
        <v>0</v>
      </c>
      <c r="J147" s="5">
        <v>1</v>
      </c>
      <c r="K147" s="5">
        <v>0</v>
      </c>
      <c r="L147" s="5">
        <v>0</v>
      </c>
      <c r="M147" s="5">
        <v>0</v>
      </c>
      <c r="N147" s="5">
        <v>1</v>
      </c>
      <c r="O147" s="5">
        <v>0</v>
      </c>
      <c r="Q147" s="5">
        <v>0</v>
      </c>
      <c r="R147" s="5">
        <v>1</v>
      </c>
      <c r="S147" s="5">
        <v>0</v>
      </c>
      <c r="T147" s="5">
        <v>0</v>
      </c>
      <c r="U147" s="5">
        <v>0</v>
      </c>
      <c r="V147" s="5">
        <v>0</v>
      </c>
      <c r="W147" s="5">
        <v>0</v>
      </c>
      <c r="X147" s="5">
        <v>0</v>
      </c>
      <c r="Y147" s="5">
        <v>0</v>
      </c>
      <c r="AA147">
        <v>3</v>
      </c>
    </row>
    <row r="148" spans="4:27" x14ac:dyDescent="0.2">
      <c r="D148" t="str">
        <f ca="1"/>
        <v>20-May</v>
      </c>
      <c r="E148" s="5">
        <v>0</v>
      </c>
      <c r="F148" s="5">
        <v>0</v>
      </c>
      <c r="G148" s="5">
        <v>0</v>
      </c>
      <c r="H148" s="5">
        <v>0</v>
      </c>
      <c r="I148" s="5">
        <v>0</v>
      </c>
      <c r="J148" s="5">
        <v>1</v>
      </c>
      <c r="K148" s="5">
        <v>0</v>
      </c>
      <c r="L148" s="5">
        <v>0</v>
      </c>
      <c r="M148" s="5">
        <v>0</v>
      </c>
      <c r="N148" s="5">
        <v>1</v>
      </c>
      <c r="O148" s="5">
        <v>0</v>
      </c>
      <c r="Q148" s="5">
        <v>0</v>
      </c>
      <c r="R148" s="5">
        <v>1</v>
      </c>
      <c r="S148" s="5">
        <v>0</v>
      </c>
      <c r="T148" s="5">
        <v>0</v>
      </c>
      <c r="U148" s="5">
        <v>0</v>
      </c>
      <c r="V148" s="5">
        <v>0</v>
      </c>
      <c r="W148" s="5">
        <v>0</v>
      </c>
      <c r="X148" s="5">
        <v>0</v>
      </c>
      <c r="Y148" s="5">
        <v>0</v>
      </c>
      <c r="AA148">
        <v>3</v>
      </c>
    </row>
    <row r="149" spans="4:27" x14ac:dyDescent="0.2">
      <c r="D149" t="str">
        <f ca="1"/>
        <v>21-May</v>
      </c>
      <c r="E149" s="5">
        <v>0</v>
      </c>
      <c r="F149" s="5">
        <v>0</v>
      </c>
      <c r="G149" s="5">
        <v>0</v>
      </c>
      <c r="H149" s="5">
        <v>0</v>
      </c>
      <c r="I149" s="5">
        <v>0</v>
      </c>
      <c r="J149" s="5">
        <v>1</v>
      </c>
      <c r="K149" s="5">
        <v>0</v>
      </c>
      <c r="L149" s="5">
        <v>0</v>
      </c>
      <c r="M149" s="5">
        <v>0</v>
      </c>
      <c r="N149" s="5">
        <v>1</v>
      </c>
      <c r="O149" s="5">
        <v>0</v>
      </c>
      <c r="Q149" s="5">
        <v>0</v>
      </c>
      <c r="R149" s="5">
        <v>1</v>
      </c>
      <c r="S149" s="5">
        <v>0</v>
      </c>
      <c r="T149" s="5">
        <v>0</v>
      </c>
      <c r="U149" s="5">
        <v>0</v>
      </c>
      <c r="V149" s="5">
        <v>0</v>
      </c>
      <c r="W149" s="5">
        <v>0</v>
      </c>
      <c r="X149" s="5">
        <v>0</v>
      </c>
      <c r="Y149" s="5">
        <v>0</v>
      </c>
      <c r="AA149">
        <v>3</v>
      </c>
    </row>
    <row r="150" spans="4:27" x14ac:dyDescent="0.2">
      <c r="D150" t="str">
        <f ca="1"/>
        <v>22-May</v>
      </c>
      <c r="E150" s="5">
        <v>0</v>
      </c>
      <c r="F150" s="5">
        <v>0</v>
      </c>
      <c r="G150" s="5">
        <v>0</v>
      </c>
      <c r="H150" s="5">
        <v>0</v>
      </c>
      <c r="I150" s="5">
        <v>0</v>
      </c>
      <c r="J150" s="5">
        <v>1</v>
      </c>
      <c r="K150" s="5">
        <v>0</v>
      </c>
      <c r="L150" s="5">
        <v>0</v>
      </c>
      <c r="M150" s="5">
        <v>0</v>
      </c>
      <c r="N150" s="5">
        <v>1</v>
      </c>
      <c r="O150" s="5">
        <v>0</v>
      </c>
      <c r="Q150" s="5">
        <v>0</v>
      </c>
      <c r="R150" s="5">
        <v>1</v>
      </c>
      <c r="S150" s="5">
        <v>0</v>
      </c>
      <c r="T150" s="5">
        <v>0</v>
      </c>
      <c r="U150" s="5">
        <v>0</v>
      </c>
      <c r="V150" s="5">
        <v>0</v>
      </c>
      <c r="W150" s="5">
        <v>0</v>
      </c>
      <c r="X150" s="5">
        <v>0</v>
      </c>
      <c r="Y150" s="5">
        <v>0</v>
      </c>
      <c r="AA150">
        <v>3</v>
      </c>
    </row>
    <row r="151" spans="4:27" x14ac:dyDescent="0.2">
      <c r="D151" t="str">
        <f ca="1"/>
        <v>23-May</v>
      </c>
      <c r="E151" s="5">
        <v>0</v>
      </c>
      <c r="F151" s="5">
        <v>0</v>
      </c>
      <c r="G151" s="5">
        <v>0</v>
      </c>
      <c r="H151" s="5">
        <v>0</v>
      </c>
      <c r="I151" s="5">
        <v>0</v>
      </c>
      <c r="J151" s="5">
        <v>1</v>
      </c>
      <c r="K151" s="5">
        <v>0</v>
      </c>
      <c r="L151" s="5">
        <v>0</v>
      </c>
      <c r="M151" s="5">
        <v>0</v>
      </c>
      <c r="N151" s="5">
        <v>1</v>
      </c>
      <c r="O151" s="5">
        <v>0</v>
      </c>
      <c r="Q151" s="5">
        <v>0</v>
      </c>
      <c r="R151" s="5">
        <v>1</v>
      </c>
      <c r="S151" s="5">
        <v>0</v>
      </c>
      <c r="T151" s="5">
        <v>0</v>
      </c>
      <c r="U151" s="5">
        <v>0</v>
      </c>
      <c r="V151" s="5">
        <v>0</v>
      </c>
      <c r="W151" s="5">
        <v>0</v>
      </c>
      <c r="X151" s="5">
        <v>0</v>
      </c>
      <c r="Y151" s="5">
        <v>0</v>
      </c>
      <c r="AA151">
        <v>3</v>
      </c>
    </row>
    <row r="152" spans="4:27" x14ac:dyDescent="0.2">
      <c r="D152" t="str">
        <f ca="1"/>
        <v>24-May</v>
      </c>
      <c r="E152" s="5">
        <v>0</v>
      </c>
      <c r="F152" s="5">
        <v>0</v>
      </c>
      <c r="G152" s="5">
        <v>0</v>
      </c>
      <c r="H152" s="5">
        <v>0</v>
      </c>
      <c r="I152" s="5">
        <v>0</v>
      </c>
      <c r="J152" s="5">
        <v>1</v>
      </c>
      <c r="K152" s="5">
        <v>0</v>
      </c>
      <c r="L152" s="5">
        <v>0</v>
      </c>
      <c r="M152" s="5">
        <v>0</v>
      </c>
      <c r="N152" s="5">
        <v>1</v>
      </c>
      <c r="O152" s="5">
        <v>0</v>
      </c>
      <c r="Q152" s="5">
        <v>0</v>
      </c>
      <c r="R152" s="5">
        <v>1</v>
      </c>
      <c r="S152" s="5">
        <v>0</v>
      </c>
      <c r="T152" s="5">
        <v>0</v>
      </c>
      <c r="U152" s="5">
        <v>0</v>
      </c>
      <c r="V152" s="5">
        <v>0</v>
      </c>
      <c r="W152" s="5">
        <v>0</v>
      </c>
      <c r="X152" s="5">
        <v>0</v>
      </c>
      <c r="Y152" s="5">
        <v>0</v>
      </c>
      <c r="AA152">
        <v>3</v>
      </c>
    </row>
    <row r="153" spans="4:27" x14ac:dyDescent="0.2">
      <c r="D153" t="str">
        <f ca="1"/>
        <v>25-May</v>
      </c>
      <c r="E153" s="5">
        <v>0</v>
      </c>
      <c r="F153" s="5">
        <v>0</v>
      </c>
      <c r="G153" s="5">
        <v>0</v>
      </c>
      <c r="H153" s="5">
        <v>0</v>
      </c>
      <c r="I153" s="5">
        <v>0</v>
      </c>
      <c r="J153" s="5">
        <v>1</v>
      </c>
      <c r="K153" s="5">
        <v>0</v>
      </c>
      <c r="L153" s="5">
        <v>0</v>
      </c>
      <c r="M153" s="5">
        <v>0</v>
      </c>
      <c r="N153" s="5">
        <v>1</v>
      </c>
      <c r="O153" s="5">
        <v>0</v>
      </c>
      <c r="Q153" s="5">
        <v>0</v>
      </c>
      <c r="R153" s="5">
        <v>1</v>
      </c>
      <c r="S153" s="5">
        <v>0</v>
      </c>
      <c r="T153" s="5">
        <v>0</v>
      </c>
      <c r="U153" s="5">
        <v>0</v>
      </c>
      <c r="V153" s="5">
        <v>0</v>
      </c>
      <c r="W153" s="5">
        <v>0</v>
      </c>
      <c r="X153" s="5">
        <v>0</v>
      </c>
      <c r="Y153" s="5">
        <v>0</v>
      </c>
      <c r="AA153">
        <v>3</v>
      </c>
    </row>
    <row r="154" spans="4:27" x14ac:dyDescent="0.2">
      <c r="D154" t="str">
        <f ca="1"/>
        <v>26-May</v>
      </c>
      <c r="E154" s="5">
        <v>0</v>
      </c>
      <c r="F154" s="5">
        <v>0</v>
      </c>
      <c r="G154" s="5">
        <v>0</v>
      </c>
      <c r="H154" s="5">
        <v>0</v>
      </c>
      <c r="I154" s="5">
        <v>0</v>
      </c>
      <c r="J154" s="5">
        <v>1</v>
      </c>
      <c r="K154" s="5">
        <v>0</v>
      </c>
      <c r="L154" s="5">
        <v>0</v>
      </c>
      <c r="M154" s="5">
        <v>0</v>
      </c>
      <c r="N154" s="5">
        <v>1</v>
      </c>
      <c r="O154" s="5">
        <v>0</v>
      </c>
      <c r="Q154" s="5">
        <v>0</v>
      </c>
      <c r="R154" s="5">
        <v>1</v>
      </c>
      <c r="S154" s="5">
        <v>0</v>
      </c>
      <c r="T154" s="5">
        <v>0</v>
      </c>
      <c r="U154" s="5">
        <v>0</v>
      </c>
      <c r="V154" s="5">
        <v>0</v>
      </c>
      <c r="W154" s="5">
        <v>0</v>
      </c>
      <c r="X154" s="5">
        <v>0</v>
      </c>
      <c r="Y154" s="5">
        <v>0</v>
      </c>
      <c r="AA154">
        <v>3</v>
      </c>
    </row>
    <row r="155" spans="4:27" x14ac:dyDescent="0.2">
      <c r="D155" t="str">
        <f ca="1"/>
        <v>27-May</v>
      </c>
      <c r="E155" s="5">
        <v>0</v>
      </c>
      <c r="F155" s="5">
        <v>0</v>
      </c>
      <c r="G155" s="5">
        <v>0</v>
      </c>
      <c r="H155" s="5">
        <v>0</v>
      </c>
      <c r="I155" s="5">
        <v>0</v>
      </c>
      <c r="J155" s="5">
        <v>1</v>
      </c>
      <c r="K155" s="5">
        <v>0</v>
      </c>
      <c r="L155" s="5">
        <v>0</v>
      </c>
      <c r="M155" s="5">
        <v>0</v>
      </c>
      <c r="N155" s="5">
        <v>1</v>
      </c>
      <c r="O155" s="5">
        <v>0</v>
      </c>
      <c r="Q155" s="5">
        <v>0</v>
      </c>
      <c r="R155" s="5">
        <v>0</v>
      </c>
      <c r="S155" s="5">
        <v>0</v>
      </c>
      <c r="T155" s="5">
        <v>0</v>
      </c>
      <c r="U155" s="5">
        <v>0</v>
      </c>
      <c r="V155" s="5">
        <v>0</v>
      </c>
      <c r="W155" s="5">
        <v>0</v>
      </c>
      <c r="X155" s="5">
        <v>0</v>
      </c>
      <c r="Y155" s="5">
        <v>0</v>
      </c>
      <c r="AA155">
        <v>2</v>
      </c>
    </row>
    <row r="156" spans="4:27" x14ac:dyDescent="0.2">
      <c r="D156" t="str">
        <f ca="1"/>
        <v>28-May</v>
      </c>
      <c r="E156" s="5">
        <v>0</v>
      </c>
      <c r="F156" s="5">
        <v>0</v>
      </c>
      <c r="G156" s="5">
        <v>0</v>
      </c>
      <c r="H156" s="5">
        <v>0</v>
      </c>
      <c r="I156" s="5">
        <v>0</v>
      </c>
      <c r="J156" s="5">
        <v>1</v>
      </c>
      <c r="K156" s="5">
        <v>0</v>
      </c>
      <c r="L156" s="5">
        <v>0</v>
      </c>
      <c r="M156" s="5">
        <v>0</v>
      </c>
      <c r="N156" s="5">
        <v>1</v>
      </c>
      <c r="O156" s="5">
        <v>0</v>
      </c>
      <c r="Q156" s="5">
        <v>0</v>
      </c>
      <c r="R156" s="5">
        <v>0</v>
      </c>
      <c r="S156" s="5">
        <v>0</v>
      </c>
      <c r="T156" s="5">
        <v>0</v>
      </c>
      <c r="U156" s="5">
        <v>0</v>
      </c>
      <c r="V156" s="5">
        <v>0</v>
      </c>
      <c r="W156" s="5">
        <v>0</v>
      </c>
      <c r="X156" s="5">
        <v>0</v>
      </c>
      <c r="Y156" s="5">
        <v>0</v>
      </c>
      <c r="AA156">
        <v>2</v>
      </c>
    </row>
    <row r="157" spans="4:27" x14ac:dyDescent="0.2">
      <c r="D157" t="str">
        <f ca="1"/>
        <v>29-May</v>
      </c>
      <c r="E157" s="5">
        <v>0</v>
      </c>
      <c r="F157" s="5">
        <v>0</v>
      </c>
      <c r="G157" s="5">
        <v>0</v>
      </c>
      <c r="H157" s="5">
        <v>0</v>
      </c>
      <c r="I157" s="5">
        <v>0</v>
      </c>
      <c r="J157" s="5">
        <v>1</v>
      </c>
      <c r="K157" s="5">
        <v>0</v>
      </c>
      <c r="L157" s="5">
        <v>0</v>
      </c>
      <c r="M157" s="5">
        <v>0</v>
      </c>
      <c r="N157" s="5">
        <v>1</v>
      </c>
      <c r="O157" s="5">
        <v>0</v>
      </c>
      <c r="Q157" s="5">
        <v>0</v>
      </c>
      <c r="R157" s="5">
        <v>0</v>
      </c>
      <c r="S157" s="5">
        <v>0</v>
      </c>
      <c r="T157" s="5">
        <v>0</v>
      </c>
      <c r="U157" s="5">
        <v>0</v>
      </c>
      <c r="V157" s="5">
        <v>0</v>
      </c>
      <c r="W157" s="5">
        <v>0</v>
      </c>
      <c r="X157" s="5">
        <v>0</v>
      </c>
      <c r="Y157" s="5">
        <v>0</v>
      </c>
      <c r="AA157">
        <v>2</v>
      </c>
    </row>
    <row r="158" spans="4:27" x14ac:dyDescent="0.2">
      <c r="D158" t="str">
        <f ca="1"/>
        <v>30-May</v>
      </c>
      <c r="E158" s="5">
        <v>0</v>
      </c>
      <c r="F158" s="5">
        <v>0</v>
      </c>
      <c r="G158" s="5">
        <v>0</v>
      </c>
      <c r="H158" s="5">
        <v>0</v>
      </c>
      <c r="I158" s="5">
        <v>0</v>
      </c>
      <c r="J158" s="5">
        <v>1</v>
      </c>
      <c r="K158" s="5">
        <v>0</v>
      </c>
      <c r="L158" s="5">
        <v>0</v>
      </c>
      <c r="M158" s="5">
        <v>0</v>
      </c>
      <c r="N158" s="5">
        <v>1</v>
      </c>
      <c r="O158" s="5">
        <v>0</v>
      </c>
      <c r="Q158" s="5">
        <v>0</v>
      </c>
      <c r="R158" s="5">
        <v>0</v>
      </c>
      <c r="S158" s="5">
        <v>0</v>
      </c>
      <c r="T158" s="5">
        <v>0</v>
      </c>
      <c r="U158" s="5">
        <v>0</v>
      </c>
      <c r="V158" s="5">
        <v>0</v>
      </c>
      <c r="W158" s="5">
        <v>0</v>
      </c>
      <c r="X158" s="5">
        <v>0</v>
      </c>
      <c r="Y158" s="5">
        <v>0</v>
      </c>
      <c r="AA158">
        <v>2</v>
      </c>
    </row>
    <row r="159" spans="4:27" x14ac:dyDescent="0.2">
      <c r="D159" t="str">
        <f ca="1"/>
        <v>31-May</v>
      </c>
      <c r="E159" s="5">
        <v>0</v>
      </c>
      <c r="F159" s="5">
        <v>0</v>
      </c>
      <c r="G159" s="5">
        <v>0</v>
      </c>
      <c r="H159" s="5">
        <v>0</v>
      </c>
      <c r="I159" s="5">
        <v>0</v>
      </c>
      <c r="J159" s="5">
        <v>1</v>
      </c>
      <c r="K159" s="5">
        <v>0</v>
      </c>
      <c r="L159" s="5">
        <v>0</v>
      </c>
      <c r="M159" s="5">
        <v>0</v>
      </c>
      <c r="N159" s="5">
        <v>1</v>
      </c>
      <c r="O159" s="5">
        <v>0</v>
      </c>
      <c r="Q159" s="5">
        <v>0</v>
      </c>
      <c r="R159" s="5">
        <v>0</v>
      </c>
      <c r="S159" s="5">
        <v>0</v>
      </c>
      <c r="T159" s="5">
        <v>0</v>
      </c>
      <c r="U159" s="5">
        <v>0</v>
      </c>
      <c r="V159" s="5">
        <v>0</v>
      </c>
      <c r="W159" s="5">
        <v>0</v>
      </c>
      <c r="X159" s="5">
        <v>0</v>
      </c>
      <c r="Y159" s="5">
        <v>0</v>
      </c>
      <c r="AA159">
        <v>2</v>
      </c>
    </row>
    <row r="160" spans="4:27" x14ac:dyDescent="0.2">
      <c r="D160" t="str">
        <f ca="1"/>
        <v>01-Jun</v>
      </c>
      <c r="E160" s="5">
        <v>0</v>
      </c>
      <c r="F160" s="5">
        <v>0</v>
      </c>
      <c r="G160" s="5">
        <v>0</v>
      </c>
      <c r="H160" s="5">
        <v>0</v>
      </c>
      <c r="I160" s="5">
        <v>0</v>
      </c>
      <c r="J160" s="5">
        <v>0</v>
      </c>
      <c r="K160" s="5">
        <v>0</v>
      </c>
      <c r="L160" s="5">
        <v>0</v>
      </c>
      <c r="M160" s="5">
        <v>0</v>
      </c>
      <c r="N160" s="5">
        <v>1</v>
      </c>
      <c r="O160" s="5">
        <v>0</v>
      </c>
      <c r="Q160" s="5">
        <v>0</v>
      </c>
      <c r="R160" s="5">
        <v>0</v>
      </c>
      <c r="S160" s="5">
        <v>0</v>
      </c>
      <c r="T160" s="5">
        <v>0</v>
      </c>
      <c r="U160" s="5">
        <v>0</v>
      </c>
      <c r="V160" s="5">
        <v>0</v>
      </c>
      <c r="W160" s="5">
        <v>0</v>
      </c>
      <c r="X160" s="5">
        <v>0</v>
      </c>
      <c r="Y160" s="5">
        <v>0</v>
      </c>
      <c r="AA160">
        <v>1</v>
      </c>
    </row>
    <row r="161" spans="4:29" x14ac:dyDescent="0.2">
      <c r="D161" t="str">
        <f ca="1"/>
        <v>02-Jun</v>
      </c>
      <c r="E161" s="5">
        <v>0</v>
      </c>
      <c r="F161" s="5">
        <v>0</v>
      </c>
      <c r="G161" s="5">
        <v>0</v>
      </c>
      <c r="H161" s="5">
        <v>0</v>
      </c>
      <c r="I161" s="5">
        <v>0</v>
      </c>
      <c r="J161" s="5">
        <v>0</v>
      </c>
      <c r="K161" s="5">
        <v>0</v>
      </c>
      <c r="L161" s="5">
        <v>0</v>
      </c>
      <c r="M161" s="5">
        <v>0</v>
      </c>
      <c r="N161" s="5">
        <v>1</v>
      </c>
      <c r="O161" s="5">
        <v>0</v>
      </c>
      <c r="Q161" s="5">
        <v>0</v>
      </c>
      <c r="R161" s="5">
        <v>0</v>
      </c>
      <c r="S161" s="5">
        <v>0</v>
      </c>
      <c r="T161" s="5">
        <v>0</v>
      </c>
      <c r="U161" s="5">
        <v>0</v>
      </c>
      <c r="V161" s="5">
        <v>0</v>
      </c>
      <c r="W161" s="5">
        <v>0</v>
      </c>
      <c r="X161" s="5">
        <v>0</v>
      </c>
      <c r="Y161" s="5">
        <v>0</v>
      </c>
      <c r="AA161">
        <v>1</v>
      </c>
    </row>
    <row r="162" spans="4:29" x14ac:dyDescent="0.2">
      <c r="D162" t="str">
        <f ca="1"/>
        <v>03-Jun</v>
      </c>
      <c r="E162" s="5">
        <v>0</v>
      </c>
      <c r="F162" s="5">
        <v>0</v>
      </c>
      <c r="G162" s="5">
        <v>0</v>
      </c>
      <c r="H162" s="5">
        <v>0</v>
      </c>
      <c r="I162" s="5">
        <v>0</v>
      </c>
      <c r="J162" s="5">
        <v>0</v>
      </c>
      <c r="K162" s="5">
        <v>0</v>
      </c>
      <c r="L162" s="5">
        <v>0</v>
      </c>
      <c r="M162" s="5">
        <v>0</v>
      </c>
      <c r="N162" s="5">
        <v>1</v>
      </c>
      <c r="O162" s="5">
        <v>0</v>
      </c>
      <c r="Q162" s="5">
        <v>0</v>
      </c>
      <c r="R162" s="5">
        <v>0</v>
      </c>
      <c r="S162" s="5">
        <v>0</v>
      </c>
      <c r="T162" s="5">
        <v>0</v>
      </c>
      <c r="U162" s="5">
        <v>0</v>
      </c>
      <c r="V162" s="5">
        <v>0</v>
      </c>
      <c r="W162" s="5">
        <v>0</v>
      </c>
      <c r="X162" s="5">
        <v>0</v>
      </c>
      <c r="Y162" s="5">
        <v>0</v>
      </c>
      <c r="AA162">
        <v>1</v>
      </c>
    </row>
    <row r="163" spans="4:29" x14ac:dyDescent="0.2">
      <c r="D163" t="str">
        <f ca="1"/>
        <v>04-Jun</v>
      </c>
      <c r="E163" s="5">
        <v>0</v>
      </c>
      <c r="F163" s="5">
        <v>0</v>
      </c>
      <c r="G163" s="5">
        <v>0</v>
      </c>
      <c r="H163" s="5">
        <v>0</v>
      </c>
      <c r="I163" s="5">
        <v>0</v>
      </c>
      <c r="J163" s="5">
        <v>0</v>
      </c>
      <c r="K163" s="5">
        <v>0</v>
      </c>
      <c r="L163" s="5">
        <v>0</v>
      </c>
      <c r="M163" s="5">
        <v>0</v>
      </c>
      <c r="N163" s="5">
        <v>1</v>
      </c>
      <c r="O163" s="5">
        <v>0</v>
      </c>
      <c r="Q163" s="5">
        <v>0</v>
      </c>
      <c r="R163" s="5">
        <v>0</v>
      </c>
      <c r="S163" s="5">
        <v>0</v>
      </c>
      <c r="T163" s="5">
        <v>0</v>
      </c>
      <c r="U163" s="5">
        <v>0</v>
      </c>
      <c r="V163" s="5">
        <v>0</v>
      </c>
      <c r="W163" s="5">
        <v>0</v>
      </c>
      <c r="X163" s="5">
        <v>0</v>
      </c>
      <c r="Y163" s="5">
        <v>0</v>
      </c>
      <c r="AA163">
        <v>1</v>
      </c>
    </row>
    <row r="164" spans="4:29" x14ac:dyDescent="0.2">
      <c r="D164" t="str">
        <f ca="1"/>
        <v>05-Jun</v>
      </c>
      <c r="E164" s="5">
        <v>0</v>
      </c>
      <c r="F164" s="5">
        <v>0</v>
      </c>
      <c r="G164" s="5">
        <v>0</v>
      </c>
      <c r="H164" s="5">
        <v>0</v>
      </c>
      <c r="I164" s="5">
        <v>0</v>
      </c>
      <c r="J164" s="5">
        <v>0</v>
      </c>
      <c r="K164" s="5">
        <v>0</v>
      </c>
      <c r="L164" s="5">
        <v>0</v>
      </c>
      <c r="M164" s="5">
        <v>0</v>
      </c>
      <c r="N164" s="5">
        <v>1</v>
      </c>
      <c r="O164" s="5">
        <v>0</v>
      </c>
      <c r="Q164" s="5">
        <v>0</v>
      </c>
      <c r="R164" s="5">
        <v>0</v>
      </c>
      <c r="S164" s="5">
        <v>0</v>
      </c>
      <c r="T164" s="5">
        <v>0</v>
      </c>
      <c r="U164" s="5">
        <v>0</v>
      </c>
      <c r="V164" s="5">
        <v>0</v>
      </c>
      <c r="W164" s="5">
        <v>0</v>
      </c>
      <c r="X164" s="5">
        <v>0</v>
      </c>
      <c r="Y164" s="5">
        <v>0</v>
      </c>
      <c r="AA164">
        <v>1</v>
      </c>
    </row>
    <row r="165" spans="4:29" x14ac:dyDescent="0.2">
      <c r="D165" t="str">
        <f ca="1"/>
        <v>06-Jun</v>
      </c>
      <c r="E165" s="5">
        <v>0</v>
      </c>
      <c r="F165" s="5">
        <v>0</v>
      </c>
      <c r="G165" s="5">
        <v>0</v>
      </c>
      <c r="H165" s="5">
        <v>0</v>
      </c>
      <c r="I165" s="5">
        <v>0</v>
      </c>
      <c r="J165" s="5">
        <v>0</v>
      </c>
      <c r="K165" s="5">
        <v>0</v>
      </c>
      <c r="L165" s="5">
        <v>0</v>
      </c>
      <c r="M165" s="5">
        <v>0</v>
      </c>
      <c r="N165" s="5">
        <v>1</v>
      </c>
      <c r="O165" s="5">
        <v>0</v>
      </c>
      <c r="Q165" s="5">
        <v>0</v>
      </c>
      <c r="R165" s="5">
        <v>0</v>
      </c>
      <c r="S165" s="5">
        <v>0</v>
      </c>
      <c r="T165" s="5">
        <v>0</v>
      </c>
      <c r="U165" s="5">
        <v>0</v>
      </c>
      <c r="V165" s="5">
        <v>0</v>
      </c>
      <c r="W165" s="5">
        <v>0</v>
      </c>
      <c r="X165" s="5">
        <v>0</v>
      </c>
      <c r="Y165" s="5">
        <v>0</v>
      </c>
      <c r="AA165">
        <v>1</v>
      </c>
    </row>
    <row r="166" spans="4:29" x14ac:dyDescent="0.2">
      <c r="D166" t="str">
        <f ca="1"/>
        <v>07-Jun</v>
      </c>
      <c r="E166" s="5">
        <v>0</v>
      </c>
      <c r="F166" s="5">
        <v>0</v>
      </c>
      <c r="G166" s="5">
        <v>0</v>
      </c>
      <c r="H166" s="5">
        <v>0</v>
      </c>
      <c r="I166" s="5">
        <v>0</v>
      </c>
      <c r="J166" s="5">
        <v>0</v>
      </c>
      <c r="K166" s="5">
        <v>0</v>
      </c>
      <c r="L166" s="5">
        <v>0</v>
      </c>
      <c r="M166" s="5">
        <v>0</v>
      </c>
      <c r="N166" s="5">
        <v>1</v>
      </c>
      <c r="O166" s="5">
        <v>0</v>
      </c>
      <c r="Q166" s="5">
        <v>0</v>
      </c>
      <c r="R166" s="5">
        <v>0</v>
      </c>
      <c r="S166" s="5">
        <v>0</v>
      </c>
      <c r="T166" s="5">
        <v>0</v>
      </c>
      <c r="U166" s="5">
        <v>0</v>
      </c>
      <c r="V166" s="5">
        <v>0</v>
      </c>
      <c r="W166" s="5">
        <v>0</v>
      </c>
      <c r="X166" s="5">
        <v>0</v>
      </c>
      <c r="Y166" s="5">
        <v>0</v>
      </c>
      <c r="AA166">
        <v>1</v>
      </c>
    </row>
    <row r="167" spans="4:29" x14ac:dyDescent="0.2">
      <c r="D167" t="str">
        <f ca="1"/>
        <v>08-Jun</v>
      </c>
      <c r="E167" s="5">
        <v>0</v>
      </c>
      <c r="F167" s="5">
        <v>0</v>
      </c>
      <c r="G167" s="5">
        <v>0</v>
      </c>
      <c r="H167" s="5">
        <v>0</v>
      </c>
      <c r="I167" s="5">
        <v>0</v>
      </c>
      <c r="J167" s="5">
        <v>0</v>
      </c>
      <c r="K167" s="5">
        <v>0</v>
      </c>
      <c r="L167" s="5">
        <v>0</v>
      </c>
      <c r="M167" s="5">
        <v>0</v>
      </c>
      <c r="N167" s="5">
        <v>1</v>
      </c>
      <c r="O167" s="5">
        <v>0</v>
      </c>
      <c r="Q167" s="5">
        <v>0</v>
      </c>
      <c r="R167" s="5">
        <v>0</v>
      </c>
      <c r="S167" s="5">
        <v>0</v>
      </c>
      <c r="T167" s="5">
        <v>0</v>
      </c>
      <c r="U167" s="5">
        <v>0</v>
      </c>
      <c r="V167" s="5">
        <v>0</v>
      </c>
      <c r="W167" s="5">
        <v>0</v>
      </c>
      <c r="X167" s="5">
        <v>0</v>
      </c>
      <c r="Y167" s="5">
        <v>0</v>
      </c>
      <c r="AA167">
        <v>1</v>
      </c>
    </row>
    <row r="168" spans="4:29" x14ac:dyDescent="0.2">
      <c r="D168" t="str">
        <f ca="1"/>
        <v>09-Jun</v>
      </c>
      <c r="E168" s="5">
        <v>0</v>
      </c>
      <c r="F168" s="5">
        <v>0</v>
      </c>
      <c r="G168" s="5">
        <v>0</v>
      </c>
      <c r="H168" s="5">
        <v>0</v>
      </c>
      <c r="I168" s="5">
        <v>0</v>
      </c>
      <c r="J168" s="5">
        <v>0</v>
      </c>
      <c r="K168" s="5">
        <v>0</v>
      </c>
      <c r="L168" s="5">
        <v>0</v>
      </c>
      <c r="M168" s="5">
        <v>0</v>
      </c>
      <c r="N168" s="5">
        <v>1</v>
      </c>
      <c r="O168" s="5">
        <v>0</v>
      </c>
      <c r="P168" s="5">
        <v>0</v>
      </c>
      <c r="Q168" s="5">
        <v>0</v>
      </c>
      <c r="R168" s="5">
        <v>0</v>
      </c>
      <c r="S168" s="5">
        <v>0</v>
      </c>
      <c r="T168" s="5">
        <v>0</v>
      </c>
      <c r="U168" s="5">
        <v>0</v>
      </c>
      <c r="V168" s="5">
        <v>0</v>
      </c>
      <c r="W168" s="5">
        <v>0</v>
      </c>
      <c r="X168" s="5">
        <v>0</v>
      </c>
      <c r="Y168" s="5">
        <v>0</v>
      </c>
      <c r="AA168">
        <v>1</v>
      </c>
    </row>
    <row r="169" spans="4:29" x14ac:dyDescent="0.2">
      <c r="D169" t="str">
        <f ca="1"/>
        <v>10-Jun</v>
      </c>
      <c r="E169" s="5">
        <v>0</v>
      </c>
      <c r="F169" s="5">
        <v>0</v>
      </c>
      <c r="G169" s="5">
        <v>0</v>
      </c>
      <c r="H169" s="5">
        <v>0</v>
      </c>
      <c r="I169" s="5">
        <v>0</v>
      </c>
      <c r="J169" s="5">
        <v>0</v>
      </c>
      <c r="K169" s="5">
        <v>0</v>
      </c>
      <c r="L169" s="5">
        <v>0</v>
      </c>
      <c r="M169" s="5">
        <v>0</v>
      </c>
      <c r="N169" s="5">
        <v>1</v>
      </c>
      <c r="O169" s="5">
        <v>0</v>
      </c>
      <c r="P169" s="5">
        <v>0</v>
      </c>
      <c r="Q169" s="5">
        <v>0</v>
      </c>
      <c r="R169" s="5">
        <v>0</v>
      </c>
      <c r="S169" s="5">
        <v>0</v>
      </c>
      <c r="T169" s="5">
        <v>0</v>
      </c>
      <c r="U169" s="5">
        <v>0</v>
      </c>
      <c r="V169" s="5">
        <v>0</v>
      </c>
      <c r="W169" s="5">
        <v>0</v>
      </c>
      <c r="X169" s="5">
        <v>0</v>
      </c>
      <c r="Y169" s="5">
        <v>0</v>
      </c>
      <c r="AA169">
        <v>1</v>
      </c>
    </row>
    <row r="170" spans="4:29" x14ac:dyDescent="0.2">
      <c r="D170" t="str">
        <f ca="1"/>
        <v>11-Jun</v>
      </c>
      <c r="E170" s="5">
        <v>0</v>
      </c>
      <c r="F170" s="5">
        <v>0</v>
      </c>
      <c r="G170" s="5">
        <v>0</v>
      </c>
      <c r="H170" s="5">
        <v>0</v>
      </c>
      <c r="I170" s="5">
        <v>0</v>
      </c>
      <c r="J170" s="5">
        <v>0</v>
      </c>
      <c r="K170" s="5">
        <v>0</v>
      </c>
      <c r="L170" s="5">
        <v>0</v>
      </c>
      <c r="M170" s="5">
        <v>0</v>
      </c>
      <c r="N170" s="5">
        <v>1</v>
      </c>
      <c r="O170" s="5">
        <v>0</v>
      </c>
      <c r="P170" s="5">
        <v>0</v>
      </c>
      <c r="Q170" s="5">
        <v>0</v>
      </c>
      <c r="R170" s="5">
        <v>0</v>
      </c>
      <c r="S170" s="5">
        <v>0</v>
      </c>
      <c r="T170" s="5">
        <v>0</v>
      </c>
      <c r="U170" s="5">
        <v>0</v>
      </c>
      <c r="V170" s="5">
        <v>0</v>
      </c>
      <c r="W170" s="5">
        <v>0</v>
      </c>
      <c r="X170" s="5">
        <v>0</v>
      </c>
      <c r="Y170" s="5">
        <v>0</v>
      </c>
      <c r="AA170">
        <v>1</v>
      </c>
    </row>
    <row r="171" spans="4:29" x14ac:dyDescent="0.2">
      <c r="D171" t="str">
        <f ca="1"/>
        <v>12-Jun</v>
      </c>
      <c r="E171" s="5">
        <v>0</v>
      </c>
      <c r="F171" s="5">
        <v>0</v>
      </c>
      <c r="G171" s="5">
        <v>0</v>
      </c>
      <c r="H171" s="5">
        <v>0</v>
      </c>
      <c r="I171" s="5">
        <v>0</v>
      </c>
      <c r="J171" s="5">
        <v>0</v>
      </c>
      <c r="K171" s="5">
        <v>0</v>
      </c>
      <c r="L171" s="5">
        <v>0</v>
      </c>
      <c r="M171" s="5">
        <v>0</v>
      </c>
      <c r="N171" s="5">
        <v>1</v>
      </c>
      <c r="O171" s="5">
        <v>0</v>
      </c>
      <c r="P171" s="5">
        <v>0</v>
      </c>
      <c r="Q171" s="5">
        <v>0</v>
      </c>
      <c r="R171" s="5">
        <v>0</v>
      </c>
      <c r="S171" s="5">
        <v>0</v>
      </c>
      <c r="T171" s="5">
        <v>0</v>
      </c>
      <c r="U171" s="5">
        <v>0</v>
      </c>
      <c r="V171" s="5">
        <v>0</v>
      </c>
      <c r="W171" s="5">
        <v>0</v>
      </c>
      <c r="X171" s="5">
        <v>0</v>
      </c>
      <c r="Y171" s="5">
        <v>0</v>
      </c>
      <c r="AA171">
        <v>1</v>
      </c>
    </row>
    <row r="172" spans="4:29" x14ac:dyDescent="0.2">
      <c r="D172" t="str">
        <f ca="1"/>
        <v>13-Jun</v>
      </c>
      <c r="E172" s="5">
        <v>0</v>
      </c>
      <c r="F172" s="5">
        <v>0</v>
      </c>
      <c r="G172" s="5">
        <v>0</v>
      </c>
      <c r="H172" s="5">
        <v>0</v>
      </c>
      <c r="I172" s="5">
        <v>0</v>
      </c>
      <c r="J172" s="5">
        <v>0</v>
      </c>
      <c r="K172" s="5">
        <v>0</v>
      </c>
      <c r="L172" s="5">
        <v>0</v>
      </c>
      <c r="M172" s="5">
        <v>0</v>
      </c>
      <c r="N172" s="5">
        <v>1</v>
      </c>
      <c r="O172" s="5">
        <v>0</v>
      </c>
      <c r="P172" s="5">
        <v>0</v>
      </c>
      <c r="Q172" s="5">
        <v>0</v>
      </c>
      <c r="R172" s="5">
        <v>0</v>
      </c>
      <c r="S172" s="5">
        <v>0</v>
      </c>
      <c r="T172" s="5">
        <v>0</v>
      </c>
      <c r="U172" s="5">
        <v>0</v>
      </c>
      <c r="V172" s="5">
        <v>0</v>
      </c>
      <c r="W172" s="5">
        <v>0</v>
      </c>
      <c r="X172" s="5">
        <v>0</v>
      </c>
      <c r="Y172" s="5">
        <v>0</v>
      </c>
      <c r="AA172">
        <v>1</v>
      </c>
    </row>
    <row r="173" spans="4:29" x14ac:dyDescent="0.2">
      <c r="D173" t="str">
        <f ca="1"/>
        <v>14-Jun</v>
      </c>
      <c r="E173" s="5">
        <v>0</v>
      </c>
      <c r="F173" s="5">
        <v>0</v>
      </c>
      <c r="G173" s="5">
        <v>0</v>
      </c>
      <c r="H173" s="5">
        <v>0</v>
      </c>
      <c r="I173" s="5">
        <v>0</v>
      </c>
      <c r="J173" s="5">
        <v>0</v>
      </c>
      <c r="K173" s="5">
        <v>0</v>
      </c>
      <c r="L173" s="5">
        <v>0</v>
      </c>
      <c r="M173" s="5">
        <v>0</v>
      </c>
      <c r="N173" s="5">
        <v>1</v>
      </c>
      <c r="O173" s="5">
        <v>0</v>
      </c>
      <c r="P173" s="5">
        <v>0</v>
      </c>
      <c r="Q173" s="5">
        <v>0</v>
      </c>
      <c r="R173" s="5">
        <v>0</v>
      </c>
      <c r="S173" s="5">
        <v>0</v>
      </c>
      <c r="T173" s="5">
        <v>0</v>
      </c>
      <c r="U173" s="5">
        <v>0</v>
      </c>
      <c r="V173" s="5">
        <v>0</v>
      </c>
      <c r="W173" s="5">
        <v>0</v>
      </c>
      <c r="X173" s="5">
        <v>0</v>
      </c>
      <c r="Y173" s="5">
        <v>0</v>
      </c>
      <c r="AA173">
        <v>1</v>
      </c>
    </row>
    <row r="174" spans="4:29" x14ac:dyDescent="0.2">
      <c r="D174" t="str">
        <f ca="1"/>
        <v>15-Jun</v>
      </c>
      <c r="E174" s="5">
        <v>0</v>
      </c>
      <c r="F174" s="5">
        <v>0</v>
      </c>
      <c r="G174" s="5">
        <v>0</v>
      </c>
      <c r="H174" s="5">
        <v>0</v>
      </c>
      <c r="I174" s="5">
        <v>0</v>
      </c>
      <c r="J174" s="5">
        <v>0</v>
      </c>
      <c r="K174" s="5">
        <v>0</v>
      </c>
      <c r="L174" s="5">
        <v>0</v>
      </c>
      <c r="M174" s="5">
        <v>0</v>
      </c>
      <c r="N174" s="5">
        <v>1</v>
      </c>
      <c r="O174" s="5">
        <v>0</v>
      </c>
      <c r="P174" s="5">
        <v>0</v>
      </c>
      <c r="Q174" s="5">
        <v>0</v>
      </c>
      <c r="R174" s="5">
        <v>0</v>
      </c>
      <c r="S174" s="5">
        <v>0</v>
      </c>
      <c r="T174" s="5">
        <v>0</v>
      </c>
      <c r="U174" s="5">
        <v>0</v>
      </c>
      <c r="V174" s="5">
        <v>0</v>
      </c>
      <c r="W174" s="5">
        <v>0</v>
      </c>
      <c r="X174" s="5">
        <v>0</v>
      </c>
      <c r="Y174" s="5">
        <v>0</v>
      </c>
      <c r="AA174">
        <v>1</v>
      </c>
    </row>
    <row r="175" spans="4:29" x14ac:dyDescent="0.2">
      <c r="D175" t="str">
        <f ca="1"/>
        <v>16-Jun</v>
      </c>
      <c r="E175" s="5">
        <v>0</v>
      </c>
      <c r="F175" s="5">
        <v>0</v>
      </c>
      <c r="G175" s="5">
        <v>0</v>
      </c>
      <c r="H175" s="5">
        <v>0</v>
      </c>
      <c r="I175" s="5">
        <v>0</v>
      </c>
      <c r="J175" s="5">
        <v>0</v>
      </c>
      <c r="K175" s="5">
        <v>0</v>
      </c>
      <c r="L175" s="5">
        <v>0</v>
      </c>
      <c r="M175" s="5">
        <v>0</v>
      </c>
      <c r="N175" s="5">
        <v>1</v>
      </c>
      <c r="O175" s="5">
        <v>0</v>
      </c>
      <c r="P175" s="5">
        <v>0</v>
      </c>
      <c r="Q175" s="5">
        <v>0</v>
      </c>
      <c r="R175" s="5">
        <v>0</v>
      </c>
      <c r="S175" s="5">
        <v>0</v>
      </c>
      <c r="T175" s="5">
        <v>0</v>
      </c>
      <c r="U175" s="5">
        <v>0</v>
      </c>
      <c r="V175" s="5">
        <v>0</v>
      </c>
      <c r="W175" s="5">
        <v>0</v>
      </c>
      <c r="X175" s="5">
        <v>0</v>
      </c>
      <c r="Y175" s="5">
        <v>0</v>
      </c>
      <c r="AA175">
        <v>1</v>
      </c>
      <c r="AC175" t="s">
        <v>36</v>
      </c>
    </row>
    <row r="176" spans="4:29" x14ac:dyDescent="0.2">
      <c r="D176" t="str">
        <f ca="1"/>
        <v>17-Jun</v>
      </c>
      <c r="E176" s="5">
        <v>0</v>
      </c>
      <c r="F176" s="5">
        <v>0</v>
      </c>
      <c r="G176" s="5">
        <v>0</v>
      </c>
      <c r="H176" s="5">
        <v>0</v>
      </c>
      <c r="I176" s="5">
        <v>0</v>
      </c>
      <c r="J176" s="5">
        <v>0</v>
      </c>
      <c r="K176" s="5">
        <v>0</v>
      </c>
      <c r="L176" s="5">
        <v>0</v>
      </c>
      <c r="M176" s="5">
        <v>0</v>
      </c>
      <c r="N176" s="5">
        <v>1</v>
      </c>
      <c r="O176" s="5">
        <v>0</v>
      </c>
      <c r="P176" s="5">
        <v>0</v>
      </c>
      <c r="Q176" s="5">
        <v>0</v>
      </c>
      <c r="R176" s="5">
        <v>0</v>
      </c>
      <c r="S176" s="5">
        <v>0</v>
      </c>
      <c r="T176" s="5">
        <v>0</v>
      </c>
      <c r="U176" s="5">
        <v>0</v>
      </c>
      <c r="V176" s="5">
        <v>0</v>
      </c>
      <c r="W176" s="5">
        <v>0</v>
      </c>
      <c r="X176" s="5">
        <v>0</v>
      </c>
      <c r="Y176" s="5">
        <v>0</v>
      </c>
      <c r="AA176">
        <v>1</v>
      </c>
    </row>
    <row r="177" spans="4:27" x14ac:dyDescent="0.2">
      <c r="D177" t="str">
        <f ca="1"/>
        <v>18-Jun</v>
      </c>
      <c r="E177" s="5">
        <v>0</v>
      </c>
      <c r="F177" s="5">
        <v>0</v>
      </c>
      <c r="G177" s="5">
        <v>0</v>
      </c>
      <c r="H177" s="5">
        <v>0</v>
      </c>
      <c r="I177" s="5">
        <v>0</v>
      </c>
      <c r="J177" s="5">
        <v>0</v>
      </c>
      <c r="K177" s="5">
        <v>0</v>
      </c>
      <c r="L177" s="5">
        <v>0</v>
      </c>
      <c r="M177" s="5">
        <v>0</v>
      </c>
      <c r="N177" s="5">
        <v>1</v>
      </c>
      <c r="O177" s="5">
        <v>0</v>
      </c>
      <c r="P177" s="5">
        <v>0</v>
      </c>
      <c r="Q177" s="5">
        <v>0</v>
      </c>
      <c r="R177" s="5">
        <v>0</v>
      </c>
      <c r="S177" s="5">
        <v>1</v>
      </c>
      <c r="T177" s="5">
        <v>0</v>
      </c>
      <c r="U177" s="5">
        <v>0</v>
      </c>
      <c r="V177" s="5">
        <v>0</v>
      </c>
      <c r="W177" s="5">
        <v>0</v>
      </c>
      <c r="X177" s="5">
        <v>0</v>
      </c>
      <c r="Y177" s="5">
        <v>0</v>
      </c>
      <c r="AA177">
        <v>2</v>
      </c>
    </row>
    <row r="178" spans="4:27" x14ac:dyDescent="0.2">
      <c r="D178" t="str">
        <f ca="1"/>
        <v>19-Jun</v>
      </c>
      <c r="E178" s="5">
        <v>0</v>
      </c>
      <c r="F178" s="5">
        <v>0</v>
      </c>
      <c r="G178" s="5">
        <v>0</v>
      </c>
      <c r="H178" s="5">
        <v>0</v>
      </c>
      <c r="I178" s="5">
        <v>0</v>
      </c>
      <c r="J178" s="5">
        <v>0</v>
      </c>
      <c r="K178" s="5">
        <v>0</v>
      </c>
      <c r="L178" s="5">
        <v>0</v>
      </c>
      <c r="M178" s="5">
        <v>0</v>
      </c>
      <c r="N178" s="5">
        <v>1</v>
      </c>
      <c r="O178" s="5">
        <v>0</v>
      </c>
      <c r="P178" s="5">
        <v>0</v>
      </c>
      <c r="Q178" s="5">
        <v>0</v>
      </c>
      <c r="R178" s="5">
        <v>0</v>
      </c>
      <c r="S178" s="5">
        <v>1</v>
      </c>
      <c r="T178" s="5">
        <v>0</v>
      </c>
      <c r="U178" s="5">
        <v>0</v>
      </c>
      <c r="V178" s="5">
        <v>0</v>
      </c>
      <c r="W178" s="5">
        <v>0</v>
      </c>
      <c r="X178" s="5">
        <v>0</v>
      </c>
      <c r="Y178" s="5">
        <v>0</v>
      </c>
      <c r="AA178">
        <v>2</v>
      </c>
    </row>
    <row r="179" spans="4:27" x14ac:dyDescent="0.2">
      <c r="D179" t="str">
        <f ca="1"/>
        <v>20-Jun</v>
      </c>
      <c r="E179" s="5">
        <v>0</v>
      </c>
      <c r="F179" s="5">
        <v>0</v>
      </c>
      <c r="G179" s="5">
        <v>0</v>
      </c>
      <c r="H179" s="5">
        <v>0</v>
      </c>
      <c r="I179" s="5">
        <v>0</v>
      </c>
      <c r="J179" s="5">
        <v>0</v>
      </c>
      <c r="K179" s="5">
        <v>0</v>
      </c>
      <c r="L179" s="5">
        <v>0</v>
      </c>
      <c r="M179" s="5">
        <v>0</v>
      </c>
      <c r="N179" s="5">
        <v>1</v>
      </c>
      <c r="O179" s="5">
        <v>0</v>
      </c>
      <c r="P179" s="5">
        <v>0</v>
      </c>
      <c r="Q179" s="5">
        <v>0</v>
      </c>
      <c r="R179" s="5">
        <v>0</v>
      </c>
      <c r="S179" s="5">
        <v>1</v>
      </c>
      <c r="T179" s="5">
        <v>0</v>
      </c>
      <c r="U179" s="5">
        <v>0</v>
      </c>
      <c r="V179" s="5">
        <v>0</v>
      </c>
      <c r="W179" s="5">
        <v>0</v>
      </c>
      <c r="X179" s="5">
        <v>0</v>
      </c>
      <c r="Y179" s="5">
        <v>0</v>
      </c>
      <c r="AA179">
        <v>2</v>
      </c>
    </row>
    <row r="180" spans="4:27" x14ac:dyDescent="0.2">
      <c r="D180" t="str">
        <f ca="1"/>
        <v>21-Jun</v>
      </c>
      <c r="E180" s="5">
        <v>0</v>
      </c>
      <c r="F180" s="5">
        <v>0</v>
      </c>
      <c r="G180" s="5">
        <v>0</v>
      </c>
      <c r="H180" s="5">
        <v>0</v>
      </c>
      <c r="I180" s="5">
        <v>0</v>
      </c>
      <c r="J180" s="5">
        <v>0</v>
      </c>
      <c r="K180" s="5">
        <v>0</v>
      </c>
      <c r="L180" s="5">
        <v>0</v>
      </c>
      <c r="M180" s="5">
        <v>0</v>
      </c>
      <c r="N180" s="5">
        <v>1</v>
      </c>
      <c r="O180" s="5">
        <v>0</v>
      </c>
      <c r="P180" s="5">
        <v>0</v>
      </c>
      <c r="Q180" s="5">
        <v>0</v>
      </c>
      <c r="R180" s="5">
        <v>0</v>
      </c>
      <c r="S180" s="5">
        <v>1</v>
      </c>
      <c r="T180" s="5">
        <v>0</v>
      </c>
      <c r="U180" s="5">
        <v>0</v>
      </c>
      <c r="V180" s="5">
        <v>0</v>
      </c>
      <c r="W180" s="5">
        <v>0</v>
      </c>
      <c r="X180" s="5">
        <v>0</v>
      </c>
      <c r="Y180" s="5">
        <v>0</v>
      </c>
      <c r="AA180">
        <v>2</v>
      </c>
    </row>
    <row r="181" spans="4:27" x14ac:dyDescent="0.2">
      <c r="D181" t="str">
        <f ca="1"/>
        <v>22-Jun</v>
      </c>
      <c r="E181" s="5">
        <v>0</v>
      </c>
      <c r="F181" s="5">
        <v>0</v>
      </c>
      <c r="G181" s="5">
        <v>0</v>
      </c>
      <c r="H181" s="5">
        <v>0</v>
      </c>
      <c r="I181" s="5">
        <v>0</v>
      </c>
      <c r="J181" s="5">
        <v>0</v>
      </c>
      <c r="K181" s="5">
        <v>0</v>
      </c>
      <c r="L181" s="5">
        <v>0</v>
      </c>
      <c r="M181" s="5">
        <v>0</v>
      </c>
      <c r="N181" s="5">
        <v>1</v>
      </c>
      <c r="O181" s="5">
        <v>0</v>
      </c>
      <c r="P181" s="5">
        <v>0</v>
      </c>
      <c r="Q181" s="5">
        <v>0</v>
      </c>
      <c r="R181" s="5">
        <v>0</v>
      </c>
      <c r="S181" s="5">
        <v>1</v>
      </c>
      <c r="T181" s="5">
        <v>0</v>
      </c>
      <c r="U181" s="5">
        <v>0</v>
      </c>
      <c r="V181" s="5">
        <v>0</v>
      </c>
      <c r="W181" s="5">
        <v>0</v>
      </c>
      <c r="X181" s="5">
        <v>0</v>
      </c>
      <c r="Y181" s="5">
        <v>0</v>
      </c>
      <c r="AA181">
        <v>2</v>
      </c>
    </row>
    <row r="182" spans="4:27" x14ac:dyDescent="0.2">
      <c r="D182" t="str">
        <f ca="1"/>
        <v>23-Jun</v>
      </c>
      <c r="E182" s="5">
        <v>0</v>
      </c>
      <c r="F182" s="5">
        <v>0</v>
      </c>
      <c r="G182" s="5">
        <v>0</v>
      </c>
      <c r="H182" s="5">
        <v>0</v>
      </c>
      <c r="I182" s="5">
        <v>0</v>
      </c>
      <c r="J182" s="5">
        <v>0</v>
      </c>
      <c r="K182" s="5">
        <v>0</v>
      </c>
      <c r="L182" s="5">
        <v>0</v>
      </c>
      <c r="M182" s="5">
        <v>0</v>
      </c>
      <c r="N182" s="5">
        <v>1</v>
      </c>
      <c r="O182" s="5">
        <v>0</v>
      </c>
      <c r="P182" s="5">
        <v>0</v>
      </c>
      <c r="Q182" s="5">
        <v>0</v>
      </c>
      <c r="R182" s="5">
        <v>0</v>
      </c>
      <c r="S182" s="5">
        <v>1</v>
      </c>
      <c r="T182" s="5">
        <v>0</v>
      </c>
      <c r="U182" s="5">
        <v>0</v>
      </c>
      <c r="V182" s="5">
        <v>0</v>
      </c>
      <c r="W182" s="5">
        <v>0</v>
      </c>
      <c r="X182" s="5">
        <v>0</v>
      </c>
      <c r="Y182" s="5">
        <v>0</v>
      </c>
      <c r="AA182">
        <v>2</v>
      </c>
    </row>
    <row r="183" spans="4:27" x14ac:dyDescent="0.2">
      <c r="D183" t="str">
        <f ca="1"/>
        <v>24-Jun</v>
      </c>
      <c r="E183" s="5">
        <v>0</v>
      </c>
      <c r="F183" s="5">
        <v>0</v>
      </c>
      <c r="G183" s="5">
        <v>0</v>
      </c>
      <c r="H183" s="5">
        <v>0</v>
      </c>
      <c r="I183" s="5">
        <v>0</v>
      </c>
      <c r="J183" s="5">
        <v>0</v>
      </c>
      <c r="K183" s="5">
        <v>0</v>
      </c>
      <c r="L183" s="5">
        <v>0</v>
      </c>
      <c r="M183" s="5">
        <v>0</v>
      </c>
      <c r="N183" s="5">
        <v>1</v>
      </c>
      <c r="O183" s="5">
        <v>0</v>
      </c>
      <c r="P183" s="5">
        <v>1</v>
      </c>
      <c r="Q183" s="5">
        <v>0</v>
      </c>
      <c r="R183" s="5">
        <v>0</v>
      </c>
      <c r="S183" s="5">
        <v>1</v>
      </c>
      <c r="T183" s="5">
        <v>0</v>
      </c>
      <c r="U183" s="5">
        <v>0</v>
      </c>
      <c r="V183" s="5">
        <v>0</v>
      </c>
      <c r="W183" s="5">
        <v>0</v>
      </c>
      <c r="X183" s="5">
        <v>0</v>
      </c>
      <c r="Y183" s="5">
        <v>0</v>
      </c>
      <c r="AA183">
        <v>3</v>
      </c>
    </row>
    <row r="184" spans="4:27" x14ac:dyDescent="0.2">
      <c r="D184" t="str">
        <f ca="1"/>
        <v>25-Jun</v>
      </c>
      <c r="E184" s="5">
        <v>0</v>
      </c>
      <c r="F184" s="5">
        <v>0</v>
      </c>
      <c r="G184" s="5">
        <v>0</v>
      </c>
      <c r="H184" s="5">
        <v>0</v>
      </c>
      <c r="I184" s="5">
        <v>0</v>
      </c>
      <c r="J184" s="5">
        <v>0</v>
      </c>
      <c r="K184" s="5">
        <v>0</v>
      </c>
      <c r="L184" s="5">
        <v>0</v>
      </c>
      <c r="M184" s="5">
        <v>0</v>
      </c>
      <c r="N184" s="5">
        <v>1</v>
      </c>
      <c r="O184" s="5">
        <v>0</v>
      </c>
      <c r="P184" s="5">
        <v>0</v>
      </c>
      <c r="Q184" s="5">
        <v>0</v>
      </c>
      <c r="R184" s="5">
        <v>0</v>
      </c>
      <c r="S184" s="5">
        <v>0</v>
      </c>
      <c r="T184" s="5">
        <v>0</v>
      </c>
      <c r="U184" s="5">
        <v>0</v>
      </c>
      <c r="V184" s="5">
        <v>0</v>
      </c>
      <c r="W184" s="5">
        <v>0</v>
      </c>
      <c r="X184" s="5">
        <v>0</v>
      </c>
      <c r="Y184" s="5">
        <v>0</v>
      </c>
      <c r="AA184">
        <v>1</v>
      </c>
    </row>
    <row r="185" spans="4:27" x14ac:dyDescent="0.2">
      <c r="D185" t="str">
        <f ca="1"/>
        <v>26-Jun</v>
      </c>
      <c r="E185" s="5">
        <v>0</v>
      </c>
      <c r="F185" s="5">
        <v>0</v>
      </c>
      <c r="G185" s="5">
        <v>0</v>
      </c>
      <c r="H185" s="5">
        <v>0</v>
      </c>
      <c r="I185" s="5">
        <v>0</v>
      </c>
      <c r="J185" s="5">
        <v>0</v>
      </c>
      <c r="K185" s="5">
        <v>0</v>
      </c>
      <c r="L185" s="5">
        <v>0</v>
      </c>
      <c r="M185" s="5">
        <v>0</v>
      </c>
      <c r="N185" s="5">
        <v>1</v>
      </c>
      <c r="O185" s="5">
        <v>0</v>
      </c>
      <c r="P185" s="5">
        <v>1</v>
      </c>
      <c r="Q185" s="5">
        <v>0</v>
      </c>
      <c r="R185" s="5">
        <v>0</v>
      </c>
      <c r="S185" s="5">
        <v>1</v>
      </c>
      <c r="T185" s="5">
        <v>0</v>
      </c>
      <c r="U185" s="5">
        <v>0</v>
      </c>
      <c r="V185" s="5">
        <v>0</v>
      </c>
      <c r="W185" s="5">
        <v>0</v>
      </c>
      <c r="X185" s="5">
        <v>0</v>
      </c>
      <c r="Y185" s="5">
        <v>0</v>
      </c>
      <c r="AA185">
        <v>3</v>
      </c>
    </row>
    <row r="186" spans="4:27" x14ac:dyDescent="0.2">
      <c r="D186" t="str">
        <f ca="1"/>
        <v>27-Jun</v>
      </c>
      <c r="E186" s="5">
        <v>0</v>
      </c>
      <c r="F186" s="5">
        <v>0</v>
      </c>
      <c r="G186" s="5">
        <v>0</v>
      </c>
      <c r="H186" s="5">
        <v>0</v>
      </c>
      <c r="I186" s="5">
        <v>0</v>
      </c>
      <c r="J186" s="5">
        <v>0</v>
      </c>
      <c r="K186" s="5">
        <v>0</v>
      </c>
      <c r="L186" s="5">
        <v>0</v>
      </c>
      <c r="M186" s="5">
        <v>0</v>
      </c>
      <c r="N186" s="5">
        <v>1</v>
      </c>
      <c r="O186" s="5">
        <v>0</v>
      </c>
      <c r="P186" s="5">
        <v>0</v>
      </c>
      <c r="Q186" s="5">
        <v>0</v>
      </c>
      <c r="R186" s="5">
        <v>0</v>
      </c>
      <c r="S186" s="5">
        <v>0</v>
      </c>
      <c r="T186" s="5">
        <v>0</v>
      </c>
      <c r="U186" s="5">
        <v>0</v>
      </c>
      <c r="V186" s="5">
        <v>0</v>
      </c>
      <c r="W186" s="5">
        <v>0</v>
      </c>
      <c r="X186" s="5">
        <v>0</v>
      </c>
      <c r="Y186" s="5">
        <v>0</v>
      </c>
      <c r="AA186">
        <v>1</v>
      </c>
    </row>
    <row r="187" spans="4:27" x14ac:dyDescent="0.2">
      <c r="D187" t="str">
        <f ca="1"/>
        <v>28-Jun</v>
      </c>
      <c r="E187" s="5">
        <v>0</v>
      </c>
      <c r="F187" s="5">
        <v>0</v>
      </c>
      <c r="G187" s="5">
        <v>0</v>
      </c>
      <c r="H187" s="5">
        <v>0</v>
      </c>
      <c r="I187" s="5">
        <v>0</v>
      </c>
      <c r="J187" s="5">
        <v>0</v>
      </c>
      <c r="K187" s="5">
        <v>0</v>
      </c>
      <c r="L187" s="5">
        <v>0</v>
      </c>
      <c r="M187" s="5">
        <v>0</v>
      </c>
      <c r="N187" s="5">
        <v>1</v>
      </c>
      <c r="O187" s="5">
        <v>0</v>
      </c>
      <c r="P187" s="5">
        <v>1</v>
      </c>
      <c r="Q187" s="5">
        <v>0</v>
      </c>
      <c r="R187" s="5">
        <v>0</v>
      </c>
      <c r="S187" s="5">
        <v>1</v>
      </c>
      <c r="T187" s="5">
        <v>0</v>
      </c>
      <c r="U187" s="5">
        <v>0</v>
      </c>
      <c r="V187" s="5">
        <v>0</v>
      </c>
      <c r="W187" s="5">
        <v>0</v>
      </c>
      <c r="X187" s="5">
        <v>0</v>
      </c>
      <c r="Y187" s="5">
        <v>0</v>
      </c>
      <c r="AA187">
        <v>3</v>
      </c>
    </row>
    <row r="188" spans="4:27" x14ac:dyDescent="0.2">
      <c r="D188" t="str">
        <f ca="1"/>
        <v>29-Jun</v>
      </c>
      <c r="E188" s="5">
        <v>0</v>
      </c>
      <c r="F188" s="5">
        <v>0</v>
      </c>
      <c r="G188" s="5">
        <v>0</v>
      </c>
      <c r="H188" s="5">
        <v>0</v>
      </c>
      <c r="I188" s="5">
        <v>0</v>
      </c>
      <c r="J188" s="5">
        <v>0</v>
      </c>
      <c r="K188" s="5">
        <v>0</v>
      </c>
      <c r="L188" s="5">
        <v>0</v>
      </c>
      <c r="M188" s="5">
        <v>0</v>
      </c>
      <c r="N188" s="5">
        <v>1</v>
      </c>
      <c r="O188" s="5">
        <v>0</v>
      </c>
      <c r="P188" s="5">
        <v>0</v>
      </c>
      <c r="Q188" s="5">
        <v>0</v>
      </c>
      <c r="R188" s="5">
        <v>0</v>
      </c>
      <c r="S188" s="5">
        <v>0</v>
      </c>
      <c r="T188" s="5">
        <v>0</v>
      </c>
      <c r="U188" s="5">
        <v>0</v>
      </c>
      <c r="V188" s="5">
        <v>0</v>
      </c>
      <c r="W188" s="5">
        <v>0</v>
      </c>
      <c r="X188" s="5">
        <v>0</v>
      </c>
      <c r="Y188" s="5">
        <v>0</v>
      </c>
      <c r="AA188">
        <v>1</v>
      </c>
    </row>
    <row r="189" spans="4:27" x14ac:dyDescent="0.2">
      <c r="D189" t="str">
        <f ca="1"/>
        <v>30-Jun</v>
      </c>
      <c r="E189" s="5">
        <v>0</v>
      </c>
      <c r="F189" s="5">
        <v>0</v>
      </c>
      <c r="G189" s="5">
        <v>0</v>
      </c>
      <c r="H189" s="5">
        <v>0</v>
      </c>
      <c r="I189" s="5">
        <v>0</v>
      </c>
      <c r="J189" s="5">
        <v>0</v>
      </c>
      <c r="K189" s="5">
        <v>0</v>
      </c>
      <c r="L189" s="5">
        <v>0</v>
      </c>
      <c r="M189" s="5">
        <v>0</v>
      </c>
      <c r="N189" s="5">
        <v>1</v>
      </c>
      <c r="O189" s="5">
        <v>0</v>
      </c>
      <c r="P189" s="5">
        <v>1</v>
      </c>
      <c r="Q189" s="5">
        <v>0</v>
      </c>
      <c r="R189" s="5">
        <v>0</v>
      </c>
      <c r="S189" s="5">
        <v>1</v>
      </c>
      <c r="T189" s="5">
        <v>0</v>
      </c>
      <c r="U189" s="5">
        <v>0</v>
      </c>
      <c r="V189" s="5">
        <v>0</v>
      </c>
      <c r="W189" s="5">
        <v>0</v>
      </c>
      <c r="X189" s="5">
        <v>0</v>
      </c>
      <c r="Y189" s="5">
        <v>0</v>
      </c>
      <c r="AA189">
        <v>3</v>
      </c>
    </row>
    <row r="190" spans="4:27" x14ac:dyDescent="0.2">
      <c r="D190" t="str">
        <f ca="1"/>
        <v>01-Jul</v>
      </c>
      <c r="E190" s="5">
        <v>0</v>
      </c>
      <c r="F190" s="5">
        <v>0</v>
      </c>
      <c r="G190" s="5">
        <v>0</v>
      </c>
      <c r="H190" s="5">
        <v>0</v>
      </c>
      <c r="I190" s="5">
        <v>0</v>
      </c>
      <c r="J190" s="5">
        <v>0</v>
      </c>
      <c r="K190" s="5">
        <v>0</v>
      </c>
      <c r="L190" s="5">
        <v>0</v>
      </c>
      <c r="M190" s="5">
        <v>0</v>
      </c>
      <c r="N190" s="5">
        <v>1</v>
      </c>
      <c r="O190" s="5">
        <v>0</v>
      </c>
      <c r="P190" s="5">
        <v>1</v>
      </c>
      <c r="Q190" s="5">
        <v>0</v>
      </c>
      <c r="R190" s="5">
        <v>0</v>
      </c>
      <c r="S190" s="5">
        <v>1</v>
      </c>
      <c r="T190" s="5">
        <v>0</v>
      </c>
      <c r="U190" s="5">
        <v>0</v>
      </c>
      <c r="V190" s="5">
        <v>0</v>
      </c>
      <c r="W190" s="5">
        <v>0</v>
      </c>
      <c r="X190" s="5">
        <v>0</v>
      </c>
      <c r="Y190" s="5">
        <v>0</v>
      </c>
      <c r="AA190">
        <v>3</v>
      </c>
    </row>
    <row r="191" spans="4:27" x14ac:dyDescent="0.2">
      <c r="D191" t="str">
        <f ca="1"/>
        <v>02-Jul</v>
      </c>
      <c r="E191" s="5">
        <v>0</v>
      </c>
      <c r="F191" s="5">
        <v>0</v>
      </c>
      <c r="G191" s="5">
        <v>0</v>
      </c>
      <c r="H191" s="5">
        <v>0</v>
      </c>
      <c r="I191" s="5">
        <v>0</v>
      </c>
      <c r="J191" s="5">
        <v>0</v>
      </c>
      <c r="K191" s="5">
        <v>0</v>
      </c>
      <c r="L191" s="5">
        <v>0</v>
      </c>
      <c r="M191" s="5">
        <v>0</v>
      </c>
      <c r="N191" s="5">
        <v>1</v>
      </c>
      <c r="O191" s="5">
        <v>0</v>
      </c>
      <c r="P191" s="5">
        <v>0</v>
      </c>
      <c r="Q191" s="5">
        <v>0</v>
      </c>
      <c r="R191" s="5">
        <v>0</v>
      </c>
      <c r="S191" s="5">
        <v>1</v>
      </c>
      <c r="T191" s="5">
        <v>0</v>
      </c>
      <c r="U191" s="5">
        <v>0</v>
      </c>
      <c r="V191" s="5">
        <v>0</v>
      </c>
      <c r="W191" s="5">
        <v>0</v>
      </c>
      <c r="X191" s="5">
        <v>0</v>
      </c>
      <c r="Y191" s="5">
        <v>0</v>
      </c>
      <c r="AA191">
        <v>2</v>
      </c>
    </row>
    <row r="192" spans="4:27" x14ac:dyDescent="0.2">
      <c r="D192" t="str">
        <f ca="1"/>
        <v>03-Jul</v>
      </c>
      <c r="E192" s="5">
        <v>0</v>
      </c>
      <c r="F192" s="5">
        <v>0</v>
      </c>
      <c r="G192" s="5">
        <v>0</v>
      </c>
      <c r="H192" s="5">
        <v>0</v>
      </c>
      <c r="I192" s="5">
        <v>0</v>
      </c>
      <c r="J192" s="5">
        <v>0</v>
      </c>
      <c r="K192" s="5">
        <v>0</v>
      </c>
      <c r="L192" s="5">
        <v>0</v>
      </c>
      <c r="M192" s="5">
        <v>0</v>
      </c>
      <c r="N192" s="5">
        <v>1</v>
      </c>
      <c r="O192" s="5">
        <v>0</v>
      </c>
      <c r="P192" s="5">
        <v>1</v>
      </c>
      <c r="Q192" s="5">
        <v>0</v>
      </c>
      <c r="R192" s="5">
        <v>0</v>
      </c>
      <c r="S192" s="5">
        <v>1</v>
      </c>
      <c r="T192" s="5">
        <v>0</v>
      </c>
      <c r="U192" s="5">
        <v>0</v>
      </c>
      <c r="V192" s="5">
        <v>0</v>
      </c>
      <c r="W192" s="5">
        <v>0</v>
      </c>
      <c r="X192" s="5">
        <v>0</v>
      </c>
      <c r="Y192" s="5">
        <v>0</v>
      </c>
      <c r="AA192">
        <v>3</v>
      </c>
    </row>
    <row r="193" spans="4:27" x14ac:dyDescent="0.2">
      <c r="D193" t="str">
        <f ca="1"/>
        <v>04-Jul</v>
      </c>
      <c r="E193" s="5">
        <v>0</v>
      </c>
      <c r="F193" s="5">
        <v>0</v>
      </c>
      <c r="G193" s="5">
        <v>0</v>
      </c>
      <c r="H193" s="5">
        <v>0</v>
      </c>
      <c r="I193" s="5">
        <v>0</v>
      </c>
      <c r="J193" s="5">
        <v>0</v>
      </c>
      <c r="K193" s="5">
        <v>0</v>
      </c>
      <c r="L193" s="5">
        <v>0</v>
      </c>
      <c r="M193" s="5">
        <v>0</v>
      </c>
      <c r="N193" s="5">
        <v>1</v>
      </c>
      <c r="O193" s="5">
        <v>0</v>
      </c>
      <c r="P193" s="5">
        <v>1</v>
      </c>
      <c r="Q193" s="5">
        <v>0</v>
      </c>
      <c r="R193" s="5">
        <v>0</v>
      </c>
      <c r="S193" s="5">
        <v>1</v>
      </c>
      <c r="T193" s="5">
        <v>0</v>
      </c>
      <c r="U193" s="5">
        <v>0</v>
      </c>
      <c r="V193" s="5">
        <v>0</v>
      </c>
      <c r="W193" s="5">
        <v>0</v>
      </c>
      <c r="X193" s="5">
        <v>0</v>
      </c>
      <c r="Y193" s="5">
        <v>0</v>
      </c>
      <c r="AA193">
        <v>3</v>
      </c>
    </row>
    <row r="194" spans="4:27" x14ac:dyDescent="0.2">
      <c r="D194" t="str">
        <f ca="1"/>
        <v>05-Jul</v>
      </c>
      <c r="E194" s="5">
        <v>0</v>
      </c>
      <c r="F194" s="5">
        <v>0</v>
      </c>
      <c r="G194" s="5">
        <v>0</v>
      </c>
      <c r="H194" s="5">
        <v>0</v>
      </c>
      <c r="I194" s="5">
        <v>0</v>
      </c>
      <c r="J194" s="5">
        <v>0</v>
      </c>
      <c r="K194" s="5">
        <v>0</v>
      </c>
      <c r="L194" s="5">
        <v>0</v>
      </c>
      <c r="M194" s="5">
        <v>0</v>
      </c>
      <c r="N194" s="5">
        <v>1</v>
      </c>
      <c r="O194" s="5">
        <v>0</v>
      </c>
      <c r="P194" s="5">
        <v>1</v>
      </c>
      <c r="Q194" s="5">
        <v>0</v>
      </c>
      <c r="R194" s="5">
        <v>0</v>
      </c>
      <c r="S194" s="5">
        <v>1</v>
      </c>
      <c r="T194" s="5">
        <v>0</v>
      </c>
      <c r="U194" s="5">
        <v>0</v>
      </c>
      <c r="V194" s="5">
        <v>0</v>
      </c>
      <c r="W194" s="5">
        <v>0</v>
      </c>
      <c r="X194" s="5">
        <v>0</v>
      </c>
      <c r="Y194" s="5">
        <v>0</v>
      </c>
      <c r="AA194">
        <v>3</v>
      </c>
    </row>
    <row r="195" spans="4:27" x14ac:dyDescent="0.2">
      <c r="D195" t="str">
        <f ca="1"/>
        <v>06-Jul</v>
      </c>
      <c r="E195" s="5">
        <v>0</v>
      </c>
      <c r="F195" s="5">
        <v>0</v>
      </c>
      <c r="G195" s="5">
        <v>0</v>
      </c>
      <c r="H195" s="5">
        <v>0</v>
      </c>
      <c r="I195" s="5">
        <v>0</v>
      </c>
      <c r="J195" s="5">
        <v>0</v>
      </c>
      <c r="K195" s="5">
        <v>0</v>
      </c>
      <c r="L195" s="5">
        <v>0</v>
      </c>
      <c r="M195" s="5">
        <v>0</v>
      </c>
      <c r="N195" s="5">
        <v>1</v>
      </c>
      <c r="O195" s="5">
        <v>0</v>
      </c>
      <c r="P195" s="5">
        <v>1</v>
      </c>
      <c r="Q195" s="5">
        <v>0</v>
      </c>
      <c r="R195" s="5">
        <v>0</v>
      </c>
      <c r="S195" s="5">
        <v>1</v>
      </c>
      <c r="T195" s="5">
        <v>0</v>
      </c>
      <c r="U195" s="5">
        <v>0</v>
      </c>
      <c r="V195" s="5">
        <v>0</v>
      </c>
      <c r="W195" s="5">
        <v>0</v>
      </c>
      <c r="X195" s="5">
        <v>0</v>
      </c>
      <c r="Y195" s="5">
        <v>0</v>
      </c>
      <c r="AA195">
        <v>3</v>
      </c>
    </row>
    <row r="196" spans="4:27" x14ac:dyDescent="0.2">
      <c r="D196" t="str">
        <f ca="1"/>
        <v>07-Jul</v>
      </c>
      <c r="E196" s="5">
        <v>0</v>
      </c>
      <c r="F196" s="5">
        <v>0</v>
      </c>
      <c r="G196" s="5">
        <v>0</v>
      </c>
      <c r="H196" s="5">
        <v>0</v>
      </c>
      <c r="I196" s="5">
        <v>0</v>
      </c>
      <c r="J196" s="5">
        <v>0</v>
      </c>
      <c r="K196" s="5">
        <v>0</v>
      </c>
      <c r="L196" s="5">
        <v>0</v>
      </c>
      <c r="M196" s="5">
        <v>0</v>
      </c>
      <c r="N196" s="5">
        <v>1</v>
      </c>
      <c r="O196" s="5">
        <v>0</v>
      </c>
      <c r="P196" s="5">
        <v>1</v>
      </c>
      <c r="Q196" s="5">
        <v>0</v>
      </c>
      <c r="R196" s="5">
        <v>0</v>
      </c>
      <c r="S196" s="5">
        <v>1</v>
      </c>
      <c r="T196" s="5">
        <v>0</v>
      </c>
      <c r="U196" s="5">
        <v>0</v>
      </c>
      <c r="V196" s="5">
        <v>0</v>
      </c>
      <c r="W196" s="5">
        <v>0</v>
      </c>
      <c r="X196" s="5">
        <v>0</v>
      </c>
      <c r="Y196" s="5">
        <v>0</v>
      </c>
      <c r="AA196">
        <v>3</v>
      </c>
    </row>
    <row r="197" spans="4:27" x14ac:dyDescent="0.2">
      <c r="D197" t="str">
        <f ca="1"/>
        <v>08-Jul</v>
      </c>
      <c r="E197" s="5">
        <v>0</v>
      </c>
      <c r="F197" s="5">
        <v>0</v>
      </c>
      <c r="G197" s="5">
        <v>0</v>
      </c>
      <c r="H197" s="5">
        <v>0</v>
      </c>
      <c r="I197" s="5">
        <v>0</v>
      </c>
      <c r="J197" s="5">
        <v>0</v>
      </c>
      <c r="K197" s="5">
        <v>0</v>
      </c>
      <c r="L197" s="5">
        <v>0</v>
      </c>
      <c r="M197" s="5">
        <v>0</v>
      </c>
      <c r="N197" s="5">
        <v>1</v>
      </c>
      <c r="O197" s="5">
        <v>0</v>
      </c>
      <c r="P197" s="5">
        <v>1</v>
      </c>
      <c r="Q197" s="5">
        <v>0</v>
      </c>
      <c r="R197" s="5">
        <v>0</v>
      </c>
      <c r="S197" s="5">
        <v>1</v>
      </c>
      <c r="T197" s="5">
        <v>0</v>
      </c>
      <c r="U197" s="5">
        <v>0</v>
      </c>
      <c r="V197" s="5">
        <v>0</v>
      </c>
      <c r="W197" s="5">
        <v>0</v>
      </c>
      <c r="X197" s="5">
        <v>0</v>
      </c>
      <c r="Y197" s="5">
        <v>0</v>
      </c>
      <c r="AA197">
        <v>3</v>
      </c>
    </row>
    <row r="198" spans="4:27" x14ac:dyDescent="0.2">
      <c r="D198" t="str">
        <f ca="1"/>
        <v>09-Jul</v>
      </c>
      <c r="E198" s="5">
        <v>0</v>
      </c>
      <c r="F198" s="5">
        <v>0</v>
      </c>
      <c r="G198" s="5">
        <v>0</v>
      </c>
      <c r="H198" s="5">
        <v>0</v>
      </c>
      <c r="I198" s="5">
        <v>0</v>
      </c>
      <c r="J198" s="5">
        <v>0</v>
      </c>
      <c r="K198" s="5">
        <v>0</v>
      </c>
      <c r="L198" s="5">
        <v>0</v>
      </c>
      <c r="M198" s="5">
        <v>0</v>
      </c>
      <c r="N198" s="5">
        <v>1</v>
      </c>
      <c r="O198" s="5">
        <v>0</v>
      </c>
      <c r="P198" s="5">
        <v>1</v>
      </c>
      <c r="Q198" s="5">
        <v>0</v>
      </c>
      <c r="R198" s="5">
        <v>0</v>
      </c>
      <c r="S198" s="5">
        <v>1</v>
      </c>
      <c r="T198" s="5">
        <v>0</v>
      </c>
      <c r="U198" s="5">
        <v>0</v>
      </c>
      <c r="V198" s="5">
        <v>0</v>
      </c>
      <c r="W198" s="5">
        <v>0</v>
      </c>
      <c r="X198" s="5">
        <v>0</v>
      </c>
      <c r="Y198" s="5">
        <v>0</v>
      </c>
      <c r="AA198">
        <v>3</v>
      </c>
    </row>
    <row r="199" spans="4:27" x14ac:dyDescent="0.2">
      <c r="D199" t="str">
        <f ca="1"/>
        <v>10-Jul</v>
      </c>
      <c r="E199" s="5">
        <v>0</v>
      </c>
      <c r="F199" s="5">
        <v>0</v>
      </c>
      <c r="G199" s="5">
        <v>0</v>
      </c>
      <c r="H199" s="5">
        <v>0</v>
      </c>
      <c r="I199" s="5">
        <v>0</v>
      </c>
      <c r="J199" s="5">
        <v>0</v>
      </c>
      <c r="K199" s="5">
        <v>0</v>
      </c>
      <c r="L199" s="5">
        <v>0</v>
      </c>
      <c r="M199" s="5">
        <v>0</v>
      </c>
      <c r="N199" s="5">
        <v>1</v>
      </c>
      <c r="O199" s="5">
        <v>0</v>
      </c>
      <c r="P199" s="5">
        <v>1</v>
      </c>
      <c r="Q199" s="5">
        <v>0</v>
      </c>
      <c r="R199" s="5">
        <v>0</v>
      </c>
      <c r="S199" s="5">
        <v>1</v>
      </c>
      <c r="T199" s="5">
        <v>0</v>
      </c>
      <c r="U199" s="5">
        <v>0</v>
      </c>
      <c r="V199" s="5">
        <v>0</v>
      </c>
      <c r="W199" s="5">
        <v>0</v>
      </c>
      <c r="X199" s="5">
        <v>0</v>
      </c>
      <c r="Y199" s="5">
        <v>0</v>
      </c>
      <c r="AA199">
        <v>3</v>
      </c>
    </row>
    <row r="200" spans="4:27" x14ac:dyDescent="0.2">
      <c r="D200" t="str">
        <f ca="1"/>
        <v>11-Jul</v>
      </c>
      <c r="E200" s="5">
        <v>0</v>
      </c>
      <c r="F200" s="5">
        <v>0</v>
      </c>
      <c r="G200" s="5">
        <v>0</v>
      </c>
      <c r="H200" s="5">
        <v>0</v>
      </c>
      <c r="I200" s="5">
        <v>0</v>
      </c>
      <c r="J200" s="5">
        <v>0</v>
      </c>
      <c r="K200" s="5">
        <v>0</v>
      </c>
      <c r="L200" s="5">
        <v>0</v>
      </c>
      <c r="M200" s="5">
        <v>0</v>
      </c>
      <c r="N200" s="5">
        <v>1</v>
      </c>
      <c r="O200" s="5">
        <v>0</v>
      </c>
      <c r="P200" s="5">
        <v>1</v>
      </c>
      <c r="Q200" s="5">
        <v>0</v>
      </c>
      <c r="R200" s="5">
        <v>0</v>
      </c>
      <c r="S200" s="5">
        <v>1</v>
      </c>
      <c r="T200" s="5">
        <v>0</v>
      </c>
      <c r="U200" s="5">
        <v>0</v>
      </c>
      <c r="V200" s="5">
        <v>0</v>
      </c>
      <c r="W200" s="5">
        <v>0</v>
      </c>
      <c r="X200" s="5">
        <v>0</v>
      </c>
      <c r="Y200" s="5">
        <v>0</v>
      </c>
      <c r="AA200">
        <v>3</v>
      </c>
    </row>
    <row r="201" spans="4:27" x14ac:dyDescent="0.2">
      <c r="D201" t="str">
        <f ca="1"/>
        <v>12-Jul</v>
      </c>
      <c r="E201" s="5">
        <v>0</v>
      </c>
      <c r="F201" s="5">
        <v>0</v>
      </c>
      <c r="G201" s="5">
        <v>0</v>
      </c>
      <c r="H201" s="5">
        <v>0</v>
      </c>
      <c r="I201" s="5">
        <v>0</v>
      </c>
      <c r="J201" s="5">
        <v>0</v>
      </c>
      <c r="K201" s="5">
        <v>0</v>
      </c>
      <c r="L201" s="5">
        <v>0</v>
      </c>
      <c r="M201" s="5">
        <v>0</v>
      </c>
      <c r="N201" s="5">
        <v>1</v>
      </c>
      <c r="O201" s="5">
        <v>0</v>
      </c>
      <c r="P201" s="5">
        <v>1</v>
      </c>
      <c r="Q201" s="5">
        <v>0</v>
      </c>
      <c r="R201" s="5">
        <v>0</v>
      </c>
      <c r="S201" s="5">
        <v>1</v>
      </c>
      <c r="T201" s="5">
        <v>0</v>
      </c>
      <c r="U201" s="5">
        <v>0</v>
      </c>
      <c r="V201" s="5">
        <v>0</v>
      </c>
      <c r="W201" s="5">
        <v>0</v>
      </c>
      <c r="X201" s="5">
        <v>0</v>
      </c>
      <c r="Y201" s="5">
        <v>0</v>
      </c>
      <c r="AA201">
        <v>3</v>
      </c>
    </row>
    <row r="202" spans="4:27" x14ac:dyDescent="0.2">
      <c r="D202" t="str">
        <f ca="1"/>
        <v>13-Jul</v>
      </c>
      <c r="E202" s="5">
        <v>0</v>
      </c>
      <c r="F202" s="5">
        <v>0</v>
      </c>
      <c r="G202" s="5">
        <v>0</v>
      </c>
      <c r="H202" s="5">
        <v>0</v>
      </c>
      <c r="I202" s="5">
        <v>0</v>
      </c>
      <c r="J202" s="5">
        <v>0</v>
      </c>
      <c r="K202" s="5">
        <v>0</v>
      </c>
      <c r="L202" s="5">
        <v>0</v>
      </c>
      <c r="M202" s="5">
        <v>0</v>
      </c>
      <c r="N202" s="5">
        <v>1</v>
      </c>
      <c r="O202" s="5">
        <v>0</v>
      </c>
      <c r="P202" s="5">
        <v>1</v>
      </c>
      <c r="Q202" s="5">
        <v>0</v>
      </c>
      <c r="R202" s="5">
        <v>0</v>
      </c>
      <c r="S202" s="5">
        <v>1</v>
      </c>
      <c r="T202" s="5">
        <v>0</v>
      </c>
      <c r="U202" s="5">
        <v>0</v>
      </c>
      <c r="V202" s="5">
        <v>0</v>
      </c>
      <c r="W202" s="5">
        <v>0</v>
      </c>
      <c r="X202" s="5">
        <v>0</v>
      </c>
      <c r="Y202" s="5">
        <v>0</v>
      </c>
      <c r="AA202">
        <v>3</v>
      </c>
    </row>
    <row r="203" spans="4:27" x14ac:dyDescent="0.2">
      <c r="D203" t="str">
        <f ca="1"/>
        <v>14-Jul</v>
      </c>
      <c r="E203" s="5">
        <v>0</v>
      </c>
      <c r="F203" s="5">
        <v>0</v>
      </c>
      <c r="G203" s="5">
        <v>0</v>
      </c>
      <c r="H203" s="5">
        <v>0</v>
      </c>
      <c r="I203" s="5">
        <v>0</v>
      </c>
      <c r="J203" s="5">
        <v>0</v>
      </c>
      <c r="K203" s="5">
        <v>0</v>
      </c>
      <c r="L203" s="5">
        <v>0</v>
      </c>
      <c r="M203" s="5">
        <v>0</v>
      </c>
      <c r="N203" s="5">
        <v>1</v>
      </c>
      <c r="O203" s="5">
        <v>0</v>
      </c>
      <c r="P203" s="5">
        <v>1</v>
      </c>
      <c r="Q203" s="5">
        <v>0</v>
      </c>
      <c r="R203" s="5">
        <v>0</v>
      </c>
      <c r="S203" s="5">
        <v>1</v>
      </c>
      <c r="T203" s="5">
        <v>0</v>
      </c>
      <c r="U203" s="5">
        <v>0</v>
      </c>
      <c r="V203" s="5">
        <v>0</v>
      </c>
      <c r="W203" s="5">
        <v>0</v>
      </c>
      <c r="X203" s="5">
        <v>0</v>
      </c>
      <c r="Y203" s="5">
        <v>0</v>
      </c>
      <c r="AA203">
        <v>3</v>
      </c>
    </row>
    <row r="204" spans="4:27" x14ac:dyDescent="0.2">
      <c r="D204" t="str">
        <f ca="1"/>
        <v>15-Jul</v>
      </c>
      <c r="E204" s="5">
        <v>0</v>
      </c>
      <c r="F204" s="5">
        <v>0</v>
      </c>
      <c r="G204" s="5">
        <v>0</v>
      </c>
      <c r="H204" s="5">
        <v>0</v>
      </c>
      <c r="I204" s="5">
        <v>0</v>
      </c>
      <c r="J204" s="5">
        <v>0</v>
      </c>
      <c r="K204" s="5">
        <v>0</v>
      </c>
      <c r="L204" s="5">
        <v>0</v>
      </c>
      <c r="M204" s="5">
        <v>0</v>
      </c>
      <c r="N204" s="5">
        <v>1</v>
      </c>
      <c r="O204" s="5">
        <v>0</v>
      </c>
      <c r="P204" s="5">
        <v>1</v>
      </c>
      <c r="Q204" s="5">
        <v>0</v>
      </c>
      <c r="R204" s="5">
        <v>0</v>
      </c>
      <c r="S204" s="5">
        <v>1</v>
      </c>
      <c r="T204" s="5">
        <v>0</v>
      </c>
      <c r="U204" s="5">
        <v>0</v>
      </c>
      <c r="V204" s="5">
        <v>0</v>
      </c>
      <c r="W204" s="5">
        <v>0</v>
      </c>
      <c r="X204" s="5">
        <v>0</v>
      </c>
      <c r="Y204" s="5">
        <v>0</v>
      </c>
      <c r="AA204">
        <v>3</v>
      </c>
    </row>
    <row r="205" spans="4:27" x14ac:dyDescent="0.2">
      <c r="D205" t="str">
        <f ca="1"/>
        <v>16-Jul</v>
      </c>
      <c r="E205" s="5">
        <v>0</v>
      </c>
      <c r="F205" s="5">
        <v>0</v>
      </c>
      <c r="G205" s="5">
        <v>0</v>
      </c>
      <c r="H205" s="5">
        <v>0</v>
      </c>
      <c r="I205" s="5">
        <v>0</v>
      </c>
      <c r="J205" s="5">
        <v>0</v>
      </c>
      <c r="K205" s="5">
        <v>0</v>
      </c>
      <c r="L205" s="5">
        <v>0</v>
      </c>
      <c r="M205" s="5">
        <v>0</v>
      </c>
      <c r="N205" s="5">
        <v>1</v>
      </c>
      <c r="O205" s="5">
        <v>0</v>
      </c>
      <c r="P205" s="5">
        <v>1</v>
      </c>
      <c r="Q205" s="5">
        <v>0</v>
      </c>
      <c r="R205" s="5">
        <v>0</v>
      </c>
      <c r="S205" s="5">
        <v>1</v>
      </c>
      <c r="T205" s="5">
        <v>0</v>
      </c>
      <c r="U205" s="5">
        <v>0</v>
      </c>
      <c r="V205" s="5">
        <v>0</v>
      </c>
      <c r="W205" s="5">
        <v>0</v>
      </c>
      <c r="X205" s="5">
        <v>0</v>
      </c>
      <c r="Y205" s="5">
        <v>0</v>
      </c>
      <c r="AA205">
        <v>3</v>
      </c>
    </row>
    <row r="206" spans="4:27" x14ac:dyDescent="0.2">
      <c r="D206" t="str">
        <f ca="1"/>
        <v>17-Jul</v>
      </c>
      <c r="E206" s="5">
        <v>0</v>
      </c>
      <c r="F206" s="5">
        <v>0</v>
      </c>
      <c r="G206" s="5">
        <v>0</v>
      </c>
      <c r="H206" s="5">
        <v>0</v>
      </c>
      <c r="I206" s="5">
        <v>0</v>
      </c>
      <c r="J206" s="5">
        <v>0</v>
      </c>
      <c r="K206" s="5">
        <v>0</v>
      </c>
      <c r="L206" s="5">
        <v>0</v>
      </c>
      <c r="M206" s="5">
        <v>0</v>
      </c>
      <c r="N206" s="5">
        <v>1</v>
      </c>
      <c r="O206" s="5">
        <v>0</v>
      </c>
      <c r="P206" s="5">
        <v>1</v>
      </c>
      <c r="Q206" s="5">
        <v>0</v>
      </c>
      <c r="R206" s="5">
        <v>0</v>
      </c>
      <c r="S206" s="5">
        <v>1</v>
      </c>
      <c r="T206" s="5">
        <v>0</v>
      </c>
      <c r="U206" s="5">
        <v>0</v>
      </c>
      <c r="V206" s="5">
        <v>0</v>
      </c>
      <c r="W206" s="5">
        <v>0</v>
      </c>
      <c r="X206" s="5">
        <v>0</v>
      </c>
      <c r="Y206" s="5">
        <v>0</v>
      </c>
      <c r="AA206">
        <v>3</v>
      </c>
    </row>
    <row r="207" spans="4:27" x14ac:dyDescent="0.2">
      <c r="D207" t="str">
        <f ca="1"/>
        <v>18-Jul</v>
      </c>
      <c r="E207" s="5">
        <v>0</v>
      </c>
      <c r="F207" s="5">
        <v>0</v>
      </c>
      <c r="G207" s="5">
        <v>0</v>
      </c>
      <c r="H207" s="5">
        <v>0</v>
      </c>
      <c r="I207" s="5">
        <v>0</v>
      </c>
      <c r="J207" s="5">
        <v>0</v>
      </c>
      <c r="K207" s="5">
        <v>0</v>
      </c>
      <c r="L207" s="5">
        <v>0</v>
      </c>
      <c r="M207" s="5">
        <v>0</v>
      </c>
      <c r="N207" s="5">
        <v>1</v>
      </c>
      <c r="O207" s="5">
        <v>0</v>
      </c>
      <c r="P207" s="5">
        <v>1</v>
      </c>
      <c r="Q207" s="5">
        <v>0</v>
      </c>
      <c r="R207" s="5">
        <v>0</v>
      </c>
      <c r="S207" s="5">
        <v>1</v>
      </c>
      <c r="T207" s="5">
        <v>0</v>
      </c>
      <c r="U207" s="5">
        <v>0</v>
      </c>
      <c r="V207" s="5">
        <v>0</v>
      </c>
      <c r="W207" s="5">
        <v>0</v>
      </c>
      <c r="X207" s="5">
        <v>0</v>
      </c>
      <c r="Y207" s="5">
        <v>0</v>
      </c>
      <c r="AA207">
        <v>3</v>
      </c>
    </row>
    <row r="208" spans="4:27" x14ac:dyDescent="0.2">
      <c r="D208" t="str">
        <f ca="1"/>
        <v>19-Jul</v>
      </c>
      <c r="E208" s="5">
        <v>0</v>
      </c>
      <c r="F208" s="5">
        <v>0</v>
      </c>
      <c r="G208" s="5">
        <v>0</v>
      </c>
      <c r="H208" s="5">
        <v>0</v>
      </c>
      <c r="I208" s="5">
        <v>0</v>
      </c>
      <c r="J208" s="5">
        <v>0</v>
      </c>
      <c r="K208" s="5">
        <v>0</v>
      </c>
      <c r="L208" s="5">
        <v>0</v>
      </c>
      <c r="M208" s="5">
        <v>0</v>
      </c>
      <c r="N208" s="5">
        <v>1</v>
      </c>
      <c r="O208" s="5">
        <v>0</v>
      </c>
      <c r="P208" s="5">
        <v>1</v>
      </c>
      <c r="Q208" s="5">
        <v>0</v>
      </c>
      <c r="R208" s="5">
        <v>0</v>
      </c>
      <c r="S208" s="5">
        <v>1</v>
      </c>
      <c r="T208" s="5">
        <v>0</v>
      </c>
      <c r="U208" s="5">
        <v>0</v>
      </c>
      <c r="V208" s="5">
        <v>0</v>
      </c>
      <c r="W208" s="5">
        <v>0</v>
      </c>
      <c r="X208" s="5">
        <v>0</v>
      </c>
      <c r="Y208" s="5">
        <v>0</v>
      </c>
      <c r="AA208">
        <v>3</v>
      </c>
    </row>
    <row r="209" spans="4:27" x14ac:dyDescent="0.2">
      <c r="D209" t="str">
        <f ca="1"/>
        <v>20-Jul</v>
      </c>
      <c r="E209" s="5">
        <v>0</v>
      </c>
      <c r="F209" s="5">
        <v>0</v>
      </c>
      <c r="G209" s="5">
        <v>0</v>
      </c>
      <c r="H209" s="5">
        <v>0</v>
      </c>
      <c r="I209" s="5">
        <v>0</v>
      </c>
      <c r="J209" s="5">
        <v>0</v>
      </c>
      <c r="K209" s="5">
        <v>0</v>
      </c>
      <c r="L209" s="5">
        <v>0</v>
      </c>
      <c r="M209" s="5">
        <v>0</v>
      </c>
      <c r="N209" s="5">
        <v>1</v>
      </c>
      <c r="O209" s="5">
        <v>0</v>
      </c>
      <c r="P209" s="5">
        <v>1</v>
      </c>
      <c r="Q209" s="5">
        <v>0</v>
      </c>
      <c r="R209" s="5">
        <v>0</v>
      </c>
      <c r="S209" s="5">
        <v>1</v>
      </c>
      <c r="T209" s="5">
        <v>0</v>
      </c>
      <c r="U209" s="5">
        <v>0</v>
      </c>
      <c r="V209" s="5">
        <v>0</v>
      </c>
      <c r="W209" s="5">
        <v>0</v>
      </c>
      <c r="X209" s="5">
        <v>0</v>
      </c>
      <c r="Y209" s="5">
        <v>0</v>
      </c>
      <c r="AA209">
        <v>3</v>
      </c>
    </row>
    <row r="210" spans="4:27" x14ac:dyDescent="0.2">
      <c r="D210" t="str">
        <f ca="1"/>
        <v>21-Jul</v>
      </c>
      <c r="E210" s="5">
        <v>0</v>
      </c>
      <c r="F210" s="5">
        <v>0</v>
      </c>
      <c r="G210" s="5">
        <v>0</v>
      </c>
      <c r="H210" s="5">
        <v>0</v>
      </c>
      <c r="I210" s="5">
        <v>0</v>
      </c>
      <c r="J210" s="5">
        <v>0</v>
      </c>
      <c r="K210" s="5">
        <v>0</v>
      </c>
      <c r="L210" s="5">
        <v>0</v>
      </c>
      <c r="M210" s="5">
        <v>0</v>
      </c>
      <c r="N210" s="5">
        <v>1</v>
      </c>
      <c r="O210" s="5">
        <v>0</v>
      </c>
      <c r="P210" s="5">
        <v>1</v>
      </c>
      <c r="Q210" s="5">
        <v>0</v>
      </c>
      <c r="R210" s="5">
        <v>0</v>
      </c>
      <c r="S210" s="5">
        <v>1</v>
      </c>
      <c r="T210" s="5">
        <v>0</v>
      </c>
      <c r="U210" s="5">
        <v>0</v>
      </c>
      <c r="V210" s="5">
        <v>0</v>
      </c>
      <c r="W210" s="5">
        <v>0</v>
      </c>
      <c r="X210" s="5">
        <v>0</v>
      </c>
      <c r="Y210" s="5">
        <v>0</v>
      </c>
      <c r="AA210">
        <v>3</v>
      </c>
    </row>
    <row r="211" spans="4:27" x14ac:dyDescent="0.2">
      <c r="D211" t="str">
        <f ca="1"/>
        <v>22-Jul</v>
      </c>
      <c r="E211" s="5">
        <v>0</v>
      </c>
      <c r="F211" s="5">
        <v>0</v>
      </c>
      <c r="G211" s="5">
        <v>0</v>
      </c>
      <c r="H211" s="5">
        <v>0</v>
      </c>
      <c r="I211" s="5">
        <v>0</v>
      </c>
      <c r="J211" s="5">
        <v>0</v>
      </c>
      <c r="K211" s="5">
        <v>0</v>
      </c>
      <c r="L211" s="5">
        <v>0</v>
      </c>
      <c r="M211" s="5">
        <v>0</v>
      </c>
      <c r="N211" s="5">
        <v>1</v>
      </c>
      <c r="O211" s="5">
        <v>0</v>
      </c>
      <c r="P211" s="5">
        <v>0</v>
      </c>
      <c r="Q211" s="5">
        <v>0</v>
      </c>
      <c r="R211" s="5">
        <v>0</v>
      </c>
      <c r="S211" s="5">
        <v>1</v>
      </c>
      <c r="T211" s="5">
        <v>0</v>
      </c>
      <c r="U211" s="5">
        <v>0</v>
      </c>
      <c r="V211" s="5">
        <v>0</v>
      </c>
      <c r="W211" s="5">
        <v>0</v>
      </c>
      <c r="X211" s="5">
        <v>0</v>
      </c>
      <c r="Y211" s="5">
        <v>0</v>
      </c>
      <c r="AA211">
        <v>2</v>
      </c>
    </row>
    <row r="212" spans="4:27" x14ac:dyDescent="0.2">
      <c r="D212" t="str">
        <f ca="1"/>
        <v>23-Jul</v>
      </c>
      <c r="E212" s="5">
        <v>0</v>
      </c>
      <c r="F212" s="5">
        <v>0</v>
      </c>
      <c r="G212" s="5">
        <v>0</v>
      </c>
      <c r="H212" s="5">
        <v>0</v>
      </c>
      <c r="I212" s="5">
        <v>0</v>
      </c>
      <c r="J212" s="5">
        <v>0</v>
      </c>
      <c r="K212" s="5">
        <v>0</v>
      </c>
      <c r="L212" s="5">
        <v>0</v>
      </c>
      <c r="M212" s="5">
        <v>0</v>
      </c>
      <c r="N212" s="5">
        <v>1</v>
      </c>
      <c r="O212" s="5">
        <v>0</v>
      </c>
      <c r="P212" s="5">
        <v>0</v>
      </c>
      <c r="Q212" s="5">
        <v>0</v>
      </c>
      <c r="R212" s="5">
        <v>0</v>
      </c>
      <c r="S212" s="5">
        <v>1</v>
      </c>
      <c r="T212" s="5">
        <v>0</v>
      </c>
      <c r="U212" s="5">
        <v>0</v>
      </c>
      <c r="V212" s="5">
        <v>0</v>
      </c>
      <c r="W212" s="5">
        <v>0</v>
      </c>
      <c r="X212" s="5">
        <v>0</v>
      </c>
      <c r="Y212" s="5">
        <v>0</v>
      </c>
      <c r="AA212">
        <v>2</v>
      </c>
    </row>
    <row r="213" spans="4:27" x14ac:dyDescent="0.2">
      <c r="D213" t="str">
        <f ca="1"/>
        <v>24-Jul</v>
      </c>
      <c r="E213" s="5">
        <v>0</v>
      </c>
      <c r="F213" s="5">
        <v>0</v>
      </c>
      <c r="G213" s="5">
        <v>0</v>
      </c>
      <c r="H213" s="5">
        <v>0</v>
      </c>
      <c r="I213" s="5">
        <v>0</v>
      </c>
      <c r="J213" s="5">
        <v>0</v>
      </c>
      <c r="K213" s="5">
        <v>0</v>
      </c>
      <c r="L213" s="5">
        <v>0</v>
      </c>
      <c r="M213" s="5">
        <v>0</v>
      </c>
      <c r="N213" s="5">
        <v>1</v>
      </c>
      <c r="O213" s="5">
        <v>0</v>
      </c>
      <c r="P213" s="5">
        <v>0</v>
      </c>
      <c r="Q213" s="5">
        <v>0</v>
      </c>
      <c r="R213" s="5">
        <v>0</v>
      </c>
      <c r="S213" s="5">
        <v>1</v>
      </c>
      <c r="T213" s="5">
        <v>0</v>
      </c>
      <c r="U213" s="5">
        <v>0</v>
      </c>
      <c r="V213" s="5">
        <v>0</v>
      </c>
      <c r="W213" s="5">
        <v>0</v>
      </c>
      <c r="X213" s="5">
        <v>0</v>
      </c>
      <c r="Y213" s="5">
        <v>0</v>
      </c>
      <c r="AA213">
        <v>2</v>
      </c>
    </row>
    <row r="214" spans="4:27" x14ac:dyDescent="0.2">
      <c r="D214" t="str">
        <f ca="1"/>
        <v>25-Jul</v>
      </c>
      <c r="E214" s="5">
        <v>0</v>
      </c>
      <c r="F214" s="5">
        <v>0</v>
      </c>
      <c r="G214" s="5">
        <v>0</v>
      </c>
      <c r="H214" s="5">
        <v>0</v>
      </c>
      <c r="I214" s="5">
        <v>0</v>
      </c>
      <c r="J214" s="5">
        <v>0</v>
      </c>
      <c r="K214" s="5">
        <v>0</v>
      </c>
      <c r="L214" s="5">
        <v>0</v>
      </c>
      <c r="M214" s="5">
        <v>0</v>
      </c>
      <c r="N214" s="5">
        <v>1</v>
      </c>
      <c r="O214" s="5">
        <v>0</v>
      </c>
      <c r="P214" s="5">
        <v>0</v>
      </c>
      <c r="Q214" s="5">
        <v>0</v>
      </c>
      <c r="R214" s="5">
        <v>0</v>
      </c>
      <c r="S214" s="5">
        <v>1</v>
      </c>
      <c r="T214" s="5">
        <v>0</v>
      </c>
      <c r="U214" s="5">
        <v>0</v>
      </c>
      <c r="V214" s="5">
        <v>0</v>
      </c>
      <c r="W214" s="5">
        <v>0</v>
      </c>
      <c r="X214" s="5">
        <v>0</v>
      </c>
      <c r="Y214" s="5">
        <v>0</v>
      </c>
      <c r="AA214">
        <v>2</v>
      </c>
    </row>
    <row r="215" spans="4:27" x14ac:dyDescent="0.2">
      <c r="D215" t="str">
        <f ca="1"/>
        <v>26-Jul</v>
      </c>
      <c r="E215" s="5">
        <v>0</v>
      </c>
      <c r="F215" s="5">
        <v>0</v>
      </c>
      <c r="G215" s="5">
        <v>0</v>
      </c>
      <c r="H215" s="5">
        <v>0</v>
      </c>
      <c r="I215" s="5">
        <v>0</v>
      </c>
      <c r="J215" s="5">
        <v>0</v>
      </c>
      <c r="K215" s="5">
        <v>0</v>
      </c>
      <c r="L215" s="5">
        <v>0</v>
      </c>
      <c r="M215" s="5">
        <v>0</v>
      </c>
      <c r="N215" s="5">
        <v>1</v>
      </c>
      <c r="O215" s="5">
        <v>0</v>
      </c>
      <c r="P215" s="5">
        <v>0</v>
      </c>
      <c r="Q215" s="5">
        <v>0</v>
      </c>
      <c r="R215" s="5">
        <v>0</v>
      </c>
      <c r="S215" s="5">
        <v>1</v>
      </c>
      <c r="T215" s="5">
        <v>0</v>
      </c>
      <c r="U215" s="5">
        <v>0</v>
      </c>
      <c r="V215" s="5">
        <v>0</v>
      </c>
      <c r="W215" s="5">
        <v>0</v>
      </c>
      <c r="X215" s="5">
        <v>0</v>
      </c>
      <c r="Y215" s="5">
        <v>0</v>
      </c>
      <c r="AA215">
        <v>2</v>
      </c>
    </row>
    <row r="216" spans="4:27" x14ac:dyDescent="0.2">
      <c r="D216" t="str">
        <f ca="1"/>
        <v>27-Jul</v>
      </c>
      <c r="E216" s="5">
        <v>0</v>
      </c>
      <c r="F216" s="5">
        <v>0</v>
      </c>
      <c r="G216" s="5">
        <v>0</v>
      </c>
      <c r="H216" s="5">
        <v>0</v>
      </c>
      <c r="I216" s="5">
        <v>0</v>
      </c>
      <c r="J216" s="5">
        <v>0</v>
      </c>
      <c r="K216" s="5">
        <v>0</v>
      </c>
      <c r="L216" s="5">
        <v>0</v>
      </c>
      <c r="M216" s="5">
        <v>0</v>
      </c>
      <c r="N216" s="5">
        <v>1</v>
      </c>
      <c r="O216" s="5">
        <v>0</v>
      </c>
      <c r="P216" s="5">
        <v>0</v>
      </c>
      <c r="Q216" s="5">
        <v>0</v>
      </c>
      <c r="R216" s="5">
        <v>0</v>
      </c>
      <c r="S216" s="5">
        <v>1</v>
      </c>
      <c r="T216" s="5">
        <v>0</v>
      </c>
      <c r="U216" s="5">
        <v>0</v>
      </c>
      <c r="V216" s="5">
        <v>0</v>
      </c>
      <c r="W216" s="5">
        <v>0</v>
      </c>
      <c r="X216" s="5">
        <v>0</v>
      </c>
      <c r="Y216" s="5">
        <v>0</v>
      </c>
      <c r="AA216">
        <v>2</v>
      </c>
    </row>
    <row r="217" spans="4:27" x14ac:dyDescent="0.2">
      <c r="D217" t="str">
        <f ca="1"/>
        <v>28-Jul</v>
      </c>
      <c r="E217" s="5">
        <v>0</v>
      </c>
      <c r="F217" s="5">
        <v>0</v>
      </c>
      <c r="G217" s="5">
        <v>0</v>
      </c>
      <c r="H217" s="5">
        <v>0</v>
      </c>
      <c r="I217" s="5">
        <v>0</v>
      </c>
      <c r="J217" s="5">
        <v>0</v>
      </c>
      <c r="K217" s="5">
        <v>0</v>
      </c>
      <c r="L217" s="5">
        <v>0</v>
      </c>
      <c r="M217" s="5">
        <v>0</v>
      </c>
      <c r="N217" s="5">
        <v>1</v>
      </c>
      <c r="O217" s="5">
        <v>0</v>
      </c>
      <c r="P217" s="5">
        <v>0</v>
      </c>
      <c r="Q217" s="5">
        <v>0</v>
      </c>
      <c r="R217" s="5">
        <v>0</v>
      </c>
      <c r="S217" s="5">
        <v>1</v>
      </c>
      <c r="T217" s="5">
        <v>0</v>
      </c>
      <c r="U217" s="5">
        <v>0</v>
      </c>
      <c r="V217" s="5">
        <v>0</v>
      </c>
      <c r="W217" s="5">
        <v>0</v>
      </c>
      <c r="X217" s="5">
        <v>0</v>
      </c>
      <c r="Y217" s="5">
        <v>0</v>
      </c>
      <c r="AA217">
        <v>2</v>
      </c>
    </row>
    <row r="218" spans="4:27" x14ac:dyDescent="0.2">
      <c r="D218" t="str">
        <f ca="1"/>
        <v>29-Jul</v>
      </c>
      <c r="E218" s="5">
        <v>0</v>
      </c>
      <c r="F218" s="5">
        <v>0</v>
      </c>
      <c r="G218" s="5">
        <v>0</v>
      </c>
      <c r="H218" s="5">
        <v>0</v>
      </c>
      <c r="I218" s="5">
        <v>0</v>
      </c>
      <c r="J218" s="5">
        <v>0</v>
      </c>
      <c r="K218" s="5">
        <v>0</v>
      </c>
      <c r="L218" s="5">
        <v>0</v>
      </c>
      <c r="M218" s="5">
        <v>0</v>
      </c>
      <c r="N218" s="5">
        <v>1</v>
      </c>
      <c r="O218" s="5">
        <v>0</v>
      </c>
      <c r="P218" s="5">
        <v>0</v>
      </c>
      <c r="Q218" s="5">
        <v>0</v>
      </c>
      <c r="R218" s="5">
        <v>0</v>
      </c>
      <c r="S218" s="5">
        <v>1</v>
      </c>
      <c r="T218" s="5">
        <v>0</v>
      </c>
      <c r="U218" s="5">
        <v>0</v>
      </c>
      <c r="V218" s="5">
        <v>0</v>
      </c>
      <c r="W218" s="5">
        <v>0</v>
      </c>
      <c r="X218" s="5">
        <v>0</v>
      </c>
      <c r="Y218" s="5">
        <v>0</v>
      </c>
      <c r="AA218">
        <v>2</v>
      </c>
    </row>
    <row r="219" spans="4:27" x14ac:dyDescent="0.2">
      <c r="D219" t="str">
        <f ca="1"/>
        <v>30-Jul</v>
      </c>
      <c r="E219" s="5">
        <v>0</v>
      </c>
      <c r="F219" s="5">
        <v>0</v>
      </c>
      <c r="G219" s="5">
        <v>0</v>
      </c>
      <c r="H219" s="5">
        <v>0</v>
      </c>
      <c r="I219" s="5">
        <v>0</v>
      </c>
      <c r="J219" s="5">
        <v>0</v>
      </c>
      <c r="K219" s="5">
        <v>0</v>
      </c>
      <c r="L219" s="5">
        <v>0</v>
      </c>
      <c r="M219" s="5">
        <v>0</v>
      </c>
      <c r="N219" s="5">
        <v>1</v>
      </c>
      <c r="O219" s="5">
        <v>0</v>
      </c>
      <c r="P219" s="5">
        <v>0</v>
      </c>
      <c r="Q219" s="5">
        <v>0</v>
      </c>
      <c r="R219" s="5">
        <v>0</v>
      </c>
      <c r="S219" s="5">
        <v>1</v>
      </c>
      <c r="T219" s="5">
        <v>0</v>
      </c>
      <c r="U219" s="5">
        <v>0</v>
      </c>
      <c r="V219" s="5">
        <v>0</v>
      </c>
      <c r="W219" s="5">
        <v>0</v>
      </c>
      <c r="X219" s="5">
        <v>0</v>
      </c>
      <c r="Y219" s="5">
        <v>0</v>
      </c>
      <c r="AA219">
        <v>2</v>
      </c>
    </row>
    <row r="220" spans="4:27" x14ac:dyDescent="0.2">
      <c r="D220" t="str">
        <f ca="1"/>
        <v>31-Jul</v>
      </c>
      <c r="E220" s="5">
        <v>0</v>
      </c>
      <c r="F220" s="5">
        <v>0</v>
      </c>
      <c r="G220" s="5">
        <v>0</v>
      </c>
      <c r="H220" s="5">
        <v>0</v>
      </c>
      <c r="I220" s="5">
        <v>0</v>
      </c>
      <c r="J220" s="5">
        <v>0</v>
      </c>
      <c r="K220" s="5">
        <v>0</v>
      </c>
      <c r="L220" s="5">
        <v>0</v>
      </c>
      <c r="M220" s="5">
        <v>0</v>
      </c>
      <c r="N220" s="5">
        <v>1</v>
      </c>
      <c r="O220" s="5">
        <v>0</v>
      </c>
      <c r="P220" s="5">
        <v>0</v>
      </c>
      <c r="Q220" s="5">
        <v>0</v>
      </c>
      <c r="R220" s="5">
        <v>0</v>
      </c>
      <c r="S220" s="5">
        <v>1</v>
      </c>
      <c r="T220" s="5">
        <v>0</v>
      </c>
      <c r="U220" s="5">
        <v>0</v>
      </c>
      <c r="V220" s="5">
        <v>0</v>
      </c>
      <c r="W220" s="5">
        <v>0</v>
      </c>
      <c r="X220" s="5">
        <v>0</v>
      </c>
      <c r="Y220" s="5">
        <v>0</v>
      </c>
      <c r="AA220">
        <v>2</v>
      </c>
    </row>
    <row r="221" spans="4:27" x14ac:dyDescent="0.2">
      <c r="D221" t="str">
        <f ca="1"/>
        <v>01-Aug</v>
      </c>
      <c r="E221" s="5">
        <v>0</v>
      </c>
      <c r="F221" s="5">
        <v>0</v>
      </c>
      <c r="G221" s="5">
        <v>0</v>
      </c>
      <c r="H221" s="5">
        <v>0</v>
      </c>
      <c r="I221" s="5">
        <v>0</v>
      </c>
      <c r="J221" s="5">
        <v>0</v>
      </c>
      <c r="K221" s="5">
        <v>0</v>
      </c>
      <c r="L221" s="5">
        <v>0</v>
      </c>
      <c r="M221" s="5">
        <v>0</v>
      </c>
      <c r="N221" s="5">
        <v>1</v>
      </c>
      <c r="O221" s="5">
        <v>0</v>
      </c>
      <c r="P221" s="5">
        <v>0</v>
      </c>
      <c r="Q221" s="5">
        <v>0</v>
      </c>
      <c r="R221" s="5">
        <v>0</v>
      </c>
      <c r="S221" s="5">
        <v>1</v>
      </c>
      <c r="T221" s="5">
        <v>0</v>
      </c>
      <c r="U221" s="5">
        <v>0</v>
      </c>
      <c r="V221" s="5">
        <v>0</v>
      </c>
      <c r="W221" s="5">
        <v>0</v>
      </c>
      <c r="X221" s="5">
        <v>0</v>
      </c>
      <c r="Y221" s="5">
        <v>0</v>
      </c>
      <c r="AA221">
        <v>2</v>
      </c>
    </row>
    <row r="222" spans="4:27" x14ac:dyDescent="0.2">
      <c r="D222" t="str">
        <f ca="1"/>
        <v>02-Aug</v>
      </c>
      <c r="E222" s="5">
        <v>0</v>
      </c>
      <c r="F222" s="5">
        <v>0</v>
      </c>
      <c r="G222" s="5">
        <v>0</v>
      </c>
      <c r="H222" s="5">
        <v>0</v>
      </c>
      <c r="I222" s="5">
        <v>0</v>
      </c>
      <c r="J222" s="5">
        <v>0</v>
      </c>
      <c r="K222" s="5">
        <v>0</v>
      </c>
      <c r="L222" s="5">
        <v>0</v>
      </c>
      <c r="M222" s="5">
        <v>0</v>
      </c>
      <c r="N222" s="5">
        <v>1</v>
      </c>
      <c r="O222" s="5">
        <v>0</v>
      </c>
      <c r="P222" s="5">
        <v>0</v>
      </c>
      <c r="Q222" s="5">
        <v>0</v>
      </c>
      <c r="R222" s="5">
        <v>0</v>
      </c>
      <c r="S222" s="5">
        <v>1</v>
      </c>
      <c r="T222" s="5">
        <v>0</v>
      </c>
      <c r="U222" s="5">
        <v>0</v>
      </c>
      <c r="V222" s="5">
        <v>0</v>
      </c>
      <c r="W222" s="5">
        <v>0</v>
      </c>
      <c r="X222" s="5">
        <v>0</v>
      </c>
      <c r="Y222" s="5">
        <v>0</v>
      </c>
      <c r="AA222">
        <v>2</v>
      </c>
    </row>
    <row r="223" spans="4:27" x14ac:dyDescent="0.2">
      <c r="D223" t="str">
        <f ca="1"/>
        <v>03-Aug</v>
      </c>
      <c r="E223" s="5">
        <v>0</v>
      </c>
      <c r="F223" s="5">
        <v>0</v>
      </c>
      <c r="G223" s="5">
        <v>0</v>
      </c>
      <c r="H223" s="5">
        <v>0</v>
      </c>
      <c r="I223" s="5">
        <v>0</v>
      </c>
      <c r="J223" s="5">
        <v>0</v>
      </c>
      <c r="K223" s="5">
        <v>0</v>
      </c>
      <c r="L223" s="5">
        <v>0</v>
      </c>
      <c r="M223" s="5">
        <v>0</v>
      </c>
      <c r="N223" s="5">
        <v>1</v>
      </c>
      <c r="O223" s="5">
        <v>1</v>
      </c>
      <c r="P223" s="5">
        <v>0</v>
      </c>
      <c r="Q223" s="5">
        <v>0</v>
      </c>
      <c r="R223" s="5">
        <v>0</v>
      </c>
      <c r="S223" s="5">
        <v>1</v>
      </c>
      <c r="T223" s="5">
        <v>0</v>
      </c>
      <c r="U223" s="5">
        <v>0</v>
      </c>
      <c r="V223" s="5">
        <v>0</v>
      </c>
      <c r="W223" s="5">
        <v>0</v>
      </c>
      <c r="X223" s="5">
        <v>0</v>
      </c>
      <c r="Y223" s="5">
        <v>0</v>
      </c>
      <c r="AA223">
        <v>3</v>
      </c>
    </row>
    <row r="224" spans="4:27" x14ac:dyDescent="0.2">
      <c r="D224" t="str">
        <f ca="1"/>
        <v>04-Aug</v>
      </c>
      <c r="E224" s="5">
        <v>0</v>
      </c>
      <c r="F224" s="5">
        <v>0</v>
      </c>
      <c r="G224" s="5">
        <v>0</v>
      </c>
      <c r="H224" s="5">
        <v>0</v>
      </c>
      <c r="I224" s="5">
        <v>0</v>
      </c>
      <c r="J224" s="5">
        <v>0</v>
      </c>
      <c r="K224" s="5">
        <v>0</v>
      </c>
      <c r="L224" s="5">
        <v>0</v>
      </c>
      <c r="M224" s="5">
        <v>0</v>
      </c>
      <c r="N224" s="5">
        <v>1</v>
      </c>
      <c r="O224" s="5">
        <v>1</v>
      </c>
      <c r="P224" s="5">
        <v>0</v>
      </c>
      <c r="Q224" s="5">
        <v>0</v>
      </c>
      <c r="R224" s="5">
        <v>0</v>
      </c>
      <c r="S224" s="5">
        <v>1</v>
      </c>
      <c r="T224" s="5">
        <v>0</v>
      </c>
      <c r="U224" s="5">
        <v>0</v>
      </c>
      <c r="V224" s="5">
        <v>0</v>
      </c>
      <c r="W224" s="5">
        <v>0</v>
      </c>
      <c r="X224" s="5">
        <v>0</v>
      </c>
      <c r="Y224" s="5">
        <v>0</v>
      </c>
      <c r="AA224">
        <v>3</v>
      </c>
    </row>
    <row r="225" spans="4:27" x14ac:dyDescent="0.2">
      <c r="D225" t="str">
        <f ca="1"/>
        <v>05-Aug</v>
      </c>
      <c r="E225" s="5">
        <v>0</v>
      </c>
      <c r="F225" s="5">
        <v>0</v>
      </c>
      <c r="G225" s="5">
        <v>0</v>
      </c>
      <c r="H225" s="5">
        <v>0</v>
      </c>
      <c r="I225" s="5">
        <v>0</v>
      </c>
      <c r="J225" s="5">
        <v>0</v>
      </c>
      <c r="K225" s="5">
        <v>0</v>
      </c>
      <c r="L225" s="5">
        <v>0</v>
      </c>
      <c r="M225" s="5">
        <v>0</v>
      </c>
      <c r="N225" s="5">
        <v>0</v>
      </c>
      <c r="O225" s="5">
        <v>1</v>
      </c>
      <c r="P225" s="5">
        <v>0</v>
      </c>
      <c r="Q225" s="5">
        <v>0</v>
      </c>
      <c r="R225" s="5">
        <v>0</v>
      </c>
      <c r="S225" s="5">
        <v>1</v>
      </c>
      <c r="T225" s="5">
        <v>0</v>
      </c>
      <c r="U225" s="5">
        <v>0</v>
      </c>
      <c r="V225" s="5">
        <v>0</v>
      </c>
      <c r="W225" s="5">
        <v>0</v>
      </c>
      <c r="X225" s="5">
        <v>0</v>
      </c>
      <c r="Y225" s="5">
        <v>0</v>
      </c>
      <c r="AA225">
        <v>2</v>
      </c>
    </row>
    <row r="226" spans="4:27" x14ac:dyDescent="0.2">
      <c r="D226" t="str">
        <f ca="1"/>
        <v>06-Aug</v>
      </c>
      <c r="E226" s="5">
        <v>0</v>
      </c>
      <c r="F226" s="5">
        <v>0</v>
      </c>
      <c r="G226" s="5">
        <v>0</v>
      </c>
      <c r="H226" s="5">
        <v>0</v>
      </c>
      <c r="I226" s="5">
        <v>0</v>
      </c>
      <c r="J226" s="5">
        <v>0</v>
      </c>
      <c r="K226" s="5">
        <v>0</v>
      </c>
      <c r="L226" s="5">
        <v>0</v>
      </c>
      <c r="M226" s="5">
        <v>0</v>
      </c>
      <c r="N226" s="5">
        <v>0</v>
      </c>
      <c r="O226" s="5">
        <v>1</v>
      </c>
      <c r="P226" s="5">
        <v>0</v>
      </c>
      <c r="Q226" s="5">
        <v>0</v>
      </c>
      <c r="R226" s="5">
        <v>0</v>
      </c>
      <c r="S226" s="5">
        <v>1</v>
      </c>
      <c r="T226" s="5">
        <v>0</v>
      </c>
      <c r="U226" s="5">
        <v>0</v>
      </c>
      <c r="V226" s="5">
        <v>0</v>
      </c>
      <c r="W226" s="5">
        <v>0</v>
      </c>
      <c r="X226" s="5">
        <v>0</v>
      </c>
      <c r="Y226" s="5">
        <v>0</v>
      </c>
      <c r="AA226">
        <v>2</v>
      </c>
    </row>
    <row r="227" spans="4:27" x14ac:dyDescent="0.2">
      <c r="D227" t="str">
        <f ca="1"/>
        <v>07-Aug</v>
      </c>
      <c r="E227" s="5">
        <v>0</v>
      </c>
      <c r="F227" s="5">
        <v>0</v>
      </c>
      <c r="G227" s="5">
        <v>0</v>
      </c>
      <c r="H227" s="5">
        <v>0</v>
      </c>
      <c r="I227" s="5">
        <v>0</v>
      </c>
      <c r="J227" s="5">
        <v>0</v>
      </c>
      <c r="K227" s="5">
        <v>0</v>
      </c>
      <c r="L227" s="5">
        <v>0</v>
      </c>
      <c r="M227" s="5">
        <v>0</v>
      </c>
      <c r="N227" s="5">
        <v>0</v>
      </c>
      <c r="O227" s="5">
        <v>1</v>
      </c>
      <c r="P227" s="5">
        <v>0</v>
      </c>
      <c r="Q227" s="5">
        <v>0</v>
      </c>
      <c r="R227" s="5">
        <v>0</v>
      </c>
      <c r="S227" s="5">
        <v>1</v>
      </c>
      <c r="T227" s="5">
        <v>0</v>
      </c>
      <c r="U227" s="5">
        <v>0</v>
      </c>
      <c r="V227" s="5">
        <v>0</v>
      </c>
      <c r="W227" s="5">
        <v>0</v>
      </c>
      <c r="X227" s="5">
        <v>0</v>
      </c>
      <c r="Y227" s="5">
        <v>0</v>
      </c>
      <c r="AA227">
        <v>2</v>
      </c>
    </row>
    <row r="228" spans="4:27" x14ac:dyDescent="0.2">
      <c r="D228" t="str">
        <f ca="1"/>
        <v>08-Aug</v>
      </c>
      <c r="E228" s="5">
        <v>0</v>
      </c>
      <c r="F228" s="5">
        <v>0</v>
      </c>
      <c r="G228" s="5">
        <v>0</v>
      </c>
      <c r="H228" s="5">
        <v>0</v>
      </c>
      <c r="I228" s="5">
        <v>0</v>
      </c>
      <c r="J228" s="5">
        <v>0</v>
      </c>
      <c r="K228" s="5">
        <v>0</v>
      </c>
      <c r="L228" s="5">
        <v>0</v>
      </c>
      <c r="M228" s="5">
        <v>0</v>
      </c>
      <c r="N228" s="5">
        <v>0</v>
      </c>
      <c r="O228" s="5">
        <v>1</v>
      </c>
      <c r="P228" s="5">
        <v>0</v>
      </c>
      <c r="Q228" s="5">
        <v>0</v>
      </c>
      <c r="R228" s="5">
        <v>0</v>
      </c>
      <c r="S228" s="5">
        <v>1</v>
      </c>
      <c r="T228" s="5">
        <v>0</v>
      </c>
      <c r="U228" s="5">
        <v>0</v>
      </c>
      <c r="V228" s="5">
        <v>0</v>
      </c>
      <c r="W228" s="5">
        <v>0</v>
      </c>
      <c r="X228" s="5">
        <v>0</v>
      </c>
      <c r="Y228" s="5">
        <v>0</v>
      </c>
      <c r="AA228">
        <v>2</v>
      </c>
    </row>
    <row r="229" spans="4:27" x14ac:dyDescent="0.2">
      <c r="D229" t="str">
        <f ca="1"/>
        <v>09-Aug</v>
      </c>
      <c r="E229" s="5">
        <v>0</v>
      </c>
      <c r="F229" s="5">
        <v>0</v>
      </c>
      <c r="G229" s="5">
        <v>0</v>
      </c>
      <c r="H229" s="5">
        <v>0</v>
      </c>
      <c r="I229" s="5">
        <v>0</v>
      </c>
      <c r="J229" s="5">
        <v>0</v>
      </c>
      <c r="K229" s="5">
        <v>0</v>
      </c>
      <c r="L229" s="5">
        <v>0</v>
      </c>
      <c r="M229" s="5">
        <v>0</v>
      </c>
      <c r="N229" s="5">
        <v>0</v>
      </c>
      <c r="O229" s="5">
        <v>1</v>
      </c>
      <c r="P229" s="5">
        <v>0</v>
      </c>
      <c r="Q229" s="5">
        <v>0</v>
      </c>
      <c r="R229" s="5">
        <v>0</v>
      </c>
      <c r="S229" s="5">
        <v>1</v>
      </c>
      <c r="T229" s="5">
        <v>0</v>
      </c>
      <c r="U229" s="5">
        <v>0</v>
      </c>
      <c r="V229" s="5">
        <v>0</v>
      </c>
      <c r="W229" s="5">
        <v>0</v>
      </c>
      <c r="X229" s="5">
        <v>0</v>
      </c>
      <c r="Y229" s="5">
        <v>0</v>
      </c>
      <c r="AA229">
        <v>2</v>
      </c>
    </row>
    <row r="230" spans="4:27" x14ac:dyDescent="0.2">
      <c r="D230" t="str">
        <f ca="1"/>
        <v>10-Aug</v>
      </c>
      <c r="E230" s="5">
        <v>0</v>
      </c>
      <c r="F230" s="5">
        <v>0</v>
      </c>
      <c r="G230" s="5">
        <v>0</v>
      </c>
      <c r="H230" s="5">
        <v>0</v>
      </c>
      <c r="I230" s="5">
        <v>0</v>
      </c>
      <c r="J230" s="5">
        <v>0</v>
      </c>
      <c r="K230" s="5">
        <v>0</v>
      </c>
      <c r="L230" s="5">
        <v>0</v>
      </c>
      <c r="M230" s="5">
        <v>0</v>
      </c>
      <c r="N230" s="5">
        <v>0</v>
      </c>
      <c r="O230" s="5">
        <v>0</v>
      </c>
      <c r="P230" s="5">
        <v>0</v>
      </c>
      <c r="Q230" s="5">
        <v>0</v>
      </c>
      <c r="R230" s="5">
        <v>0</v>
      </c>
      <c r="S230" s="5">
        <v>0</v>
      </c>
      <c r="T230" s="5">
        <v>0</v>
      </c>
      <c r="U230" s="5">
        <v>0</v>
      </c>
      <c r="V230" s="5">
        <v>0</v>
      </c>
      <c r="W230" s="5">
        <v>0</v>
      </c>
      <c r="X230" s="5">
        <v>0</v>
      </c>
      <c r="Y230" s="5">
        <v>0</v>
      </c>
      <c r="AA230">
        <v>0</v>
      </c>
    </row>
    <row r="231" spans="4:27" x14ac:dyDescent="0.2">
      <c r="D231" t="str">
        <f ca="1"/>
        <v>11-Aug</v>
      </c>
      <c r="E231" s="5">
        <v>0</v>
      </c>
      <c r="F231" s="5">
        <v>0</v>
      </c>
      <c r="G231" s="5">
        <v>0</v>
      </c>
      <c r="H231" s="5">
        <v>0</v>
      </c>
      <c r="I231" s="5">
        <v>0</v>
      </c>
      <c r="J231" s="5">
        <v>0</v>
      </c>
      <c r="K231" s="5">
        <v>0</v>
      </c>
      <c r="L231" s="5">
        <v>0</v>
      </c>
      <c r="M231" s="5">
        <v>0</v>
      </c>
      <c r="N231" s="5">
        <v>0</v>
      </c>
      <c r="O231" s="5">
        <v>0</v>
      </c>
      <c r="P231" s="5">
        <v>0</v>
      </c>
      <c r="Q231" s="5">
        <v>0</v>
      </c>
      <c r="R231" s="5">
        <v>0</v>
      </c>
      <c r="S231" s="5">
        <v>0</v>
      </c>
      <c r="T231" s="5">
        <v>0</v>
      </c>
      <c r="U231" s="5">
        <v>0</v>
      </c>
      <c r="V231" s="5">
        <v>0</v>
      </c>
      <c r="W231" s="5">
        <v>0</v>
      </c>
      <c r="X231" s="5">
        <v>0</v>
      </c>
      <c r="Y231" s="5">
        <v>0</v>
      </c>
      <c r="AA231">
        <v>0</v>
      </c>
    </row>
    <row r="232" spans="4:27" x14ac:dyDescent="0.2">
      <c r="D232" t="str">
        <f ca="1"/>
        <v>12-Aug</v>
      </c>
      <c r="E232" s="5">
        <v>0</v>
      </c>
      <c r="F232" s="5">
        <v>0</v>
      </c>
      <c r="G232" s="5">
        <v>0</v>
      </c>
      <c r="H232" s="5">
        <v>0</v>
      </c>
      <c r="I232" s="5">
        <v>0</v>
      </c>
      <c r="J232" s="5">
        <v>0</v>
      </c>
      <c r="K232" s="5">
        <v>0</v>
      </c>
      <c r="L232" s="5">
        <v>0</v>
      </c>
      <c r="M232" s="5">
        <v>0</v>
      </c>
      <c r="N232" s="5">
        <v>0</v>
      </c>
      <c r="O232" s="5">
        <v>0</v>
      </c>
      <c r="P232" s="5">
        <v>0</v>
      </c>
      <c r="Q232" s="5">
        <v>0</v>
      </c>
      <c r="R232" s="5">
        <v>0</v>
      </c>
      <c r="S232" s="5">
        <v>0</v>
      </c>
      <c r="T232" s="5">
        <v>0</v>
      </c>
      <c r="U232" s="5">
        <v>0</v>
      </c>
      <c r="V232" s="5">
        <v>0</v>
      </c>
      <c r="W232" s="5">
        <v>0</v>
      </c>
      <c r="X232" s="5">
        <v>0</v>
      </c>
      <c r="Y232" s="5">
        <v>0</v>
      </c>
      <c r="AA232">
        <v>0</v>
      </c>
    </row>
    <row r="233" spans="4:27" x14ac:dyDescent="0.2">
      <c r="D233" t="str">
        <f ca="1"/>
        <v>13-Aug</v>
      </c>
      <c r="E233" s="5">
        <v>0</v>
      </c>
      <c r="F233" s="5">
        <v>0</v>
      </c>
      <c r="G233" s="5">
        <v>0</v>
      </c>
      <c r="H233" s="5">
        <v>0</v>
      </c>
      <c r="I233" s="5">
        <v>0</v>
      </c>
      <c r="J233" s="5">
        <v>0</v>
      </c>
      <c r="K233" s="5">
        <v>0</v>
      </c>
      <c r="L233" s="5">
        <v>0</v>
      </c>
      <c r="M233" s="5">
        <v>0</v>
      </c>
      <c r="N233" s="5">
        <v>0</v>
      </c>
      <c r="O233" s="5">
        <v>1</v>
      </c>
      <c r="P233" s="5">
        <v>0</v>
      </c>
      <c r="Q233" s="5">
        <v>0</v>
      </c>
      <c r="R233" s="5">
        <v>0</v>
      </c>
      <c r="S233" s="5">
        <v>1</v>
      </c>
      <c r="T233" s="5">
        <v>0</v>
      </c>
      <c r="U233" s="5">
        <v>0</v>
      </c>
      <c r="V233" s="5">
        <v>0</v>
      </c>
      <c r="W233" s="5">
        <v>0</v>
      </c>
      <c r="X233" s="5">
        <v>0</v>
      </c>
      <c r="Y233" s="5">
        <v>0</v>
      </c>
      <c r="AA233">
        <v>2</v>
      </c>
    </row>
    <row r="234" spans="4:27" x14ac:dyDescent="0.2">
      <c r="D234" t="str">
        <f ca="1"/>
        <v>14-Aug</v>
      </c>
      <c r="E234" s="5">
        <v>0</v>
      </c>
      <c r="F234" s="5">
        <v>0</v>
      </c>
      <c r="G234" s="5">
        <v>0</v>
      </c>
      <c r="H234" s="5">
        <v>0</v>
      </c>
      <c r="I234" s="5">
        <v>0</v>
      </c>
      <c r="J234" s="5">
        <v>0</v>
      </c>
      <c r="K234" s="5">
        <v>0</v>
      </c>
      <c r="L234" s="5">
        <v>0</v>
      </c>
      <c r="M234" s="5">
        <v>0</v>
      </c>
      <c r="N234" s="5">
        <v>0</v>
      </c>
      <c r="O234" s="5">
        <v>1</v>
      </c>
      <c r="P234" s="5">
        <v>0</v>
      </c>
      <c r="Q234" s="5">
        <v>0</v>
      </c>
      <c r="R234" s="5">
        <v>0</v>
      </c>
      <c r="S234" s="5">
        <v>1</v>
      </c>
      <c r="T234" s="5">
        <v>0</v>
      </c>
      <c r="U234" s="5">
        <v>0</v>
      </c>
      <c r="V234" s="5">
        <v>0</v>
      </c>
      <c r="W234" s="5">
        <v>0</v>
      </c>
      <c r="X234" s="5">
        <v>0</v>
      </c>
      <c r="Y234" s="5">
        <v>0</v>
      </c>
      <c r="AA234">
        <v>2</v>
      </c>
    </row>
    <row r="235" spans="4:27" x14ac:dyDescent="0.2">
      <c r="D235" t="str">
        <f ca="1"/>
        <v>15-Aug</v>
      </c>
      <c r="E235" s="5">
        <v>0</v>
      </c>
      <c r="F235" s="5">
        <v>0</v>
      </c>
      <c r="G235" s="5">
        <v>0</v>
      </c>
      <c r="H235" s="5">
        <v>0</v>
      </c>
      <c r="I235" s="5">
        <v>0</v>
      </c>
      <c r="J235" s="5">
        <v>0</v>
      </c>
      <c r="K235" s="5">
        <v>0</v>
      </c>
      <c r="L235" s="5">
        <v>0</v>
      </c>
      <c r="M235" s="5">
        <v>0</v>
      </c>
      <c r="N235" s="5">
        <v>0</v>
      </c>
      <c r="O235" s="5">
        <v>1</v>
      </c>
      <c r="P235" s="5">
        <v>0</v>
      </c>
      <c r="Q235" s="5">
        <v>0</v>
      </c>
      <c r="R235" s="5">
        <v>0</v>
      </c>
      <c r="S235" s="5">
        <v>1</v>
      </c>
      <c r="T235" s="5">
        <v>0</v>
      </c>
      <c r="U235" s="5">
        <v>0</v>
      </c>
      <c r="V235" s="5">
        <v>0</v>
      </c>
      <c r="W235" s="5">
        <v>0</v>
      </c>
      <c r="X235" s="5">
        <v>0</v>
      </c>
      <c r="Y235" s="5">
        <v>0</v>
      </c>
      <c r="AA235">
        <v>2</v>
      </c>
    </row>
    <row r="236" spans="4:27" x14ac:dyDescent="0.2">
      <c r="D236" t="str">
        <f ca="1"/>
        <v>16-Aug</v>
      </c>
      <c r="E236" s="5">
        <v>0</v>
      </c>
      <c r="F236" s="5">
        <v>0</v>
      </c>
      <c r="G236" s="5">
        <v>0</v>
      </c>
      <c r="H236" s="5">
        <v>0</v>
      </c>
      <c r="I236" s="5">
        <v>0</v>
      </c>
      <c r="J236" s="5">
        <v>0</v>
      </c>
      <c r="K236" s="5">
        <v>0</v>
      </c>
      <c r="L236" s="5">
        <v>0</v>
      </c>
      <c r="M236" s="5">
        <v>0</v>
      </c>
      <c r="N236" s="5">
        <v>0</v>
      </c>
      <c r="O236" s="5">
        <v>1</v>
      </c>
      <c r="P236" s="5">
        <v>0</v>
      </c>
      <c r="Q236" s="5">
        <v>0</v>
      </c>
      <c r="R236" s="5">
        <v>0</v>
      </c>
      <c r="S236" s="5">
        <v>1</v>
      </c>
      <c r="T236" s="5">
        <v>0</v>
      </c>
      <c r="U236" s="5">
        <v>0</v>
      </c>
      <c r="V236" s="5">
        <v>0</v>
      </c>
      <c r="W236" s="5">
        <v>0</v>
      </c>
      <c r="X236" s="5">
        <v>0</v>
      </c>
      <c r="Y236" s="5">
        <v>0</v>
      </c>
      <c r="AA236">
        <v>2</v>
      </c>
    </row>
    <row r="237" spans="4:27" x14ac:dyDescent="0.2">
      <c r="D237" t="str">
        <f ca="1"/>
        <v>17-Aug</v>
      </c>
      <c r="E237" s="5">
        <v>0</v>
      </c>
      <c r="F237" s="5">
        <v>0</v>
      </c>
      <c r="G237" s="5">
        <v>0</v>
      </c>
      <c r="H237" s="5">
        <v>0</v>
      </c>
      <c r="I237" s="5">
        <v>0</v>
      </c>
      <c r="J237" s="5">
        <v>0</v>
      </c>
      <c r="K237" s="5">
        <v>0</v>
      </c>
      <c r="L237" s="5">
        <v>0</v>
      </c>
      <c r="M237" s="5">
        <v>0</v>
      </c>
      <c r="N237" s="5">
        <v>0</v>
      </c>
      <c r="O237" s="5">
        <v>1</v>
      </c>
      <c r="P237" s="5">
        <v>0</v>
      </c>
      <c r="Q237" s="5">
        <v>0</v>
      </c>
      <c r="R237" s="5">
        <v>0</v>
      </c>
      <c r="S237" s="5">
        <v>1</v>
      </c>
      <c r="T237" s="5">
        <v>0</v>
      </c>
      <c r="U237" s="5">
        <v>0</v>
      </c>
      <c r="V237" s="5">
        <v>0</v>
      </c>
      <c r="W237" s="5">
        <v>0</v>
      </c>
      <c r="X237" s="5">
        <v>0</v>
      </c>
      <c r="Y237" s="5">
        <v>0</v>
      </c>
      <c r="AA237">
        <v>2</v>
      </c>
    </row>
    <row r="238" spans="4:27" x14ac:dyDescent="0.2">
      <c r="D238" t="str">
        <f ca="1"/>
        <v>18-Aug</v>
      </c>
      <c r="E238" s="5">
        <v>0</v>
      </c>
      <c r="F238" s="5">
        <v>0</v>
      </c>
      <c r="G238" s="5">
        <v>0</v>
      </c>
      <c r="H238" s="5">
        <v>0</v>
      </c>
      <c r="I238" s="5">
        <v>0</v>
      </c>
      <c r="J238" s="5">
        <v>0</v>
      </c>
      <c r="K238" s="5">
        <v>0</v>
      </c>
      <c r="L238" s="5">
        <v>0</v>
      </c>
      <c r="M238" s="5">
        <v>0</v>
      </c>
      <c r="N238" s="5">
        <v>0</v>
      </c>
      <c r="O238" s="5">
        <v>1</v>
      </c>
      <c r="P238" s="5">
        <v>0</v>
      </c>
      <c r="Q238" s="5">
        <v>0</v>
      </c>
      <c r="R238" s="5">
        <v>0</v>
      </c>
      <c r="S238" s="5">
        <v>1</v>
      </c>
      <c r="T238" s="5">
        <v>0</v>
      </c>
      <c r="U238" s="5">
        <v>0</v>
      </c>
      <c r="V238" s="5">
        <v>0</v>
      </c>
      <c r="W238" s="5">
        <v>0</v>
      </c>
      <c r="X238" s="5">
        <v>0</v>
      </c>
      <c r="Y238" s="5">
        <v>0</v>
      </c>
      <c r="AA238">
        <v>2</v>
      </c>
    </row>
    <row r="239" spans="4:27" x14ac:dyDescent="0.2">
      <c r="D239" t="str">
        <f ca="1"/>
        <v>19-Aug</v>
      </c>
      <c r="E239" s="5">
        <v>0</v>
      </c>
      <c r="F239" s="5">
        <v>0</v>
      </c>
      <c r="G239" s="5">
        <v>0</v>
      </c>
      <c r="H239" s="5">
        <v>0</v>
      </c>
      <c r="I239" s="5">
        <v>0</v>
      </c>
      <c r="J239" s="5">
        <v>0</v>
      </c>
      <c r="K239" s="5">
        <v>0</v>
      </c>
      <c r="L239" s="5">
        <v>0</v>
      </c>
      <c r="M239" s="5">
        <v>0</v>
      </c>
      <c r="N239" s="5">
        <v>0</v>
      </c>
      <c r="O239" s="5">
        <v>1</v>
      </c>
      <c r="P239" s="5">
        <v>0</v>
      </c>
      <c r="Q239" s="5">
        <v>0</v>
      </c>
      <c r="R239" s="5">
        <v>0</v>
      </c>
      <c r="S239" s="5">
        <v>1</v>
      </c>
      <c r="T239" s="5">
        <v>0</v>
      </c>
      <c r="U239" s="5">
        <v>0</v>
      </c>
      <c r="V239" s="5">
        <v>0</v>
      </c>
      <c r="W239" s="5">
        <v>0</v>
      </c>
      <c r="X239" s="5">
        <v>0</v>
      </c>
      <c r="Y239" s="5">
        <v>0</v>
      </c>
      <c r="AA239">
        <v>2</v>
      </c>
    </row>
    <row r="240" spans="4:27" x14ac:dyDescent="0.2">
      <c r="D240" t="str">
        <f ca="1"/>
        <v>20-Aug</v>
      </c>
      <c r="E240" s="5">
        <v>0</v>
      </c>
      <c r="F240" s="5">
        <v>0</v>
      </c>
      <c r="G240" s="5">
        <v>0</v>
      </c>
      <c r="H240" s="5">
        <v>0</v>
      </c>
      <c r="I240" s="5">
        <v>0</v>
      </c>
      <c r="J240" s="5">
        <v>0</v>
      </c>
      <c r="K240" s="5">
        <v>0</v>
      </c>
      <c r="L240" s="5">
        <v>0</v>
      </c>
      <c r="M240" s="5">
        <v>0</v>
      </c>
      <c r="N240" s="5">
        <v>0</v>
      </c>
      <c r="O240" s="5">
        <v>1</v>
      </c>
      <c r="P240" s="5">
        <v>0</v>
      </c>
      <c r="Q240" s="5">
        <v>0</v>
      </c>
      <c r="R240" s="5">
        <v>0</v>
      </c>
      <c r="S240" s="5">
        <v>1</v>
      </c>
      <c r="T240" s="5">
        <v>0</v>
      </c>
      <c r="U240" s="5">
        <v>0</v>
      </c>
      <c r="V240" s="5">
        <v>0</v>
      </c>
      <c r="W240" s="5">
        <v>0</v>
      </c>
      <c r="X240" s="5">
        <v>0</v>
      </c>
      <c r="Y240" s="5">
        <v>0</v>
      </c>
      <c r="AA240">
        <v>2</v>
      </c>
    </row>
    <row r="241" spans="4:27" x14ac:dyDescent="0.2">
      <c r="D241" t="str">
        <f ca="1"/>
        <v>21-Aug</v>
      </c>
      <c r="E241" s="5">
        <v>0</v>
      </c>
      <c r="F241" s="5">
        <v>0</v>
      </c>
      <c r="G241" s="5">
        <v>0</v>
      </c>
      <c r="H241" s="5">
        <v>0</v>
      </c>
      <c r="I241" s="5">
        <v>0</v>
      </c>
      <c r="J241" s="5">
        <v>0</v>
      </c>
      <c r="K241" s="5">
        <v>0</v>
      </c>
      <c r="L241" s="5">
        <v>0</v>
      </c>
      <c r="M241" s="5">
        <v>0</v>
      </c>
      <c r="N241" s="5">
        <v>0</v>
      </c>
      <c r="O241" s="5">
        <v>1</v>
      </c>
      <c r="P241" s="5">
        <v>0</v>
      </c>
      <c r="Q241" s="5">
        <v>0</v>
      </c>
      <c r="R241" s="5">
        <v>0</v>
      </c>
      <c r="S241" s="5">
        <v>1</v>
      </c>
      <c r="T241" s="5">
        <v>0</v>
      </c>
      <c r="U241" s="5">
        <v>0</v>
      </c>
      <c r="V241" s="5">
        <v>0</v>
      </c>
      <c r="W241" s="5">
        <v>0</v>
      </c>
      <c r="X241" s="5">
        <v>0</v>
      </c>
      <c r="Y241" s="5">
        <v>0</v>
      </c>
      <c r="AA241">
        <v>2</v>
      </c>
    </row>
    <row r="242" spans="4:27" x14ac:dyDescent="0.2">
      <c r="D242" t="str">
        <f ca="1"/>
        <v>22-Aug</v>
      </c>
      <c r="E242" s="5">
        <v>0</v>
      </c>
      <c r="F242" s="5">
        <v>0</v>
      </c>
      <c r="G242" s="5">
        <v>0</v>
      </c>
      <c r="H242" s="5">
        <v>0</v>
      </c>
      <c r="I242" s="5">
        <v>0</v>
      </c>
      <c r="J242" s="5">
        <v>0</v>
      </c>
      <c r="K242" s="5">
        <v>0</v>
      </c>
      <c r="L242" s="5">
        <v>0</v>
      </c>
      <c r="M242" s="5">
        <v>0</v>
      </c>
      <c r="N242" s="5">
        <v>0</v>
      </c>
      <c r="O242" s="5">
        <v>1</v>
      </c>
      <c r="P242" s="5">
        <v>0</v>
      </c>
      <c r="Q242" s="5">
        <v>0</v>
      </c>
      <c r="R242" s="5">
        <v>0</v>
      </c>
      <c r="S242" s="5">
        <v>1</v>
      </c>
      <c r="T242" s="5">
        <v>0</v>
      </c>
      <c r="U242" s="5">
        <v>0</v>
      </c>
      <c r="V242" s="5">
        <v>0</v>
      </c>
      <c r="W242" s="5">
        <v>0</v>
      </c>
      <c r="X242" s="5">
        <v>0</v>
      </c>
      <c r="Y242" s="5">
        <v>0</v>
      </c>
      <c r="AA242">
        <v>2</v>
      </c>
    </row>
    <row r="243" spans="4:27" x14ac:dyDescent="0.2">
      <c r="D243" t="str">
        <f ca="1"/>
        <v>23-Aug</v>
      </c>
      <c r="E243" s="5">
        <v>0</v>
      </c>
      <c r="F243" s="5">
        <v>0</v>
      </c>
      <c r="G243" s="5">
        <v>0</v>
      </c>
      <c r="H243" s="5">
        <v>0</v>
      </c>
      <c r="I243" s="5">
        <v>0</v>
      </c>
      <c r="J243" s="5">
        <v>0</v>
      </c>
      <c r="K243" s="5">
        <v>0</v>
      </c>
      <c r="L243" s="5">
        <v>0</v>
      </c>
      <c r="M243" s="5">
        <v>0</v>
      </c>
      <c r="N243" s="5">
        <v>0</v>
      </c>
      <c r="O243" s="5">
        <v>1</v>
      </c>
      <c r="P243" s="5">
        <v>0</v>
      </c>
      <c r="Q243" s="5">
        <v>0</v>
      </c>
      <c r="R243" s="5">
        <v>0</v>
      </c>
      <c r="S243" s="5">
        <v>1</v>
      </c>
      <c r="T243" s="5">
        <v>0</v>
      </c>
      <c r="U243" s="5">
        <v>0</v>
      </c>
      <c r="V243" s="5">
        <v>0</v>
      </c>
      <c r="W243" s="5">
        <v>0</v>
      </c>
      <c r="X243" s="5">
        <v>0</v>
      </c>
      <c r="Y243" s="5">
        <v>0</v>
      </c>
      <c r="AA243">
        <v>2</v>
      </c>
    </row>
    <row r="244" spans="4:27" x14ac:dyDescent="0.2">
      <c r="D244" t="str">
        <f ca="1"/>
        <v>24-Aug</v>
      </c>
      <c r="E244" s="5">
        <v>0</v>
      </c>
      <c r="F244" s="5">
        <v>0</v>
      </c>
      <c r="G244" s="5">
        <v>0</v>
      </c>
      <c r="H244" s="5">
        <v>0</v>
      </c>
      <c r="I244" s="5">
        <v>0</v>
      </c>
      <c r="J244" s="5">
        <v>0</v>
      </c>
      <c r="K244" s="5">
        <v>0</v>
      </c>
      <c r="L244" s="5">
        <v>0</v>
      </c>
      <c r="M244" s="5">
        <v>0</v>
      </c>
      <c r="N244" s="5">
        <v>0</v>
      </c>
      <c r="O244" s="5">
        <v>1</v>
      </c>
      <c r="P244" s="5">
        <v>0</v>
      </c>
      <c r="Q244" s="5">
        <v>0</v>
      </c>
      <c r="R244" s="5">
        <v>0</v>
      </c>
      <c r="S244" s="5">
        <v>1</v>
      </c>
      <c r="T244" s="5">
        <v>0</v>
      </c>
      <c r="U244" s="5">
        <v>0</v>
      </c>
      <c r="V244" s="5">
        <v>0</v>
      </c>
      <c r="W244" s="5">
        <v>0</v>
      </c>
      <c r="X244" s="5">
        <v>0</v>
      </c>
      <c r="Y244" s="5">
        <v>0</v>
      </c>
      <c r="AA244">
        <v>2</v>
      </c>
    </row>
    <row r="245" spans="4:27" x14ac:dyDescent="0.2">
      <c r="D245" t="str">
        <f ca="1"/>
        <v>25-Aug</v>
      </c>
      <c r="E245" s="5">
        <v>0</v>
      </c>
      <c r="F245" s="5">
        <v>0</v>
      </c>
      <c r="G245" s="5">
        <v>0</v>
      </c>
      <c r="H245" s="5">
        <v>0</v>
      </c>
      <c r="I245" s="5">
        <v>0</v>
      </c>
      <c r="J245" s="5">
        <v>0</v>
      </c>
      <c r="K245" s="5">
        <v>0</v>
      </c>
      <c r="L245" s="5">
        <v>0</v>
      </c>
      <c r="M245" s="5">
        <v>0</v>
      </c>
      <c r="N245" s="5">
        <v>0</v>
      </c>
      <c r="O245" s="5">
        <v>1</v>
      </c>
      <c r="P245" s="5">
        <v>0</v>
      </c>
      <c r="Q245" s="5">
        <v>0</v>
      </c>
      <c r="R245" s="5">
        <v>0</v>
      </c>
      <c r="S245" s="5">
        <v>1</v>
      </c>
      <c r="T245" s="5">
        <v>0</v>
      </c>
      <c r="U245" s="5">
        <v>0</v>
      </c>
      <c r="V245" s="5">
        <v>0</v>
      </c>
      <c r="W245" s="5">
        <v>0</v>
      </c>
      <c r="X245" s="5">
        <v>0</v>
      </c>
      <c r="Y245" s="5">
        <v>0</v>
      </c>
      <c r="AA245">
        <v>2</v>
      </c>
    </row>
    <row r="246" spans="4:27" x14ac:dyDescent="0.2">
      <c r="D246" t="str">
        <f ca="1"/>
        <v>26-Aug</v>
      </c>
      <c r="E246" s="5">
        <v>0</v>
      </c>
      <c r="F246" s="5">
        <v>0</v>
      </c>
      <c r="G246" s="5">
        <v>0</v>
      </c>
      <c r="H246" s="5">
        <v>0</v>
      </c>
      <c r="I246" s="5">
        <v>0</v>
      </c>
      <c r="J246" s="5">
        <v>0</v>
      </c>
      <c r="K246" s="5">
        <v>0</v>
      </c>
      <c r="L246" s="5">
        <v>0</v>
      </c>
      <c r="M246" s="5">
        <v>0</v>
      </c>
      <c r="N246" s="5">
        <v>0</v>
      </c>
      <c r="O246" s="5">
        <v>1</v>
      </c>
      <c r="P246" s="5">
        <v>0</v>
      </c>
      <c r="Q246" s="5">
        <v>0</v>
      </c>
      <c r="R246" s="5">
        <v>0</v>
      </c>
      <c r="S246" s="5">
        <v>1</v>
      </c>
      <c r="T246" s="5">
        <v>0</v>
      </c>
      <c r="U246" s="5">
        <v>0</v>
      </c>
      <c r="V246" s="5">
        <v>0</v>
      </c>
      <c r="W246" s="5">
        <v>0</v>
      </c>
      <c r="X246" s="5">
        <v>0</v>
      </c>
      <c r="Y246" s="5">
        <v>0</v>
      </c>
      <c r="AA246">
        <v>2</v>
      </c>
    </row>
    <row r="247" spans="4:27" x14ac:dyDescent="0.2">
      <c r="D247" t="str">
        <f ca="1"/>
        <v>27-Aug</v>
      </c>
      <c r="E247" s="5">
        <v>0</v>
      </c>
      <c r="F247" s="5">
        <v>0</v>
      </c>
      <c r="G247" s="5">
        <v>0</v>
      </c>
      <c r="H247" s="5">
        <v>0</v>
      </c>
      <c r="I247" s="5">
        <v>0</v>
      </c>
      <c r="J247" s="5">
        <v>0</v>
      </c>
      <c r="K247" s="5">
        <v>0</v>
      </c>
      <c r="L247" s="5">
        <v>0</v>
      </c>
      <c r="M247" s="5">
        <v>0</v>
      </c>
      <c r="N247" s="5">
        <v>0</v>
      </c>
      <c r="O247" s="5">
        <v>1</v>
      </c>
      <c r="P247" s="5">
        <v>0</v>
      </c>
      <c r="Q247" s="5">
        <v>0</v>
      </c>
      <c r="R247" s="5">
        <v>0</v>
      </c>
      <c r="S247" s="5">
        <v>1</v>
      </c>
      <c r="T247" s="5">
        <v>0</v>
      </c>
      <c r="U247" s="5">
        <v>0</v>
      </c>
      <c r="V247" s="5">
        <v>0</v>
      </c>
      <c r="W247" s="5">
        <v>0</v>
      </c>
      <c r="X247" s="5">
        <v>0</v>
      </c>
      <c r="Y247" s="5">
        <v>0</v>
      </c>
      <c r="AA247">
        <v>2</v>
      </c>
    </row>
    <row r="248" spans="4:27" x14ac:dyDescent="0.2">
      <c r="D248" t="str">
        <f ca="1"/>
        <v>28-Aug</v>
      </c>
      <c r="E248" s="5">
        <v>0</v>
      </c>
      <c r="F248" s="5">
        <v>0</v>
      </c>
      <c r="G248" s="5">
        <v>0</v>
      </c>
      <c r="H248" s="5">
        <v>0</v>
      </c>
      <c r="I248" s="5">
        <v>0</v>
      </c>
      <c r="J248" s="5">
        <v>0</v>
      </c>
      <c r="K248" s="5">
        <v>0</v>
      </c>
      <c r="L248" s="5">
        <v>0</v>
      </c>
      <c r="M248" s="5">
        <v>0</v>
      </c>
      <c r="N248" s="5">
        <v>0</v>
      </c>
      <c r="O248" s="5">
        <v>1</v>
      </c>
      <c r="P248" s="5">
        <v>0</v>
      </c>
      <c r="Q248" s="5">
        <v>0</v>
      </c>
      <c r="R248" s="5">
        <v>0</v>
      </c>
      <c r="S248" s="5">
        <v>1</v>
      </c>
      <c r="T248" s="5">
        <v>0</v>
      </c>
      <c r="U248" s="5">
        <v>0</v>
      </c>
      <c r="V248" s="5">
        <v>0</v>
      </c>
      <c r="W248" s="5">
        <v>0</v>
      </c>
      <c r="X248" s="5">
        <v>0</v>
      </c>
      <c r="Y248" s="5">
        <v>0</v>
      </c>
      <c r="AA248">
        <v>2</v>
      </c>
    </row>
    <row r="249" spans="4:27" x14ac:dyDescent="0.2">
      <c r="D249" t="str">
        <f ca="1"/>
        <v>29-Aug</v>
      </c>
      <c r="E249" s="5">
        <v>0</v>
      </c>
      <c r="F249" s="5">
        <v>0</v>
      </c>
      <c r="G249" s="5">
        <v>0</v>
      </c>
      <c r="H249" s="5">
        <v>0</v>
      </c>
      <c r="I249" s="5">
        <v>0</v>
      </c>
      <c r="J249" s="5">
        <v>0</v>
      </c>
      <c r="K249" s="5">
        <v>0</v>
      </c>
      <c r="L249" s="5">
        <v>0</v>
      </c>
      <c r="M249" s="5">
        <v>0</v>
      </c>
      <c r="N249" s="5">
        <v>0</v>
      </c>
      <c r="O249" s="5">
        <v>1</v>
      </c>
      <c r="P249" s="5">
        <v>0</v>
      </c>
      <c r="Q249" s="5">
        <v>0</v>
      </c>
      <c r="R249" s="5">
        <v>0</v>
      </c>
      <c r="S249" s="5">
        <v>1</v>
      </c>
      <c r="T249" s="5">
        <v>0</v>
      </c>
      <c r="U249" s="5">
        <v>0</v>
      </c>
      <c r="V249" s="5">
        <v>0</v>
      </c>
      <c r="W249" s="5">
        <v>0</v>
      </c>
      <c r="X249" s="5">
        <v>0</v>
      </c>
      <c r="Y249" s="5">
        <v>0</v>
      </c>
      <c r="AA249">
        <v>2</v>
      </c>
    </row>
    <row r="250" spans="4:27" x14ac:dyDescent="0.2">
      <c r="D250" t="str">
        <f ca="1"/>
        <v>30-Aug</v>
      </c>
      <c r="E250" s="5">
        <v>0</v>
      </c>
      <c r="F250" s="5">
        <v>0</v>
      </c>
      <c r="G250" s="5">
        <v>0</v>
      </c>
      <c r="H250" s="5">
        <v>0</v>
      </c>
      <c r="I250" s="5">
        <v>0</v>
      </c>
      <c r="J250" s="5">
        <v>0</v>
      </c>
      <c r="K250" s="5">
        <v>0</v>
      </c>
      <c r="L250" s="5">
        <v>0</v>
      </c>
      <c r="M250" s="5">
        <v>0</v>
      </c>
      <c r="N250" s="5">
        <v>0</v>
      </c>
      <c r="O250" s="5">
        <v>1</v>
      </c>
      <c r="P250" s="5">
        <v>0</v>
      </c>
      <c r="Q250" s="5">
        <v>0</v>
      </c>
      <c r="R250" s="5">
        <v>0</v>
      </c>
      <c r="S250" s="5">
        <v>1</v>
      </c>
      <c r="T250" s="5">
        <v>0</v>
      </c>
      <c r="U250" s="5">
        <v>0</v>
      </c>
      <c r="V250" s="5">
        <v>0</v>
      </c>
      <c r="W250" s="5">
        <v>0</v>
      </c>
      <c r="X250" s="5">
        <v>0</v>
      </c>
      <c r="Y250" s="5">
        <v>0</v>
      </c>
      <c r="AA250">
        <v>2</v>
      </c>
    </row>
    <row r="251" spans="4:27" x14ac:dyDescent="0.2">
      <c r="D251" t="str">
        <f ca="1"/>
        <v>31-Aug</v>
      </c>
      <c r="E251" s="5">
        <v>0</v>
      </c>
      <c r="F251" s="5">
        <v>0</v>
      </c>
      <c r="G251" s="5">
        <v>0</v>
      </c>
      <c r="H251" s="5">
        <v>0</v>
      </c>
      <c r="I251" s="5">
        <v>0</v>
      </c>
      <c r="J251" s="5">
        <v>0</v>
      </c>
      <c r="K251" s="5">
        <v>0</v>
      </c>
      <c r="L251" s="5">
        <v>0</v>
      </c>
      <c r="M251" s="5">
        <v>0</v>
      </c>
      <c r="N251" s="5">
        <v>0</v>
      </c>
      <c r="O251" s="5">
        <v>1</v>
      </c>
      <c r="P251" s="5">
        <v>0</v>
      </c>
      <c r="Q251" s="5">
        <v>0</v>
      </c>
      <c r="R251" s="5">
        <v>0</v>
      </c>
      <c r="S251" s="5">
        <v>1</v>
      </c>
      <c r="T251" s="5">
        <v>0</v>
      </c>
      <c r="U251" s="5">
        <v>0</v>
      </c>
      <c r="V251" s="5">
        <v>0</v>
      </c>
      <c r="W251" s="5">
        <v>0</v>
      </c>
      <c r="X251" s="5">
        <v>0</v>
      </c>
      <c r="Y251" s="5">
        <v>0</v>
      </c>
      <c r="AA251">
        <v>2</v>
      </c>
    </row>
    <row r="252" spans="4:27" x14ac:dyDescent="0.2">
      <c r="D252" t="str">
        <f ca="1"/>
        <v>01-Sep</v>
      </c>
      <c r="E252" s="5">
        <v>0</v>
      </c>
      <c r="F252" s="5">
        <v>0</v>
      </c>
      <c r="G252" s="5">
        <v>0</v>
      </c>
      <c r="H252" s="5">
        <v>0</v>
      </c>
      <c r="I252" s="5">
        <v>0</v>
      </c>
      <c r="J252" s="5">
        <v>0</v>
      </c>
      <c r="K252" s="5">
        <v>0</v>
      </c>
      <c r="L252" s="5">
        <v>0</v>
      </c>
      <c r="M252" s="5">
        <v>0</v>
      </c>
      <c r="N252" s="5">
        <v>0</v>
      </c>
      <c r="O252" s="5">
        <v>1</v>
      </c>
      <c r="P252" s="5">
        <v>0</v>
      </c>
      <c r="Q252" s="5">
        <v>0</v>
      </c>
      <c r="R252" s="5">
        <v>0</v>
      </c>
      <c r="S252" s="5">
        <v>1</v>
      </c>
      <c r="T252" s="5">
        <v>0</v>
      </c>
      <c r="U252" s="5">
        <v>0</v>
      </c>
      <c r="V252" s="5">
        <v>0</v>
      </c>
      <c r="W252" s="5">
        <v>0</v>
      </c>
      <c r="X252" s="5">
        <v>0</v>
      </c>
      <c r="Y252" s="5">
        <v>0</v>
      </c>
      <c r="AA252">
        <v>2</v>
      </c>
    </row>
    <row r="253" spans="4:27" x14ac:dyDescent="0.2">
      <c r="D253" t="str">
        <f ca="1"/>
        <v>02-Sep</v>
      </c>
      <c r="E253" s="5">
        <v>0</v>
      </c>
      <c r="F253" s="5">
        <v>0</v>
      </c>
      <c r="G253" s="5">
        <v>0</v>
      </c>
      <c r="H253" s="5">
        <v>0</v>
      </c>
      <c r="I253" s="5">
        <v>0</v>
      </c>
      <c r="J253" s="5">
        <v>0</v>
      </c>
      <c r="K253" s="5">
        <v>0</v>
      </c>
      <c r="L253" s="5">
        <v>0</v>
      </c>
      <c r="M253" s="5">
        <v>0</v>
      </c>
      <c r="N253" s="5">
        <v>0</v>
      </c>
      <c r="O253" s="5">
        <v>1</v>
      </c>
      <c r="P253" s="5">
        <v>0</v>
      </c>
      <c r="Q253" s="5">
        <v>0</v>
      </c>
      <c r="R253" s="5">
        <v>0</v>
      </c>
      <c r="S253" s="5">
        <v>1</v>
      </c>
      <c r="T253" s="5">
        <v>0</v>
      </c>
      <c r="U253" s="5">
        <v>0</v>
      </c>
      <c r="V253" s="5">
        <v>0</v>
      </c>
      <c r="W253" s="5">
        <v>0</v>
      </c>
      <c r="X253" s="5">
        <v>0</v>
      </c>
      <c r="Y253" s="5">
        <v>0</v>
      </c>
      <c r="AA253">
        <v>2</v>
      </c>
    </row>
    <row r="254" spans="4:27" x14ac:dyDescent="0.2">
      <c r="D254" t="str">
        <f ca="1"/>
        <v>03-Sep</v>
      </c>
      <c r="E254" s="5">
        <v>0</v>
      </c>
      <c r="F254" s="5">
        <v>0</v>
      </c>
      <c r="G254" s="5">
        <v>0</v>
      </c>
      <c r="H254" s="5">
        <v>0</v>
      </c>
      <c r="I254" s="5">
        <v>0</v>
      </c>
      <c r="J254" s="5">
        <v>0</v>
      </c>
      <c r="K254" s="5">
        <v>0</v>
      </c>
      <c r="L254" s="5">
        <v>0</v>
      </c>
      <c r="M254" s="5">
        <v>0</v>
      </c>
      <c r="N254" s="5">
        <v>0</v>
      </c>
      <c r="O254" s="5">
        <v>1</v>
      </c>
      <c r="P254" s="5">
        <v>0</v>
      </c>
      <c r="Q254" s="5">
        <v>0</v>
      </c>
      <c r="R254" s="5">
        <v>0</v>
      </c>
      <c r="S254" s="5">
        <v>1</v>
      </c>
      <c r="T254" s="5">
        <v>0</v>
      </c>
      <c r="U254" s="5">
        <v>0</v>
      </c>
      <c r="V254" s="5">
        <v>0</v>
      </c>
      <c r="W254" s="5">
        <v>0</v>
      </c>
      <c r="X254" s="5">
        <v>0</v>
      </c>
      <c r="Y254" s="5">
        <v>0</v>
      </c>
      <c r="AA254">
        <v>2</v>
      </c>
    </row>
    <row r="255" spans="4:27" x14ac:dyDescent="0.2">
      <c r="D255" t="str">
        <f ca="1"/>
        <v>04-Sep</v>
      </c>
      <c r="E255" s="5">
        <v>0</v>
      </c>
      <c r="F255" s="5">
        <v>0</v>
      </c>
      <c r="G255" s="5">
        <v>0</v>
      </c>
      <c r="H255" s="5">
        <v>0</v>
      </c>
      <c r="I255" s="5">
        <v>0</v>
      </c>
      <c r="J255" s="5">
        <v>0</v>
      </c>
      <c r="K255" s="5">
        <v>0</v>
      </c>
      <c r="L255" s="5">
        <v>0</v>
      </c>
      <c r="M255" s="5">
        <v>0</v>
      </c>
      <c r="N255" s="5">
        <v>0</v>
      </c>
      <c r="O255" s="5">
        <v>1</v>
      </c>
      <c r="P255" s="5">
        <v>0</v>
      </c>
      <c r="Q255" s="5">
        <v>0</v>
      </c>
      <c r="R255" s="5">
        <v>0</v>
      </c>
      <c r="S255" s="5">
        <v>1</v>
      </c>
      <c r="T255" s="5">
        <v>0</v>
      </c>
      <c r="U255" s="5">
        <v>0</v>
      </c>
      <c r="V255" s="5">
        <v>0</v>
      </c>
      <c r="W255" s="5">
        <v>0</v>
      </c>
      <c r="X255" s="5">
        <v>0</v>
      </c>
      <c r="Y255" s="5">
        <v>0</v>
      </c>
      <c r="AA255">
        <v>2</v>
      </c>
    </row>
    <row r="256" spans="4:27" x14ac:dyDescent="0.2">
      <c r="D256" t="str">
        <f ca="1"/>
        <v>05-Sep</v>
      </c>
      <c r="E256" s="5">
        <v>0</v>
      </c>
      <c r="F256" s="5">
        <v>0</v>
      </c>
      <c r="G256" s="5">
        <v>0</v>
      </c>
      <c r="H256" s="5">
        <v>0</v>
      </c>
      <c r="I256" s="5">
        <v>0</v>
      </c>
      <c r="J256" s="5">
        <v>0</v>
      </c>
      <c r="K256" s="5">
        <v>0</v>
      </c>
      <c r="L256" s="5">
        <v>0</v>
      </c>
      <c r="M256" s="5">
        <v>0</v>
      </c>
      <c r="N256" s="5">
        <v>0</v>
      </c>
      <c r="O256" s="5">
        <v>1</v>
      </c>
      <c r="P256" s="5">
        <v>0</v>
      </c>
      <c r="Q256" s="5">
        <v>0</v>
      </c>
      <c r="R256" s="5">
        <v>0</v>
      </c>
      <c r="S256" s="5">
        <v>1</v>
      </c>
      <c r="T256" s="5">
        <v>0</v>
      </c>
      <c r="U256" s="5">
        <v>0</v>
      </c>
      <c r="V256" s="5">
        <v>0</v>
      </c>
      <c r="W256" s="5">
        <v>0</v>
      </c>
      <c r="X256" s="5">
        <v>0</v>
      </c>
      <c r="Y256" s="5">
        <v>0</v>
      </c>
      <c r="AA256">
        <v>2</v>
      </c>
    </row>
    <row r="257" spans="4:27" x14ac:dyDescent="0.2">
      <c r="D257" t="str">
        <f ca="1"/>
        <v>06-Sep</v>
      </c>
      <c r="E257" s="5">
        <v>0</v>
      </c>
      <c r="F257" s="5">
        <v>0</v>
      </c>
      <c r="G257" s="5">
        <v>0</v>
      </c>
      <c r="H257" s="5">
        <v>0</v>
      </c>
      <c r="I257" s="5">
        <v>0</v>
      </c>
      <c r="J257" s="5">
        <v>0</v>
      </c>
      <c r="K257" s="5">
        <v>0</v>
      </c>
      <c r="L257" s="5">
        <v>0</v>
      </c>
      <c r="M257" s="5">
        <v>0</v>
      </c>
      <c r="N257" s="5">
        <v>0</v>
      </c>
      <c r="O257" s="5">
        <v>1</v>
      </c>
      <c r="P257" s="5">
        <v>0</v>
      </c>
      <c r="Q257" s="5">
        <v>0</v>
      </c>
      <c r="R257" s="5">
        <v>0</v>
      </c>
      <c r="S257" s="5">
        <v>1</v>
      </c>
      <c r="T257" s="5">
        <v>0</v>
      </c>
      <c r="U257" s="5">
        <v>0</v>
      </c>
      <c r="V257" s="5">
        <v>0</v>
      </c>
      <c r="W257" s="5">
        <v>0</v>
      </c>
      <c r="X257" s="5">
        <v>0</v>
      </c>
      <c r="Y257" s="5">
        <v>0</v>
      </c>
      <c r="AA257">
        <v>2</v>
      </c>
    </row>
    <row r="258" spans="4:27" x14ac:dyDescent="0.2">
      <c r="D258" t="str">
        <f ca="1"/>
        <v>07-Sep</v>
      </c>
      <c r="E258" s="5">
        <v>0</v>
      </c>
      <c r="F258" s="5">
        <v>0</v>
      </c>
      <c r="G258" s="5">
        <v>0</v>
      </c>
      <c r="H258" s="5">
        <v>0</v>
      </c>
      <c r="I258" s="5">
        <v>0</v>
      </c>
      <c r="J258" s="5">
        <v>0</v>
      </c>
      <c r="K258" s="5">
        <v>0</v>
      </c>
      <c r="L258" s="5">
        <v>0</v>
      </c>
      <c r="M258" s="5">
        <v>0</v>
      </c>
      <c r="N258" s="5">
        <v>0</v>
      </c>
      <c r="O258" s="5">
        <v>1</v>
      </c>
      <c r="P258" s="5">
        <v>0</v>
      </c>
      <c r="Q258" s="5">
        <v>0</v>
      </c>
      <c r="R258" s="5">
        <v>0</v>
      </c>
      <c r="S258" s="5">
        <v>1</v>
      </c>
      <c r="T258" s="5">
        <v>0</v>
      </c>
      <c r="U258" s="5">
        <v>0</v>
      </c>
      <c r="V258" s="5">
        <v>0</v>
      </c>
      <c r="W258" s="5">
        <v>0</v>
      </c>
      <c r="X258" s="5">
        <v>0</v>
      </c>
      <c r="Y258" s="5">
        <v>0</v>
      </c>
      <c r="AA258">
        <v>2</v>
      </c>
    </row>
    <row r="259" spans="4:27" x14ac:dyDescent="0.2">
      <c r="D259" t="str">
        <f ca="1"/>
        <v>08-Sep</v>
      </c>
      <c r="E259" s="5">
        <v>0</v>
      </c>
      <c r="F259" s="5">
        <v>0</v>
      </c>
      <c r="G259" s="5">
        <v>0</v>
      </c>
      <c r="H259" s="5">
        <v>0</v>
      </c>
      <c r="I259" s="5">
        <v>0</v>
      </c>
      <c r="J259" s="5">
        <v>0</v>
      </c>
      <c r="K259" s="5">
        <v>0</v>
      </c>
      <c r="L259" s="5">
        <v>0</v>
      </c>
      <c r="M259" s="5">
        <v>0</v>
      </c>
      <c r="N259" s="5">
        <v>0</v>
      </c>
      <c r="O259" s="5">
        <v>1</v>
      </c>
      <c r="P259" s="5">
        <v>0</v>
      </c>
      <c r="Q259" s="5">
        <v>0</v>
      </c>
      <c r="R259" s="5">
        <v>0</v>
      </c>
      <c r="S259" s="5">
        <v>1</v>
      </c>
      <c r="T259" s="5">
        <v>0</v>
      </c>
      <c r="U259" s="5">
        <v>0</v>
      </c>
      <c r="V259" s="5">
        <v>0</v>
      </c>
      <c r="W259" s="5">
        <v>0</v>
      </c>
      <c r="X259" s="5">
        <v>0</v>
      </c>
      <c r="Y259" s="5">
        <v>0</v>
      </c>
      <c r="AA259">
        <v>2</v>
      </c>
    </row>
    <row r="260" spans="4:27" x14ac:dyDescent="0.2">
      <c r="D260" t="str">
        <f ca="1"/>
        <v>09-Sep</v>
      </c>
      <c r="E260" s="5">
        <v>0</v>
      </c>
      <c r="F260" s="5">
        <v>0</v>
      </c>
      <c r="G260" s="5">
        <v>0</v>
      </c>
      <c r="H260" s="5">
        <v>0</v>
      </c>
      <c r="I260" s="5">
        <v>0</v>
      </c>
      <c r="J260" s="5">
        <v>0</v>
      </c>
      <c r="K260" s="5">
        <v>0</v>
      </c>
      <c r="L260" s="5">
        <v>0</v>
      </c>
      <c r="M260" s="5">
        <v>0</v>
      </c>
      <c r="N260" s="5">
        <v>0</v>
      </c>
      <c r="O260" s="5">
        <v>1</v>
      </c>
      <c r="P260" s="5">
        <v>0</v>
      </c>
      <c r="Q260" s="5">
        <v>0</v>
      </c>
      <c r="R260" s="5">
        <v>0</v>
      </c>
      <c r="S260" s="5">
        <v>1</v>
      </c>
      <c r="T260" s="5">
        <v>0</v>
      </c>
      <c r="U260" s="5">
        <v>0</v>
      </c>
      <c r="V260" s="5">
        <v>0</v>
      </c>
      <c r="W260" s="5">
        <v>0</v>
      </c>
      <c r="X260" s="5">
        <v>0</v>
      </c>
      <c r="Y260" s="5">
        <v>0</v>
      </c>
      <c r="AA260">
        <v>2</v>
      </c>
    </row>
    <row r="261" spans="4:27" x14ac:dyDescent="0.2">
      <c r="D261" t="str">
        <f ca="1"/>
        <v>10-Sep</v>
      </c>
      <c r="E261" s="5">
        <v>0</v>
      </c>
      <c r="F261" s="5">
        <v>0</v>
      </c>
      <c r="G261" s="5">
        <v>0</v>
      </c>
      <c r="H261" s="5">
        <v>0</v>
      </c>
      <c r="I261" s="5">
        <v>0</v>
      </c>
      <c r="J261" s="5">
        <v>0</v>
      </c>
      <c r="K261" s="5">
        <v>0</v>
      </c>
      <c r="L261" s="5">
        <v>0</v>
      </c>
      <c r="M261" s="5">
        <v>0</v>
      </c>
      <c r="N261" s="5">
        <v>0</v>
      </c>
      <c r="O261" s="5">
        <v>1</v>
      </c>
      <c r="P261" s="5">
        <v>0</v>
      </c>
      <c r="Q261" s="5">
        <v>0</v>
      </c>
      <c r="R261" s="5">
        <v>0</v>
      </c>
      <c r="S261" s="5">
        <v>1</v>
      </c>
      <c r="T261" s="5">
        <v>0</v>
      </c>
      <c r="U261" s="5">
        <v>0</v>
      </c>
      <c r="V261" s="5">
        <v>0</v>
      </c>
      <c r="W261" s="5">
        <v>0</v>
      </c>
      <c r="X261" s="5">
        <v>0</v>
      </c>
      <c r="Y261" s="5">
        <v>0</v>
      </c>
      <c r="AA261">
        <v>2</v>
      </c>
    </row>
    <row r="262" spans="4:27" x14ac:dyDescent="0.2">
      <c r="D262" t="str">
        <f ca="1"/>
        <v>11-Sep</v>
      </c>
      <c r="E262" s="5">
        <v>0</v>
      </c>
      <c r="F262" s="5">
        <v>0</v>
      </c>
      <c r="G262" s="5">
        <v>0</v>
      </c>
      <c r="H262" s="5">
        <v>0</v>
      </c>
      <c r="I262" s="5">
        <v>0</v>
      </c>
      <c r="J262" s="5">
        <v>0</v>
      </c>
      <c r="K262" s="5">
        <v>0</v>
      </c>
      <c r="L262" s="5">
        <v>0</v>
      </c>
      <c r="M262" s="5">
        <v>0</v>
      </c>
      <c r="N262" s="5">
        <v>0</v>
      </c>
      <c r="O262" s="5">
        <v>1</v>
      </c>
      <c r="P262" s="5">
        <v>0</v>
      </c>
      <c r="Q262" s="5">
        <v>0</v>
      </c>
      <c r="R262" s="5">
        <v>0</v>
      </c>
      <c r="S262" s="5">
        <v>1</v>
      </c>
      <c r="T262" s="5">
        <v>0</v>
      </c>
      <c r="U262" s="5">
        <v>0</v>
      </c>
      <c r="V262" s="5">
        <v>0</v>
      </c>
      <c r="W262" s="5">
        <v>0</v>
      </c>
      <c r="X262" s="5">
        <v>0</v>
      </c>
      <c r="Y262" s="5">
        <v>0</v>
      </c>
      <c r="AA262">
        <v>2</v>
      </c>
    </row>
    <row r="263" spans="4:27" x14ac:dyDescent="0.2">
      <c r="D263" t="str">
        <f ca="1"/>
        <v>12-Sep</v>
      </c>
      <c r="E263" s="5">
        <v>0</v>
      </c>
      <c r="F263" s="5">
        <v>0</v>
      </c>
      <c r="G263" s="5">
        <v>0</v>
      </c>
      <c r="H263" s="5">
        <v>0</v>
      </c>
      <c r="I263" s="5">
        <v>0</v>
      </c>
      <c r="J263" s="5">
        <v>0</v>
      </c>
      <c r="K263" s="5">
        <v>0</v>
      </c>
      <c r="L263" s="5">
        <v>0</v>
      </c>
      <c r="M263" s="5">
        <v>0</v>
      </c>
      <c r="N263" s="5">
        <v>0</v>
      </c>
      <c r="O263" s="5">
        <v>1</v>
      </c>
      <c r="P263" s="5">
        <v>0</v>
      </c>
      <c r="Q263" s="5">
        <v>0</v>
      </c>
      <c r="R263" s="5">
        <v>0</v>
      </c>
      <c r="S263" s="5">
        <v>1</v>
      </c>
      <c r="T263" s="5">
        <v>0</v>
      </c>
      <c r="U263" s="5">
        <v>0</v>
      </c>
      <c r="V263" s="5">
        <v>0</v>
      </c>
      <c r="W263" s="5">
        <v>0</v>
      </c>
      <c r="X263" s="5">
        <v>0</v>
      </c>
      <c r="Y263" s="5">
        <v>0</v>
      </c>
      <c r="AA263">
        <v>2</v>
      </c>
    </row>
    <row r="264" spans="4:27" x14ac:dyDescent="0.2">
      <c r="D264" t="str">
        <f ca="1"/>
        <v>13-Sep</v>
      </c>
      <c r="E264" s="5">
        <v>0</v>
      </c>
      <c r="F264" s="5">
        <v>0</v>
      </c>
      <c r="G264" s="5">
        <v>0</v>
      </c>
      <c r="H264" s="5">
        <v>0</v>
      </c>
      <c r="I264" s="5">
        <v>0</v>
      </c>
      <c r="J264" s="5">
        <v>0</v>
      </c>
      <c r="K264" s="5">
        <v>0</v>
      </c>
      <c r="L264" s="5">
        <v>0</v>
      </c>
      <c r="M264" s="5">
        <v>0</v>
      </c>
      <c r="N264" s="5">
        <v>0</v>
      </c>
      <c r="O264" s="5">
        <v>1</v>
      </c>
      <c r="P264" s="5">
        <v>0</v>
      </c>
      <c r="Q264" s="5">
        <v>0</v>
      </c>
      <c r="R264" s="5">
        <v>0</v>
      </c>
      <c r="S264" s="5">
        <v>1</v>
      </c>
      <c r="T264" s="5">
        <v>0</v>
      </c>
      <c r="U264" s="5">
        <v>0</v>
      </c>
      <c r="V264" s="5">
        <v>0</v>
      </c>
      <c r="W264" s="5">
        <v>0</v>
      </c>
      <c r="X264" s="5">
        <v>0</v>
      </c>
      <c r="Y264" s="5">
        <v>0</v>
      </c>
      <c r="AA264">
        <v>2</v>
      </c>
    </row>
    <row r="265" spans="4:27" x14ac:dyDescent="0.2">
      <c r="D265" t="str">
        <f ca="1"/>
        <v>14-Sep</v>
      </c>
      <c r="E265" s="5">
        <v>0</v>
      </c>
      <c r="F265" s="5">
        <v>0</v>
      </c>
      <c r="G265" s="5">
        <v>0</v>
      </c>
      <c r="H265" s="5">
        <v>0</v>
      </c>
      <c r="I265" s="5">
        <v>0</v>
      </c>
      <c r="J265" s="5">
        <v>0</v>
      </c>
      <c r="K265" s="5">
        <v>0</v>
      </c>
      <c r="L265" s="5">
        <v>0</v>
      </c>
      <c r="M265" s="5">
        <v>0</v>
      </c>
      <c r="N265" s="5">
        <v>0</v>
      </c>
      <c r="O265" s="5">
        <v>1</v>
      </c>
      <c r="P265" s="5">
        <v>0</v>
      </c>
      <c r="Q265" s="5">
        <v>0</v>
      </c>
      <c r="R265" s="5">
        <v>0</v>
      </c>
      <c r="S265" s="5">
        <v>1</v>
      </c>
      <c r="T265" s="5">
        <v>0</v>
      </c>
      <c r="U265" s="5">
        <v>0</v>
      </c>
      <c r="V265" s="5">
        <v>0</v>
      </c>
      <c r="W265" s="5">
        <v>0</v>
      </c>
      <c r="X265" s="5">
        <v>0</v>
      </c>
      <c r="Y265" s="5">
        <v>0</v>
      </c>
      <c r="AA265">
        <v>2</v>
      </c>
    </row>
    <row r="266" spans="4:27" x14ac:dyDescent="0.2">
      <c r="D266" t="str">
        <f ca="1"/>
        <v>15-Sep</v>
      </c>
      <c r="E266" s="5">
        <v>0</v>
      </c>
      <c r="F266" s="5">
        <v>0</v>
      </c>
      <c r="G266" s="5">
        <v>0</v>
      </c>
      <c r="H266" s="5">
        <v>0</v>
      </c>
      <c r="I266" s="5">
        <v>0</v>
      </c>
      <c r="J266" s="5">
        <v>0</v>
      </c>
      <c r="K266" s="5">
        <v>0</v>
      </c>
      <c r="L266" s="5">
        <v>0</v>
      </c>
      <c r="M266" s="5">
        <v>0</v>
      </c>
      <c r="N266" s="5">
        <v>0</v>
      </c>
      <c r="O266" s="5">
        <v>1</v>
      </c>
      <c r="P266" s="5">
        <v>0</v>
      </c>
      <c r="Q266" s="5">
        <v>0</v>
      </c>
      <c r="R266" s="5">
        <v>0</v>
      </c>
      <c r="S266" s="5">
        <v>1</v>
      </c>
      <c r="T266" s="5">
        <v>0</v>
      </c>
      <c r="U266" s="5">
        <v>0</v>
      </c>
      <c r="V266" s="5">
        <v>0</v>
      </c>
      <c r="W266" s="5">
        <v>0</v>
      </c>
      <c r="X266" s="5">
        <v>0</v>
      </c>
      <c r="Y266" s="5">
        <v>0</v>
      </c>
      <c r="AA266">
        <v>2</v>
      </c>
    </row>
    <row r="267" spans="4:27" x14ac:dyDescent="0.2">
      <c r="D267" t="str">
        <f ca="1"/>
        <v>16-Sep</v>
      </c>
      <c r="E267" s="5">
        <v>0</v>
      </c>
      <c r="F267" s="5">
        <v>0</v>
      </c>
      <c r="G267" s="5">
        <v>0</v>
      </c>
      <c r="H267" s="5">
        <v>0</v>
      </c>
      <c r="I267" s="5">
        <v>0</v>
      </c>
      <c r="J267" s="5">
        <v>0</v>
      </c>
      <c r="K267" s="5">
        <v>0</v>
      </c>
      <c r="L267" s="5">
        <v>0</v>
      </c>
      <c r="M267" s="5">
        <v>0</v>
      </c>
      <c r="N267" s="5">
        <v>0</v>
      </c>
      <c r="O267" s="5">
        <v>1</v>
      </c>
      <c r="P267" s="5">
        <v>0</v>
      </c>
      <c r="Q267" s="5">
        <v>0</v>
      </c>
      <c r="R267" s="5">
        <v>0</v>
      </c>
      <c r="S267" s="5">
        <v>1</v>
      </c>
      <c r="T267" s="5">
        <v>0</v>
      </c>
      <c r="U267" s="5">
        <v>0</v>
      </c>
      <c r="V267" s="5">
        <v>0</v>
      </c>
      <c r="W267" s="5">
        <v>0</v>
      </c>
      <c r="X267" s="5">
        <v>0</v>
      </c>
      <c r="Y267" s="5">
        <v>0</v>
      </c>
      <c r="AA267">
        <v>2</v>
      </c>
    </row>
    <row r="268" spans="4:27" x14ac:dyDescent="0.2">
      <c r="D268" t="str">
        <f ca="1"/>
        <v>17-Sep</v>
      </c>
      <c r="E268" s="5">
        <v>0</v>
      </c>
      <c r="F268" s="5">
        <v>0</v>
      </c>
      <c r="G268" s="5">
        <v>0</v>
      </c>
      <c r="H268" s="5">
        <v>0</v>
      </c>
      <c r="I268" s="5">
        <v>0</v>
      </c>
      <c r="J268" s="5">
        <v>0</v>
      </c>
      <c r="K268" s="5">
        <v>0</v>
      </c>
      <c r="L268" s="5">
        <v>0</v>
      </c>
      <c r="M268" s="5">
        <v>0</v>
      </c>
      <c r="N268" s="5">
        <v>0</v>
      </c>
      <c r="O268" s="5">
        <v>1</v>
      </c>
      <c r="P268" s="5">
        <v>0</v>
      </c>
      <c r="Q268" s="5">
        <v>0</v>
      </c>
      <c r="R268" s="5">
        <v>0</v>
      </c>
      <c r="S268" s="5">
        <v>1</v>
      </c>
      <c r="T268" s="5">
        <v>0</v>
      </c>
      <c r="U268" s="5">
        <v>0</v>
      </c>
      <c r="V268" s="5">
        <v>0</v>
      </c>
      <c r="W268" s="5">
        <v>0</v>
      </c>
      <c r="X268" s="5">
        <v>0</v>
      </c>
      <c r="Y268" s="5">
        <v>0</v>
      </c>
      <c r="AA268">
        <v>2</v>
      </c>
    </row>
    <row r="269" spans="4:27" x14ac:dyDescent="0.2">
      <c r="D269" t="str">
        <f ca="1"/>
        <v>18-Sep</v>
      </c>
      <c r="E269" s="5">
        <v>0</v>
      </c>
      <c r="F269" s="5">
        <v>0</v>
      </c>
      <c r="G269" s="5">
        <v>0</v>
      </c>
      <c r="H269" s="5">
        <v>0</v>
      </c>
      <c r="I269" s="5">
        <v>0</v>
      </c>
      <c r="J269" s="5">
        <v>0</v>
      </c>
      <c r="K269" s="5">
        <v>0</v>
      </c>
      <c r="L269" s="5">
        <v>0</v>
      </c>
      <c r="M269" s="5">
        <v>0</v>
      </c>
      <c r="N269" s="5">
        <v>0</v>
      </c>
      <c r="O269" s="5">
        <v>1</v>
      </c>
      <c r="P269" s="5">
        <v>0</v>
      </c>
      <c r="Q269" s="5">
        <v>0</v>
      </c>
      <c r="R269" s="5">
        <v>0</v>
      </c>
      <c r="S269" s="5">
        <v>1</v>
      </c>
      <c r="T269" s="5">
        <v>0</v>
      </c>
      <c r="U269" s="5">
        <v>0</v>
      </c>
      <c r="V269" s="5">
        <v>0</v>
      </c>
      <c r="W269" s="5">
        <v>0</v>
      </c>
      <c r="X269" s="5">
        <v>0</v>
      </c>
      <c r="Y269" s="5">
        <v>0</v>
      </c>
      <c r="AA269">
        <v>2</v>
      </c>
    </row>
    <row r="270" spans="4:27" x14ac:dyDescent="0.2">
      <c r="D270" t="str">
        <f ca="1"/>
        <v>19-Sep</v>
      </c>
      <c r="E270" s="5">
        <v>0</v>
      </c>
      <c r="F270" s="5">
        <v>0</v>
      </c>
      <c r="G270" s="5">
        <v>0</v>
      </c>
      <c r="H270" s="5">
        <v>0</v>
      </c>
      <c r="I270" s="5">
        <v>0</v>
      </c>
      <c r="J270" s="5">
        <v>0</v>
      </c>
      <c r="K270" s="5">
        <v>0</v>
      </c>
      <c r="L270" s="5">
        <v>0</v>
      </c>
      <c r="M270" s="5">
        <v>0</v>
      </c>
      <c r="N270" s="5">
        <v>0</v>
      </c>
      <c r="O270" s="5">
        <v>1</v>
      </c>
      <c r="P270" s="5">
        <v>0</v>
      </c>
      <c r="Q270" s="5">
        <v>0</v>
      </c>
      <c r="R270" s="5">
        <v>0</v>
      </c>
      <c r="S270" s="5">
        <v>1</v>
      </c>
      <c r="T270" s="5">
        <v>0</v>
      </c>
      <c r="U270" s="5">
        <v>0</v>
      </c>
      <c r="V270" s="5">
        <v>0</v>
      </c>
      <c r="W270" s="5">
        <v>0</v>
      </c>
      <c r="X270" s="5">
        <v>0</v>
      </c>
      <c r="Y270" s="5">
        <v>0</v>
      </c>
      <c r="AA270">
        <v>2</v>
      </c>
    </row>
    <row r="271" spans="4:27" x14ac:dyDescent="0.2">
      <c r="D271" t="str">
        <f ca="1"/>
        <v>20-Sep</v>
      </c>
      <c r="E271" s="5">
        <v>0</v>
      </c>
      <c r="F271" s="5">
        <v>0</v>
      </c>
      <c r="G271" s="5">
        <v>0</v>
      </c>
      <c r="H271" s="5">
        <v>0</v>
      </c>
      <c r="I271" s="5">
        <v>0</v>
      </c>
      <c r="J271" s="5">
        <v>0</v>
      </c>
      <c r="K271" s="5">
        <v>0</v>
      </c>
      <c r="L271" s="5">
        <v>0</v>
      </c>
      <c r="M271" s="5">
        <v>0</v>
      </c>
      <c r="N271" s="5">
        <v>0</v>
      </c>
      <c r="O271" s="5">
        <v>1</v>
      </c>
      <c r="P271" s="5">
        <v>0</v>
      </c>
      <c r="Q271" s="5">
        <v>0</v>
      </c>
      <c r="R271" s="5">
        <v>0</v>
      </c>
      <c r="S271" s="5">
        <v>1</v>
      </c>
      <c r="T271" s="5">
        <v>0</v>
      </c>
      <c r="U271" s="5">
        <v>0</v>
      </c>
      <c r="V271" s="5">
        <v>0</v>
      </c>
      <c r="W271" s="5">
        <v>0</v>
      </c>
      <c r="X271" s="5">
        <v>0</v>
      </c>
      <c r="Y271" s="5">
        <v>0</v>
      </c>
      <c r="AA271">
        <v>2</v>
      </c>
    </row>
    <row r="272" spans="4:27" x14ac:dyDescent="0.2">
      <c r="D272" t="str">
        <f ca="1"/>
        <v>21-Sep</v>
      </c>
      <c r="E272" s="5">
        <v>0</v>
      </c>
      <c r="F272" s="5">
        <v>0</v>
      </c>
      <c r="G272" s="5">
        <v>0</v>
      </c>
      <c r="H272" s="5">
        <v>0</v>
      </c>
      <c r="I272" s="5">
        <v>0</v>
      </c>
      <c r="J272" s="5">
        <v>0</v>
      </c>
      <c r="K272" s="5">
        <v>0</v>
      </c>
      <c r="L272" s="5">
        <v>0</v>
      </c>
      <c r="M272" s="5">
        <v>0</v>
      </c>
      <c r="N272" s="5">
        <v>0</v>
      </c>
      <c r="O272" s="5">
        <v>1</v>
      </c>
      <c r="P272" s="5">
        <v>0</v>
      </c>
      <c r="Q272" s="5">
        <v>0</v>
      </c>
      <c r="R272" s="5">
        <v>0</v>
      </c>
      <c r="S272" s="5">
        <v>1</v>
      </c>
      <c r="T272" s="5">
        <v>0</v>
      </c>
      <c r="U272" s="5">
        <v>0</v>
      </c>
      <c r="V272" s="5">
        <v>0</v>
      </c>
      <c r="W272" s="5">
        <v>0</v>
      </c>
      <c r="X272" s="5">
        <v>0</v>
      </c>
      <c r="Y272" s="5">
        <v>0</v>
      </c>
      <c r="AA272">
        <v>2</v>
      </c>
    </row>
    <row r="273" spans="4:27" x14ac:dyDescent="0.2">
      <c r="D273" t="str">
        <f ca="1"/>
        <v>22-Sep</v>
      </c>
      <c r="E273" s="5">
        <v>0</v>
      </c>
      <c r="F273" s="5">
        <v>0</v>
      </c>
      <c r="G273" s="5">
        <v>0</v>
      </c>
      <c r="H273" s="5">
        <v>0</v>
      </c>
      <c r="I273" s="5">
        <v>0</v>
      </c>
      <c r="J273" s="5">
        <v>0</v>
      </c>
      <c r="K273" s="5">
        <v>0</v>
      </c>
      <c r="L273" s="5">
        <v>0</v>
      </c>
      <c r="M273" s="5">
        <v>0</v>
      </c>
      <c r="N273" s="5">
        <v>0</v>
      </c>
      <c r="O273" s="5">
        <v>1</v>
      </c>
      <c r="P273" s="5">
        <v>0</v>
      </c>
      <c r="Q273" s="5">
        <v>0</v>
      </c>
      <c r="R273" s="5">
        <v>0</v>
      </c>
      <c r="S273" s="5">
        <v>1</v>
      </c>
      <c r="T273" s="5">
        <v>0</v>
      </c>
      <c r="U273" s="5">
        <v>0</v>
      </c>
      <c r="V273" s="5">
        <v>0</v>
      </c>
      <c r="W273" s="5">
        <v>0</v>
      </c>
      <c r="X273" s="5">
        <v>0</v>
      </c>
      <c r="Y273" s="5">
        <v>0</v>
      </c>
      <c r="AA273">
        <v>2</v>
      </c>
    </row>
    <row r="274" spans="4:27" x14ac:dyDescent="0.2">
      <c r="D274" t="str">
        <f ca="1"/>
        <v>23-Sep</v>
      </c>
      <c r="E274" s="5">
        <v>0</v>
      </c>
      <c r="F274" s="5">
        <v>0</v>
      </c>
      <c r="G274" s="5">
        <v>0</v>
      </c>
      <c r="H274" s="5">
        <v>0</v>
      </c>
      <c r="I274" s="5">
        <v>0</v>
      </c>
      <c r="J274" s="5">
        <v>0</v>
      </c>
      <c r="K274" s="5">
        <v>0</v>
      </c>
      <c r="L274" s="5">
        <v>0</v>
      </c>
      <c r="M274" s="5">
        <v>0</v>
      </c>
      <c r="N274" s="5">
        <v>0</v>
      </c>
      <c r="O274" s="5">
        <v>1</v>
      </c>
      <c r="P274" s="5">
        <v>0</v>
      </c>
      <c r="Q274" s="5">
        <v>0</v>
      </c>
      <c r="R274" s="5">
        <v>0</v>
      </c>
      <c r="S274" s="5">
        <v>1</v>
      </c>
      <c r="T274" s="5">
        <v>0</v>
      </c>
      <c r="U274" s="5">
        <v>0</v>
      </c>
      <c r="V274" s="5">
        <v>0</v>
      </c>
      <c r="W274" s="5">
        <v>0</v>
      </c>
      <c r="X274" s="5">
        <v>0</v>
      </c>
      <c r="Y274" s="5">
        <v>0</v>
      </c>
      <c r="AA274">
        <v>2</v>
      </c>
    </row>
    <row r="275" spans="4:27" x14ac:dyDescent="0.2">
      <c r="D275" t="str">
        <f ca="1"/>
        <v>24-Sep</v>
      </c>
      <c r="E275" s="5">
        <v>0</v>
      </c>
      <c r="F275" s="5">
        <v>0</v>
      </c>
      <c r="G275" s="5">
        <v>0</v>
      </c>
      <c r="H275" s="5">
        <v>0</v>
      </c>
      <c r="I275" s="5">
        <v>0</v>
      </c>
      <c r="J275" s="5">
        <v>0</v>
      </c>
      <c r="K275" s="5">
        <v>0</v>
      </c>
      <c r="L275" s="5">
        <v>0</v>
      </c>
      <c r="M275" s="5">
        <v>0</v>
      </c>
      <c r="N275" s="5">
        <v>0</v>
      </c>
      <c r="O275" s="5">
        <v>1</v>
      </c>
      <c r="P275" s="5">
        <v>0</v>
      </c>
      <c r="Q275" s="5">
        <v>0</v>
      </c>
      <c r="R275" s="5">
        <v>0</v>
      </c>
      <c r="S275" s="5">
        <v>1</v>
      </c>
      <c r="T275" s="5">
        <v>0</v>
      </c>
      <c r="U275" s="5">
        <v>0</v>
      </c>
      <c r="V275" s="5">
        <v>0</v>
      </c>
      <c r="W275" s="5">
        <v>0</v>
      </c>
      <c r="X275" s="5">
        <v>0</v>
      </c>
      <c r="Y275" s="5">
        <v>0</v>
      </c>
      <c r="AA275">
        <v>2</v>
      </c>
    </row>
    <row r="276" spans="4:27" x14ac:dyDescent="0.2">
      <c r="D276" t="str">
        <f ca="1"/>
        <v>25-Sep</v>
      </c>
      <c r="E276" s="5">
        <v>0</v>
      </c>
      <c r="F276" s="5">
        <v>0</v>
      </c>
      <c r="G276" s="5">
        <v>0</v>
      </c>
      <c r="H276" s="5">
        <v>0</v>
      </c>
      <c r="I276" s="5">
        <v>0</v>
      </c>
      <c r="J276" s="5">
        <v>0</v>
      </c>
      <c r="K276" s="5">
        <v>0</v>
      </c>
      <c r="L276" s="5">
        <v>0</v>
      </c>
      <c r="M276" s="5">
        <v>0</v>
      </c>
      <c r="N276" s="5">
        <v>0</v>
      </c>
      <c r="O276" s="5">
        <v>1</v>
      </c>
      <c r="P276" s="5">
        <v>0</v>
      </c>
      <c r="Q276" s="5">
        <v>0</v>
      </c>
      <c r="R276" s="5">
        <v>0</v>
      </c>
      <c r="S276" s="5">
        <v>1</v>
      </c>
      <c r="T276" s="5">
        <v>0</v>
      </c>
      <c r="U276" s="5">
        <v>0</v>
      </c>
      <c r="V276" s="5">
        <v>0</v>
      </c>
      <c r="W276" s="5">
        <v>0</v>
      </c>
      <c r="X276" s="5">
        <v>0</v>
      </c>
      <c r="Y276" s="5">
        <v>0</v>
      </c>
      <c r="AA276">
        <v>2</v>
      </c>
    </row>
    <row r="277" spans="4:27" x14ac:dyDescent="0.2">
      <c r="D277" t="str">
        <f ca="1"/>
        <v>26-Sep</v>
      </c>
      <c r="E277" s="5">
        <v>0</v>
      </c>
      <c r="F277" s="5">
        <v>0</v>
      </c>
      <c r="G277" s="5">
        <v>0</v>
      </c>
      <c r="H277" s="5">
        <v>0</v>
      </c>
      <c r="I277" s="5">
        <v>0</v>
      </c>
      <c r="J277" s="5">
        <v>0</v>
      </c>
      <c r="K277" s="5">
        <v>0</v>
      </c>
      <c r="L277" s="5">
        <v>0</v>
      </c>
      <c r="M277" s="5">
        <v>0</v>
      </c>
      <c r="N277" s="5">
        <v>0</v>
      </c>
      <c r="O277" s="5">
        <v>1</v>
      </c>
      <c r="P277" s="5">
        <v>0</v>
      </c>
      <c r="Q277" s="5">
        <v>0</v>
      </c>
      <c r="R277" s="5">
        <v>0</v>
      </c>
      <c r="S277" s="5">
        <v>1</v>
      </c>
      <c r="T277" s="5">
        <v>0</v>
      </c>
      <c r="U277" s="5">
        <v>0</v>
      </c>
      <c r="V277" s="5">
        <v>0</v>
      </c>
      <c r="W277" s="5">
        <v>0</v>
      </c>
      <c r="X277" s="5">
        <v>0</v>
      </c>
      <c r="Y277" s="5">
        <v>0</v>
      </c>
      <c r="AA277">
        <v>2</v>
      </c>
    </row>
    <row r="278" spans="4:27" x14ac:dyDescent="0.2">
      <c r="D278" t="str">
        <f ca="1"/>
        <v>27-Sep</v>
      </c>
      <c r="E278" s="5">
        <v>0</v>
      </c>
      <c r="F278" s="5">
        <v>0</v>
      </c>
      <c r="G278" s="5">
        <v>0</v>
      </c>
      <c r="H278" s="5">
        <v>0</v>
      </c>
      <c r="I278" s="5">
        <v>0</v>
      </c>
      <c r="J278" s="5">
        <v>0</v>
      </c>
      <c r="K278" s="5">
        <v>0</v>
      </c>
      <c r="L278" s="5">
        <v>0</v>
      </c>
      <c r="M278" s="5">
        <v>0</v>
      </c>
      <c r="N278" s="5">
        <v>0</v>
      </c>
      <c r="O278" s="5">
        <v>0</v>
      </c>
      <c r="P278" s="5">
        <v>0</v>
      </c>
      <c r="Q278" s="5">
        <v>0</v>
      </c>
      <c r="R278" s="5">
        <v>0</v>
      </c>
      <c r="S278" s="5">
        <v>0</v>
      </c>
      <c r="T278" s="5">
        <v>1</v>
      </c>
      <c r="U278" s="5">
        <v>1</v>
      </c>
      <c r="V278" s="5">
        <v>0</v>
      </c>
      <c r="W278" s="5">
        <v>0</v>
      </c>
      <c r="X278" s="5">
        <v>0</v>
      </c>
      <c r="Y278" s="5">
        <v>0</v>
      </c>
      <c r="AA278">
        <v>2</v>
      </c>
    </row>
    <row r="279" spans="4:27" x14ac:dyDescent="0.2">
      <c r="D279" t="str">
        <f ca="1"/>
        <v>28-Sep</v>
      </c>
      <c r="E279" s="5">
        <v>0</v>
      </c>
      <c r="F279" s="5">
        <v>0</v>
      </c>
      <c r="G279" s="5">
        <v>0</v>
      </c>
      <c r="H279" s="5">
        <v>0</v>
      </c>
      <c r="I279" s="5">
        <v>0</v>
      </c>
      <c r="J279" s="5">
        <v>0</v>
      </c>
      <c r="K279" s="5">
        <v>0</v>
      </c>
      <c r="L279" s="5">
        <v>0</v>
      </c>
      <c r="M279" s="5">
        <v>0</v>
      </c>
      <c r="N279" s="5">
        <v>0</v>
      </c>
      <c r="O279" s="5">
        <v>0</v>
      </c>
      <c r="P279" s="5">
        <v>0</v>
      </c>
      <c r="Q279" s="5">
        <v>0</v>
      </c>
      <c r="R279" s="5">
        <v>0</v>
      </c>
      <c r="S279" s="5">
        <v>0</v>
      </c>
      <c r="T279" s="5">
        <v>1</v>
      </c>
      <c r="U279" s="5">
        <v>1</v>
      </c>
      <c r="V279" s="5">
        <v>0</v>
      </c>
      <c r="W279" s="5">
        <v>0</v>
      </c>
      <c r="X279" s="5">
        <v>0</v>
      </c>
      <c r="Y279" s="5">
        <v>0</v>
      </c>
      <c r="AA279">
        <v>2</v>
      </c>
    </row>
    <row r="280" spans="4:27" x14ac:dyDescent="0.2">
      <c r="D280" t="str">
        <f ca="1"/>
        <v>29-Sep</v>
      </c>
      <c r="E280" s="5">
        <v>0</v>
      </c>
      <c r="F280" s="5">
        <v>0</v>
      </c>
      <c r="G280" s="5">
        <v>0</v>
      </c>
      <c r="H280" s="5">
        <v>0</v>
      </c>
      <c r="I280" s="5">
        <v>0</v>
      </c>
      <c r="J280" s="5">
        <v>0</v>
      </c>
      <c r="K280" s="5">
        <v>0</v>
      </c>
      <c r="L280" s="5">
        <v>0</v>
      </c>
      <c r="M280" s="5">
        <v>0</v>
      </c>
      <c r="N280" s="5">
        <v>0</v>
      </c>
      <c r="O280" s="5">
        <v>0</v>
      </c>
      <c r="P280" s="5">
        <v>0</v>
      </c>
      <c r="Q280" s="5">
        <v>0</v>
      </c>
      <c r="R280" s="5">
        <v>0</v>
      </c>
      <c r="S280" s="5">
        <v>0</v>
      </c>
      <c r="T280" s="5">
        <v>1</v>
      </c>
      <c r="U280" s="5">
        <v>1</v>
      </c>
      <c r="V280" s="5">
        <v>0</v>
      </c>
      <c r="W280" s="5">
        <v>0</v>
      </c>
      <c r="X280" s="5">
        <v>0</v>
      </c>
      <c r="Y280" s="5">
        <v>0</v>
      </c>
      <c r="AA280">
        <v>2</v>
      </c>
    </row>
    <row r="281" spans="4:27" x14ac:dyDescent="0.2">
      <c r="D281" t="str">
        <f ca="1"/>
        <v>30-Sep</v>
      </c>
      <c r="E281" s="5">
        <v>0</v>
      </c>
      <c r="F281" s="5">
        <v>0</v>
      </c>
      <c r="G281" s="5">
        <v>0</v>
      </c>
      <c r="H281" s="5">
        <v>0</v>
      </c>
      <c r="I281" s="5">
        <v>0</v>
      </c>
      <c r="J281" s="5">
        <v>0</v>
      </c>
      <c r="K281" s="5">
        <v>0</v>
      </c>
      <c r="L281" s="5">
        <v>0</v>
      </c>
      <c r="M281" s="5">
        <v>0</v>
      </c>
      <c r="N281" s="5">
        <v>0</v>
      </c>
      <c r="O281" s="5">
        <v>0</v>
      </c>
      <c r="P281" s="5">
        <v>0</v>
      </c>
      <c r="Q281" s="5">
        <v>0</v>
      </c>
      <c r="R281" s="5">
        <v>0</v>
      </c>
      <c r="S281" s="5">
        <v>0</v>
      </c>
      <c r="T281" s="5">
        <v>1</v>
      </c>
      <c r="U281" s="5">
        <v>1</v>
      </c>
      <c r="V281" s="5">
        <v>0</v>
      </c>
      <c r="W281" s="5">
        <v>0</v>
      </c>
      <c r="X281" s="5">
        <v>0</v>
      </c>
      <c r="Y281" s="5">
        <v>0</v>
      </c>
      <c r="AA281">
        <v>2</v>
      </c>
    </row>
    <row r="282" spans="4:27" x14ac:dyDescent="0.2">
      <c r="D282" t="str">
        <f ca="1"/>
        <v>01-Oct</v>
      </c>
      <c r="E282" s="5">
        <v>0</v>
      </c>
      <c r="F282" s="5">
        <v>0</v>
      </c>
      <c r="G282" s="5">
        <v>0</v>
      </c>
      <c r="H282" s="5">
        <v>0</v>
      </c>
      <c r="I282" s="5">
        <v>0</v>
      </c>
      <c r="J282" s="5">
        <v>0</v>
      </c>
      <c r="K282" s="5">
        <v>0</v>
      </c>
      <c r="L282" s="5">
        <v>0</v>
      </c>
      <c r="M282" s="5">
        <v>0</v>
      </c>
      <c r="N282" s="5">
        <v>0</v>
      </c>
      <c r="O282" s="5">
        <v>0</v>
      </c>
      <c r="P282" s="5">
        <v>0</v>
      </c>
      <c r="Q282" s="5">
        <v>0</v>
      </c>
      <c r="R282" s="5">
        <v>0</v>
      </c>
      <c r="S282" s="5">
        <v>0</v>
      </c>
      <c r="T282" s="5">
        <v>1</v>
      </c>
      <c r="U282" s="5">
        <v>1</v>
      </c>
      <c r="V282" s="5">
        <v>0</v>
      </c>
      <c r="W282" s="5">
        <v>0</v>
      </c>
      <c r="X282" s="5">
        <v>0</v>
      </c>
      <c r="Y282" s="5">
        <v>0</v>
      </c>
      <c r="AA282">
        <v>2</v>
      </c>
    </row>
    <row r="283" spans="4:27" x14ac:dyDescent="0.2">
      <c r="D283" t="str">
        <f ca="1"/>
        <v>02-Oct</v>
      </c>
      <c r="E283" s="5">
        <v>0</v>
      </c>
      <c r="F283" s="5">
        <v>0</v>
      </c>
      <c r="G283" s="5">
        <v>0</v>
      </c>
      <c r="H283" s="5">
        <v>0</v>
      </c>
      <c r="I283" s="5">
        <v>0</v>
      </c>
      <c r="J283" s="5">
        <v>0</v>
      </c>
      <c r="K283" s="5">
        <v>0</v>
      </c>
      <c r="L283" s="5">
        <v>0</v>
      </c>
      <c r="M283" s="5">
        <v>0</v>
      </c>
      <c r="N283" s="5">
        <v>0</v>
      </c>
      <c r="O283" s="5">
        <v>0</v>
      </c>
      <c r="P283" s="5">
        <v>0</v>
      </c>
      <c r="Q283" s="5">
        <v>0</v>
      </c>
      <c r="R283" s="5">
        <v>0</v>
      </c>
      <c r="S283" s="5">
        <v>0</v>
      </c>
      <c r="T283" s="5">
        <v>1</v>
      </c>
      <c r="U283" s="5">
        <v>1</v>
      </c>
      <c r="V283" s="5">
        <v>0</v>
      </c>
      <c r="W283" s="5">
        <v>0</v>
      </c>
      <c r="X283" s="5">
        <v>0</v>
      </c>
      <c r="Y283" s="5">
        <v>0</v>
      </c>
      <c r="AA283">
        <v>2</v>
      </c>
    </row>
    <row r="284" spans="4:27" x14ac:dyDescent="0.2">
      <c r="D284" t="str">
        <f ca="1"/>
        <v>03-Oct</v>
      </c>
      <c r="E284" s="5">
        <v>0</v>
      </c>
      <c r="F284" s="5">
        <v>0</v>
      </c>
      <c r="G284" s="5">
        <v>0</v>
      </c>
      <c r="H284" s="5">
        <v>0</v>
      </c>
      <c r="I284" s="5">
        <v>0</v>
      </c>
      <c r="J284" s="5">
        <v>0</v>
      </c>
      <c r="K284" s="5">
        <v>0</v>
      </c>
      <c r="L284" s="5">
        <v>0</v>
      </c>
      <c r="M284" s="5">
        <v>0</v>
      </c>
      <c r="N284" s="5">
        <v>0</v>
      </c>
      <c r="O284" s="5">
        <v>0</v>
      </c>
      <c r="P284" s="5">
        <v>0</v>
      </c>
      <c r="Q284" s="5">
        <v>0</v>
      </c>
      <c r="R284" s="5">
        <v>0</v>
      </c>
      <c r="S284" s="5">
        <v>0</v>
      </c>
      <c r="T284" s="5">
        <v>1</v>
      </c>
      <c r="U284" s="5">
        <v>1</v>
      </c>
      <c r="V284" s="5">
        <v>0</v>
      </c>
      <c r="W284" s="5">
        <v>0</v>
      </c>
      <c r="X284" s="5">
        <v>0</v>
      </c>
      <c r="Y284" s="5">
        <v>0</v>
      </c>
      <c r="AA284">
        <v>2</v>
      </c>
    </row>
    <row r="285" spans="4:27" x14ac:dyDescent="0.2">
      <c r="D285" t="str">
        <f ca="1"/>
        <v>04-Oct</v>
      </c>
      <c r="E285" s="5">
        <v>0</v>
      </c>
      <c r="F285" s="5">
        <v>0</v>
      </c>
      <c r="G285" s="5">
        <v>0</v>
      </c>
      <c r="H285" s="5">
        <v>0</v>
      </c>
      <c r="I285" s="5">
        <v>0</v>
      </c>
      <c r="J285" s="5">
        <v>0</v>
      </c>
      <c r="K285" s="5">
        <v>0</v>
      </c>
      <c r="L285" s="5">
        <v>0</v>
      </c>
      <c r="M285" s="5">
        <v>0</v>
      </c>
      <c r="N285" s="5">
        <v>0</v>
      </c>
      <c r="O285" s="5">
        <v>0</v>
      </c>
      <c r="P285" s="5">
        <v>0</v>
      </c>
      <c r="Q285" s="5">
        <v>0</v>
      </c>
      <c r="R285" s="5">
        <v>0</v>
      </c>
      <c r="S285" s="5">
        <v>0</v>
      </c>
      <c r="T285" s="5">
        <v>1</v>
      </c>
      <c r="U285" s="5">
        <v>1</v>
      </c>
      <c r="V285" s="5">
        <v>0</v>
      </c>
      <c r="W285" s="5">
        <v>0</v>
      </c>
      <c r="X285" s="5">
        <v>0</v>
      </c>
      <c r="Y285" s="5">
        <v>0</v>
      </c>
      <c r="AA285">
        <v>2</v>
      </c>
    </row>
    <row r="286" spans="4:27" x14ac:dyDescent="0.2">
      <c r="D286" t="str">
        <f ca="1"/>
        <v>05-Oct</v>
      </c>
      <c r="E286" s="5">
        <v>0</v>
      </c>
      <c r="F286" s="5">
        <v>0</v>
      </c>
      <c r="G286" s="5">
        <v>0</v>
      </c>
      <c r="H286" s="5">
        <v>0</v>
      </c>
      <c r="I286" s="5">
        <v>0</v>
      </c>
      <c r="J286" s="5">
        <v>0</v>
      </c>
      <c r="K286" s="5">
        <v>0</v>
      </c>
      <c r="L286" s="5">
        <v>0</v>
      </c>
      <c r="M286" s="5">
        <v>0</v>
      </c>
      <c r="N286" s="5">
        <v>0</v>
      </c>
      <c r="O286" s="5">
        <v>0</v>
      </c>
      <c r="P286" s="5">
        <v>0</v>
      </c>
      <c r="Q286" s="5">
        <v>0</v>
      </c>
      <c r="R286" s="5">
        <v>0</v>
      </c>
      <c r="S286" s="5">
        <v>0</v>
      </c>
      <c r="T286" s="5">
        <v>1</v>
      </c>
      <c r="U286" s="5">
        <v>1</v>
      </c>
      <c r="V286" s="5">
        <v>0</v>
      </c>
      <c r="W286" s="5">
        <v>0</v>
      </c>
      <c r="X286" s="5">
        <v>0</v>
      </c>
      <c r="Y286" s="5">
        <v>0</v>
      </c>
      <c r="AA286">
        <v>2</v>
      </c>
    </row>
    <row r="287" spans="4:27" x14ac:dyDescent="0.2">
      <c r="D287" t="str">
        <f ca="1"/>
        <v>06-Oct</v>
      </c>
      <c r="E287" s="5">
        <v>0</v>
      </c>
      <c r="F287" s="5">
        <v>0</v>
      </c>
      <c r="G287" s="5">
        <v>0</v>
      </c>
      <c r="H287" s="5">
        <v>0</v>
      </c>
      <c r="I287" s="5">
        <v>0</v>
      </c>
      <c r="J287" s="5">
        <v>0</v>
      </c>
      <c r="K287" s="5">
        <v>0</v>
      </c>
      <c r="L287" s="5">
        <v>0</v>
      </c>
      <c r="M287" s="5">
        <v>0</v>
      </c>
      <c r="N287" s="5">
        <v>0</v>
      </c>
      <c r="O287" s="5">
        <v>0</v>
      </c>
      <c r="P287" s="5">
        <v>0</v>
      </c>
      <c r="Q287" s="5">
        <v>0</v>
      </c>
      <c r="R287" s="5">
        <v>0</v>
      </c>
      <c r="S287" s="5">
        <v>0</v>
      </c>
      <c r="T287" s="5">
        <v>1</v>
      </c>
      <c r="U287" s="5">
        <v>1</v>
      </c>
      <c r="V287" s="5">
        <v>0</v>
      </c>
      <c r="W287" s="5">
        <v>0</v>
      </c>
      <c r="X287" s="5">
        <v>0</v>
      </c>
      <c r="Y287" s="5">
        <v>0</v>
      </c>
      <c r="AA287">
        <v>2</v>
      </c>
    </row>
    <row r="288" spans="4:27" x14ac:dyDescent="0.2">
      <c r="D288" t="str">
        <f ca="1"/>
        <v>07-Oct</v>
      </c>
      <c r="E288" s="5">
        <v>0</v>
      </c>
      <c r="F288" s="5">
        <v>0</v>
      </c>
      <c r="G288" s="5">
        <v>0</v>
      </c>
      <c r="H288" s="5">
        <v>0</v>
      </c>
      <c r="I288" s="5">
        <v>0</v>
      </c>
      <c r="J288" s="5">
        <v>0</v>
      </c>
      <c r="K288" s="5">
        <v>0</v>
      </c>
      <c r="L288" s="5">
        <v>0</v>
      </c>
      <c r="M288" s="5">
        <v>0</v>
      </c>
      <c r="N288" s="5">
        <v>0</v>
      </c>
      <c r="O288" s="5">
        <v>0</v>
      </c>
      <c r="P288" s="5">
        <v>0</v>
      </c>
      <c r="Q288" s="5">
        <v>0</v>
      </c>
      <c r="R288" s="5">
        <v>0</v>
      </c>
      <c r="S288" s="5">
        <v>0</v>
      </c>
      <c r="T288" s="5">
        <v>1</v>
      </c>
      <c r="U288" s="5">
        <v>1</v>
      </c>
      <c r="V288" s="5">
        <v>0</v>
      </c>
      <c r="W288" s="5">
        <v>0</v>
      </c>
      <c r="X288" s="5">
        <v>0</v>
      </c>
      <c r="Y288" s="5">
        <v>0</v>
      </c>
      <c r="AA288">
        <v>2</v>
      </c>
    </row>
    <row r="289" spans="4:27" x14ac:dyDescent="0.2">
      <c r="D289" t="str">
        <f ca="1"/>
        <v>08-Oct</v>
      </c>
      <c r="E289" s="5">
        <v>0</v>
      </c>
      <c r="F289" s="5">
        <v>0</v>
      </c>
      <c r="G289" s="5">
        <v>0</v>
      </c>
      <c r="H289" s="5">
        <v>0</v>
      </c>
      <c r="I289" s="5">
        <v>0</v>
      </c>
      <c r="J289" s="5">
        <v>0</v>
      </c>
      <c r="K289" s="5">
        <v>0</v>
      </c>
      <c r="L289" s="5">
        <v>0</v>
      </c>
      <c r="M289" s="5">
        <v>0</v>
      </c>
      <c r="N289" s="5">
        <v>0</v>
      </c>
      <c r="O289" s="5">
        <v>0</v>
      </c>
      <c r="P289" s="5">
        <v>0</v>
      </c>
      <c r="Q289" s="5">
        <v>0</v>
      </c>
      <c r="R289" s="5">
        <v>0</v>
      </c>
      <c r="S289" s="5">
        <v>0</v>
      </c>
      <c r="T289" s="5">
        <v>1</v>
      </c>
      <c r="U289" s="5">
        <v>1</v>
      </c>
      <c r="V289" s="5">
        <v>0</v>
      </c>
      <c r="W289" s="5">
        <v>0</v>
      </c>
      <c r="X289" s="5">
        <v>0</v>
      </c>
      <c r="Y289" s="5">
        <v>0</v>
      </c>
      <c r="AA289">
        <v>2</v>
      </c>
    </row>
    <row r="290" spans="4:27" x14ac:dyDescent="0.2">
      <c r="D290" t="str">
        <f ca="1"/>
        <v>09-Oct</v>
      </c>
      <c r="E290" s="5">
        <v>0</v>
      </c>
      <c r="F290" s="5">
        <v>0</v>
      </c>
      <c r="G290" s="5">
        <v>0</v>
      </c>
      <c r="H290" s="5">
        <v>0</v>
      </c>
      <c r="I290" s="5">
        <v>0</v>
      </c>
      <c r="J290" s="5">
        <v>0</v>
      </c>
      <c r="K290" s="5">
        <v>0</v>
      </c>
      <c r="L290" s="5">
        <v>0</v>
      </c>
      <c r="M290" s="5">
        <v>0</v>
      </c>
      <c r="N290" s="5">
        <v>0</v>
      </c>
      <c r="O290" s="5">
        <v>0</v>
      </c>
      <c r="P290" s="5">
        <v>0</v>
      </c>
      <c r="Q290" s="5">
        <v>0</v>
      </c>
      <c r="R290" s="5">
        <v>0</v>
      </c>
      <c r="S290" s="5">
        <v>0</v>
      </c>
      <c r="T290" s="5">
        <v>1</v>
      </c>
      <c r="U290" s="5">
        <v>1</v>
      </c>
      <c r="V290" s="5">
        <v>0</v>
      </c>
      <c r="W290" s="5">
        <v>0</v>
      </c>
      <c r="X290" s="5">
        <v>0</v>
      </c>
      <c r="Y290" s="5">
        <v>0</v>
      </c>
      <c r="AA290">
        <v>2</v>
      </c>
    </row>
    <row r="291" spans="4:27" x14ac:dyDescent="0.2">
      <c r="D291" t="str">
        <f ca="1"/>
        <v>10-Oct</v>
      </c>
      <c r="E291" s="5">
        <v>0</v>
      </c>
      <c r="F291" s="5">
        <v>0</v>
      </c>
      <c r="G291" s="5">
        <v>0</v>
      </c>
      <c r="H291" s="5">
        <v>0</v>
      </c>
      <c r="I291" s="5">
        <v>0</v>
      </c>
      <c r="J291" s="5">
        <v>0</v>
      </c>
      <c r="K291" s="5">
        <v>0</v>
      </c>
      <c r="L291" s="5">
        <v>0</v>
      </c>
      <c r="M291" s="5">
        <v>0</v>
      </c>
      <c r="N291" s="5">
        <v>0</v>
      </c>
      <c r="O291" s="5">
        <v>0</v>
      </c>
      <c r="P291" s="5">
        <v>0</v>
      </c>
      <c r="Q291" s="5">
        <v>0</v>
      </c>
      <c r="R291" s="5">
        <v>0</v>
      </c>
      <c r="S291" s="5">
        <v>0</v>
      </c>
      <c r="T291" s="5">
        <v>1</v>
      </c>
      <c r="U291" s="5">
        <v>1</v>
      </c>
      <c r="V291" s="5">
        <v>0</v>
      </c>
      <c r="W291" s="5">
        <v>0</v>
      </c>
      <c r="X291" s="5">
        <v>0</v>
      </c>
      <c r="Y291" s="5">
        <v>0</v>
      </c>
      <c r="AA291">
        <v>2</v>
      </c>
    </row>
    <row r="292" spans="4:27" x14ac:dyDescent="0.2">
      <c r="D292" t="str">
        <f ca="1"/>
        <v>11-Oct</v>
      </c>
      <c r="E292" s="5">
        <v>0</v>
      </c>
      <c r="F292" s="5">
        <v>0</v>
      </c>
      <c r="G292" s="5">
        <v>0</v>
      </c>
      <c r="H292" s="5">
        <v>0</v>
      </c>
      <c r="I292" s="5">
        <v>0</v>
      </c>
      <c r="J292" s="5">
        <v>0</v>
      </c>
      <c r="K292" s="5">
        <v>0</v>
      </c>
      <c r="L292" s="5">
        <v>0</v>
      </c>
      <c r="M292" s="5">
        <v>0</v>
      </c>
      <c r="N292" s="5">
        <v>0</v>
      </c>
      <c r="O292" s="5">
        <v>0</v>
      </c>
      <c r="P292" s="5">
        <v>0</v>
      </c>
      <c r="Q292" s="5">
        <v>0</v>
      </c>
      <c r="R292" s="5">
        <v>0</v>
      </c>
      <c r="S292" s="5">
        <v>0</v>
      </c>
      <c r="T292" s="5">
        <v>1</v>
      </c>
      <c r="U292" s="5">
        <v>1</v>
      </c>
      <c r="V292" s="5">
        <v>0</v>
      </c>
      <c r="W292" s="5">
        <v>0</v>
      </c>
      <c r="X292" s="5">
        <v>0</v>
      </c>
      <c r="Y292" s="5">
        <v>0</v>
      </c>
      <c r="AA292">
        <v>2</v>
      </c>
    </row>
    <row r="293" spans="4:27" x14ac:dyDescent="0.2">
      <c r="D293" t="str">
        <f ca="1"/>
        <v>12-Oct</v>
      </c>
      <c r="E293" s="5">
        <v>0</v>
      </c>
      <c r="F293" s="5">
        <v>0</v>
      </c>
      <c r="G293" s="5">
        <v>0</v>
      </c>
      <c r="H293" s="5">
        <v>0</v>
      </c>
      <c r="I293" s="5">
        <v>0</v>
      </c>
      <c r="J293" s="5">
        <v>0</v>
      </c>
      <c r="K293" s="5">
        <v>0</v>
      </c>
      <c r="L293" s="5">
        <v>0</v>
      </c>
      <c r="M293" s="5">
        <v>0</v>
      </c>
      <c r="N293" s="5">
        <v>0</v>
      </c>
      <c r="O293" s="5">
        <v>0</v>
      </c>
      <c r="P293" s="5">
        <v>0</v>
      </c>
      <c r="Q293" s="5">
        <v>0</v>
      </c>
      <c r="R293" s="5">
        <v>0</v>
      </c>
      <c r="S293" s="5">
        <v>0</v>
      </c>
      <c r="T293" s="5">
        <v>1</v>
      </c>
      <c r="U293" s="5">
        <v>1</v>
      </c>
      <c r="V293" s="5">
        <v>0</v>
      </c>
      <c r="W293" s="5">
        <v>0</v>
      </c>
      <c r="X293" s="5">
        <v>0</v>
      </c>
      <c r="Y293" s="5">
        <v>0</v>
      </c>
      <c r="AA293">
        <v>2</v>
      </c>
    </row>
    <row r="294" spans="4:27" x14ac:dyDescent="0.2">
      <c r="D294" t="str">
        <f ca="1"/>
        <v>13-Oct</v>
      </c>
      <c r="E294" s="5">
        <v>0</v>
      </c>
      <c r="F294" s="5">
        <v>0</v>
      </c>
      <c r="G294" s="5">
        <v>0</v>
      </c>
      <c r="H294" s="5">
        <v>0</v>
      </c>
      <c r="I294" s="5">
        <v>0</v>
      </c>
      <c r="J294" s="5">
        <v>0</v>
      </c>
      <c r="K294" s="5">
        <v>0</v>
      </c>
      <c r="L294" s="5">
        <v>0</v>
      </c>
      <c r="M294" s="5">
        <v>0</v>
      </c>
      <c r="N294" s="5">
        <v>0</v>
      </c>
      <c r="O294" s="5">
        <v>0</v>
      </c>
      <c r="P294" s="5">
        <v>0</v>
      </c>
      <c r="Q294" s="5">
        <v>0</v>
      </c>
      <c r="R294" s="5">
        <v>0</v>
      </c>
      <c r="S294" s="5">
        <v>0</v>
      </c>
      <c r="T294" s="5">
        <v>1</v>
      </c>
      <c r="U294" s="5">
        <v>1</v>
      </c>
      <c r="V294" s="5">
        <v>0</v>
      </c>
      <c r="W294" s="5">
        <v>0</v>
      </c>
      <c r="X294" s="5">
        <v>0</v>
      </c>
      <c r="Y294" s="5">
        <v>0</v>
      </c>
      <c r="AA294">
        <v>2</v>
      </c>
    </row>
    <row r="295" spans="4:27" x14ac:dyDescent="0.2">
      <c r="D295" t="str">
        <f ca="1"/>
        <v>14-Oct</v>
      </c>
      <c r="E295" s="5">
        <v>0</v>
      </c>
      <c r="F295" s="5">
        <v>0</v>
      </c>
      <c r="G295" s="5">
        <v>0</v>
      </c>
      <c r="H295" s="5">
        <v>0</v>
      </c>
      <c r="I295" s="5">
        <v>0</v>
      </c>
      <c r="J295" s="5">
        <v>0</v>
      </c>
      <c r="K295" s="5">
        <v>0</v>
      </c>
      <c r="L295" s="5">
        <v>0</v>
      </c>
      <c r="M295" s="5">
        <v>0</v>
      </c>
      <c r="N295" s="5">
        <v>0</v>
      </c>
      <c r="O295" s="5">
        <v>0</v>
      </c>
      <c r="P295" s="5">
        <v>0</v>
      </c>
      <c r="Q295" s="5">
        <v>0</v>
      </c>
      <c r="R295" s="5">
        <v>0</v>
      </c>
      <c r="S295" s="5">
        <v>0</v>
      </c>
      <c r="T295" s="5">
        <v>1</v>
      </c>
      <c r="U295" s="5">
        <v>1</v>
      </c>
      <c r="V295" s="5">
        <v>0</v>
      </c>
      <c r="W295" s="5">
        <v>0</v>
      </c>
      <c r="X295" s="5">
        <v>0</v>
      </c>
      <c r="Y295" s="5">
        <v>0</v>
      </c>
      <c r="AA295">
        <v>2</v>
      </c>
    </row>
    <row r="296" spans="4:27" x14ac:dyDescent="0.2">
      <c r="D296" t="str">
        <f ca="1"/>
        <v>15-Oct</v>
      </c>
      <c r="E296" s="5">
        <v>0</v>
      </c>
      <c r="F296" s="5">
        <v>0</v>
      </c>
      <c r="G296" s="5">
        <v>0</v>
      </c>
      <c r="H296" s="5">
        <v>0</v>
      </c>
      <c r="I296" s="5">
        <v>0</v>
      </c>
      <c r="J296" s="5">
        <v>0</v>
      </c>
      <c r="K296" s="5">
        <v>0</v>
      </c>
      <c r="L296" s="5">
        <v>0</v>
      </c>
      <c r="M296" s="5">
        <v>0</v>
      </c>
      <c r="N296" s="5">
        <v>0</v>
      </c>
      <c r="O296" s="5">
        <v>0</v>
      </c>
      <c r="P296" s="5">
        <v>0</v>
      </c>
      <c r="Q296" s="5">
        <v>0</v>
      </c>
      <c r="R296" s="5">
        <v>0</v>
      </c>
      <c r="S296" s="5">
        <v>0</v>
      </c>
      <c r="T296" s="5">
        <v>1</v>
      </c>
      <c r="U296" s="5">
        <v>1</v>
      </c>
      <c r="V296" s="5">
        <v>0</v>
      </c>
      <c r="W296" s="5">
        <v>0</v>
      </c>
      <c r="X296" s="5">
        <v>0</v>
      </c>
      <c r="Y296" s="5">
        <v>0</v>
      </c>
      <c r="AA296">
        <v>2</v>
      </c>
    </row>
    <row r="297" spans="4:27" x14ac:dyDescent="0.2">
      <c r="D297" t="str">
        <f ca="1"/>
        <v>16-Oct</v>
      </c>
      <c r="E297" s="5">
        <v>0</v>
      </c>
      <c r="F297" s="5">
        <v>0</v>
      </c>
      <c r="G297" s="5">
        <v>0</v>
      </c>
      <c r="H297" s="5">
        <v>0</v>
      </c>
      <c r="I297" s="5">
        <v>0</v>
      </c>
      <c r="J297" s="5">
        <v>0</v>
      </c>
      <c r="K297" s="5">
        <v>0</v>
      </c>
      <c r="L297" s="5">
        <v>0</v>
      </c>
      <c r="M297" s="5">
        <v>0</v>
      </c>
      <c r="N297" s="5">
        <v>0</v>
      </c>
      <c r="O297" s="5">
        <v>0</v>
      </c>
      <c r="P297" s="5">
        <v>0</v>
      </c>
      <c r="Q297" s="5">
        <v>0</v>
      </c>
      <c r="R297" s="5">
        <v>0</v>
      </c>
      <c r="S297" s="5">
        <v>0</v>
      </c>
      <c r="T297" s="5">
        <v>1</v>
      </c>
      <c r="U297" s="5">
        <v>1</v>
      </c>
      <c r="V297" s="5">
        <v>0</v>
      </c>
      <c r="W297" s="5">
        <v>0</v>
      </c>
      <c r="X297" s="5">
        <v>0</v>
      </c>
      <c r="Y297" s="5">
        <v>0</v>
      </c>
      <c r="AA297">
        <v>2</v>
      </c>
    </row>
    <row r="298" spans="4:27" x14ac:dyDescent="0.2">
      <c r="D298" t="str">
        <f ca="1"/>
        <v>17-Oct</v>
      </c>
      <c r="E298" s="5">
        <v>0</v>
      </c>
      <c r="F298" s="5">
        <v>0</v>
      </c>
      <c r="G298" s="5">
        <v>0</v>
      </c>
      <c r="H298" s="5">
        <v>0</v>
      </c>
      <c r="I298" s="5">
        <v>0</v>
      </c>
      <c r="J298" s="5">
        <v>0</v>
      </c>
      <c r="K298" s="5">
        <v>0</v>
      </c>
      <c r="L298" s="5">
        <v>0</v>
      </c>
      <c r="M298" s="5">
        <v>0</v>
      </c>
      <c r="N298" s="5">
        <v>0</v>
      </c>
      <c r="O298" s="5">
        <v>0</v>
      </c>
      <c r="P298" s="5">
        <v>0</v>
      </c>
      <c r="Q298" s="5">
        <v>0</v>
      </c>
      <c r="R298" s="5">
        <v>0</v>
      </c>
      <c r="S298" s="5">
        <v>0</v>
      </c>
      <c r="T298" s="5">
        <v>1</v>
      </c>
      <c r="U298" s="5">
        <v>1</v>
      </c>
      <c r="V298" s="5">
        <v>0</v>
      </c>
      <c r="W298" s="5">
        <v>0</v>
      </c>
      <c r="X298" s="5">
        <v>0</v>
      </c>
      <c r="Y298" s="5">
        <v>0</v>
      </c>
      <c r="AA298">
        <v>2</v>
      </c>
    </row>
    <row r="299" spans="4:27" x14ac:dyDescent="0.2">
      <c r="D299" t="str">
        <f ca="1"/>
        <v>18-Oct</v>
      </c>
      <c r="E299" s="5">
        <v>0</v>
      </c>
      <c r="F299" s="5">
        <v>0</v>
      </c>
      <c r="G299" s="5">
        <v>0</v>
      </c>
      <c r="H299" s="5">
        <v>0</v>
      </c>
      <c r="I299" s="5">
        <v>0</v>
      </c>
      <c r="J299" s="5">
        <v>0</v>
      </c>
      <c r="K299" s="5">
        <v>0</v>
      </c>
      <c r="L299" s="5">
        <v>0</v>
      </c>
      <c r="M299" s="5">
        <v>0</v>
      </c>
      <c r="N299" s="5">
        <v>0</v>
      </c>
      <c r="O299" s="5">
        <v>0</v>
      </c>
      <c r="P299" s="5">
        <v>0</v>
      </c>
      <c r="Q299" s="5">
        <v>0</v>
      </c>
      <c r="R299" s="5">
        <v>0</v>
      </c>
      <c r="S299" s="5">
        <v>0</v>
      </c>
      <c r="T299" s="5">
        <v>1</v>
      </c>
      <c r="U299" s="5">
        <v>1</v>
      </c>
      <c r="V299" s="5">
        <v>0</v>
      </c>
      <c r="W299" s="5">
        <v>0</v>
      </c>
      <c r="X299" s="5">
        <v>0</v>
      </c>
      <c r="Y299" s="5">
        <v>0</v>
      </c>
      <c r="AA299">
        <v>2</v>
      </c>
    </row>
    <row r="300" spans="4:27" x14ac:dyDescent="0.2">
      <c r="D300" t="str">
        <f ca="1"/>
        <v>19-Oct</v>
      </c>
      <c r="E300" s="5">
        <v>0</v>
      </c>
      <c r="F300" s="5">
        <v>0</v>
      </c>
      <c r="G300" s="5">
        <v>0</v>
      </c>
      <c r="H300" s="5">
        <v>0</v>
      </c>
      <c r="I300" s="5">
        <v>0</v>
      </c>
      <c r="J300" s="5">
        <v>0</v>
      </c>
      <c r="K300" s="5">
        <v>0</v>
      </c>
      <c r="L300" s="5">
        <v>0</v>
      </c>
      <c r="M300" s="5">
        <v>0</v>
      </c>
      <c r="N300" s="5">
        <v>0</v>
      </c>
      <c r="O300" s="5">
        <v>0</v>
      </c>
      <c r="P300" s="5">
        <v>0</v>
      </c>
      <c r="Q300" s="5">
        <v>0</v>
      </c>
      <c r="R300" s="5">
        <v>0</v>
      </c>
      <c r="S300" s="5">
        <v>0</v>
      </c>
      <c r="T300" s="5">
        <v>1</v>
      </c>
      <c r="U300" s="5">
        <v>1</v>
      </c>
      <c r="V300" s="5">
        <v>0</v>
      </c>
      <c r="W300" s="5">
        <v>0</v>
      </c>
      <c r="X300" s="5">
        <v>0</v>
      </c>
      <c r="Y300" s="5">
        <v>0</v>
      </c>
      <c r="AA300">
        <v>2</v>
      </c>
    </row>
    <row r="301" spans="4:27" x14ac:dyDescent="0.2">
      <c r="D301" t="str">
        <f ca="1"/>
        <v>20-Oct</v>
      </c>
      <c r="E301" s="5">
        <v>0</v>
      </c>
      <c r="F301" s="5">
        <v>0</v>
      </c>
      <c r="G301" s="5">
        <v>0</v>
      </c>
      <c r="H301" s="5">
        <v>0</v>
      </c>
      <c r="I301" s="5">
        <v>0</v>
      </c>
      <c r="J301" s="5">
        <v>0</v>
      </c>
      <c r="K301" s="5">
        <v>0</v>
      </c>
      <c r="L301" s="5">
        <v>0</v>
      </c>
      <c r="M301" s="5">
        <v>0</v>
      </c>
      <c r="N301" s="5">
        <v>0</v>
      </c>
      <c r="O301" s="5">
        <v>0</v>
      </c>
      <c r="P301" s="5">
        <v>0</v>
      </c>
      <c r="Q301" s="5">
        <v>0</v>
      </c>
      <c r="R301" s="5">
        <v>0</v>
      </c>
      <c r="S301" s="5">
        <v>0</v>
      </c>
      <c r="T301" s="5">
        <v>1</v>
      </c>
      <c r="U301" s="5">
        <v>1</v>
      </c>
      <c r="V301" s="5">
        <v>0</v>
      </c>
      <c r="W301" s="5">
        <v>0</v>
      </c>
      <c r="X301" s="5">
        <v>0</v>
      </c>
      <c r="Y301" s="5">
        <v>0</v>
      </c>
      <c r="AA301">
        <v>2</v>
      </c>
    </row>
    <row r="302" spans="4:27" x14ac:dyDescent="0.2">
      <c r="D302" t="str">
        <f ca="1"/>
        <v>21-Oct</v>
      </c>
      <c r="E302" s="5">
        <v>0</v>
      </c>
      <c r="F302" s="5">
        <v>0</v>
      </c>
      <c r="G302" s="5">
        <v>0</v>
      </c>
      <c r="H302" s="5">
        <v>0</v>
      </c>
      <c r="I302" s="5">
        <v>0</v>
      </c>
      <c r="J302" s="5">
        <v>0</v>
      </c>
      <c r="K302" s="5">
        <v>0</v>
      </c>
      <c r="L302" s="5">
        <v>0</v>
      </c>
      <c r="M302" s="5">
        <v>0</v>
      </c>
      <c r="N302" s="5">
        <v>0</v>
      </c>
      <c r="O302" s="5">
        <v>0</v>
      </c>
      <c r="P302" s="5">
        <v>0</v>
      </c>
      <c r="Q302" s="5">
        <v>0</v>
      </c>
      <c r="R302" s="5">
        <v>0</v>
      </c>
      <c r="S302" s="5">
        <v>0</v>
      </c>
      <c r="T302" s="5">
        <v>1</v>
      </c>
      <c r="U302" s="5">
        <v>1</v>
      </c>
      <c r="V302" s="5">
        <v>0</v>
      </c>
      <c r="W302" s="5">
        <v>0</v>
      </c>
      <c r="X302" s="5">
        <v>0</v>
      </c>
      <c r="Y302" s="5">
        <v>0</v>
      </c>
      <c r="AA302">
        <v>2</v>
      </c>
    </row>
    <row r="303" spans="4:27" x14ac:dyDescent="0.2">
      <c r="D303" t="str">
        <f ca="1"/>
        <v>22-Oct</v>
      </c>
      <c r="E303" s="5">
        <v>0</v>
      </c>
      <c r="F303" s="5">
        <v>0</v>
      </c>
      <c r="G303" s="5">
        <v>0</v>
      </c>
      <c r="H303" s="5">
        <v>0</v>
      </c>
      <c r="I303" s="5">
        <v>0</v>
      </c>
      <c r="J303" s="5">
        <v>0</v>
      </c>
      <c r="K303" s="5">
        <v>0</v>
      </c>
      <c r="L303" s="5">
        <v>0</v>
      </c>
      <c r="M303" s="5">
        <v>0</v>
      </c>
      <c r="N303" s="5">
        <v>0</v>
      </c>
      <c r="O303" s="5">
        <v>0</v>
      </c>
      <c r="P303" s="5">
        <v>0</v>
      </c>
      <c r="Q303" s="5">
        <v>0</v>
      </c>
      <c r="R303" s="5">
        <v>0</v>
      </c>
      <c r="S303" s="5">
        <v>0</v>
      </c>
      <c r="T303" s="5">
        <v>1</v>
      </c>
      <c r="U303" s="5">
        <v>1</v>
      </c>
      <c r="V303" s="5">
        <v>0</v>
      </c>
      <c r="W303" s="5">
        <v>0</v>
      </c>
      <c r="X303" s="5">
        <v>0</v>
      </c>
      <c r="Y303" s="5">
        <v>0</v>
      </c>
      <c r="AA303">
        <v>2</v>
      </c>
    </row>
    <row r="304" spans="4:27" x14ac:dyDescent="0.2">
      <c r="D304" t="str">
        <f ca="1"/>
        <v>23-Oct</v>
      </c>
      <c r="E304" s="5">
        <v>0</v>
      </c>
      <c r="F304" s="5">
        <v>0</v>
      </c>
      <c r="G304" s="5">
        <v>0</v>
      </c>
      <c r="H304" s="5">
        <v>0</v>
      </c>
      <c r="I304" s="5">
        <v>0</v>
      </c>
      <c r="J304" s="5">
        <v>0</v>
      </c>
      <c r="K304" s="5">
        <v>0</v>
      </c>
      <c r="L304" s="5">
        <v>0</v>
      </c>
      <c r="M304" s="5">
        <v>0</v>
      </c>
      <c r="N304" s="5">
        <v>0</v>
      </c>
      <c r="O304" s="5">
        <v>0</v>
      </c>
      <c r="P304" s="5">
        <v>0</v>
      </c>
      <c r="Q304" s="5">
        <v>0</v>
      </c>
      <c r="R304" s="5">
        <v>0</v>
      </c>
      <c r="S304" s="5">
        <v>0</v>
      </c>
      <c r="T304" s="5">
        <v>1</v>
      </c>
      <c r="U304" s="5">
        <v>1</v>
      </c>
      <c r="V304" s="5">
        <v>0</v>
      </c>
      <c r="W304" s="5">
        <v>0</v>
      </c>
      <c r="X304" s="5">
        <v>0</v>
      </c>
      <c r="Y304" s="5">
        <v>0</v>
      </c>
      <c r="AA304">
        <v>2</v>
      </c>
    </row>
    <row r="305" spans="4:27" x14ac:dyDescent="0.2">
      <c r="D305" t="str">
        <f ca="1"/>
        <v>24-Oct</v>
      </c>
      <c r="E305" s="5">
        <v>0</v>
      </c>
      <c r="F305" s="5">
        <v>0</v>
      </c>
      <c r="G305" s="5">
        <v>0</v>
      </c>
      <c r="H305" s="5">
        <v>0</v>
      </c>
      <c r="I305" s="5">
        <v>0</v>
      </c>
      <c r="J305" s="5">
        <v>0</v>
      </c>
      <c r="K305" s="5">
        <v>0</v>
      </c>
      <c r="L305" s="5">
        <v>0</v>
      </c>
      <c r="M305" s="5">
        <v>0</v>
      </c>
      <c r="N305" s="5">
        <v>0</v>
      </c>
      <c r="O305" s="5">
        <v>0</v>
      </c>
      <c r="P305" s="5">
        <v>0</v>
      </c>
      <c r="Q305" s="5">
        <v>0</v>
      </c>
      <c r="R305" s="5">
        <v>0</v>
      </c>
      <c r="S305" s="5">
        <v>0</v>
      </c>
      <c r="T305" s="5">
        <v>1</v>
      </c>
      <c r="U305" s="5">
        <v>1</v>
      </c>
      <c r="V305" s="5">
        <v>0</v>
      </c>
      <c r="W305" s="5">
        <v>0</v>
      </c>
      <c r="X305" s="5">
        <v>0</v>
      </c>
      <c r="Y305" s="5">
        <v>0</v>
      </c>
      <c r="AA305">
        <v>2</v>
      </c>
    </row>
    <row r="306" spans="4:27" x14ac:dyDescent="0.2">
      <c r="D306" t="str">
        <f ca="1"/>
        <v>25-Oct</v>
      </c>
      <c r="E306" s="5">
        <v>0</v>
      </c>
      <c r="F306" s="5">
        <v>0</v>
      </c>
      <c r="G306" s="5">
        <v>0</v>
      </c>
      <c r="H306" s="5">
        <v>0</v>
      </c>
      <c r="I306" s="5">
        <v>0</v>
      </c>
      <c r="J306" s="5">
        <v>0</v>
      </c>
      <c r="K306" s="5">
        <v>0</v>
      </c>
      <c r="L306" s="5">
        <v>0</v>
      </c>
      <c r="M306" s="5">
        <v>0</v>
      </c>
      <c r="N306" s="5">
        <v>0</v>
      </c>
      <c r="O306" s="5">
        <v>0</v>
      </c>
      <c r="P306" s="5">
        <v>0</v>
      </c>
      <c r="Q306" s="5">
        <v>0</v>
      </c>
      <c r="R306" s="5">
        <v>0</v>
      </c>
      <c r="S306" s="5">
        <v>0</v>
      </c>
      <c r="T306" s="5">
        <v>1</v>
      </c>
      <c r="U306" s="5">
        <v>1</v>
      </c>
      <c r="V306" s="5">
        <v>0</v>
      </c>
      <c r="W306" s="5">
        <v>0</v>
      </c>
      <c r="X306" s="5">
        <v>0</v>
      </c>
      <c r="Y306" s="5">
        <v>0</v>
      </c>
      <c r="AA306">
        <v>2</v>
      </c>
    </row>
    <row r="307" spans="4:27" x14ac:dyDescent="0.2">
      <c r="D307" t="str">
        <f ca="1"/>
        <v>26-Oct</v>
      </c>
      <c r="E307" s="5">
        <v>0</v>
      </c>
      <c r="F307" s="5">
        <v>0</v>
      </c>
      <c r="G307" s="5">
        <v>0</v>
      </c>
      <c r="H307" s="5">
        <v>0</v>
      </c>
      <c r="I307" s="5">
        <v>0</v>
      </c>
      <c r="J307" s="5">
        <v>0</v>
      </c>
      <c r="K307" s="5">
        <v>0</v>
      </c>
      <c r="L307" s="5">
        <v>0</v>
      </c>
      <c r="M307" s="5">
        <v>0</v>
      </c>
      <c r="N307" s="5">
        <v>0</v>
      </c>
      <c r="O307" s="5">
        <v>0</v>
      </c>
      <c r="P307" s="5">
        <v>0</v>
      </c>
      <c r="Q307" s="5">
        <v>0</v>
      </c>
      <c r="R307" s="5">
        <v>0</v>
      </c>
      <c r="S307" s="5">
        <v>0</v>
      </c>
      <c r="T307" s="5">
        <v>1</v>
      </c>
      <c r="U307" s="5">
        <v>1</v>
      </c>
      <c r="V307" s="5">
        <v>0</v>
      </c>
      <c r="W307" s="5">
        <v>0</v>
      </c>
      <c r="X307" s="5">
        <v>0</v>
      </c>
      <c r="Y307" s="5">
        <v>0</v>
      </c>
      <c r="AA307">
        <v>2</v>
      </c>
    </row>
    <row r="308" spans="4:27" x14ac:dyDescent="0.2">
      <c r="D308" t="str">
        <f ca="1"/>
        <v>27-Oct</v>
      </c>
      <c r="E308" s="5">
        <v>0</v>
      </c>
      <c r="F308" s="5">
        <v>0</v>
      </c>
      <c r="G308" s="5">
        <v>0</v>
      </c>
      <c r="H308" s="5">
        <v>0</v>
      </c>
      <c r="I308" s="5">
        <v>0</v>
      </c>
      <c r="J308" s="5">
        <v>0</v>
      </c>
      <c r="K308" s="5">
        <v>0</v>
      </c>
      <c r="L308" s="5">
        <v>0</v>
      </c>
      <c r="M308" s="5">
        <v>0</v>
      </c>
      <c r="N308" s="5">
        <v>0</v>
      </c>
      <c r="O308" s="5">
        <v>0</v>
      </c>
      <c r="P308" s="5">
        <v>0</v>
      </c>
      <c r="Q308" s="5">
        <v>0</v>
      </c>
      <c r="R308" s="5">
        <v>0</v>
      </c>
      <c r="S308" s="5">
        <v>0</v>
      </c>
      <c r="T308" s="5">
        <v>1</v>
      </c>
      <c r="U308" s="5">
        <v>1</v>
      </c>
      <c r="V308" s="5">
        <v>0</v>
      </c>
      <c r="W308" s="5">
        <v>0</v>
      </c>
      <c r="X308" s="5">
        <v>0</v>
      </c>
      <c r="Y308" s="5">
        <v>0</v>
      </c>
      <c r="AA308">
        <v>2</v>
      </c>
    </row>
    <row r="309" spans="4:27" x14ac:dyDescent="0.2">
      <c r="D309" t="str">
        <f ca="1"/>
        <v>28-Oct</v>
      </c>
      <c r="E309" s="5">
        <v>0</v>
      </c>
      <c r="F309" s="5">
        <v>0</v>
      </c>
      <c r="G309" s="5">
        <v>0</v>
      </c>
      <c r="H309" s="5">
        <v>0</v>
      </c>
      <c r="I309" s="5">
        <v>0</v>
      </c>
      <c r="J309" s="5">
        <v>0</v>
      </c>
      <c r="K309" s="5">
        <v>0</v>
      </c>
      <c r="L309" s="5">
        <v>0</v>
      </c>
      <c r="M309" s="5">
        <v>0</v>
      </c>
      <c r="N309" s="5">
        <v>0</v>
      </c>
      <c r="O309" s="5">
        <v>0</v>
      </c>
      <c r="P309" s="5">
        <v>0</v>
      </c>
      <c r="Q309" s="5">
        <v>0</v>
      </c>
      <c r="R309" s="5">
        <v>0</v>
      </c>
      <c r="S309" s="5">
        <v>0</v>
      </c>
      <c r="T309" s="5">
        <v>1</v>
      </c>
      <c r="U309" s="5">
        <v>1</v>
      </c>
      <c r="V309" s="5">
        <v>0</v>
      </c>
      <c r="W309" s="5">
        <v>0</v>
      </c>
      <c r="X309" s="5">
        <v>0</v>
      </c>
      <c r="Y309" s="5">
        <v>0</v>
      </c>
      <c r="AA309">
        <v>2</v>
      </c>
    </row>
    <row r="310" spans="4:27" x14ac:dyDescent="0.2">
      <c r="D310" t="str">
        <f ca="1"/>
        <v>29-Oct</v>
      </c>
      <c r="E310" s="5">
        <v>0</v>
      </c>
      <c r="F310" s="5">
        <v>0</v>
      </c>
      <c r="G310" s="5">
        <v>0</v>
      </c>
      <c r="H310" s="5">
        <v>0</v>
      </c>
      <c r="I310" s="5">
        <v>0</v>
      </c>
      <c r="J310" s="5">
        <v>0</v>
      </c>
      <c r="K310" s="5">
        <v>0</v>
      </c>
      <c r="L310" s="5">
        <v>0</v>
      </c>
      <c r="M310" s="5">
        <v>0</v>
      </c>
      <c r="N310" s="5">
        <v>0</v>
      </c>
      <c r="O310" s="5">
        <v>0</v>
      </c>
      <c r="P310" s="5">
        <v>0</v>
      </c>
      <c r="Q310" s="5">
        <v>0</v>
      </c>
      <c r="R310" s="5">
        <v>0</v>
      </c>
      <c r="S310" s="5">
        <v>0</v>
      </c>
      <c r="T310" s="5">
        <v>1</v>
      </c>
      <c r="U310" s="5">
        <v>1</v>
      </c>
      <c r="V310" s="5">
        <v>0</v>
      </c>
      <c r="W310" s="5">
        <v>0</v>
      </c>
      <c r="X310" s="5">
        <v>0</v>
      </c>
      <c r="Y310" s="5">
        <v>0</v>
      </c>
      <c r="AA310">
        <v>2</v>
      </c>
    </row>
    <row r="311" spans="4:27" x14ac:dyDescent="0.2">
      <c r="D311" t="str">
        <f ca="1"/>
        <v>30-Oct</v>
      </c>
      <c r="E311" s="5">
        <v>0</v>
      </c>
      <c r="F311" s="5">
        <v>0</v>
      </c>
      <c r="G311" s="5">
        <v>0</v>
      </c>
      <c r="H311" s="5">
        <v>0</v>
      </c>
      <c r="I311" s="5">
        <v>0</v>
      </c>
      <c r="J311" s="5">
        <v>0</v>
      </c>
      <c r="K311" s="5">
        <v>0</v>
      </c>
      <c r="L311" s="5">
        <v>0</v>
      </c>
      <c r="M311" s="5">
        <v>0</v>
      </c>
      <c r="N311" s="5">
        <v>0</v>
      </c>
      <c r="O311" s="5">
        <v>0</v>
      </c>
      <c r="P311" s="5">
        <v>0</v>
      </c>
      <c r="Q311" s="5">
        <v>0</v>
      </c>
      <c r="R311" s="5">
        <v>0</v>
      </c>
      <c r="S311" s="5">
        <v>0</v>
      </c>
      <c r="T311" s="5">
        <v>1</v>
      </c>
      <c r="U311" s="5">
        <v>1</v>
      </c>
      <c r="V311" s="5">
        <v>0</v>
      </c>
      <c r="W311" s="5">
        <v>0</v>
      </c>
      <c r="X311" s="5">
        <v>0</v>
      </c>
      <c r="Y311" s="5">
        <v>0</v>
      </c>
      <c r="AA311">
        <v>2</v>
      </c>
    </row>
    <row r="312" spans="4:27" x14ac:dyDescent="0.2">
      <c r="D312" t="str">
        <f ca="1"/>
        <v>31-Oct</v>
      </c>
      <c r="E312" s="5">
        <v>0</v>
      </c>
      <c r="F312" s="5">
        <v>0</v>
      </c>
      <c r="G312" s="5">
        <v>0</v>
      </c>
      <c r="H312" s="5">
        <v>0</v>
      </c>
      <c r="I312" s="5">
        <v>0</v>
      </c>
      <c r="J312" s="5">
        <v>0</v>
      </c>
      <c r="K312" s="5">
        <v>0</v>
      </c>
      <c r="L312" s="5">
        <v>0</v>
      </c>
      <c r="M312" s="5">
        <v>0</v>
      </c>
      <c r="N312" s="5">
        <v>0</v>
      </c>
      <c r="O312" s="5">
        <v>0</v>
      </c>
      <c r="P312" s="5">
        <v>0</v>
      </c>
      <c r="Q312" s="5">
        <v>0</v>
      </c>
      <c r="R312" s="5">
        <v>0</v>
      </c>
      <c r="S312" s="5">
        <v>0</v>
      </c>
      <c r="T312" s="5">
        <v>1</v>
      </c>
      <c r="U312" s="5">
        <v>1</v>
      </c>
      <c r="V312" s="5">
        <v>0</v>
      </c>
      <c r="W312" s="5">
        <v>0</v>
      </c>
      <c r="X312" s="5">
        <v>0</v>
      </c>
      <c r="Y312" s="5">
        <v>0</v>
      </c>
      <c r="AA312">
        <v>2</v>
      </c>
    </row>
    <row r="313" spans="4:27" x14ac:dyDescent="0.2">
      <c r="D313" t="str">
        <f ca="1"/>
        <v>01-Nov</v>
      </c>
      <c r="E313" s="5">
        <v>0</v>
      </c>
      <c r="F313" s="5">
        <v>0</v>
      </c>
      <c r="G313" s="5">
        <v>0</v>
      </c>
      <c r="H313" s="5">
        <v>0</v>
      </c>
      <c r="I313" s="5">
        <v>0</v>
      </c>
      <c r="J313" s="5">
        <v>0</v>
      </c>
      <c r="K313" s="5">
        <v>0</v>
      </c>
      <c r="L313" s="5">
        <v>0</v>
      </c>
      <c r="M313" s="5">
        <v>0</v>
      </c>
      <c r="N313" s="5">
        <v>0</v>
      </c>
      <c r="O313" s="5">
        <v>0</v>
      </c>
      <c r="P313" s="5">
        <v>0</v>
      </c>
      <c r="Q313" s="5">
        <v>0</v>
      </c>
      <c r="R313" s="5">
        <v>0</v>
      </c>
      <c r="S313" s="5">
        <v>0</v>
      </c>
      <c r="T313" s="5">
        <v>1</v>
      </c>
      <c r="U313" s="5">
        <v>1</v>
      </c>
      <c r="V313" s="5">
        <v>0</v>
      </c>
      <c r="W313" s="5">
        <v>0</v>
      </c>
      <c r="X313" s="5">
        <v>0</v>
      </c>
      <c r="Y313" s="5">
        <v>0</v>
      </c>
      <c r="AA313">
        <v>2</v>
      </c>
    </row>
    <row r="314" spans="4:27" x14ac:dyDescent="0.2">
      <c r="D314" t="str">
        <f ca="1"/>
        <v>02-Nov</v>
      </c>
      <c r="E314" s="5">
        <v>0</v>
      </c>
      <c r="F314" s="5">
        <v>0</v>
      </c>
      <c r="G314" s="5">
        <v>0</v>
      </c>
      <c r="H314" s="5">
        <v>0</v>
      </c>
      <c r="I314" s="5">
        <v>0</v>
      </c>
      <c r="J314" s="5">
        <v>0</v>
      </c>
      <c r="K314" s="5">
        <v>0</v>
      </c>
      <c r="L314" s="5">
        <v>0</v>
      </c>
      <c r="M314" s="5">
        <v>0</v>
      </c>
      <c r="N314" s="5">
        <v>0</v>
      </c>
      <c r="O314" s="5">
        <v>0</v>
      </c>
      <c r="P314" s="5">
        <v>0</v>
      </c>
      <c r="Q314" s="5">
        <v>0</v>
      </c>
      <c r="R314" s="5">
        <v>0</v>
      </c>
      <c r="S314" s="5">
        <v>0</v>
      </c>
      <c r="T314" s="5">
        <v>1</v>
      </c>
      <c r="U314" s="5">
        <v>1</v>
      </c>
      <c r="V314" s="5">
        <v>0</v>
      </c>
      <c r="W314" s="5">
        <v>0</v>
      </c>
      <c r="X314" s="5">
        <v>0</v>
      </c>
      <c r="Y314" s="5">
        <v>0</v>
      </c>
      <c r="AA314">
        <v>2</v>
      </c>
    </row>
    <row r="315" spans="4:27" x14ac:dyDescent="0.2">
      <c r="D315" t="str">
        <f ca="1"/>
        <v>03-Nov</v>
      </c>
      <c r="E315" s="5">
        <v>0</v>
      </c>
      <c r="F315" s="5">
        <v>0</v>
      </c>
      <c r="G315" s="5">
        <v>0</v>
      </c>
      <c r="H315" s="5">
        <v>0</v>
      </c>
      <c r="I315" s="5">
        <v>0</v>
      </c>
      <c r="J315" s="5">
        <v>0</v>
      </c>
      <c r="K315" s="5">
        <v>0</v>
      </c>
      <c r="L315" s="5">
        <v>0</v>
      </c>
      <c r="M315" s="5">
        <v>0</v>
      </c>
      <c r="N315" s="5">
        <v>0</v>
      </c>
      <c r="O315" s="5">
        <v>0</v>
      </c>
      <c r="P315" s="5">
        <v>0</v>
      </c>
      <c r="Q315" s="5">
        <v>0</v>
      </c>
      <c r="R315" s="5">
        <v>0</v>
      </c>
      <c r="S315" s="5">
        <v>0</v>
      </c>
      <c r="T315" s="5">
        <v>1</v>
      </c>
      <c r="U315" s="5">
        <v>1</v>
      </c>
      <c r="V315" s="5">
        <v>0</v>
      </c>
      <c r="W315" s="5">
        <v>0</v>
      </c>
      <c r="X315" s="5">
        <v>0</v>
      </c>
      <c r="Y315" s="5">
        <v>0</v>
      </c>
      <c r="AA315">
        <v>2</v>
      </c>
    </row>
    <row r="316" spans="4:27" x14ac:dyDescent="0.2">
      <c r="D316" t="str">
        <f ca="1"/>
        <v>04-Nov</v>
      </c>
      <c r="E316" s="5">
        <v>0</v>
      </c>
      <c r="F316" s="5">
        <v>0</v>
      </c>
      <c r="G316" s="5">
        <v>0</v>
      </c>
      <c r="H316" s="5">
        <v>0</v>
      </c>
      <c r="I316" s="5">
        <v>0</v>
      </c>
      <c r="J316" s="5">
        <v>0</v>
      </c>
      <c r="K316" s="5">
        <v>0</v>
      </c>
      <c r="L316" s="5">
        <v>0</v>
      </c>
      <c r="M316" s="5">
        <v>0</v>
      </c>
      <c r="N316" s="5">
        <v>0</v>
      </c>
      <c r="O316" s="5">
        <v>0</v>
      </c>
      <c r="P316" s="5">
        <v>0</v>
      </c>
      <c r="Q316" s="5">
        <v>0</v>
      </c>
      <c r="R316" s="5">
        <v>0</v>
      </c>
      <c r="S316" s="5">
        <v>0</v>
      </c>
      <c r="T316" s="5">
        <v>1</v>
      </c>
      <c r="U316" s="5">
        <v>1</v>
      </c>
      <c r="V316" s="5">
        <v>0</v>
      </c>
      <c r="W316" s="5">
        <v>0</v>
      </c>
      <c r="X316" s="5">
        <v>0</v>
      </c>
      <c r="Y316" s="5">
        <v>0</v>
      </c>
      <c r="AA316">
        <v>2</v>
      </c>
    </row>
    <row r="317" spans="4:27" x14ac:dyDescent="0.2">
      <c r="D317" t="str">
        <f ca="1"/>
        <v>05-Nov</v>
      </c>
      <c r="E317" s="5">
        <v>0</v>
      </c>
      <c r="F317" s="5">
        <v>0</v>
      </c>
      <c r="G317" s="5">
        <v>0</v>
      </c>
      <c r="H317" s="5">
        <v>0</v>
      </c>
      <c r="I317" s="5">
        <v>0</v>
      </c>
      <c r="J317" s="5">
        <v>0</v>
      </c>
      <c r="K317" s="5">
        <v>0</v>
      </c>
      <c r="L317" s="5">
        <v>0</v>
      </c>
      <c r="M317" s="5">
        <v>0</v>
      </c>
      <c r="N317" s="5">
        <v>0</v>
      </c>
      <c r="O317" s="5">
        <v>0</v>
      </c>
      <c r="P317" s="5">
        <v>0</v>
      </c>
      <c r="Q317" s="5">
        <v>0</v>
      </c>
      <c r="R317" s="5">
        <v>0</v>
      </c>
      <c r="S317" s="5">
        <v>0</v>
      </c>
      <c r="T317" s="5">
        <v>1</v>
      </c>
      <c r="U317" s="5">
        <v>1</v>
      </c>
      <c r="V317" s="5">
        <v>0</v>
      </c>
      <c r="W317" s="5">
        <v>0</v>
      </c>
      <c r="X317" s="5">
        <v>0</v>
      </c>
      <c r="Y317" s="5">
        <v>0</v>
      </c>
      <c r="AA317">
        <v>2</v>
      </c>
    </row>
    <row r="318" spans="4:27" x14ac:dyDescent="0.2">
      <c r="D318" t="str">
        <f ca="1"/>
        <v>06-Nov</v>
      </c>
      <c r="E318" s="5">
        <v>0</v>
      </c>
      <c r="F318" s="5">
        <v>0</v>
      </c>
      <c r="G318" s="5">
        <v>0</v>
      </c>
      <c r="H318" s="5">
        <v>0</v>
      </c>
      <c r="I318" s="5">
        <v>0</v>
      </c>
      <c r="J318" s="5">
        <v>0</v>
      </c>
      <c r="K318" s="5">
        <v>0</v>
      </c>
      <c r="L318" s="5">
        <v>0</v>
      </c>
      <c r="M318" s="5">
        <v>0</v>
      </c>
      <c r="N318" s="5">
        <v>0</v>
      </c>
      <c r="O318" s="5">
        <v>0</v>
      </c>
      <c r="P318" s="5">
        <v>0</v>
      </c>
      <c r="Q318" s="5">
        <v>0</v>
      </c>
      <c r="R318" s="5">
        <v>0</v>
      </c>
      <c r="S318" s="5">
        <v>0</v>
      </c>
      <c r="T318" s="5">
        <v>1</v>
      </c>
      <c r="U318" s="5">
        <v>1</v>
      </c>
      <c r="V318" s="5">
        <v>0</v>
      </c>
      <c r="W318" s="5">
        <v>0</v>
      </c>
      <c r="X318" s="5">
        <v>0</v>
      </c>
      <c r="Y318" s="5">
        <v>0</v>
      </c>
      <c r="AA318">
        <v>2</v>
      </c>
    </row>
    <row r="319" spans="4:27" x14ac:dyDescent="0.2">
      <c r="D319" t="str">
        <f ca="1"/>
        <v>07-Nov</v>
      </c>
      <c r="E319" s="5">
        <v>0</v>
      </c>
      <c r="F319" s="5">
        <v>0</v>
      </c>
      <c r="G319" s="5">
        <v>0</v>
      </c>
      <c r="H319" s="5">
        <v>0</v>
      </c>
      <c r="I319" s="5">
        <v>0</v>
      </c>
      <c r="J319" s="5">
        <v>0</v>
      </c>
      <c r="K319" s="5">
        <v>0</v>
      </c>
      <c r="L319" s="5">
        <v>0</v>
      </c>
      <c r="M319" s="5">
        <v>0</v>
      </c>
      <c r="N319" s="5">
        <v>0</v>
      </c>
      <c r="O319" s="5">
        <v>0</v>
      </c>
      <c r="P319" s="5">
        <v>0</v>
      </c>
      <c r="Q319" s="5">
        <v>0</v>
      </c>
      <c r="R319" s="5">
        <v>0</v>
      </c>
      <c r="S319" s="5">
        <v>0</v>
      </c>
      <c r="T319" s="5">
        <v>1</v>
      </c>
      <c r="U319" s="5">
        <v>1</v>
      </c>
      <c r="V319" s="5">
        <v>0</v>
      </c>
      <c r="W319" s="5">
        <v>0</v>
      </c>
      <c r="X319" s="5">
        <v>0</v>
      </c>
      <c r="Y319" s="5">
        <v>0</v>
      </c>
      <c r="AA319">
        <v>2</v>
      </c>
    </row>
    <row r="320" spans="4:27" x14ac:dyDescent="0.2">
      <c r="D320" t="str">
        <f ca="1"/>
        <v>08-Nov</v>
      </c>
      <c r="E320" s="5">
        <v>0</v>
      </c>
      <c r="F320" s="5">
        <v>0</v>
      </c>
      <c r="G320" s="5">
        <v>0</v>
      </c>
      <c r="H320" s="5">
        <v>0</v>
      </c>
      <c r="I320" s="5">
        <v>0</v>
      </c>
      <c r="J320" s="5">
        <v>0</v>
      </c>
      <c r="K320" s="5">
        <v>0</v>
      </c>
      <c r="L320" s="5">
        <v>0</v>
      </c>
      <c r="M320" s="5">
        <v>0</v>
      </c>
      <c r="N320" s="5">
        <v>0</v>
      </c>
      <c r="O320" s="5">
        <v>0</v>
      </c>
      <c r="P320" s="5">
        <v>0</v>
      </c>
      <c r="Q320" s="5">
        <v>0</v>
      </c>
      <c r="R320" s="5">
        <v>0</v>
      </c>
      <c r="S320" s="5">
        <v>0</v>
      </c>
      <c r="T320" s="5">
        <v>1</v>
      </c>
      <c r="U320" s="5">
        <v>1</v>
      </c>
      <c r="V320" s="5">
        <v>0</v>
      </c>
      <c r="W320" s="5">
        <v>0</v>
      </c>
      <c r="X320" s="5">
        <v>0</v>
      </c>
      <c r="Y320" s="5">
        <v>0</v>
      </c>
      <c r="AA320">
        <v>2</v>
      </c>
    </row>
    <row r="321" spans="4:27" x14ac:dyDescent="0.2">
      <c r="D321" t="str">
        <f ca="1"/>
        <v>09-Nov</v>
      </c>
      <c r="E321" s="5">
        <v>0</v>
      </c>
      <c r="F321" s="5">
        <v>0</v>
      </c>
      <c r="G321" s="5">
        <v>0</v>
      </c>
      <c r="H321" s="5">
        <v>0</v>
      </c>
      <c r="I321" s="5">
        <v>0</v>
      </c>
      <c r="J321" s="5">
        <v>0</v>
      </c>
      <c r="K321" s="5">
        <v>0</v>
      </c>
      <c r="L321" s="5">
        <v>0</v>
      </c>
      <c r="M321" s="5">
        <v>0</v>
      </c>
      <c r="N321" s="5">
        <v>0</v>
      </c>
      <c r="O321" s="5">
        <v>0</v>
      </c>
      <c r="P321" s="5">
        <v>0</v>
      </c>
      <c r="Q321" s="5">
        <v>0</v>
      </c>
      <c r="R321" s="5">
        <v>0</v>
      </c>
      <c r="S321" s="5">
        <v>0</v>
      </c>
      <c r="T321" s="5">
        <v>1</v>
      </c>
      <c r="U321" s="5">
        <v>1</v>
      </c>
      <c r="V321" s="5">
        <v>0</v>
      </c>
      <c r="W321" s="5">
        <v>0</v>
      </c>
      <c r="X321" s="5">
        <v>0</v>
      </c>
      <c r="Y321" s="5">
        <v>0</v>
      </c>
      <c r="AA321">
        <v>2</v>
      </c>
    </row>
    <row r="322" spans="4:27" x14ac:dyDescent="0.2">
      <c r="D322" t="str">
        <f ca="1"/>
        <v>10-Nov</v>
      </c>
      <c r="E322" s="5">
        <v>0</v>
      </c>
      <c r="F322" s="5">
        <v>0</v>
      </c>
      <c r="G322" s="5">
        <v>0</v>
      </c>
      <c r="H322" s="5">
        <v>0</v>
      </c>
      <c r="I322" s="5">
        <v>0</v>
      </c>
      <c r="J322" s="5">
        <v>0</v>
      </c>
      <c r="K322" s="5">
        <v>0</v>
      </c>
      <c r="L322" s="5">
        <v>0</v>
      </c>
      <c r="M322" s="5">
        <v>0</v>
      </c>
      <c r="N322" s="5">
        <v>0</v>
      </c>
      <c r="O322" s="5">
        <v>0</v>
      </c>
      <c r="P322" s="5">
        <v>0</v>
      </c>
      <c r="Q322" s="5">
        <v>0</v>
      </c>
      <c r="R322" s="5">
        <v>0</v>
      </c>
      <c r="S322" s="5">
        <v>0</v>
      </c>
      <c r="T322" s="5">
        <v>1</v>
      </c>
      <c r="U322" s="5">
        <v>1</v>
      </c>
      <c r="V322" s="5">
        <v>0</v>
      </c>
      <c r="W322" s="5">
        <v>0</v>
      </c>
      <c r="X322" s="5">
        <v>0</v>
      </c>
      <c r="Y322" s="5">
        <v>0</v>
      </c>
      <c r="AA322">
        <v>2</v>
      </c>
    </row>
    <row r="323" spans="4:27" x14ac:dyDescent="0.2">
      <c r="D323" t="str">
        <f ca="1"/>
        <v>11-Nov</v>
      </c>
      <c r="E323" s="5">
        <v>0</v>
      </c>
      <c r="F323" s="5">
        <v>0</v>
      </c>
      <c r="G323" s="5">
        <v>0</v>
      </c>
      <c r="H323" s="5">
        <v>0</v>
      </c>
      <c r="I323" s="5">
        <v>0</v>
      </c>
      <c r="J323" s="5">
        <v>0</v>
      </c>
      <c r="K323" s="5">
        <v>0</v>
      </c>
      <c r="L323" s="5">
        <v>0</v>
      </c>
      <c r="M323" s="5">
        <v>0</v>
      </c>
      <c r="N323" s="5">
        <v>0</v>
      </c>
      <c r="O323" s="5">
        <v>0</v>
      </c>
      <c r="P323" s="5">
        <v>0</v>
      </c>
      <c r="Q323" s="5">
        <v>0</v>
      </c>
      <c r="R323" s="5">
        <v>0</v>
      </c>
      <c r="S323" s="5">
        <v>0</v>
      </c>
      <c r="T323" s="5">
        <v>1</v>
      </c>
      <c r="U323" s="5">
        <v>1</v>
      </c>
      <c r="V323" s="5">
        <v>0</v>
      </c>
      <c r="W323" s="5">
        <v>0</v>
      </c>
      <c r="X323" s="5">
        <v>0</v>
      </c>
      <c r="Y323" s="5">
        <v>0</v>
      </c>
      <c r="AA323">
        <v>2</v>
      </c>
    </row>
    <row r="324" spans="4:27" x14ac:dyDescent="0.2">
      <c r="D324" t="str">
        <f ca="1"/>
        <v>12-Nov</v>
      </c>
      <c r="E324" s="5">
        <v>0</v>
      </c>
      <c r="F324" s="5">
        <v>0</v>
      </c>
      <c r="G324" s="5">
        <v>0</v>
      </c>
      <c r="H324" s="5">
        <v>0</v>
      </c>
      <c r="I324" s="5">
        <v>0</v>
      </c>
      <c r="J324" s="5">
        <v>0</v>
      </c>
      <c r="K324" s="5">
        <v>0</v>
      </c>
      <c r="L324" s="5">
        <v>0</v>
      </c>
      <c r="M324" s="5">
        <v>0</v>
      </c>
      <c r="N324" s="5">
        <v>0</v>
      </c>
      <c r="O324" s="5">
        <v>0</v>
      </c>
      <c r="P324" s="5">
        <v>0</v>
      </c>
      <c r="Q324" s="5">
        <v>0</v>
      </c>
      <c r="R324" s="5">
        <v>0</v>
      </c>
      <c r="S324" s="5">
        <v>0</v>
      </c>
      <c r="T324" s="5">
        <v>1</v>
      </c>
      <c r="U324" s="5">
        <v>1</v>
      </c>
      <c r="V324" s="5">
        <v>0</v>
      </c>
      <c r="W324" s="5">
        <v>0</v>
      </c>
      <c r="X324" s="5">
        <v>0</v>
      </c>
      <c r="Y324" s="5">
        <v>0</v>
      </c>
      <c r="AA324">
        <v>2</v>
      </c>
    </row>
    <row r="325" spans="4:27" x14ac:dyDescent="0.2">
      <c r="D325" t="str">
        <f ca="1"/>
        <v>13-Nov</v>
      </c>
      <c r="E325" s="5">
        <v>0</v>
      </c>
      <c r="F325" s="5">
        <v>0</v>
      </c>
      <c r="G325" s="5">
        <v>0</v>
      </c>
      <c r="H325" s="5">
        <v>0</v>
      </c>
      <c r="I325" s="5">
        <v>0</v>
      </c>
      <c r="J325" s="5">
        <v>0</v>
      </c>
      <c r="K325" s="5">
        <v>0</v>
      </c>
      <c r="L325" s="5">
        <v>0</v>
      </c>
      <c r="M325" s="5">
        <v>0</v>
      </c>
      <c r="N325" s="5">
        <v>0</v>
      </c>
      <c r="O325" s="5">
        <v>0</v>
      </c>
      <c r="P325" s="5">
        <v>0</v>
      </c>
      <c r="Q325" s="5">
        <v>0</v>
      </c>
      <c r="R325" s="5">
        <v>0</v>
      </c>
      <c r="S325" s="5">
        <v>0</v>
      </c>
      <c r="T325" s="5">
        <v>1</v>
      </c>
      <c r="U325" s="5">
        <v>1</v>
      </c>
      <c r="V325" s="5">
        <v>0</v>
      </c>
      <c r="W325" s="5">
        <v>0</v>
      </c>
      <c r="X325" s="5">
        <v>0</v>
      </c>
      <c r="Y325" s="5">
        <v>0</v>
      </c>
      <c r="AA325">
        <v>2</v>
      </c>
    </row>
    <row r="326" spans="4:27" x14ac:dyDescent="0.2">
      <c r="D326" t="str">
        <f ca="1"/>
        <v>14-Nov</v>
      </c>
      <c r="E326" s="5">
        <v>0</v>
      </c>
      <c r="F326" s="5">
        <v>0</v>
      </c>
      <c r="G326" s="5">
        <v>0</v>
      </c>
      <c r="H326" s="5">
        <v>0</v>
      </c>
      <c r="I326" s="5">
        <v>0</v>
      </c>
      <c r="J326" s="5">
        <v>0</v>
      </c>
      <c r="K326" s="5">
        <v>0</v>
      </c>
      <c r="L326" s="5">
        <v>0</v>
      </c>
      <c r="M326" s="5">
        <v>0</v>
      </c>
      <c r="N326" s="5">
        <v>0</v>
      </c>
      <c r="O326" s="5">
        <v>0</v>
      </c>
      <c r="P326" s="5">
        <v>0</v>
      </c>
      <c r="Q326" s="5">
        <v>0</v>
      </c>
      <c r="R326" s="5">
        <v>0</v>
      </c>
      <c r="S326" s="5">
        <v>0</v>
      </c>
      <c r="T326" s="5">
        <v>1</v>
      </c>
      <c r="U326" s="5">
        <v>1</v>
      </c>
      <c r="V326" s="5">
        <v>0</v>
      </c>
      <c r="W326" s="5">
        <v>0</v>
      </c>
      <c r="X326" s="5">
        <v>0</v>
      </c>
      <c r="Y326" s="5">
        <v>0</v>
      </c>
      <c r="AA326">
        <v>2</v>
      </c>
    </row>
    <row r="327" spans="4:27" x14ac:dyDescent="0.2">
      <c r="D327" t="str">
        <f ca="1"/>
        <v>15-Nov</v>
      </c>
      <c r="E327" s="5">
        <v>0</v>
      </c>
      <c r="F327" s="5">
        <v>0</v>
      </c>
      <c r="G327" s="5">
        <v>0</v>
      </c>
      <c r="H327" s="5">
        <v>0</v>
      </c>
      <c r="I327" s="5">
        <v>0</v>
      </c>
      <c r="J327" s="5">
        <v>0</v>
      </c>
      <c r="K327" s="5">
        <v>0</v>
      </c>
      <c r="L327" s="5">
        <v>0</v>
      </c>
      <c r="M327" s="5">
        <v>0</v>
      </c>
      <c r="N327" s="5">
        <v>0</v>
      </c>
      <c r="O327" s="5">
        <v>0</v>
      </c>
      <c r="P327" s="5">
        <v>0</v>
      </c>
      <c r="Q327" s="5">
        <v>0</v>
      </c>
      <c r="R327" s="5">
        <v>0</v>
      </c>
      <c r="S327" s="5">
        <v>0</v>
      </c>
      <c r="T327" s="5">
        <v>1</v>
      </c>
      <c r="U327" s="5">
        <v>1</v>
      </c>
      <c r="V327" s="5">
        <v>0</v>
      </c>
      <c r="W327" s="5">
        <v>0</v>
      </c>
      <c r="X327" s="5">
        <v>0</v>
      </c>
      <c r="Y327" s="5">
        <v>0</v>
      </c>
      <c r="AA327">
        <v>2</v>
      </c>
    </row>
    <row r="328" spans="4:27" x14ac:dyDescent="0.2">
      <c r="D328" t="str">
        <f ca="1"/>
        <v>16-Nov</v>
      </c>
      <c r="E328" s="5">
        <v>0</v>
      </c>
      <c r="F328" s="5">
        <v>0</v>
      </c>
      <c r="G328" s="5">
        <v>0</v>
      </c>
      <c r="H328" s="5">
        <v>0</v>
      </c>
      <c r="I328" s="5">
        <v>0</v>
      </c>
      <c r="J328" s="5">
        <v>0</v>
      </c>
      <c r="K328" s="5">
        <v>0</v>
      </c>
      <c r="L328" s="5">
        <v>0</v>
      </c>
      <c r="M328" s="5">
        <v>0</v>
      </c>
      <c r="N328" s="5">
        <v>0</v>
      </c>
      <c r="O328" s="5">
        <v>0</v>
      </c>
      <c r="P328" s="5">
        <v>0</v>
      </c>
      <c r="Q328" s="5">
        <v>0</v>
      </c>
      <c r="R328" s="5">
        <v>0</v>
      </c>
      <c r="S328" s="5">
        <v>0</v>
      </c>
      <c r="T328" s="5">
        <v>1</v>
      </c>
      <c r="U328" s="5">
        <v>1</v>
      </c>
      <c r="V328" s="5">
        <v>0</v>
      </c>
      <c r="W328" s="5">
        <v>0</v>
      </c>
      <c r="X328" s="5">
        <v>0</v>
      </c>
      <c r="Y328" s="5">
        <v>0</v>
      </c>
      <c r="AA328">
        <v>2</v>
      </c>
    </row>
    <row r="329" spans="4:27" x14ac:dyDescent="0.2">
      <c r="D329" t="str">
        <f ca="1"/>
        <v>17-Nov</v>
      </c>
      <c r="E329" s="5">
        <v>0</v>
      </c>
      <c r="F329" s="5">
        <v>0</v>
      </c>
      <c r="G329" s="5">
        <v>0</v>
      </c>
      <c r="H329" s="5">
        <v>0</v>
      </c>
      <c r="I329" s="5">
        <v>0</v>
      </c>
      <c r="J329" s="5">
        <v>0</v>
      </c>
      <c r="K329" s="5">
        <v>0</v>
      </c>
      <c r="L329" s="5">
        <v>0</v>
      </c>
      <c r="M329" s="5">
        <v>0</v>
      </c>
      <c r="N329" s="5">
        <v>0</v>
      </c>
      <c r="O329" s="5">
        <v>0</v>
      </c>
      <c r="P329" s="5">
        <v>0</v>
      </c>
      <c r="Q329" s="5">
        <v>0</v>
      </c>
      <c r="R329" s="5">
        <v>0</v>
      </c>
      <c r="S329" s="5">
        <v>0</v>
      </c>
      <c r="T329" s="5">
        <v>1</v>
      </c>
      <c r="U329" s="5">
        <v>1</v>
      </c>
      <c r="V329" s="5">
        <v>0</v>
      </c>
      <c r="W329" s="5">
        <v>0</v>
      </c>
      <c r="X329" s="5">
        <v>0</v>
      </c>
      <c r="Y329" s="5">
        <v>0</v>
      </c>
      <c r="AA329">
        <v>2</v>
      </c>
    </row>
    <row r="330" spans="4:27" x14ac:dyDescent="0.2">
      <c r="D330" t="str">
        <f ca="1"/>
        <v>18-Nov</v>
      </c>
      <c r="E330" s="5">
        <v>0</v>
      </c>
      <c r="F330" s="5">
        <v>0</v>
      </c>
      <c r="G330" s="5">
        <v>0</v>
      </c>
      <c r="H330" s="5">
        <v>0</v>
      </c>
      <c r="I330" s="5">
        <v>0</v>
      </c>
      <c r="J330" s="5">
        <v>0</v>
      </c>
      <c r="K330" s="5">
        <v>0</v>
      </c>
      <c r="L330" s="5">
        <v>0</v>
      </c>
      <c r="M330" s="5">
        <v>0</v>
      </c>
      <c r="N330" s="5">
        <v>0</v>
      </c>
      <c r="O330" s="5">
        <v>0</v>
      </c>
      <c r="P330" s="5">
        <v>0</v>
      </c>
      <c r="Q330" s="5">
        <v>0</v>
      </c>
      <c r="R330" s="5">
        <v>0</v>
      </c>
      <c r="S330" s="5">
        <v>0</v>
      </c>
      <c r="T330" s="5">
        <v>1</v>
      </c>
      <c r="U330" s="5">
        <v>1</v>
      </c>
      <c r="V330" s="5">
        <v>0</v>
      </c>
      <c r="W330" s="5">
        <v>0</v>
      </c>
      <c r="X330" s="5">
        <v>0</v>
      </c>
      <c r="Y330" s="5">
        <v>0</v>
      </c>
      <c r="AA330">
        <v>2</v>
      </c>
    </row>
    <row r="331" spans="4:27" x14ac:dyDescent="0.2">
      <c r="D331" t="str">
        <f ca="1"/>
        <v>19-Nov</v>
      </c>
      <c r="E331" s="5">
        <v>0</v>
      </c>
      <c r="F331" s="5">
        <v>0</v>
      </c>
      <c r="G331" s="5">
        <v>0</v>
      </c>
      <c r="H331" s="5">
        <v>0</v>
      </c>
      <c r="I331" s="5">
        <v>0</v>
      </c>
      <c r="J331" s="5">
        <v>0</v>
      </c>
      <c r="K331" s="5">
        <v>0</v>
      </c>
      <c r="L331" s="5">
        <v>0</v>
      </c>
      <c r="M331" s="5">
        <v>0</v>
      </c>
      <c r="N331" s="5">
        <v>0</v>
      </c>
      <c r="O331" s="5">
        <v>0</v>
      </c>
      <c r="P331" s="5">
        <v>0</v>
      </c>
      <c r="Q331" s="5">
        <v>0</v>
      </c>
      <c r="R331" s="5">
        <v>0</v>
      </c>
      <c r="S331" s="5">
        <v>0</v>
      </c>
      <c r="T331" s="5">
        <v>1</v>
      </c>
      <c r="U331" s="5">
        <v>1</v>
      </c>
      <c r="V331" s="5">
        <v>0</v>
      </c>
      <c r="W331" s="5">
        <v>0</v>
      </c>
      <c r="X331" s="5">
        <v>0</v>
      </c>
      <c r="Y331" s="5">
        <v>0</v>
      </c>
      <c r="AA331">
        <v>2</v>
      </c>
    </row>
    <row r="332" spans="4:27" x14ac:dyDescent="0.2">
      <c r="D332" t="str">
        <f ca="1"/>
        <v>20-Nov</v>
      </c>
      <c r="E332" s="5">
        <v>0</v>
      </c>
      <c r="F332" s="5">
        <v>0</v>
      </c>
      <c r="G332" s="5">
        <v>0</v>
      </c>
      <c r="H332" s="5">
        <v>0</v>
      </c>
      <c r="I332" s="5">
        <v>0</v>
      </c>
      <c r="J332" s="5">
        <v>0</v>
      </c>
      <c r="K332" s="5">
        <v>0</v>
      </c>
      <c r="L332" s="5">
        <v>0</v>
      </c>
      <c r="M332" s="5">
        <v>0</v>
      </c>
      <c r="N332" s="5">
        <v>0</v>
      </c>
      <c r="O332" s="5">
        <v>0</v>
      </c>
      <c r="P332" s="5">
        <v>0</v>
      </c>
      <c r="Q332" s="5">
        <v>0</v>
      </c>
      <c r="R332" s="5">
        <v>0</v>
      </c>
      <c r="S332" s="5">
        <v>0</v>
      </c>
      <c r="T332" s="5">
        <v>1</v>
      </c>
      <c r="U332" s="5">
        <v>1</v>
      </c>
      <c r="V332" s="5">
        <v>0</v>
      </c>
      <c r="W332" s="5">
        <v>0</v>
      </c>
      <c r="X332" s="5">
        <v>0</v>
      </c>
      <c r="Y332" s="5">
        <v>0</v>
      </c>
      <c r="AA332">
        <v>2</v>
      </c>
    </row>
    <row r="333" spans="4:27" x14ac:dyDescent="0.2">
      <c r="D333" t="str">
        <f ca="1"/>
        <v>21-Nov</v>
      </c>
      <c r="E333" s="5">
        <v>0</v>
      </c>
      <c r="F333" s="5">
        <v>0</v>
      </c>
      <c r="G333" s="5">
        <v>0</v>
      </c>
      <c r="H333" s="5">
        <v>0</v>
      </c>
      <c r="I333" s="5">
        <v>0</v>
      </c>
      <c r="J333" s="5">
        <v>0</v>
      </c>
      <c r="K333" s="5">
        <v>0</v>
      </c>
      <c r="L333" s="5">
        <v>0</v>
      </c>
      <c r="M333" s="5">
        <v>0</v>
      </c>
      <c r="N333" s="5">
        <v>0</v>
      </c>
      <c r="O333" s="5">
        <v>0</v>
      </c>
      <c r="P333" s="5">
        <v>0</v>
      </c>
      <c r="Q333" s="5">
        <v>0</v>
      </c>
      <c r="R333" s="5">
        <v>0</v>
      </c>
      <c r="S333" s="5">
        <v>0</v>
      </c>
      <c r="T333" s="5">
        <v>1</v>
      </c>
      <c r="U333" s="5">
        <v>1</v>
      </c>
      <c r="V333" s="5">
        <v>0</v>
      </c>
      <c r="W333" s="5">
        <v>0</v>
      </c>
      <c r="X333" s="5">
        <v>0</v>
      </c>
      <c r="Y333" s="5">
        <v>0</v>
      </c>
      <c r="AA333">
        <v>2</v>
      </c>
    </row>
    <row r="334" spans="4:27" x14ac:dyDescent="0.2">
      <c r="D334" t="str">
        <f ca="1"/>
        <v>22-Nov</v>
      </c>
      <c r="E334" s="5">
        <v>0</v>
      </c>
      <c r="F334" s="5">
        <v>0</v>
      </c>
      <c r="G334" s="5">
        <v>0</v>
      </c>
      <c r="H334" s="5">
        <v>0</v>
      </c>
      <c r="I334" s="5">
        <v>0</v>
      </c>
      <c r="J334" s="5">
        <v>0</v>
      </c>
      <c r="K334" s="5">
        <v>0</v>
      </c>
      <c r="L334" s="5">
        <v>0</v>
      </c>
      <c r="M334" s="5">
        <v>0</v>
      </c>
      <c r="N334" s="5">
        <v>0</v>
      </c>
      <c r="O334" s="5">
        <v>0</v>
      </c>
      <c r="P334" s="5">
        <v>0</v>
      </c>
      <c r="Q334" s="5">
        <v>0</v>
      </c>
      <c r="R334" s="5">
        <v>0</v>
      </c>
      <c r="S334" s="5">
        <v>0</v>
      </c>
      <c r="T334" s="5">
        <v>1</v>
      </c>
      <c r="U334" s="5">
        <v>1</v>
      </c>
      <c r="V334" s="5">
        <v>1</v>
      </c>
      <c r="W334" s="5">
        <v>0</v>
      </c>
      <c r="X334" s="5">
        <v>0</v>
      </c>
      <c r="Y334" s="5">
        <v>0</v>
      </c>
      <c r="AA334">
        <v>3</v>
      </c>
    </row>
    <row r="335" spans="4:27" x14ac:dyDescent="0.2">
      <c r="D335" t="str">
        <f ca="1"/>
        <v>23-Nov</v>
      </c>
      <c r="E335" s="5">
        <v>0</v>
      </c>
      <c r="F335" s="5">
        <v>0</v>
      </c>
      <c r="G335" s="5">
        <v>0</v>
      </c>
      <c r="H335" s="5">
        <v>0</v>
      </c>
      <c r="I335" s="5">
        <v>0</v>
      </c>
      <c r="J335" s="5">
        <v>0</v>
      </c>
      <c r="K335" s="5">
        <v>0</v>
      </c>
      <c r="L335" s="5">
        <v>0</v>
      </c>
      <c r="M335" s="5">
        <v>0</v>
      </c>
      <c r="N335" s="5">
        <v>0</v>
      </c>
      <c r="O335" s="5">
        <v>0</v>
      </c>
      <c r="P335" s="5">
        <v>0</v>
      </c>
      <c r="Q335" s="5">
        <v>0</v>
      </c>
      <c r="R335" s="5">
        <v>0</v>
      </c>
      <c r="S335" s="5">
        <v>0</v>
      </c>
      <c r="T335" s="5">
        <v>1</v>
      </c>
      <c r="U335" s="5">
        <v>1</v>
      </c>
      <c r="V335" s="5">
        <v>1</v>
      </c>
      <c r="W335" s="5">
        <v>0</v>
      </c>
      <c r="X335" s="5">
        <v>0</v>
      </c>
      <c r="Y335" s="5">
        <v>0</v>
      </c>
      <c r="AA335">
        <v>3</v>
      </c>
    </row>
    <row r="336" spans="4:27" x14ac:dyDescent="0.2">
      <c r="D336" t="str">
        <f ca="1"/>
        <v>24-Nov</v>
      </c>
      <c r="E336" s="5">
        <v>0</v>
      </c>
      <c r="F336" s="5">
        <v>0</v>
      </c>
      <c r="G336" s="5">
        <v>0</v>
      </c>
      <c r="H336" s="5">
        <v>0</v>
      </c>
      <c r="I336" s="5">
        <v>0</v>
      </c>
      <c r="J336" s="5">
        <v>0</v>
      </c>
      <c r="K336" s="5">
        <v>0</v>
      </c>
      <c r="L336" s="5">
        <v>0</v>
      </c>
      <c r="M336" s="5">
        <v>0</v>
      </c>
      <c r="N336" s="5">
        <v>0</v>
      </c>
      <c r="O336" s="5">
        <v>0</v>
      </c>
      <c r="P336" s="5">
        <v>0</v>
      </c>
      <c r="Q336" s="5">
        <v>0</v>
      </c>
      <c r="R336" s="5">
        <v>0</v>
      </c>
      <c r="S336" s="5">
        <v>0</v>
      </c>
      <c r="T336" s="5">
        <v>1</v>
      </c>
      <c r="U336" s="5">
        <v>1</v>
      </c>
      <c r="V336" s="5">
        <v>1</v>
      </c>
      <c r="W336" s="5">
        <v>0</v>
      </c>
      <c r="X336" s="5">
        <v>0</v>
      </c>
      <c r="Y336" s="5">
        <v>0</v>
      </c>
      <c r="AA336">
        <v>3</v>
      </c>
    </row>
    <row r="337" spans="4:27" x14ac:dyDescent="0.2">
      <c r="D337" t="str">
        <f ca="1"/>
        <v>25-Nov</v>
      </c>
      <c r="E337" s="5">
        <v>0</v>
      </c>
      <c r="F337" s="5">
        <v>0</v>
      </c>
      <c r="G337" s="5">
        <v>0</v>
      </c>
      <c r="H337" s="5">
        <v>0</v>
      </c>
      <c r="I337" s="5">
        <v>0</v>
      </c>
      <c r="J337" s="5">
        <v>0</v>
      </c>
      <c r="K337" s="5">
        <v>0</v>
      </c>
      <c r="L337" s="5">
        <v>0</v>
      </c>
      <c r="M337" s="5">
        <v>0</v>
      </c>
      <c r="N337" s="5">
        <v>0</v>
      </c>
      <c r="O337" s="5">
        <v>0</v>
      </c>
      <c r="P337" s="5">
        <v>0</v>
      </c>
      <c r="Q337" s="5">
        <v>0</v>
      </c>
      <c r="R337" s="5">
        <v>0</v>
      </c>
      <c r="S337" s="5">
        <v>0</v>
      </c>
      <c r="T337" s="5">
        <v>1</v>
      </c>
      <c r="U337" s="5">
        <v>1</v>
      </c>
      <c r="V337" s="5">
        <v>1</v>
      </c>
      <c r="W337" s="5">
        <v>0</v>
      </c>
      <c r="X337" s="5">
        <v>0</v>
      </c>
      <c r="Y337" s="5">
        <v>0</v>
      </c>
      <c r="AA337">
        <v>3</v>
      </c>
    </row>
    <row r="338" spans="4:27" x14ac:dyDescent="0.2">
      <c r="D338" t="str">
        <f ca="1"/>
        <v>26-Nov</v>
      </c>
      <c r="E338" s="5">
        <v>0</v>
      </c>
      <c r="F338" s="5">
        <v>0</v>
      </c>
      <c r="G338" s="5">
        <v>0</v>
      </c>
      <c r="H338" s="5">
        <v>0</v>
      </c>
      <c r="I338" s="5">
        <v>0</v>
      </c>
      <c r="J338" s="5">
        <v>0</v>
      </c>
      <c r="K338" s="5">
        <v>0</v>
      </c>
      <c r="L338" s="5">
        <v>0</v>
      </c>
      <c r="M338" s="5">
        <v>0</v>
      </c>
      <c r="N338" s="5">
        <v>0</v>
      </c>
      <c r="O338" s="5">
        <v>0</v>
      </c>
      <c r="P338" s="5">
        <v>0</v>
      </c>
      <c r="Q338" s="5">
        <v>0</v>
      </c>
      <c r="R338" s="5">
        <v>0</v>
      </c>
      <c r="S338" s="5">
        <v>0</v>
      </c>
      <c r="T338" s="5">
        <v>1</v>
      </c>
      <c r="U338" s="5">
        <v>1</v>
      </c>
      <c r="V338" s="5">
        <v>1</v>
      </c>
      <c r="W338" s="5">
        <v>0</v>
      </c>
      <c r="X338" s="5">
        <v>0</v>
      </c>
      <c r="Y338" s="5">
        <v>0</v>
      </c>
      <c r="AA338">
        <v>3</v>
      </c>
    </row>
    <row r="339" spans="4:27" x14ac:dyDescent="0.2">
      <c r="D339" t="str">
        <f ca="1"/>
        <v>27-Nov</v>
      </c>
      <c r="E339" s="5">
        <v>0</v>
      </c>
      <c r="F339" s="5">
        <v>0</v>
      </c>
      <c r="G339" s="5">
        <v>0</v>
      </c>
      <c r="H339" s="5">
        <v>0</v>
      </c>
      <c r="I339" s="5">
        <v>0</v>
      </c>
      <c r="J339" s="5">
        <v>0</v>
      </c>
      <c r="K339" s="5">
        <v>0</v>
      </c>
      <c r="L339" s="5">
        <v>0</v>
      </c>
      <c r="M339" s="5">
        <v>0</v>
      </c>
      <c r="N339" s="5">
        <v>0</v>
      </c>
      <c r="O339" s="5">
        <v>0</v>
      </c>
      <c r="P339" s="5">
        <v>0</v>
      </c>
      <c r="Q339" s="5">
        <v>0</v>
      </c>
      <c r="R339" s="5">
        <v>0</v>
      </c>
      <c r="S339" s="5">
        <v>0</v>
      </c>
      <c r="T339" s="5">
        <v>1</v>
      </c>
      <c r="U339" s="5">
        <v>1</v>
      </c>
      <c r="V339" s="5">
        <v>1</v>
      </c>
      <c r="W339" s="5">
        <v>0</v>
      </c>
      <c r="X339" s="5">
        <v>0</v>
      </c>
      <c r="Y339" s="5">
        <v>0</v>
      </c>
      <c r="AA339">
        <v>3</v>
      </c>
    </row>
    <row r="340" spans="4:27" x14ac:dyDescent="0.2">
      <c r="D340" t="str">
        <f ca="1"/>
        <v>28-Nov</v>
      </c>
      <c r="E340" s="5">
        <v>0</v>
      </c>
      <c r="F340" s="5">
        <v>0</v>
      </c>
      <c r="G340" s="5">
        <v>0</v>
      </c>
      <c r="H340" s="5">
        <v>0</v>
      </c>
      <c r="I340" s="5">
        <v>0</v>
      </c>
      <c r="J340" s="5">
        <v>0</v>
      </c>
      <c r="K340" s="5">
        <v>0</v>
      </c>
      <c r="L340" s="5">
        <v>0</v>
      </c>
      <c r="M340" s="5">
        <v>0</v>
      </c>
      <c r="N340" s="5">
        <v>0</v>
      </c>
      <c r="O340" s="5">
        <v>0</v>
      </c>
      <c r="P340" s="5">
        <v>0</v>
      </c>
      <c r="Q340" s="5">
        <v>0</v>
      </c>
      <c r="R340" s="5">
        <v>0</v>
      </c>
      <c r="S340" s="5">
        <v>0</v>
      </c>
      <c r="T340" s="5">
        <v>1</v>
      </c>
      <c r="U340" s="5">
        <v>1</v>
      </c>
      <c r="V340" s="5">
        <v>1</v>
      </c>
      <c r="W340" s="5">
        <v>0</v>
      </c>
      <c r="X340" s="5">
        <v>0</v>
      </c>
      <c r="Y340" s="5">
        <v>0</v>
      </c>
      <c r="AA340">
        <v>3</v>
      </c>
    </row>
    <row r="341" spans="4:27" x14ac:dyDescent="0.2">
      <c r="D341" t="str">
        <f ca="1"/>
        <v>29-Nov</v>
      </c>
      <c r="E341" s="5">
        <v>0</v>
      </c>
      <c r="F341" s="5">
        <v>0</v>
      </c>
      <c r="G341" s="5">
        <v>0</v>
      </c>
      <c r="H341" s="5">
        <v>0</v>
      </c>
      <c r="I341" s="5">
        <v>0</v>
      </c>
      <c r="J341" s="5">
        <v>0</v>
      </c>
      <c r="K341" s="5">
        <v>0</v>
      </c>
      <c r="L341" s="5">
        <v>0</v>
      </c>
      <c r="M341" s="5">
        <v>0</v>
      </c>
      <c r="N341" s="5">
        <v>0</v>
      </c>
      <c r="O341" s="5">
        <v>0</v>
      </c>
      <c r="P341" s="5">
        <v>0</v>
      </c>
      <c r="Q341" s="5">
        <v>0</v>
      </c>
      <c r="R341" s="5">
        <v>0</v>
      </c>
      <c r="S341" s="5">
        <v>0</v>
      </c>
      <c r="T341" s="5">
        <v>1</v>
      </c>
      <c r="U341" s="5">
        <v>1</v>
      </c>
      <c r="V341" s="5">
        <v>1</v>
      </c>
      <c r="W341" s="5">
        <v>0</v>
      </c>
      <c r="X341" s="5">
        <v>0</v>
      </c>
      <c r="Y341" s="5">
        <v>0</v>
      </c>
      <c r="AA341">
        <v>3</v>
      </c>
    </row>
    <row r="342" spans="4:27" x14ac:dyDescent="0.2">
      <c r="D342" t="str">
        <f ca="1"/>
        <v>30-Nov</v>
      </c>
      <c r="E342" s="5">
        <v>0</v>
      </c>
      <c r="F342" s="5">
        <v>0</v>
      </c>
      <c r="G342" s="5">
        <v>0</v>
      </c>
      <c r="H342" s="5">
        <v>0</v>
      </c>
      <c r="I342" s="5">
        <v>0</v>
      </c>
      <c r="J342" s="5">
        <v>0</v>
      </c>
      <c r="K342" s="5">
        <v>0</v>
      </c>
      <c r="L342" s="5">
        <v>0</v>
      </c>
      <c r="M342" s="5">
        <v>0</v>
      </c>
      <c r="N342" s="5">
        <v>0</v>
      </c>
      <c r="O342" s="5">
        <v>0</v>
      </c>
      <c r="P342" s="5">
        <v>0</v>
      </c>
      <c r="Q342" s="5">
        <v>0</v>
      </c>
      <c r="R342" s="5">
        <v>0</v>
      </c>
      <c r="S342" s="5">
        <v>0</v>
      </c>
      <c r="T342" s="5">
        <v>1</v>
      </c>
      <c r="U342" s="5">
        <v>1</v>
      </c>
      <c r="V342" s="5">
        <v>1</v>
      </c>
      <c r="W342" s="5">
        <v>0</v>
      </c>
      <c r="X342" s="5">
        <v>0</v>
      </c>
      <c r="Y342" s="5">
        <v>0</v>
      </c>
      <c r="AA342">
        <v>3</v>
      </c>
    </row>
    <row r="343" spans="4:27" x14ac:dyDescent="0.2">
      <c r="D343" t="str">
        <f ca="1"/>
        <v>01-Dec</v>
      </c>
      <c r="E343" s="5">
        <v>0</v>
      </c>
      <c r="F343" s="5">
        <v>0</v>
      </c>
      <c r="G343" s="5">
        <v>0</v>
      </c>
      <c r="H343" s="5">
        <v>0</v>
      </c>
      <c r="I343" s="5">
        <v>0</v>
      </c>
      <c r="J343" s="5">
        <v>0</v>
      </c>
      <c r="K343" s="5">
        <v>0</v>
      </c>
      <c r="L343" s="5">
        <v>0</v>
      </c>
      <c r="M343" s="5">
        <v>0</v>
      </c>
      <c r="N343" s="5">
        <v>0</v>
      </c>
      <c r="O343" s="5">
        <v>0</v>
      </c>
      <c r="P343" s="5">
        <v>0</v>
      </c>
      <c r="Q343" s="5">
        <v>0</v>
      </c>
      <c r="R343" s="5">
        <v>0</v>
      </c>
      <c r="S343" s="5">
        <v>0</v>
      </c>
      <c r="T343" s="5">
        <v>1</v>
      </c>
      <c r="U343" s="5">
        <v>1</v>
      </c>
      <c r="V343" s="5">
        <v>1</v>
      </c>
      <c r="W343" s="5">
        <v>0</v>
      </c>
      <c r="X343" s="5">
        <v>0</v>
      </c>
      <c r="Y343" s="5">
        <v>0</v>
      </c>
      <c r="AA343">
        <v>3</v>
      </c>
    </row>
    <row r="344" spans="4:27" x14ac:dyDescent="0.2">
      <c r="D344" t="str">
        <f ca="1"/>
        <v>02-Dec</v>
      </c>
      <c r="E344" s="5">
        <v>0</v>
      </c>
      <c r="F344" s="5">
        <v>0</v>
      </c>
      <c r="G344" s="5">
        <v>0</v>
      </c>
      <c r="H344" s="5">
        <v>0</v>
      </c>
      <c r="I344" s="5">
        <v>0</v>
      </c>
      <c r="J344" s="5">
        <v>0</v>
      </c>
      <c r="K344" s="5">
        <v>0</v>
      </c>
      <c r="L344" s="5">
        <v>0</v>
      </c>
      <c r="M344" s="5">
        <v>0</v>
      </c>
      <c r="N344" s="5">
        <v>0</v>
      </c>
      <c r="O344" s="5">
        <v>0</v>
      </c>
      <c r="P344" s="5">
        <v>0</v>
      </c>
      <c r="Q344" s="5">
        <v>0</v>
      </c>
      <c r="R344" s="5">
        <v>0</v>
      </c>
      <c r="S344" s="5">
        <v>0</v>
      </c>
      <c r="T344" s="5">
        <v>1</v>
      </c>
      <c r="U344" s="5">
        <v>1</v>
      </c>
      <c r="V344" s="5">
        <v>1</v>
      </c>
      <c r="W344" s="5">
        <v>0</v>
      </c>
      <c r="X344" s="5">
        <v>0</v>
      </c>
      <c r="Y344" s="5">
        <v>0</v>
      </c>
      <c r="AA344">
        <v>3</v>
      </c>
    </row>
    <row r="345" spans="4:27" x14ac:dyDescent="0.2">
      <c r="D345" t="str">
        <f ca="1"/>
        <v>03-Dec</v>
      </c>
      <c r="E345" s="5">
        <v>0</v>
      </c>
      <c r="F345" s="5">
        <v>0</v>
      </c>
      <c r="G345" s="5">
        <v>0</v>
      </c>
      <c r="H345" s="5">
        <v>0</v>
      </c>
      <c r="I345" s="5">
        <v>0</v>
      </c>
      <c r="J345" s="5">
        <v>0</v>
      </c>
      <c r="K345" s="5">
        <v>0</v>
      </c>
      <c r="L345" s="5">
        <v>0</v>
      </c>
      <c r="M345" s="5">
        <v>0</v>
      </c>
      <c r="N345" s="5">
        <v>0</v>
      </c>
      <c r="O345" s="5">
        <v>0</v>
      </c>
      <c r="P345" s="5">
        <v>0</v>
      </c>
      <c r="Q345" s="5">
        <v>0</v>
      </c>
      <c r="R345" s="5">
        <v>0</v>
      </c>
      <c r="S345" s="5">
        <v>0</v>
      </c>
      <c r="T345" s="5">
        <v>1</v>
      </c>
      <c r="U345" s="5">
        <v>1</v>
      </c>
      <c r="V345" s="5">
        <v>1</v>
      </c>
      <c r="W345" s="5">
        <v>0</v>
      </c>
      <c r="X345" s="5">
        <v>0</v>
      </c>
      <c r="Y345" s="5">
        <v>0</v>
      </c>
      <c r="AA345">
        <v>3</v>
      </c>
    </row>
    <row r="346" spans="4:27" x14ac:dyDescent="0.2">
      <c r="D346" t="str">
        <f ca="1"/>
        <v>04-Dec</v>
      </c>
      <c r="E346" s="5">
        <v>0</v>
      </c>
      <c r="F346" s="5">
        <v>0</v>
      </c>
      <c r="G346" s="5">
        <v>0</v>
      </c>
      <c r="H346" s="5">
        <v>0</v>
      </c>
      <c r="I346" s="5">
        <v>0</v>
      </c>
      <c r="J346" s="5">
        <v>0</v>
      </c>
      <c r="K346" s="5">
        <v>0</v>
      </c>
      <c r="L346" s="5">
        <v>0</v>
      </c>
      <c r="M346" s="5">
        <v>0</v>
      </c>
      <c r="N346" s="5">
        <v>0</v>
      </c>
      <c r="O346" s="5">
        <v>0</v>
      </c>
      <c r="P346" s="5">
        <v>0</v>
      </c>
      <c r="Q346" s="5">
        <v>0</v>
      </c>
      <c r="R346" s="5">
        <v>0</v>
      </c>
      <c r="S346" s="5">
        <v>0</v>
      </c>
      <c r="T346" s="5">
        <v>1</v>
      </c>
      <c r="U346" s="5">
        <v>1</v>
      </c>
      <c r="V346" s="5">
        <v>1</v>
      </c>
      <c r="W346" s="5">
        <v>0</v>
      </c>
      <c r="X346" s="5">
        <v>0</v>
      </c>
      <c r="Y346" s="5">
        <v>0</v>
      </c>
      <c r="AA346">
        <v>3</v>
      </c>
    </row>
    <row r="347" spans="4:27" x14ac:dyDescent="0.2">
      <c r="D347" t="str">
        <f ca="1"/>
        <v>05-Dec</v>
      </c>
      <c r="E347" s="5">
        <v>0</v>
      </c>
      <c r="F347" s="5">
        <v>0</v>
      </c>
      <c r="G347" s="5">
        <v>0</v>
      </c>
      <c r="H347" s="5">
        <v>0</v>
      </c>
      <c r="I347" s="5">
        <v>0</v>
      </c>
      <c r="J347" s="5">
        <v>0</v>
      </c>
      <c r="K347" s="5">
        <v>0</v>
      </c>
      <c r="L347" s="5">
        <v>0</v>
      </c>
      <c r="M347" s="5">
        <v>0</v>
      </c>
      <c r="N347" s="5">
        <v>0</v>
      </c>
      <c r="O347" s="5">
        <v>0</v>
      </c>
      <c r="P347" s="5">
        <v>0</v>
      </c>
      <c r="Q347" s="5">
        <v>0</v>
      </c>
      <c r="R347" s="5">
        <v>0</v>
      </c>
      <c r="S347" s="5">
        <v>0</v>
      </c>
      <c r="T347" s="5">
        <v>1</v>
      </c>
      <c r="U347" s="5">
        <v>1</v>
      </c>
      <c r="V347" s="5">
        <v>1</v>
      </c>
      <c r="W347" s="5">
        <v>0</v>
      </c>
      <c r="X347" s="5">
        <v>0</v>
      </c>
      <c r="Y347" s="5">
        <v>0</v>
      </c>
      <c r="AA347">
        <v>3</v>
      </c>
    </row>
    <row r="348" spans="4:27" x14ac:dyDescent="0.2">
      <c r="D348" t="str">
        <f ca="1"/>
        <v>06-Dec</v>
      </c>
      <c r="E348" s="5">
        <v>0</v>
      </c>
      <c r="F348" s="5">
        <v>0</v>
      </c>
      <c r="G348" s="5">
        <v>0</v>
      </c>
      <c r="H348" s="5">
        <v>0</v>
      </c>
      <c r="I348" s="5">
        <v>0</v>
      </c>
      <c r="J348" s="5">
        <v>0</v>
      </c>
      <c r="K348" s="5">
        <v>0</v>
      </c>
      <c r="L348" s="5">
        <v>0</v>
      </c>
      <c r="M348" s="5">
        <v>0</v>
      </c>
      <c r="N348" s="5">
        <v>0</v>
      </c>
      <c r="O348" s="5">
        <v>0</v>
      </c>
      <c r="P348" s="5">
        <v>0</v>
      </c>
      <c r="Q348" s="5">
        <v>0</v>
      </c>
      <c r="R348" s="5">
        <v>0</v>
      </c>
      <c r="S348" s="5">
        <v>0</v>
      </c>
      <c r="T348" s="5">
        <v>1</v>
      </c>
      <c r="U348" s="5">
        <v>1</v>
      </c>
      <c r="V348" s="5">
        <v>1</v>
      </c>
      <c r="W348" s="5">
        <v>0</v>
      </c>
      <c r="X348" s="5">
        <v>0</v>
      </c>
      <c r="Y348" s="5">
        <v>0</v>
      </c>
      <c r="AA348">
        <v>3</v>
      </c>
    </row>
    <row r="349" spans="4:27" x14ac:dyDescent="0.2">
      <c r="D349" t="str">
        <f ca="1"/>
        <v>07-Dec</v>
      </c>
      <c r="E349" s="5">
        <v>0</v>
      </c>
      <c r="F349" s="5">
        <v>0</v>
      </c>
      <c r="G349" s="5">
        <v>0</v>
      </c>
      <c r="H349" s="5">
        <v>0</v>
      </c>
      <c r="I349" s="5">
        <v>0</v>
      </c>
      <c r="J349" s="5">
        <v>0</v>
      </c>
      <c r="K349" s="5">
        <v>0</v>
      </c>
      <c r="L349" s="5">
        <v>0</v>
      </c>
      <c r="M349" s="5">
        <v>0</v>
      </c>
      <c r="N349" s="5">
        <v>0</v>
      </c>
      <c r="O349" s="5">
        <v>0</v>
      </c>
      <c r="P349" s="5">
        <v>0</v>
      </c>
      <c r="Q349" s="5">
        <v>0</v>
      </c>
      <c r="R349" s="5">
        <v>0</v>
      </c>
      <c r="S349" s="5">
        <v>0</v>
      </c>
      <c r="T349" s="5">
        <v>1</v>
      </c>
      <c r="U349" s="5">
        <v>1</v>
      </c>
      <c r="V349" s="5">
        <v>1</v>
      </c>
      <c r="W349" s="5">
        <v>0</v>
      </c>
      <c r="X349" s="5">
        <v>0</v>
      </c>
      <c r="Y349" s="5">
        <v>0</v>
      </c>
      <c r="AA349">
        <v>3</v>
      </c>
    </row>
    <row r="350" spans="4:27" x14ac:dyDescent="0.2">
      <c r="D350" t="str">
        <f ca="1"/>
        <v>08-Dec</v>
      </c>
      <c r="E350" s="5">
        <v>0</v>
      </c>
      <c r="F350" s="5">
        <v>0</v>
      </c>
      <c r="G350" s="5">
        <v>0</v>
      </c>
      <c r="H350" s="5">
        <v>0</v>
      </c>
      <c r="I350" s="5">
        <v>0</v>
      </c>
      <c r="J350" s="5">
        <v>0</v>
      </c>
      <c r="K350" s="5">
        <v>0</v>
      </c>
      <c r="L350" s="5">
        <v>0</v>
      </c>
      <c r="M350" s="5">
        <v>0</v>
      </c>
      <c r="N350" s="5">
        <v>0</v>
      </c>
      <c r="O350" s="5">
        <v>0</v>
      </c>
      <c r="P350" s="5">
        <v>0</v>
      </c>
      <c r="Q350" s="5">
        <v>0</v>
      </c>
      <c r="R350" s="5">
        <v>0</v>
      </c>
      <c r="S350" s="5">
        <v>0</v>
      </c>
      <c r="T350" s="5">
        <v>1</v>
      </c>
      <c r="U350" s="5">
        <v>1</v>
      </c>
      <c r="V350" s="5">
        <v>1</v>
      </c>
      <c r="W350" s="5">
        <v>0</v>
      </c>
      <c r="X350" s="5">
        <v>0</v>
      </c>
      <c r="Y350" s="5">
        <v>0</v>
      </c>
      <c r="AA350">
        <v>3</v>
      </c>
    </row>
    <row r="351" spans="4:27" x14ac:dyDescent="0.2">
      <c r="D351" t="str">
        <f ca="1"/>
        <v>09-Dec</v>
      </c>
      <c r="E351" s="5">
        <v>0</v>
      </c>
      <c r="F351" s="5">
        <v>0</v>
      </c>
      <c r="G351" s="5">
        <v>0</v>
      </c>
      <c r="H351" s="5">
        <v>0</v>
      </c>
      <c r="I351" s="5">
        <v>0</v>
      </c>
      <c r="J351" s="5">
        <v>0</v>
      </c>
      <c r="K351" s="5">
        <v>0</v>
      </c>
      <c r="L351" s="5">
        <v>0</v>
      </c>
      <c r="M351" s="5">
        <v>0</v>
      </c>
      <c r="N351" s="5">
        <v>0</v>
      </c>
      <c r="O351" s="5">
        <v>0</v>
      </c>
      <c r="P351" s="5">
        <v>0</v>
      </c>
      <c r="Q351" s="5">
        <v>0</v>
      </c>
      <c r="R351" s="5">
        <v>0</v>
      </c>
      <c r="S351" s="5">
        <v>0</v>
      </c>
      <c r="T351" s="5">
        <v>1</v>
      </c>
      <c r="U351" s="5">
        <v>1</v>
      </c>
      <c r="V351" s="5">
        <v>1</v>
      </c>
      <c r="W351" s="5">
        <v>0</v>
      </c>
      <c r="X351" s="5">
        <v>0</v>
      </c>
      <c r="Y351" s="5">
        <v>0</v>
      </c>
      <c r="AA351">
        <v>3</v>
      </c>
    </row>
    <row r="352" spans="4:27" x14ac:dyDescent="0.2">
      <c r="D352" t="str">
        <f ca="1"/>
        <v>10-Dec</v>
      </c>
      <c r="E352" s="5">
        <v>0</v>
      </c>
      <c r="F352" s="5">
        <v>0</v>
      </c>
      <c r="G352" s="5">
        <v>0</v>
      </c>
      <c r="H352" s="5">
        <v>0</v>
      </c>
      <c r="I352" s="5">
        <v>0</v>
      </c>
      <c r="J352" s="5">
        <v>0</v>
      </c>
      <c r="K352" s="5">
        <v>0</v>
      </c>
      <c r="L352" s="5">
        <v>0</v>
      </c>
      <c r="M352" s="5">
        <v>0</v>
      </c>
      <c r="N352" s="5">
        <v>0</v>
      </c>
      <c r="O352" s="5">
        <v>0</v>
      </c>
      <c r="P352" s="5">
        <v>0</v>
      </c>
      <c r="Q352" s="5">
        <v>0</v>
      </c>
      <c r="R352" s="5">
        <v>0</v>
      </c>
      <c r="S352" s="5">
        <v>0</v>
      </c>
      <c r="T352" s="5">
        <v>1</v>
      </c>
      <c r="U352" s="5">
        <v>1</v>
      </c>
      <c r="V352" s="5">
        <v>1</v>
      </c>
      <c r="W352" s="5">
        <v>0</v>
      </c>
      <c r="X352" s="5">
        <v>0</v>
      </c>
      <c r="Y352" s="5">
        <v>0</v>
      </c>
      <c r="AA352">
        <v>3</v>
      </c>
    </row>
    <row r="353" spans="4:27" x14ac:dyDescent="0.2">
      <c r="D353" t="str">
        <f ca="1"/>
        <v>11-Dec</v>
      </c>
      <c r="E353" s="5">
        <v>0</v>
      </c>
      <c r="F353" s="5">
        <v>0</v>
      </c>
      <c r="G353" s="5">
        <v>0</v>
      </c>
      <c r="H353" s="5">
        <v>0</v>
      </c>
      <c r="I353" s="5">
        <v>0</v>
      </c>
      <c r="J353" s="5">
        <v>0</v>
      </c>
      <c r="K353" s="5">
        <v>0</v>
      </c>
      <c r="L353" s="5">
        <v>0</v>
      </c>
      <c r="M353" s="5">
        <v>0</v>
      </c>
      <c r="N353" s="5">
        <v>0</v>
      </c>
      <c r="O353" s="5">
        <v>0</v>
      </c>
      <c r="P353" s="5">
        <v>0</v>
      </c>
      <c r="Q353" s="5">
        <v>0</v>
      </c>
      <c r="R353" s="5">
        <v>0</v>
      </c>
      <c r="S353" s="5">
        <v>0</v>
      </c>
      <c r="T353" s="5">
        <v>1</v>
      </c>
      <c r="U353" s="5">
        <v>1</v>
      </c>
      <c r="V353" s="5">
        <v>1</v>
      </c>
      <c r="W353" s="5">
        <v>0</v>
      </c>
      <c r="X353" s="5">
        <v>0</v>
      </c>
      <c r="Y353" s="5">
        <v>0</v>
      </c>
      <c r="AA353">
        <v>3</v>
      </c>
    </row>
    <row r="354" spans="4:27" x14ac:dyDescent="0.2">
      <c r="D354" t="str">
        <f ca="1"/>
        <v>12-Dec</v>
      </c>
      <c r="E354" s="5">
        <v>0</v>
      </c>
      <c r="F354" s="5">
        <v>0</v>
      </c>
      <c r="G354" s="5">
        <v>0</v>
      </c>
      <c r="H354" s="5">
        <v>0</v>
      </c>
      <c r="I354" s="5">
        <v>0</v>
      </c>
      <c r="J354" s="5">
        <v>0</v>
      </c>
      <c r="K354" s="5">
        <v>0</v>
      </c>
      <c r="L354" s="5">
        <v>0</v>
      </c>
      <c r="M354" s="5">
        <v>0</v>
      </c>
      <c r="N354" s="5">
        <v>0</v>
      </c>
      <c r="O354" s="5">
        <v>0</v>
      </c>
      <c r="P354" s="5">
        <v>0</v>
      </c>
      <c r="Q354" s="5">
        <v>0</v>
      </c>
      <c r="R354" s="5">
        <v>0</v>
      </c>
      <c r="S354" s="5">
        <v>0</v>
      </c>
      <c r="T354" s="5">
        <v>1</v>
      </c>
      <c r="U354" s="5">
        <v>1</v>
      </c>
      <c r="V354" s="5">
        <v>1</v>
      </c>
      <c r="W354" s="5">
        <v>0</v>
      </c>
      <c r="X354" s="5">
        <v>0</v>
      </c>
      <c r="Y354" s="5">
        <v>0</v>
      </c>
      <c r="AA354">
        <v>3</v>
      </c>
    </row>
    <row r="355" spans="4:27" x14ac:dyDescent="0.2">
      <c r="D355" t="str">
        <f ca="1"/>
        <v>13-Dec</v>
      </c>
      <c r="E355" s="5">
        <v>0</v>
      </c>
      <c r="F355" s="5">
        <v>0</v>
      </c>
      <c r="G355" s="5">
        <v>0</v>
      </c>
      <c r="H355" s="5">
        <v>0</v>
      </c>
      <c r="I355" s="5">
        <v>0</v>
      </c>
      <c r="J355" s="5">
        <v>0</v>
      </c>
      <c r="K355" s="5">
        <v>0</v>
      </c>
      <c r="L355" s="5">
        <v>0</v>
      </c>
      <c r="M355" s="5">
        <v>0</v>
      </c>
      <c r="N355" s="5">
        <v>0</v>
      </c>
      <c r="O355" s="5">
        <v>0</v>
      </c>
      <c r="P355" s="5">
        <v>0</v>
      </c>
      <c r="Q355" s="5">
        <v>0</v>
      </c>
      <c r="R355" s="5">
        <v>0</v>
      </c>
      <c r="S355" s="5">
        <v>0</v>
      </c>
      <c r="T355" s="5">
        <v>1</v>
      </c>
      <c r="U355" s="5">
        <v>1</v>
      </c>
      <c r="V355" s="5">
        <v>1</v>
      </c>
      <c r="W355" s="5">
        <v>0</v>
      </c>
      <c r="X355" s="5">
        <v>0</v>
      </c>
      <c r="Y355" s="5">
        <v>0</v>
      </c>
      <c r="AA355">
        <v>3</v>
      </c>
    </row>
    <row r="356" spans="4:27" x14ac:dyDescent="0.2">
      <c r="D356" t="str">
        <f ca="1"/>
        <v>14-Dec</v>
      </c>
      <c r="E356" s="5">
        <v>0</v>
      </c>
      <c r="F356" s="5">
        <v>0</v>
      </c>
      <c r="G356" s="5">
        <v>0</v>
      </c>
      <c r="H356" s="5">
        <v>0</v>
      </c>
      <c r="I356" s="5">
        <v>0</v>
      </c>
      <c r="J356" s="5">
        <v>0</v>
      </c>
      <c r="K356" s="5">
        <v>0</v>
      </c>
      <c r="L356" s="5">
        <v>0</v>
      </c>
      <c r="M356" s="5">
        <v>0</v>
      </c>
      <c r="N356" s="5">
        <v>0</v>
      </c>
      <c r="O356" s="5">
        <v>0</v>
      </c>
      <c r="P356" s="5">
        <v>0</v>
      </c>
      <c r="Q356" s="5">
        <v>0</v>
      </c>
      <c r="R356" s="5">
        <v>0</v>
      </c>
      <c r="S356" s="5">
        <v>0</v>
      </c>
      <c r="T356" s="5">
        <v>1</v>
      </c>
      <c r="U356" s="5">
        <v>1</v>
      </c>
      <c r="V356" s="5">
        <v>1</v>
      </c>
      <c r="W356" s="5">
        <v>0</v>
      </c>
      <c r="X356" s="5">
        <v>0</v>
      </c>
      <c r="Y356" s="5">
        <v>0</v>
      </c>
      <c r="AA356">
        <v>3</v>
      </c>
    </row>
    <row r="357" spans="4:27" x14ac:dyDescent="0.2">
      <c r="D357" t="str">
        <f ca="1"/>
        <v>15-Dec</v>
      </c>
      <c r="E357" s="5">
        <v>0</v>
      </c>
      <c r="F357" s="5">
        <v>0</v>
      </c>
      <c r="G357" s="5">
        <v>0</v>
      </c>
      <c r="H357" s="5">
        <v>0</v>
      </c>
      <c r="I357" s="5">
        <v>0</v>
      </c>
      <c r="J357" s="5">
        <v>0</v>
      </c>
      <c r="K357" s="5">
        <v>0</v>
      </c>
      <c r="L357" s="5">
        <v>0</v>
      </c>
      <c r="M357" s="5">
        <v>0</v>
      </c>
      <c r="N357" s="5">
        <v>0</v>
      </c>
      <c r="O357" s="5">
        <v>0</v>
      </c>
      <c r="P357" s="5">
        <v>0</v>
      </c>
      <c r="Q357" s="5">
        <v>0</v>
      </c>
      <c r="R357" s="5">
        <v>0</v>
      </c>
      <c r="S357" s="5">
        <v>0</v>
      </c>
      <c r="T357" s="5">
        <v>1</v>
      </c>
      <c r="U357" s="5">
        <v>1</v>
      </c>
      <c r="V357" s="5">
        <v>1</v>
      </c>
      <c r="W357" s="5">
        <v>0</v>
      </c>
      <c r="X357" s="5">
        <v>0</v>
      </c>
      <c r="Y357" s="5">
        <v>0</v>
      </c>
      <c r="AA357">
        <v>3</v>
      </c>
    </row>
    <row r="358" spans="4:27" x14ac:dyDescent="0.2">
      <c r="D358" t="str">
        <f ca="1"/>
        <v>16-Dec</v>
      </c>
      <c r="E358" s="5">
        <v>0</v>
      </c>
      <c r="F358" s="5">
        <v>0</v>
      </c>
      <c r="G358" s="5">
        <v>0</v>
      </c>
      <c r="H358" s="5">
        <v>0</v>
      </c>
      <c r="I358" s="5">
        <v>0</v>
      </c>
      <c r="J358" s="5">
        <v>0</v>
      </c>
      <c r="K358" s="5">
        <v>0</v>
      </c>
      <c r="L358" s="5">
        <v>0</v>
      </c>
      <c r="M358" s="5">
        <v>0</v>
      </c>
      <c r="N358" s="5">
        <v>0</v>
      </c>
      <c r="O358" s="5">
        <v>0</v>
      </c>
      <c r="P358" s="5">
        <v>0</v>
      </c>
      <c r="Q358" s="5">
        <v>0</v>
      </c>
      <c r="R358" s="5">
        <v>0</v>
      </c>
      <c r="S358" s="5">
        <v>0</v>
      </c>
      <c r="T358" s="5">
        <v>1</v>
      </c>
      <c r="U358" s="5">
        <v>1</v>
      </c>
      <c r="V358" s="5">
        <v>1</v>
      </c>
      <c r="W358" s="5">
        <v>0</v>
      </c>
      <c r="X358" s="5">
        <v>0</v>
      </c>
      <c r="Y358" s="5">
        <v>0</v>
      </c>
      <c r="AA358">
        <v>3</v>
      </c>
    </row>
    <row r="359" spans="4:27" x14ac:dyDescent="0.2">
      <c r="D359" t="str">
        <f ca="1"/>
        <v>17-Dec</v>
      </c>
      <c r="E359" s="5">
        <v>0</v>
      </c>
      <c r="F359" s="5">
        <v>0</v>
      </c>
      <c r="G359" s="5">
        <v>0</v>
      </c>
      <c r="H359" s="5">
        <v>0</v>
      </c>
      <c r="I359" s="5">
        <v>0</v>
      </c>
      <c r="J359" s="5">
        <v>0</v>
      </c>
      <c r="K359" s="5">
        <v>0</v>
      </c>
      <c r="L359" s="5">
        <v>0</v>
      </c>
      <c r="M359" s="5">
        <v>0</v>
      </c>
      <c r="N359" s="5">
        <v>0</v>
      </c>
      <c r="O359" s="5">
        <v>0</v>
      </c>
      <c r="P359" s="5">
        <v>0</v>
      </c>
      <c r="Q359" s="5">
        <v>0</v>
      </c>
      <c r="R359" s="5">
        <v>0</v>
      </c>
      <c r="S359" s="5">
        <v>0</v>
      </c>
      <c r="T359" s="5">
        <v>1</v>
      </c>
      <c r="U359" s="5">
        <v>1</v>
      </c>
      <c r="V359" s="5">
        <v>1</v>
      </c>
      <c r="W359" s="5">
        <v>0</v>
      </c>
      <c r="X359" s="5">
        <v>0</v>
      </c>
      <c r="Y359" s="5">
        <v>0</v>
      </c>
      <c r="AA359">
        <v>3</v>
      </c>
    </row>
    <row r="360" spans="4:27" x14ac:dyDescent="0.2">
      <c r="D360" t="str">
        <f ca="1"/>
        <v>18-Dec</v>
      </c>
      <c r="E360" s="5">
        <v>0</v>
      </c>
      <c r="F360" s="5">
        <v>0</v>
      </c>
      <c r="G360" s="5">
        <v>0</v>
      </c>
      <c r="H360" s="5">
        <v>0</v>
      </c>
      <c r="I360" s="5">
        <v>0</v>
      </c>
      <c r="J360" s="5">
        <v>0</v>
      </c>
      <c r="K360" s="5">
        <v>0</v>
      </c>
      <c r="L360" s="5">
        <v>0</v>
      </c>
      <c r="M360" s="5">
        <v>0</v>
      </c>
      <c r="N360" s="5">
        <v>0</v>
      </c>
      <c r="O360" s="5">
        <v>0</v>
      </c>
      <c r="P360" s="5">
        <v>0</v>
      </c>
      <c r="Q360" s="5">
        <v>0</v>
      </c>
      <c r="R360" s="5">
        <v>0</v>
      </c>
      <c r="S360" s="5">
        <v>0</v>
      </c>
      <c r="T360" s="5">
        <v>1</v>
      </c>
      <c r="U360" s="5">
        <v>1</v>
      </c>
      <c r="V360" s="5">
        <v>1</v>
      </c>
      <c r="W360" s="5">
        <v>0</v>
      </c>
      <c r="X360" s="5">
        <v>0</v>
      </c>
      <c r="Y360" s="5">
        <v>0</v>
      </c>
      <c r="AA360">
        <v>3</v>
      </c>
    </row>
    <row r="361" spans="4:27" x14ac:dyDescent="0.2">
      <c r="D361" t="str">
        <f ca="1"/>
        <v>19-Dec</v>
      </c>
      <c r="E361" s="5">
        <v>0</v>
      </c>
      <c r="F361" s="5">
        <v>0</v>
      </c>
      <c r="G361" s="5">
        <v>0</v>
      </c>
      <c r="H361" s="5">
        <v>0</v>
      </c>
      <c r="I361" s="5">
        <v>0</v>
      </c>
      <c r="J361" s="5">
        <v>0</v>
      </c>
      <c r="K361" s="5">
        <v>0</v>
      </c>
      <c r="L361" s="5">
        <v>0</v>
      </c>
      <c r="M361" s="5">
        <v>0</v>
      </c>
      <c r="N361" s="5">
        <v>0</v>
      </c>
      <c r="O361" s="5">
        <v>0</v>
      </c>
      <c r="P361" s="5">
        <v>0</v>
      </c>
      <c r="Q361" s="5">
        <v>0</v>
      </c>
      <c r="R361" s="5">
        <v>0</v>
      </c>
      <c r="S361" s="5">
        <v>0</v>
      </c>
      <c r="T361" s="5">
        <v>1</v>
      </c>
      <c r="U361" s="5">
        <v>1</v>
      </c>
      <c r="V361" s="5">
        <v>1</v>
      </c>
      <c r="W361" s="5">
        <v>1</v>
      </c>
      <c r="X361" s="5">
        <v>0</v>
      </c>
      <c r="Y361" s="5">
        <v>0</v>
      </c>
      <c r="AA361">
        <v>4</v>
      </c>
    </row>
    <row r="362" spans="4:27" x14ac:dyDescent="0.2">
      <c r="D362" t="str">
        <f ca="1"/>
        <v>20-Dec</v>
      </c>
      <c r="E362" s="5">
        <v>0</v>
      </c>
      <c r="F362" s="5">
        <v>0</v>
      </c>
      <c r="G362" s="5">
        <v>0</v>
      </c>
      <c r="H362" s="5">
        <v>0</v>
      </c>
      <c r="I362" s="5">
        <v>0</v>
      </c>
      <c r="J362" s="5">
        <v>0</v>
      </c>
      <c r="K362" s="5">
        <v>0</v>
      </c>
      <c r="L362" s="5">
        <v>0</v>
      </c>
      <c r="M362" s="5">
        <v>0</v>
      </c>
      <c r="N362" s="5">
        <v>0</v>
      </c>
      <c r="O362" s="5">
        <v>0</v>
      </c>
      <c r="P362" s="5">
        <v>0</v>
      </c>
      <c r="Q362" s="5">
        <v>0</v>
      </c>
      <c r="R362" s="5">
        <v>0</v>
      </c>
      <c r="S362" s="5">
        <v>0</v>
      </c>
      <c r="T362" s="5">
        <v>1</v>
      </c>
      <c r="U362" s="5">
        <v>1</v>
      </c>
      <c r="V362" s="5">
        <v>1</v>
      </c>
      <c r="W362" s="5">
        <v>1</v>
      </c>
      <c r="X362" s="5">
        <v>0</v>
      </c>
      <c r="Y362" s="5">
        <v>0</v>
      </c>
      <c r="AA362">
        <v>4</v>
      </c>
    </row>
    <row r="363" spans="4:27" x14ac:dyDescent="0.2">
      <c r="D363" t="str">
        <f ca="1"/>
        <v>21-Dec</v>
      </c>
      <c r="E363" s="5">
        <v>0</v>
      </c>
      <c r="F363" s="5">
        <v>0</v>
      </c>
      <c r="G363" s="5">
        <v>0</v>
      </c>
      <c r="H363" s="5">
        <v>0</v>
      </c>
      <c r="I363" s="5">
        <v>0</v>
      </c>
      <c r="J363" s="5">
        <v>0</v>
      </c>
      <c r="K363" s="5">
        <v>0</v>
      </c>
      <c r="L363" s="5">
        <v>0</v>
      </c>
      <c r="M363" s="5">
        <v>0</v>
      </c>
      <c r="N363" s="5">
        <v>0</v>
      </c>
      <c r="O363" s="5">
        <v>0</v>
      </c>
      <c r="P363" s="5">
        <v>0</v>
      </c>
      <c r="Q363" s="5">
        <v>0</v>
      </c>
      <c r="R363" s="5">
        <v>0</v>
      </c>
      <c r="S363" s="5">
        <v>0</v>
      </c>
      <c r="T363" s="5">
        <v>0</v>
      </c>
      <c r="U363" s="5">
        <v>1</v>
      </c>
      <c r="V363" s="5">
        <v>1</v>
      </c>
      <c r="W363" s="5">
        <v>1</v>
      </c>
      <c r="X363" s="5">
        <v>0</v>
      </c>
      <c r="Y363" s="5">
        <v>0</v>
      </c>
      <c r="AA363">
        <v>3</v>
      </c>
    </row>
    <row r="364" spans="4:27" x14ac:dyDescent="0.2">
      <c r="D364" t="str">
        <f ca="1"/>
        <v>22-Dec</v>
      </c>
      <c r="E364" s="5">
        <v>0</v>
      </c>
      <c r="F364" s="5">
        <v>0</v>
      </c>
      <c r="G364" s="5">
        <v>0</v>
      </c>
      <c r="H364" s="5">
        <v>0</v>
      </c>
      <c r="I364" s="5">
        <v>0</v>
      </c>
      <c r="J364" s="5">
        <v>0</v>
      </c>
      <c r="K364" s="5">
        <v>0</v>
      </c>
      <c r="L364" s="5">
        <v>0</v>
      </c>
      <c r="M364" s="5">
        <v>0</v>
      </c>
      <c r="N364" s="5">
        <v>0</v>
      </c>
      <c r="O364" s="5">
        <v>0</v>
      </c>
      <c r="P364" s="5">
        <v>0</v>
      </c>
      <c r="Q364" s="5">
        <v>0</v>
      </c>
      <c r="R364" s="5">
        <v>0</v>
      </c>
      <c r="S364" s="5">
        <v>0</v>
      </c>
      <c r="T364" s="5">
        <v>0</v>
      </c>
      <c r="U364" s="5">
        <v>1</v>
      </c>
      <c r="V364" s="5">
        <v>1</v>
      </c>
      <c r="W364" s="5">
        <v>1</v>
      </c>
      <c r="X364" s="5">
        <v>0</v>
      </c>
      <c r="Y364" s="5">
        <v>0</v>
      </c>
      <c r="AA364">
        <v>3</v>
      </c>
    </row>
    <row r="365" spans="4:27" x14ac:dyDescent="0.2">
      <c r="D365" t="str">
        <f ca="1"/>
        <v>23-Dec</v>
      </c>
      <c r="E365" s="5">
        <v>0</v>
      </c>
      <c r="F365" s="5">
        <v>0</v>
      </c>
      <c r="G365" s="5">
        <v>0</v>
      </c>
      <c r="H365" s="5">
        <v>0</v>
      </c>
      <c r="I365" s="5">
        <v>0</v>
      </c>
      <c r="J365" s="5">
        <v>0</v>
      </c>
      <c r="K365" s="5">
        <v>0</v>
      </c>
      <c r="L365" s="5">
        <v>0</v>
      </c>
      <c r="M365" s="5">
        <v>0</v>
      </c>
      <c r="N365" s="5">
        <v>0</v>
      </c>
      <c r="O365" s="5">
        <v>0</v>
      </c>
      <c r="P365" s="5">
        <v>0</v>
      </c>
      <c r="Q365" s="5">
        <v>0</v>
      </c>
      <c r="R365" s="5">
        <v>0</v>
      </c>
      <c r="S365" s="5">
        <v>0</v>
      </c>
      <c r="T365" s="5">
        <v>0</v>
      </c>
      <c r="U365" s="5">
        <v>1</v>
      </c>
      <c r="V365" s="5">
        <v>1</v>
      </c>
      <c r="W365" s="5">
        <v>1</v>
      </c>
      <c r="X365" s="5">
        <v>0</v>
      </c>
      <c r="Y365" s="5">
        <v>0</v>
      </c>
      <c r="AA365">
        <v>3</v>
      </c>
    </row>
    <row r="366" spans="4:27" x14ac:dyDescent="0.2">
      <c r="D366" t="str">
        <f ca="1"/>
        <v>24-Dec</v>
      </c>
      <c r="E366" s="5">
        <v>0</v>
      </c>
      <c r="F366" s="5">
        <v>0</v>
      </c>
      <c r="G366" s="5">
        <v>0</v>
      </c>
      <c r="H366" s="5">
        <v>0</v>
      </c>
      <c r="I366" s="5">
        <v>0</v>
      </c>
      <c r="J366" s="5">
        <v>0</v>
      </c>
      <c r="K366" s="5">
        <v>0</v>
      </c>
      <c r="L366" s="5">
        <v>0</v>
      </c>
      <c r="M366" s="5">
        <v>0</v>
      </c>
      <c r="N366" s="5">
        <v>0</v>
      </c>
      <c r="O366" s="5">
        <v>0</v>
      </c>
      <c r="P366" s="5">
        <v>0</v>
      </c>
      <c r="Q366" s="5">
        <v>0</v>
      </c>
      <c r="R366" s="5">
        <v>0</v>
      </c>
      <c r="S366" s="5">
        <v>0</v>
      </c>
      <c r="T366" s="5">
        <v>0</v>
      </c>
      <c r="U366" s="5">
        <v>1</v>
      </c>
      <c r="V366" s="5">
        <v>1</v>
      </c>
      <c r="W366" s="5">
        <v>1</v>
      </c>
      <c r="X366" s="5">
        <v>0</v>
      </c>
      <c r="Y366" s="5">
        <v>0</v>
      </c>
      <c r="AA366">
        <v>3</v>
      </c>
    </row>
    <row r="367" spans="4:27" x14ac:dyDescent="0.2">
      <c r="D367" t="str">
        <f ca="1"/>
        <v>25-Dec</v>
      </c>
      <c r="E367" s="5">
        <v>0</v>
      </c>
      <c r="F367" s="5">
        <v>0</v>
      </c>
      <c r="G367" s="5">
        <v>0</v>
      </c>
      <c r="H367" s="5">
        <v>0</v>
      </c>
      <c r="I367" s="5">
        <v>0</v>
      </c>
      <c r="J367" s="5">
        <v>0</v>
      </c>
      <c r="K367" s="5">
        <v>0</v>
      </c>
      <c r="L367" s="5">
        <v>0</v>
      </c>
      <c r="M367" s="5">
        <v>0</v>
      </c>
      <c r="N367" s="5">
        <v>0</v>
      </c>
      <c r="O367" s="5">
        <v>0</v>
      </c>
      <c r="P367" s="5">
        <v>0</v>
      </c>
      <c r="Q367" s="5">
        <v>0</v>
      </c>
      <c r="R367" s="5">
        <v>0</v>
      </c>
      <c r="S367" s="5">
        <v>0</v>
      </c>
      <c r="T367" s="5">
        <v>0</v>
      </c>
      <c r="U367" s="5">
        <v>1</v>
      </c>
      <c r="V367" s="5">
        <v>1</v>
      </c>
      <c r="W367" s="5">
        <v>1</v>
      </c>
      <c r="X367" s="5">
        <v>0</v>
      </c>
      <c r="Y367" s="5">
        <v>0</v>
      </c>
      <c r="AA367">
        <v>3</v>
      </c>
    </row>
    <row r="368" spans="4:27" x14ac:dyDescent="0.2">
      <c r="D368" t="str">
        <f ca="1"/>
        <v>26-Dec</v>
      </c>
      <c r="E368" s="5">
        <v>0</v>
      </c>
      <c r="F368" s="5">
        <v>0</v>
      </c>
      <c r="G368" s="5">
        <v>0</v>
      </c>
      <c r="H368" s="5">
        <v>0</v>
      </c>
      <c r="I368" s="5">
        <v>0</v>
      </c>
      <c r="J368" s="5">
        <v>0</v>
      </c>
      <c r="K368" s="5">
        <v>0</v>
      </c>
      <c r="L368" s="5">
        <v>0</v>
      </c>
      <c r="M368" s="5">
        <v>0</v>
      </c>
      <c r="N368" s="5">
        <v>0</v>
      </c>
      <c r="O368" s="5">
        <v>0</v>
      </c>
      <c r="P368" s="5">
        <v>0</v>
      </c>
      <c r="Q368" s="5">
        <v>0</v>
      </c>
      <c r="R368" s="5">
        <v>0</v>
      </c>
      <c r="S368" s="5">
        <v>0</v>
      </c>
      <c r="T368" s="5">
        <v>0</v>
      </c>
      <c r="U368" s="5">
        <v>1</v>
      </c>
      <c r="V368" s="5">
        <v>1</v>
      </c>
      <c r="W368" s="5">
        <v>1</v>
      </c>
      <c r="X368" s="5">
        <v>0</v>
      </c>
      <c r="Y368" s="5">
        <v>0</v>
      </c>
      <c r="AA368">
        <v>3</v>
      </c>
    </row>
    <row r="369" spans="4:27" x14ac:dyDescent="0.2">
      <c r="D369" t="str">
        <f ca="1"/>
        <v>27-Dec</v>
      </c>
      <c r="E369" s="5">
        <v>0</v>
      </c>
      <c r="F369" s="5">
        <v>0</v>
      </c>
      <c r="G369" s="5">
        <v>0</v>
      </c>
      <c r="H369" s="5">
        <v>0</v>
      </c>
      <c r="I369" s="5">
        <v>0</v>
      </c>
      <c r="J369" s="5">
        <v>0</v>
      </c>
      <c r="K369" s="5">
        <v>0</v>
      </c>
      <c r="L369" s="5">
        <v>0</v>
      </c>
      <c r="M369" s="5">
        <v>0</v>
      </c>
      <c r="N369" s="5">
        <v>0</v>
      </c>
      <c r="O369" s="5">
        <v>0</v>
      </c>
      <c r="P369" s="5">
        <v>0</v>
      </c>
      <c r="Q369" s="5">
        <v>0</v>
      </c>
      <c r="R369" s="5">
        <v>0</v>
      </c>
      <c r="S369" s="5">
        <v>0</v>
      </c>
      <c r="T369" s="5">
        <v>0</v>
      </c>
      <c r="U369" s="5">
        <v>1</v>
      </c>
      <c r="V369" s="5">
        <v>1</v>
      </c>
      <c r="W369" s="5">
        <v>1</v>
      </c>
      <c r="X369" s="5">
        <v>0</v>
      </c>
      <c r="Y369" s="5">
        <v>0</v>
      </c>
      <c r="AA369">
        <v>3</v>
      </c>
    </row>
    <row r="370" spans="4:27" x14ac:dyDescent="0.2">
      <c r="D370" t="str">
        <f ca="1"/>
        <v>28-Dec</v>
      </c>
      <c r="E370" s="5">
        <v>0</v>
      </c>
      <c r="F370" s="5">
        <v>0</v>
      </c>
      <c r="G370" s="5">
        <v>0</v>
      </c>
      <c r="H370" s="5">
        <v>0</v>
      </c>
      <c r="I370" s="5">
        <v>0</v>
      </c>
      <c r="J370" s="5">
        <v>0</v>
      </c>
      <c r="K370" s="5">
        <v>0</v>
      </c>
      <c r="L370" s="5">
        <v>0</v>
      </c>
      <c r="M370" s="5">
        <v>0</v>
      </c>
      <c r="N370" s="5">
        <v>0</v>
      </c>
      <c r="O370" s="5">
        <v>0</v>
      </c>
      <c r="P370" s="5">
        <v>0</v>
      </c>
      <c r="Q370" s="5">
        <v>0</v>
      </c>
      <c r="R370" s="5">
        <v>0</v>
      </c>
      <c r="S370" s="5">
        <v>0</v>
      </c>
      <c r="T370" s="5">
        <v>0</v>
      </c>
      <c r="U370" s="5">
        <v>1</v>
      </c>
      <c r="V370" s="5">
        <v>1</v>
      </c>
      <c r="W370" s="5">
        <v>1</v>
      </c>
      <c r="X370" s="5">
        <v>0</v>
      </c>
      <c r="Y370" s="5">
        <v>0</v>
      </c>
      <c r="AA370">
        <v>3</v>
      </c>
    </row>
    <row r="371" spans="4:27" x14ac:dyDescent="0.2">
      <c r="D371" t="str">
        <f ca="1"/>
        <v>29-Dec</v>
      </c>
      <c r="E371" s="5">
        <v>0</v>
      </c>
      <c r="F371" s="5">
        <v>0</v>
      </c>
      <c r="G371" s="5">
        <v>0</v>
      </c>
      <c r="H371" s="5">
        <v>0</v>
      </c>
      <c r="I371" s="5">
        <v>0</v>
      </c>
      <c r="J371" s="5">
        <v>0</v>
      </c>
      <c r="K371" s="5">
        <v>0</v>
      </c>
      <c r="L371" s="5">
        <v>0</v>
      </c>
      <c r="M371" s="5">
        <v>0</v>
      </c>
      <c r="N371" s="5">
        <v>0</v>
      </c>
      <c r="O371" s="5">
        <v>0</v>
      </c>
      <c r="P371" s="5">
        <v>0</v>
      </c>
      <c r="Q371" s="5">
        <v>0</v>
      </c>
      <c r="R371" s="5">
        <v>0</v>
      </c>
      <c r="S371" s="5">
        <v>0</v>
      </c>
      <c r="T371" s="5">
        <v>0</v>
      </c>
      <c r="U371" s="5">
        <v>1</v>
      </c>
      <c r="V371" s="5">
        <v>1</v>
      </c>
      <c r="W371" s="5">
        <v>1</v>
      </c>
      <c r="X371" s="5">
        <v>0</v>
      </c>
      <c r="Y371" s="5">
        <v>0</v>
      </c>
      <c r="AA371">
        <v>3</v>
      </c>
    </row>
    <row r="372" spans="4:27" x14ac:dyDescent="0.2">
      <c r="D372" t="str">
        <f ca="1"/>
        <v>30-Dec</v>
      </c>
      <c r="E372" s="5">
        <v>0</v>
      </c>
      <c r="F372" s="5">
        <v>0</v>
      </c>
      <c r="G372" s="5">
        <v>0</v>
      </c>
      <c r="H372" s="5">
        <v>0</v>
      </c>
      <c r="I372" s="5">
        <v>0</v>
      </c>
      <c r="J372" s="5">
        <v>0</v>
      </c>
      <c r="K372" s="5">
        <v>0</v>
      </c>
      <c r="L372" s="5">
        <v>0</v>
      </c>
      <c r="M372" s="5">
        <v>0</v>
      </c>
      <c r="N372" s="5">
        <v>0</v>
      </c>
      <c r="O372" s="5">
        <v>0</v>
      </c>
      <c r="P372" s="5">
        <v>0</v>
      </c>
      <c r="Q372" s="5">
        <v>0</v>
      </c>
      <c r="R372" s="5">
        <v>0</v>
      </c>
      <c r="S372" s="5">
        <v>0</v>
      </c>
      <c r="T372" s="5">
        <v>0</v>
      </c>
      <c r="U372" s="5">
        <v>1</v>
      </c>
      <c r="V372" s="5">
        <v>1</v>
      </c>
      <c r="W372" s="5">
        <v>1</v>
      </c>
      <c r="X372" s="5">
        <v>0</v>
      </c>
      <c r="Y372" s="5">
        <v>0</v>
      </c>
      <c r="AA372">
        <v>3</v>
      </c>
    </row>
    <row r="373" spans="4:27" x14ac:dyDescent="0.2">
      <c r="D373" t="str">
        <f ca="1"/>
        <v>31-Dec</v>
      </c>
      <c r="E373" s="5">
        <v>0</v>
      </c>
      <c r="F373" s="5">
        <v>0</v>
      </c>
      <c r="G373" s="5">
        <v>0</v>
      </c>
      <c r="H373" s="5">
        <v>0</v>
      </c>
      <c r="I373" s="5">
        <v>0</v>
      </c>
      <c r="J373" s="5">
        <v>0</v>
      </c>
      <c r="K373" s="5">
        <v>0</v>
      </c>
      <c r="L373" s="5">
        <v>0</v>
      </c>
      <c r="M373" s="5">
        <v>0</v>
      </c>
      <c r="N373" s="5">
        <v>0</v>
      </c>
      <c r="O373" s="5">
        <v>0</v>
      </c>
      <c r="P373" s="5">
        <v>0</v>
      </c>
      <c r="Q373" s="5">
        <v>0</v>
      </c>
      <c r="R373" s="5">
        <v>0</v>
      </c>
      <c r="S373" s="5">
        <v>0</v>
      </c>
      <c r="T373" s="5">
        <v>0</v>
      </c>
      <c r="U373" s="5">
        <v>1</v>
      </c>
      <c r="V373" s="5">
        <v>1</v>
      </c>
      <c r="W373" s="5">
        <v>1</v>
      </c>
      <c r="X373" s="5">
        <v>0</v>
      </c>
      <c r="Y373" s="5">
        <v>0</v>
      </c>
      <c r="AA373">
        <v>3</v>
      </c>
    </row>
    <row r="374" spans="4:27" x14ac:dyDescent="0.2">
      <c r="D374" t="str">
        <f ca="1"/>
        <v>01-Jan</v>
      </c>
      <c r="E374" s="5">
        <v>0</v>
      </c>
      <c r="F374" s="5">
        <v>0</v>
      </c>
      <c r="G374" s="5">
        <v>0</v>
      </c>
      <c r="H374" s="5">
        <v>0</v>
      </c>
      <c r="I374" s="5">
        <v>0</v>
      </c>
      <c r="J374" s="5">
        <v>0</v>
      </c>
      <c r="K374" s="5">
        <v>0</v>
      </c>
      <c r="L374" s="5">
        <v>0</v>
      </c>
      <c r="M374" s="5">
        <v>0</v>
      </c>
      <c r="N374" s="5">
        <v>0</v>
      </c>
      <c r="O374" s="5">
        <v>0</v>
      </c>
      <c r="P374" s="5">
        <v>0</v>
      </c>
      <c r="Q374" s="5">
        <v>0</v>
      </c>
      <c r="R374" s="5">
        <v>0</v>
      </c>
      <c r="S374" s="5">
        <v>0</v>
      </c>
      <c r="T374" s="5">
        <v>0</v>
      </c>
      <c r="U374" s="5">
        <v>1</v>
      </c>
      <c r="V374" s="5">
        <v>1</v>
      </c>
      <c r="W374" s="5">
        <v>1</v>
      </c>
      <c r="X374" s="5">
        <v>0</v>
      </c>
      <c r="Y374" s="5">
        <v>0</v>
      </c>
      <c r="AA374">
        <v>3</v>
      </c>
    </row>
    <row r="375" spans="4:27" x14ac:dyDescent="0.2">
      <c r="D375" t="str">
        <f ca="1"/>
        <v>02-Jan</v>
      </c>
      <c r="E375" s="5">
        <v>0</v>
      </c>
      <c r="F375" s="5">
        <v>0</v>
      </c>
      <c r="G375" s="5">
        <v>0</v>
      </c>
      <c r="H375" s="5">
        <v>0</v>
      </c>
      <c r="I375" s="5">
        <v>0</v>
      </c>
      <c r="J375" s="5">
        <v>0</v>
      </c>
      <c r="K375" s="5">
        <v>0</v>
      </c>
      <c r="L375" s="5">
        <v>0</v>
      </c>
      <c r="M375" s="5">
        <v>0</v>
      </c>
      <c r="N375" s="5">
        <v>0</v>
      </c>
      <c r="O375" s="5">
        <v>0</v>
      </c>
      <c r="P375" s="5">
        <v>0</v>
      </c>
      <c r="Q375" s="5">
        <v>0</v>
      </c>
      <c r="R375" s="5">
        <v>0</v>
      </c>
      <c r="S375" s="5">
        <v>0</v>
      </c>
      <c r="T375" s="5">
        <v>0</v>
      </c>
      <c r="U375" s="5">
        <v>1</v>
      </c>
      <c r="V375" s="5">
        <v>1</v>
      </c>
      <c r="W375" s="5">
        <v>1</v>
      </c>
      <c r="X375" s="5">
        <v>0</v>
      </c>
      <c r="Y375" s="5">
        <v>0</v>
      </c>
      <c r="AA375">
        <v>3</v>
      </c>
    </row>
    <row r="376" spans="4:27" x14ac:dyDescent="0.2">
      <c r="D376" t="str">
        <f ca="1"/>
        <v>03-Jan</v>
      </c>
      <c r="E376" s="5">
        <v>0</v>
      </c>
      <c r="F376" s="5">
        <v>0</v>
      </c>
      <c r="G376" s="5">
        <v>0</v>
      </c>
      <c r="H376" s="5">
        <v>0</v>
      </c>
      <c r="I376" s="5">
        <v>0</v>
      </c>
      <c r="J376" s="5">
        <v>0</v>
      </c>
      <c r="K376" s="5">
        <v>0</v>
      </c>
      <c r="L376" s="5">
        <v>0</v>
      </c>
      <c r="M376" s="5">
        <v>0</v>
      </c>
      <c r="N376" s="5">
        <v>0</v>
      </c>
      <c r="O376" s="5">
        <v>0</v>
      </c>
      <c r="P376" s="5">
        <v>0</v>
      </c>
      <c r="Q376" s="5">
        <v>0</v>
      </c>
      <c r="R376" s="5">
        <v>0</v>
      </c>
      <c r="S376" s="5">
        <v>0</v>
      </c>
      <c r="T376" s="5">
        <v>0</v>
      </c>
      <c r="U376" s="5">
        <v>1</v>
      </c>
      <c r="V376" s="5">
        <v>1</v>
      </c>
      <c r="W376" s="5">
        <v>1</v>
      </c>
      <c r="X376" s="5">
        <v>0</v>
      </c>
      <c r="Y376" s="5">
        <v>0</v>
      </c>
      <c r="AA376">
        <v>3</v>
      </c>
    </row>
    <row r="377" spans="4:27" x14ac:dyDescent="0.2">
      <c r="D377" t="str">
        <f ca="1"/>
        <v>04-Jan</v>
      </c>
      <c r="E377" s="5">
        <v>0</v>
      </c>
      <c r="F377" s="5">
        <v>0</v>
      </c>
      <c r="G377" s="5">
        <v>0</v>
      </c>
      <c r="H377" s="5">
        <v>0</v>
      </c>
      <c r="I377" s="5">
        <v>0</v>
      </c>
      <c r="J377" s="5">
        <v>0</v>
      </c>
      <c r="K377" s="5">
        <v>0</v>
      </c>
      <c r="L377" s="5">
        <v>0</v>
      </c>
      <c r="M377" s="5">
        <v>0</v>
      </c>
      <c r="N377" s="5">
        <v>0</v>
      </c>
      <c r="O377" s="5">
        <v>0</v>
      </c>
      <c r="P377" s="5">
        <v>0</v>
      </c>
      <c r="Q377" s="5">
        <v>0</v>
      </c>
      <c r="R377" s="5">
        <v>0</v>
      </c>
      <c r="S377" s="5">
        <v>0</v>
      </c>
      <c r="T377" s="5">
        <v>0</v>
      </c>
      <c r="U377" s="5">
        <v>1</v>
      </c>
      <c r="V377" s="5">
        <v>1</v>
      </c>
      <c r="W377" s="5">
        <v>1</v>
      </c>
      <c r="X377" s="5">
        <v>0</v>
      </c>
      <c r="Y377" s="5">
        <v>0</v>
      </c>
      <c r="AA377">
        <v>3</v>
      </c>
    </row>
    <row r="378" spans="4:27" x14ac:dyDescent="0.2">
      <c r="D378" t="str">
        <f ca="1"/>
        <v>05-Jan</v>
      </c>
      <c r="E378" s="5">
        <v>0</v>
      </c>
      <c r="F378" s="5">
        <v>0</v>
      </c>
      <c r="G378" s="5">
        <v>0</v>
      </c>
      <c r="H378" s="5">
        <v>0</v>
      </c>
      <c r="I378" s="5">
        <v>0</v>
      </c>
      <c r="J378" s="5">
        <v>0</v>
      </c>
      <c r="K378" s="5">
        <v>0</v>
      </c>
      <c r="L378" s="5">
        <v>0</v>
      </c>
      <c r="M378" s="5">
        <v>0</v>
      </c>
      <c r="N378" s="5">
        <v>0</v>
      </c>
      <c r="O378" s="5">
        <v>0</v>
      </c>
      <c r="P378" s="5">
        <v>0</v>
      </c>
      <c r="Q378" s="5">
        <v>0</v>
      </c>
      <c r="R378" s="5">
        <v>0</v>
      </c>
      <c r="S378" s="5">
        <v>0</v>
      </c>
      <c r="T378" s="5">
        <v>0</v>
      </c>
      <c r="U378" s="5">
        <v>1</v>
      </c>
      <c r="V378" s="5">
        <v>1</v>
      </c>
      <c r="W378" s="5">
        <v>1</v>
      </c>
      <c r="X378" s="5">
        <v>0</v>
      </c>
      <c r="Y378" s="5">
        <v>0</v>
      </c>
      <c r="AA378">
        <v>3</v>
      </c>
    </row>
    <row r="379" spans="4:27" x14ac:dyDescent="0.2">
      <c r="D379" t="str">
        <f ca="1"/>
        <v>06-Jan</v>
      </c>
      <c r="E379" s="5">
        <v>0</v>
      </c>
      <c r="F379" s="5">
        <v>0</v>
      </c>
      <c r="G379" s="5">
        <v>0</v>
      </c>
      <c r="H379" s="5">
        <v>0</v>
      </c>
      <c r="I379" s="5">
        <v>0</v>
      </c>
      <c r="J379" s="5">
        <v>0</v>
      </c>
      <c r="K379" s="5">
        <v>0</v>
      </c>
      <c r="L379" s="5">
        <v>0</v>
      </c>
      <c r="M379" s="5">
        <v>0</v>
      </c>
      <c r="N379" s="5">
        <v>0</v>
      </c>
      <c r="O379" s="5">
        <v>0</v>
      </c>
      <c r="P379" s="5">
        <v>0</v>
      </c>
      <c r="Q379" s="5">
        <v>0</v>
      </c>
      <c r="R379" s="5">
        <v>0</v>
      </c>
      <c r="S379" s="5">
        <v>0</v>
      </c>
      <c r="T379" s="5">
        <v>0</v>
      </c>
      <c r="U379" s="5">
        <v>1</v>
      </c>
      <c r="V379" s="5">
        <v>1</v>
      </c>
      <c r="W379" s="5">
        <v>1</v>
      </c>
      <c r="X379" s="5">
        <v>0</v>
      </c>
      <c r="Y379" s="5">
        <v>0</v>
      </c>
      <c r="AA379">
        <v>3</v>
      </c>
    </row>
    <row r="380" spans="4:27" x14ac:dyDescent="0.2">
      <c r="D380" t="str">
        <f ca="1"/>
        <v>07-Jan</v>
      </c>
      <c r="E380" s="5">
        <v>0</v>
      </c>
      <c r="F380" s="5">
        <v>0</v>
      </c>
      <c r="G380" s="5">
        <v>0</v>
      </c>
      <c r="H380" s="5">
        <v>0</v>
      </c>
      <c r="I380" s="5">
        <v>0</v>
      </c>
      <c r="J380" s="5">
        <v>0</v>
      </c>
      <c r="K380" s="5">
        <v>0</v>
      </c>
      <c r="L380" s="5">
        <v>0</v>
      </c>
      <c r="M380" s="5">
        <v>0</v>
      </c>
      <c r="N380" s="5">
        <v>0</v>
      </c>
      <c r="O380" s="5">
        <v>0</v>
      </c>
      <c r="P380" s="5">
        <v>0</v>
      </c>
      <c r="Q380" s="5">
        <v>0</v>
      </c>
      <c r="R380" s="5">
        <v>0</v>
      </c>
      <c r="S380" s="5">
        <v>0</v>
      </c>
      <c r="T380" s="5">
        <v>0</v>
      </c>
      <c r="U380" s="5">
        <v>1</v>
      </c>
      <c r="V380" s="5">
        <v>1</v>
      </c>
      <c r="W380" s="5">
        <v>1</v>
      </c>
      <c r="X380" s="5">
        <v>0</v>
      </c>
      <c r="Y380" s="5">
        <v>0</v>
      </c>
      <c r="AA380">
        <v>3</v>
      </c>
    </row>
    <row r="381" spans="4:27" x14ac:dyDescent="0.2">
      <c r="D381" t="str">
        <f ca="1"/>
        <v>08-Jan</v>
      </c>
      <c r="E381" s="5">
        <v>0</v>
      </c>
      <c r="F381" s="5">
        <v>0</v>
      </c>
      <c r="G381" s="5">
        <v>0</v>
      </c>
      <c r="H381" s="5">
        <v>0</v>
      </c>
      <c r="I381" s="5">
        <v>0</v>
      </c>
      <c r="J381" s="5">
        <v>0</v>
      </c>
      <c r="K381" s="5">
        <v>0</v>
      </c>
      <c r="L381" s="5">
        <v>0</v>
      </c>
      <c r="M381" s="5">
        <v>0</v>
      </c>
      <c r="N381" s="5">
        <v>0</v>
      </c>
      <c r="O381" s="5">
        <v>0</v>
      </c>
      <c r="P381" s="5">
        <v>0</v>
      </c>
      <c r="Q381" s="5">
        <v>0</v>
      </c>
      <c r="R381" s="5">
        <v>0</v>
      </c>
      <c r="S381" s="5">
        <v>0</v>
      </c>
      <c r="T381" s="5">
        <v>0</v>
      </c>
      <c r="U381" s="5">
        <v>1</v>
      </c>
      <c r="V381" s="5">
        <v>1</v>
      </c>
      <c r="W381" s="5">
        <v>1</v>
      </c>
      <c r="X381" s="5">
        <v>0</v>
      </c>
      <c r="Y381" s="5">
        <v>0</v>
      </c>
      <c r="AA381">
        <v>3</v>
      </c>
    </row>
    <row r="382" spans="4:27" x14ac:dyDescent="0.2">
      <c r="D382" t="str">
        <f ca="1"/>
        <v>09-Jan</v>
      </c>
      <c r="E382" s="5">
        <v>0</v>
      </c>
      <c r="F382" s="5">
        <v>0</v>
      </c>
      <c r="G382" s="5">
        <v>0</v>
      </c>
      <c r="H382" s="5">
        <v>0</v>
      </c>
      <c r="I382" s="5">
        <v>0</v>
      </c>
      <c r="J382" s="5">
        <v>0</v>
      </c>
      <c r="K382" s="5">
        <v>0</v>
      </c>
      <c r="L382" s="5">
        <v>0</v>
      </c>
      <c r="M382" s="5">
        <v>0</v>
      </c>
      <c r="N382" s="5">
        <v>0</v>
      </c>
      <c r="O382" s="5">
        <v>0</v>
      </c>
      <c r="P382" s="5">
        <v>0</v>
      </c>
      <c r="Q382" s="5">
        <v>0</v>
      </c>
      <c r="R382" s="5">
        <v>0</v>
      </c>
      <c r="S382" s="5">
        <v>0</v>
      </c>
      <c r="T382" s="5">
        <v>0</v>
      </c>
      <c r="U382" s="5">
        <v>1</v>
      </c>
      <c r="V382" s="5">
        <v>1</v>
      </c>
      <c r="W382" s="5">
        <v>1</v>
      </c>
      <c r="X382" s="5">
        <v>0</v>
      </c>
      <c r="Y382" s="5">
        <v>0</v>
      </c>
      <c r="AA382">
        <v>3</v>
      </c>
    </row>
    <row r="383" spans="4:27" x14ac:dyDescent="0.2">
      <c r="D383" t="str">
        <f ca="1"/>
        <v>10-Jan</v>
      </c>
      <c r="E383" s="5">
        <v>0</v>
      </c>
      <c r="F383" s="5">
        <v>0</v>
      </c>
      <c r="G383" s="5">
        <v>0</v>
      </c>
      <c r="H383" s="5">
        <v>0</v>
      </c>
      <c r="I383" s="5">
        <v>0</v>
      </c>
      <c r="J383" s="5">
        <v>0</v>
      </c>
      <c r="K383" s="5">
        <v>0</v>
      </c>
      <c r="L383" s="5">
        <v>0</v>
      </c>
      <c r="M383" s="5">
        <v>0</v>
      </c>
      <c r="N383" s="5">
        <v>0</v>
      </c>
      <c r="O383" s="5">
        <v>0</v>
      </c>
      <c r="P383" s="5">
        <v>0</v>
      </c>
      <c r="Q383" s="5">
        <v>0</v>
      </c>
      <c r="R383" s="5">
        <v>0</v>
      </c>
      <c r="S383" s="5">
        <v>0</v>
      </c>
      <c r="T383" s="5">
        <v>0</v>
      </c>
      <c r="U383" s="5">
        <v>1</v>
      </c>
      <c r="V383" s="5">
        <v>1</v>
      </c>
      <c r="W383" s="5">
        <v>1</v>
      </c>
      <c r="X383" s="5">
        <v>0</v>
      </c>
      <c r="Y383" s="5">
        <v>0</v>
      </c>
      <c r="AA383">
        <v>3</v>
      </c>
    </row>
    <row r="384" spans="4:27" x14ac:dyDescent="0.2">
      <c r="D384" t="str">
        <f ca="1"/>
        <v>11-Jan</v>
      </c>
      <c r="E384" s="5">
        <v>0</v>
      </c>
      <c r="F384" s="5">
        <v>0</v>
      </c>
      <c r="G384" s="5">
        <v>0</v>
      </c>
      <c r="H384" s="5">
        <v>0</v>
      </c>
      <c r="I384" s="5">
        <v>0</v>
      </c>
      <c r="J384" s="5">
        <v>0</v>
      </c>
      <c r="K384" s="5">
        <v>0</v>
      </c>
      <c r="L384" s="5">
        <v>0</v>
      </c>
      <c r="M384" s="5">
        <v>0</v>
      </c>
      <c r="N384" s="5">
        <v>0</v>
      </c>
      <c r="O384" s="5">
        <v>0</v>
      </c>
      <c r="P384" s="5">
        <v>0</v>
      </c>
      <c r="Q384" s="5">
        <v>0</v>
      </c>
      <c r="R384" s="5">
        <v>0</v>
      </c>
      <c r="S384" s="5">
        <v>0</v>
      </c>
      <c r="T384" s="5">
        <v>0</v>
      </c>
      <c r="U384" s="5">
        <v>1</v>
      </c>
      <c r="V384" s="5">
        <v>1</v>
      </c>
      <c r="W384" s="5">
        <v>1</v>
      </c>
      <c r="X384" s="5">
        <v>0</v>
      </c>
      <c r="Y384" s="5">
        <v>0</v>
      </c>
      <c r="AA384">
        <v>3</v>
      </c>
    </row>
    <row r="385" spans="4:27" x14ac:dyDescent="0.2">
      <c r="D385" t="str">
        <f ca="1"/>
        <v>12-Jan</v>
      </c>
      <c r="E385" s="5">
        <v>0</v>
      </c>
      <c r="F385" s="5">
        <v>0</v>
      </c>
      <c r="G385" s="5">
        <v>0</v>
      </c>
      <c r="H385" s="5">
        <v>0</v>
      </c>
      <c r="I385" s="5">
        <v>0</v>
      </c>
      <c r="J385" s="5">
        <v>0</v>
      </c>
      <c r="K385" s="5">
        <v>0</v>
      </c>
      <c r="L385" s="5">
        <v>0</v>
      </c>
      <c r="M385" s="5">
        <v>0</v>
      </c>
      <c r="N385" s="5">
        <v>0</v>
      </c>
      <c r="O385" s="5">
        <v>0</v>
      </c>
      <c r="P385" s="5">
        <v>0</v>
      </c>
      <c r="Q385" s="5">
        <v>0</v>
      </c>
      <c r="R385" s="5">
        <v>0</v>
      </c>
      <c r="S385" s="5">
        <v>0</v>
      </c>
      <c r="T385" s="5">
        <v>0</v>
      </c>
      <c r="U385" s="5">
        <v>0</v>
      </c>
      <c r="V385" s="5">
        <v>1</v>
      </c>
      <c r="W385" s="5">
        <v>1</v>
      </c>
      <c r="X385" s="5">
        <v>0</v>
      </c>
      <c r="Y385" s="5">
        <v>0</v>
      </c>
      <c r="AA385">
        <v>2</v>
      </c>
    </row>
    <row r="386" spans="4:27" x14ac:dyDescent="0.2">
      <c r="D386" t="str">
        <f ca="1"/>
        <v>13-Jan</v>
      </c>
      <c r="E386" s="5">
        <v>0</v>
      </c>
      <c r="F386" s="5">
        <v>0</v>
      </c>
      <c r="G386" s="5">
        <v>0</v>
      </c>
      <c r="H386" s="5">
        <v>0</v>
      </c>
      <c r="I386" s="5">
        <v>0</v>
      </c>
      <c r="J386" s="5">
        <v>0</v>
      </c>
      <c r="K386" s="5">
        <v>0</v>
      </c>
      <c r="L386" s="5">
        <v>0</v>
      </c>
      <c r="M386" s="5">
        <v>0</v>
      </c>
      <c r="N386" s="5">
        <v>0</v>
      </c>
      <c r="O386" s="5">
        <v>0</v>
      </c>
      <c r="P386" s="5">
        <v>0</v>
      </c>
      <c r="Q386" s="5">
        <v>0</v>
      </c>
      <c r="R386" s="5">
        <v>0</v>
      </c>
      <c r="S386" s="5">
        <v>0</v>
      </c>
      <c r="T386" s="5">
        <v>0</v>
      </c>
      <c r="U386" s="5">
        <v>0</v>
      </c>
      <c r="V386" s="5">
        <v>1</v>
      </c>
      <c r="W386" s="5">
        <v>1</v>
      </c>
      <c r="X386" s="5">
        <v>0</v>
      </c>
      <c r="Y386" s="5">
        <v>0</v>
      </c>
      <c r="AA386">
        <v>2</v>
      </c>
    </row>
    <row r="387" spans="4:27" x14ac:dyDescent="0.2">
      <c r="D387" t="str">
        <f ca="1"/>
        <v>14-Jan</v>
      </c>
      <c r="E387" s="5">
        <v>0</v>
      </c>
      <c r="F387" s="5">
        <v>0</v>
      </c>
      <c r="G387" s="5">
        <v>0</v>
      </c>
      <c r="H387" s="5">
        <v>0</v>
      </c>
      <c r="I387" s="5">
        <v>0</v>
      </c>
      <c r="J387" s="5">
        <v>0</v>
      </c>
      <c r="K387" s="5">
        <v>0</v>
      </c>
      <c r="L387" s="5">
        <v>0</v>
      </c>
      <c r="M387" s="5">
        <v>0</v>
      </c>
      <c r="N387" s="5">
        <v>0</v>
      </c>
      <c r="O387" s="5">
        <v>0</v>
      </c>
      <c r="P387" s="5">
        <v>0</v>
      </c>
      <c r="Q387" s="5">
        <v>0</v>
      </c>
      <c r="R387" s="5">
        <v>0</v>
      </c>
      <c r="S387" s="5">
        <v>0</v>
      </c>
      <c r="T387" s="5">
        <v>0</v>
      </c>
      <c r="U387" s="5">
        <v>0</v>
      </c>
      <c r="V387" s="5">
        <v>1</v>
      </c>
      <c r="W387" s="5">
        <v>1</v>
      </c>
      <c r="X387" s="5">
        <v>0</v>
      </c>
      <c r="Y387" s="5">
        <v>0</v>
      </c>
      <c r="AA387">
        <v>2</v>
      </c>
    </row>
    <row r="388" spans="4:27" x14ac:dyDescent="0.2">
      <c r="D388" t="str">
        <f ca="1"/>
        <v>15-Jan</v>
      </c>
      <c r="E388" s="5">
        <v>0</v>
      </c>
      <c r="F388" s="5">
        <v>0</v>
      </c>
      <c r="G388" s="5">
        <v>0</v>
      </c>
      <c r="H388" s="5">
        <v>0</v>
      </c>
      <c r="I388" s="5">
        <v>0</v>
      </c>
      <c r="J388" s="5">
        <v>0</v>
      </c>
      <c r="K388" s="5">
        <v>0</v>
      </c>
      <c r="L388" s="5">
        <v>0</v>
      </c>
      <c r="M388" s="5">
        <v>0</v>
      </c>
      <c r="N388" s="5">
        <v>0</v>
      </c>
      <c r="O388" s="5">
        <v>0</v>
      </c>
      <c r="P388" s="5">
        <v>0</v>
      </c>
      <c r="Q388" s="5">
        <v>0</v>
      </c>
      <c r="R388" s="5">
        <v>0</v>
      </c>
      <c r="S388" s="5">
        <v>0</v>
      </c>
      <c r="T388" s="5">
        <v>0</v>
      </c>
      <c r="U388" s="5">
        <v>0</v>
      </c>
      <c r="V388" s="5">
        <v>1</v>
      </c>
      <c r="W388" s="5">
        <v>1</v>
      </c>
      <c r="X388" s="5">
        <v>0</v>
      </c>
      <c r="Y388" s="5">
        <v>0</v>
      </c>
      <c r="AA388">
        <v>2</v>
      </c>
    </row>
    <row r="389" spans="4:27" x14ac:dyDescent="0.2">
      <c r="D389" t="str">
        <f ca="1"/>
        <v>16-Jan</v>
      </c>
      <c r="E389" s="5">
        <v>0</v>
      </c>
      <c r="F389" s="5">
        <v>0</v>
      </c>
      <c r="G389" s="5">
        <v>0</v>
      </c>
      <c r="H389" s="5">
        <v>0</v>
      </c>
      <c r="I389" s="5">
        <v>0</v>
      </c>
      <c r="J389" s="5">
        <v>0</v>
      </c>
      <c r="K389" s="5">
        <v>0</v>
      </c>
      <c r="L389" s="5">
        <v>0</v>
      </c>
      <c r="M389" s="5">
        <v>0</v>
      </c>
      <c r="N389" s="5">
        <v>0</v>
      </c>
      <c r="O389" s="5">
        <v>0</v>
      </c>
      <c r="P389" s="5">
        <v>0</v>
      </c>
      <c r="Q389" s="5">
        <v>0</v>
      </c>
      <c r="R389" s="5">
        <v>0</v>
      </c>
      <c r="S389" s="5">
        <v>0</v>
      </c>
      <c r="T389" s="5">
        <v>0</v>
      </c>
      <c r="U389" s="5">
        <v>0</v>
      </c>
      <c r="V389" s="5">
        <v>1</v>
      </c>
      <c r="W389" s="5">
        <v>1</v>
      </c>
      <c r="X389" s="5">
        <v>0</v>
      </c>
      <c r="Y389" s="5">
        <v>0</v>
      </c>
      <c r="AA389">
        <v>2</v>
      </c>
    </row>
    <row r="390" spans="4:27" x14ac:dyDescent="0.2">
      <c r="D390" t="str">
        <f ca="1"/>
        <v>17-Jan</v>
      </c>
      <c r="E390" s="5">
        <v>0</v>
      </c>
      <c r="F390" s="5">
        <v>0</v>
      </c>
      <c r="G390" s="5">
        <v>0</v>
      </c>
      <c r="H390" s="5">
        <v>0</v>
      </c>
      <c r="I390" s="5">
        <v>0</v>
      </c>
      <c r="J390" s="5">
        <v>0</v>
      </c>
      <c r="K390" s="5">
        <v>0</v>
      </c>
      <c r="L390" s="5">
        <v>0</v>
      </c>
      <c r="M390" s="5">
        <v>0</v>
      </c>
      <c r="N390" s="5">
        <v>0</v>
      </c>
      <c r="O390" s="5">
        <v>0</v>
      </c>
      <c r="P390" s="5">
        <v>0</v>
      </c>
      <c r="Q390" s="5">
        <v>0</v>
      </c>
      <c r="R390" s="5">
        <v>0</v>
      </c>
      <c r="S390" s="5">
        <v>0</v>
      </c>
      <c r="T390" s="5">
        <v>0</v>
      </c>
      <c r="U390" s="5">
        <v>0</v>
      </c>
      <c r="V390" s="5">
        <v>1</v>
      </c>
      <c r="W390" s="5">
        <v>1</v>
      </c>
      <c r="X390" s="5">
        <v>0</v>
      </c>
      <c r="Y390" s="5">
        <v>0</v>
      </c>
      <c r="AA390">
        <v>2</v>
      </c>
    </row>
    <row r="391" spans="4:27" x14ac:dyDescent="0.2">
      <c r="D391" t="str">
        <f ca="1"/>
        <v>18-Jan</v>
      </c>
      <c r="E391" s="5">
        <v>0</v>
      </c>
      <c r="F391" s="5">
        <v>0</v>
      </c>
      <c r="G391" s="5">
        <v>0</v>
      </c>
      <c r="H391" s="5">
        <v>0</v>
      </c>
      <c r="I391" s="5">
        <v>0</v>
      </c>
      <c r="J391" s="5">
        <v>0</v>
      </c>
      <c r="K391" s="5">
        <v>0</v>
      </c>
      <c r="L391" s="5">
        <v>0</v>
      </c>
      <c r="M391" s="5">
        <v>0</v>
      </c>
      <c r="N391" s="5">
        <v>0</v>
      </c>
      <c r="O391" s="5">
        <v>0</v>
      </c>
      <c r="P391" s="5">
        <v>0</v>
      </c>
      <c r="Q391" s="5">
        <v>0</v>
      </c>
      <c r="R391" s="5">
        <v>0</v>
      </c>
      <c r="S391" s="5">
        <v>0</v>
      </c>
      <c r="T391" s="5">
        <v>0</v>
      </c>
      <c r="U391" s="5">
        <v>0</v>
      </c>
      <c r="V391" s="5">
        <v>1</v>
      </c>
      <c r="W391" s="5">
        <v>1</v>
      </c>
      <c r="X391" s="5">
        <v>0</v>
      </c>
      <c r="Y391" s="5">
        <v>0</v>
      </c>
      <c r="AA391">
        <v>2</v>
      </c>
    </row>
    <row r="392" spans="4:27" x14ac:dyDescent="0.2">
      <c r="D392" t="str">
        <f ca="1"/>
        <v>19-Jan</v>
      </c>
      <c r="E392" s="5">
        <v>0</v>
      </c>
      <c r="F392" s="5">
        <v>0</v>
      </c>
      <c r="G392" s="5">
        <v>0</v>
      </c>
      <c r="H392" s="5">
        <v>0</v>
      </c>
      <c r="I392" s="5">
        <v>0</v>
      </c>
      <c r="J392" s="5">
        <v>0</v>
      </c>
      <c r="K392" s="5">
        <v>0</v>
      </c>
      <c r="L392" s="5">
        <v>0</v>
      </c>
      <c r="M392" s="5">
        <v>0</v>
      </c>
      <c r="N392" s="5">
        <v>0</v>
      </c>
      <c r="O392" s="5">
        <v>0</v>
      </c>
      <c r="P392" s="5">
        <v>0</v>
      </c>
      <c r="Q392" s="5">
        <v>0</v>
      </c>
      <c r="R392" s="5">
        <v>0</v>
      </c>
      <c r="S392" s="5">
        <v>0</v>
      </c>
      <c r="T392" s="5">
        <v>0</v>
      </c>
      <c r="U392" s="5">
        <v>0</v>
      </c>
      <c r="V392" s="5">
        <v>1</v>
      </c>
      <c r="W392" s="5">
        <v>1</v>
      </c>
      <c r="X392" s="5">
        <v>0</v>
      </c>
      <c r="Y392" s="5">
        <v>0</v>
      </c>
      <c r="AA392">
        <v>2</v>
      </c>
    </row>
    <row r="393" spans="4:27" x14ac:dyDescent="0.2">
      <c r="D393" t="str">
        <f ca="1"/>
        <v>20-Jan</v>
      </c>
      <c r="E393" s="5">
        <v>0</v>
      </c>
      <c r="F393" s="5">
        <v>0</v>
      </c>
      <c r="G393" s="5">
        <v>0</v>
      </c>
      <c r="H393" s="5">
        <v>0</v>
      </c>
      <c r="I393" s="5">
        <v>0</v>
      </c>
      <c r="J393" s="5">
        <v>0</v>
      </c>
      <c r="K393" s="5">
        <v>0</v>
      </c>
      <c r="L393" s="5">
        <v>0</v>
      </c>
      <c r="M393" s="5">
        <v>0</v>
      </c>
      <c r="N393" s="5">
        <v>0</v>
      </c>
      <c r="O393" s="5">
        <v>0</v>
      </c>
      <c r="P393" s="5">
        <v>0</v>
      </c>
      <c r="Q393" s="5">
        <v>0</v>
      </c>
      <c r="R393" s="5">
        <v>0</v>
      </c>
      <c r="S393" s="5">
        <v>0</v>
      </c>
      <c r="T393" s="5">
        <v>0</v>
      </c>
      <c r="U393" s="5">
        <v>0</v>
      </c>
      <c r="V393" s="5">
        <v>1</v>
      </c>
      <c r="W393" s="5">
        <v>1</v>
      </c>
      <c r="X393" s="5">
        <v>0</v>
      </c>
      <c r="Y393" s="5">
        <v>0</v>
      </c>
      <c r="AA393">
        <v>2</v>
      </c>
    </row>
    <row r="394" spans="4:27" x14ac:dyDescent="0.2">
      <c r="D394" t="str">
        <f ca="1"/>
        <v>21-Jan</v>
      </c>
      <c r="E394" s="5">
        <v>0</v>
      </c>
      <c r="F394" s="5">
        <v>0</v>
      </c>
      <c r="G394" s="5">
        <v>0</v>
      </c>
      <c r="H394" s="5">
        <v>0</v>
      </c>
      <c r="I394" s="5">
        <v>0</v>
      </c>
      <c r="J394" s="5">
        <v>0</v>
      </c>
      <c r="K394" s="5">
        <v>0</v>
      </c>
      <c r="L394" s="5">
        <v>0</v>
      </c>
      <c r="M394" s="5">
        <v>0</v>
      </c>
      <c r="N394" s="5">
        <v>0</v>
      </c>
      <c r="O394" s="5">
        <v>0</v>
      </c>
      <c r="P394" s="5">
        <v>0</v>
      </c>
      <c r="Q394" s="5">
        <v>0</v>
      </c>
      <c r="R394" s="5">
        <v>0</v>
      </c>
      <c r="S394" s="5">
        <v>0</v>
      </c>
      <c r="T394" s="5">
        <v>0</v>
      </c>
      <c r="U394" s="5">
        <v>0</v>
      </c>
      <c r="V394" s="5">
        <v>1</v>
      </c>
      <c r="W394" s="5">
        <v>1</v>
      </c>
      <c r="X394" s="5">
        <v>0</v>
      </c>
      <c r="Y394" s="5">
        <v>0</v>
      </c>
      <c r="AA394">
        <v>2</v>
      </c>
    </row>
    <row r="395" spans="4:27" x14ac:dyDescent="0.2">
      <c r="D395" t="str">
        <f ca="1"/>
        <v>22-Jan</v>
      </c>
      <c r="E395" s="5">
        <v>0</v>
      </c>
      <c r="F395" s="5">
        <v>0</v>
      </c>
      <c r="G395" s="5">
        <v>0</v>
      </c>
      <c r="H395" s="5">
        <v>0</v>
      </c>
      <c r="I395" s="5">
        <v>0</v>
      </c>
      <c r="J395" s="5">
        <v>0</v>
      </c>
      <c r="K395" s="5">
        <v>0</v>
      </c>
      <c r="L395" s="5">
        <v>0</v>
      </c>
      <c r="M395" s="5">
        <v>0</v>
      </c>
      <c r="N395" s="5">
        <v>0</v>
      </c>
      <c r="O395" s="5">
        <v>0</v>
      </c>
      <c r="P395" s="5">
        <v>0</v>
      </c>
      <c r="Q395" s="5">
        <v>0</v>
      </c>
      <c r="R395" s="5">
        <v>0</v>
      </c>
      <c r="S395" s="5">
        <v>0</v>
      </c>
      <c r="T395" s="5">
        <v>0</v>
      </c>
      <c r="U395" s="5">
        <v>0</v>
      </c>
      <c r="V395" s="5">
        <v>1</v>
      </c>
      <c r="W395" s="5">
        <v>1</v>
      </c>
      <c r="X395" s="5">
        <v>0</v>
      </c>
      <c r="Y395" s="5">
        <v>0</v>
      </c>
      <c r="AA395">
        <v>2</v>
      </c>
    </row>
    <row r="396" spans="4:27" x14ac:dyDescent="0.2">
      <c r="D396" t="str">
        <f ca="1"/>
        <v>23-Jan</v>
      </c>
      <c r="E396" s="5">
        <v>0</v>
      </c>
      <c r="F396" s="5">
        <v>0</v>
      </c>
      <c r="G396" s="5">
        <v>0</v>
      </c>
      <c r="H396" s="5">
        <v>0</v>
      </c>
      <c r="I396" s="5">
        <v>0</v>
      </c>
      <c r="J396" s="5">
        <v>0</v>
      </c>
      <c r="K396" s="5">
        <v>0</v>
      </c>
      <c r="L396" s="5">
        <v>0</v>
      </c>
      <c r="M396" s="5">
        <v>0</v>
      </c>
      <c r="N396" s="5">
        <v>0</v>
      </c>
      <c r="O396" s="5">
        <v>0</v>
      </c>
      <c r="P396" s="5">
        <v>0</v>
      </c>
      <c r="Q396" s="5">
        <v>0</v>
      </c>
      <c r="R396" s="5">
        <v>0</v>
      </c>
      <c r="S396" s="5">
        <v>0</v>
      </c>
      <c r="T396" s="5">
        <v>0</v>
      </c>
      <c r="U396" s="5">
        <v>0</v>
      </c>
      <c r="V396" s="5">
        <v>1</v>
      </c>
      <c r="W396" s="5">
        <v>1</v>
      </c>
      <c r="X396" s="5">
        <v>0</v>
      </c>
      <c r="Y396" s="5">
        <v>0</v>
      </c>
      <c r="AA396">
        <v>2</v>
      </c>
    </row>
    <row r="397" spans="4:27" x14ac:dyDescent="0.2">
      <c r="D397" t="str">
        <f ca="1"/>
        <v>24-Jan</v>
      </c>
      <c r="E397" s="5">
        <v>0</v>
      </c>
      <c r="F397" s="5">
        <v>0</v>
      </c>
      <c r="G397" s="5">
        <v>0</v>
      </c>
      <c r="H397" s="5">
        <v>0</v>
      </c>
      <c r="I397" s="5">
        <v>0</v>
      </c>
      <c r="J397" s="5">
        <v>0</v>
      </c>
      <c r="K397" s="5">
        <v>0</v>
      </c>
      <c r="L397" s="5">
        <v>0</v>
      </c>
      <c r="M397" s="5">
        <v>0</v>
      </c>
      <c r="N397" s="5">
        <v>0</v>
      </c>
      <c r="O397" s="5">
        <v>0</v>
      </c>
      <c r="P397" s="5">
        <v>0</v>
      </c>
      <c r="Q397" s="5">
        <v>0</v>
      </c>
      <c r="R397" s="5">
        <v>0</v>
      </c>
      <c r="S397" s="5">
        <v>0</v>
      </c>
      <c r="T397" s="5">
        <v>0</v>
      </c>
      <c r="U397" s="5">
        <v>0</v>
      </c>
      <c r="V397" s="5">
        <v>1</v>
      </c>
      <c r="W397" s="5">
        <v>1</v>
      </c>
      <c r="X397" s="5">
        <v>0</v>
      </c>
      <c r="Y397" s="5">
        <v>0</v>
      </c>
      <c r="AA397">
        <v>2</v>
      </c>
    </row>
    <row r="398" spans="4:27" x14ac:dyDescent="0.2">
      <c r="D398" t="str">
        <f ca="1"/>
        <v>25-Jan</v>
      </c>
      <c r="E398" s="5">
        <v>0</v>
      </c>
      <c r="F398" s="5">
        <v>0</v>
      </c>
      <c r="G398" s="5">
        <v>0</v>
      </c>
      <c r="H398" s="5">
        <v>0</v>
      </c>
      <c r="I398" s="5">
        <v>0</v>
      </c>
      <c r="J398" s="5">
        <v>0</v>
      </c>
      <c r="K398" s="5">
        <v>0</v>
      </c>
      <c r="L398" s="5">
        <v>0</v>
      </c>
      <c r="M398" s="5">
        <v>0</v>
      </c>
      <c r="N398" s="5">
        <v>0</v>
      </c>
      <c r="O398" s="5">
        <v>0</v>
      </c>
      <c r="P398" s="5">
        <v>0</v>
      </c>
      <c r="Q398" s="5">
        <v>0</v>
      </c>
      <c r="R398" s="5">
        <v>0</v>
      </c>
      <c r="S398" s="5">
        <v>0</v>
      </c>
      <c r="T398" s="5">
        <v>0</v>
      </c>
      <c r="U398" s="5">
        <v>0</v>
      </c>
      <c r="V398" s="5">
        <v>1</v>
      </c>
      <c r="W398" s="5">
        <v>1</v>
      </c>
      <c r="X398" s="5">
        <v>0</v>
      </c>
      <c r="Y398" s="5">
        <v>0</v>
      </c>
      <c r="AA398">
        <v>2</v>
      </c>
    </row>
    <row r="399" spans="4:27" x14ac:dyDescent="0.2">
      <c r="D399" t="str">
        <f ca="1"/>
        <v>26-Jan</v>
      </c>
      <c r="E399" s="5">
        <v>0</v>
      </c>
      <c r="F399" s="5">
        <v>0</v>
      </c>
      <c r="G399" s="5">
        <v>0</v>
      </c>
      <c r="H399" s="5">
        <v>0</v>
      </c>
      <c r="I399" s="5">
        <v>0</v>
      </c>
      <c r="J399" s="5">
        <v>0</v>
      </c>
      <c r="K399" s="5">
        <v>0</v>
      </c>
      <c r="L399" s="5">
        <v>0</v>
      </c>
      <c r="M399" s="5">
        <v>0</v>
      </c>
      <c r="N399" s="5">
        <v>0</v>
      </c>
      <c r="O399" s="5">
        <v>0</v>
      </c>
      <c r="P399" s="5">
        <v>0</v>
      </c>
      <c r="Q399" s="5">
        <v>0</v>
      </c>
      <c r="R399" s="5">
        <v>0</v>
      </c>
      <c r="S399" s="5">
        <v>0</v>
      </c>
      <c r="T399" s="5">
        <v>0</v>
      </c>
      <c r="U399" s="5">
        <v>0</v>
      </c>
      <c r="V399" s="5">
        <v>1</v>
      </c>
      <c r="W399" s="5">
        <v>1</v>
      </c>
      <c r="X399" s="5">
        <v>0</v>
      </c>
      <c r="Y399" s="5">
        <v>0</v>
      </c>
      <c r="AA399">
        <v>2</v>
      </c>
    </row>
    <row r="400" spans="4:27" x14ac:dyDescent="0.2">
      <c r="D400" t="str">
        <f ca="1"/>
        <v>27-Jan</v>
      </c>
      <c r="E400" s="5">
        <v>0</v>
      </c>
      <c r="F400" s="5">
        <v>0</v>
      </c>
      <c r="G400" s="5">
        <v>0</v>
      </c>
      <c r="H400" s="5">
        <v>0</v>
      </c>
      <c r="I400" s="5">
        <v>0</v>
      </c>
      <c r="J400" s="5">
        <v>0</v>
      </c>
      <c r="K400" s="5">
        <v>0</v>
      </c>
      <c r="L400" s="5">
        <v>0</v>
      </c>
      <c r="M400" s="5">
        <v>0</v>
      </c>
      <c r="N400" s="5">
        <v>0</v>
      </c>
      <c r="O400" s="5">
        <v>0</v>
      </c>
      <c r="P400" s="5">
        <v>0</v>
      </c>
      <c r="Q400" s="5">
        <v>0</v>
      </c>
      <c r="R400" s="5">
        <v>0</v>
      </c>
      <c r="S400" s="5">
        <v>0</v>
      </c>
      <c r="T400" s="5">
        <v>0</v>
      </c>
      <c r="U400" s="5">
        <v>0</v>
      </c>
      <c r="V400" s="5">
        <v>1</v>
      </c>
      <c r="W400" s="5">
        <v>1</v>
      </c>
      <c r="X400" s="5">
        <v>0</v>
      </c>
      <c r="Y400" s="5">
        <v>0</v>
      </c>
      <c r="AA400">
        <v>2</v>
      </c>
    </row>
    <row r="401" spans="4:27" x14ac:dyDescent="0.2">
      <c r="D401" t="str">
        <f ca="1"/>
        <v>28-Jan</v>
      </c>
      <c r="E401" s="5">
        <v>0</v>
      </c>
      <c r="F401" s="40">
        <v>0</v>
      </c>
      <c r="G401" s="5">
        <v>0</v>
      </c>
      <c r="H401" s="5">
        <v>0</v>
      </c>
      <c r="I401" s="5">
        <v>0</v>
      </c>
      <c r="J401" s="5">
        <v>0</v>
      </c>
      <c r="K401" s="5">
        <v>0</v>
      </c>
      <c r="L401" s="5">
        <v>0</v>
      </c>
      <c r="M401" s="5">
        <v>0</v>
      </c>
      <c r="N401" s="5">
        <v>0</v>
      </c>
      <c r="O401" s="5">
        <v>0</v>
      </c>
      <c r="P401" s="5">
        <v>0</v>
      </c>
      <c r="Q401" s="5">
        <v>0</v>
      </c>
      <c r="R401" s="5">
        <v>0</v>
      </c>
      <c r="S401" s="5">
        <v>0</v>
      </c>
      <c r="T401" s="5">
        <v>0</v>
      </c>
      <c r="U401" s="5">
        <v>0</v>
      </c>
      <c r="V401" s="5">
        <v>0</v>
      </c>
      <c r="W401" s="5">
        <v>1</v>
      </c>
      <c r="X401" s="5">
        <v>1</v>
      </c>
      <c r="Y401" s="5">
        <v>0</v>
      </c>
      <c r="AA401">
        <v>2</v>
      </c>
    </row>
    <row r="402" spans="4:27" x14ac:dyDescent="0.2">
      <c r="D402" t="str">
        <f ca="1"/>
        <v>29-Jan</v>
      </c>
      <c r="E402" s="5">
        <v>0</v>
      </c>
      <c r="F402" s="5">
        <v>0</v>
      </c>
      <c r="G402" s="5">
        <v>0</v>
      </c>
      <c r="H402" s="5">
        <v>0</v>
      </c>
      <c r="I402" s="5">
        <v>0</v>
      </c>
      <c r="J402" s="5">
        <v>0</v>
      </c>
      <c r="K402" s="5">
        <v>0</v>
      </c>
      <c r="L402" s="5">
        <v>0</v>
      </c>
      <c r="M402" s="5">
        <v>0</v>
      </c>
      <c r="N402" s="5">
        <v>0</v>
      </c>
      <c r="O402" s="5">
        <v>0</v>
      </c>
      <c r="P402" s="5">
        <v>0</v>
      </c>
      <c r="Q402" s="5">
        <v>0</v>
      </c>
      <c r="R402" s="5">
        <v>0</v>
      </c>
      <c r="S402" s="5">
        <v>0</v>
      </c>
      <c r="T402" s="5">
        <v>0</v>
      </c>
      <c r="U402" s="5">
        <v>0</v>
      </c>
      <c r="V402" s="5">
        <v>0</v>
      </c>
      <c r="W402" s="5">
        <v>1</v>
      </c>
      <c r="X402" s="5">
        <v>1</v>
      </c>
      <c r="Y402" s="5">
        <v>0</v>
      </c>
      <c r="AA402">
        <v>2</v>
      </c>
    </row>
    <row r="403" spans="4:27" x14ac:dyDescent="0.2">
      <c r="D403" t="str">
        <f ca="1"/>
        <v>30-Jan</v>
      </c>
      <c r="E403" s="5">
        <v>0</v>
      </c>
      <c r="F403" s="5">
        <v>0</v>
      </c>
      <c r="G403" s="5">
        <v>0</v>
      </c>
      <c r="H403" s="5">
        <v>0</v>
      </c>
      <c r="I403" s="5">
        <v>0</v>
      </c>
      <c r="J403" s="5">
        <v>0</v>
      </c>
      <c r="K403" s="5">
        <v>0</v>
      </c>
      <c r="L403" s="5">
        <v>0</v>
      </c>
      <c r="M403" s="5">
        <v>0</v>
      </c>
      <c r="N403" s="5">
        <v>0</v>
      </c>
      <c r="O403" s="5">
        <v>0</v>
      </c>
      <c r="P403" s="5">
        <v>0</v>
      </c>
      <c r="Q403" s="5">
        <v>0</v>
      </c>
      <c r="R403" s="5">
        <v>0</v>
      </c>
      <c r="S403" s="5">
        <v>0</v>
      </c>
      <c r="T403" s="5">
        <v>0</v>
      </c>
      <c r="U403" s="5">
        <v>0</v>
      </c>
      <c r="V403" s="5">
        <v>0</v>
      </c>
      <c r="W403" s="5">
        <v>1</v>
      </c>
      <c r="X403" s="5">
        <v>1</v>
      </c>
      <c r="Y403" s="5">
        <v>0</v>
      </c>
      <c r="AA403">
        <v>2</v>
      </c>
    </row>
    <row r="404" spans="4:27" x14ac:dyDescent="0.2">
      <c r="D404" t="str">
        <f ca="1"/>
        <v>31-Jan</v>
      </c>
      <c r="E404" s="5">
        <v>0</v>
      </c>
      <c r="F404" s="5">
        <v>0</v>
      </c>
      <c r="G404" s="5">
        <v>0</v>
      </c>
      <c r="H404" s="5">
        <v>0</v>
      </c>
      <c r="I404" s="5">
        <v>0</v>
      </c>
      <c r="J404" s="5">
        <v>0</v>
      </c>
      <c r="K404" s="5">
        <v>0</v>
      </c>
      <c r="L404" s="5">
        <v>0</v>
      </c>
      <c r="M404" s="5">
        <v>0</v>
      </c>
      <c r="N404" s="5">
        <v>0</v>
      </c>
      <c r="O404" s="5">
        <v>0</v>
      </c>
      <c r="P404" s="5">
        <v>0</v>
      </c>
      <c r="Q404" s="5">
        <v>0</v>
      </c>
      <c r="R404" s="5">
        <v>0</v>
      </c>
      <c r="S404" s="5">
        <v>0</v>
      </c>
      <c r="T404" s="5">
        <v>0</v>
      </c>
      <c r="U404" s="5">
        <v>0</v>
      </c>
      <c r="V404" s="5">
        <v>0</v>
      </c>
      <c r="W404" s="5">
        <v>1</v>
      </c>
      <c r="X404" s="5">
        <v>1</v>
      </c>
      <c r="Y404" s="5">
        <v>0</v>
      </c>
      <c r="AA404">
        <v>2</v>
      </c>
    </row>
    <row r="405" spans="4:27" x14ac:dyDescent="0.2">
      <c r="D405" t="str">
        <f ca="1"/>
        <v>01-Feb</v>
      </c>
      <c r="E405" s="5">
        <v>0</v>
      </c>
      <c r="F405" s="5">
        <v>0</v>
      </c>
      <c r="G405" s="5">
        <v>0</v>
      </c>
      <c r="H405" s="5">
        <v>0</v>
      </c>
      <c r="I405" s="5">
        <v>0</v>
      </c>
      <c r="J405" s="5">
        <v>0</v>
      </c>
      <c r="K405" s="5">
        <v>0</v>
      </c>
      <c r="L405" s="5">
        <v>0</v>
      </c>
      <c r="M405" s="5">
        <v>0</v>
      </c>
      <c r="N405" s="5">
        <v>0</v>
      </c>
      <c r="O405" s="5">
        <v>0</v>
      </c>
      <c r="P405" s="5">
        <v>0</v>
      </c>
      <c r="Q405" s="5">
        <v>0</v>
      </c>
      <c r="R405" s="5">
        <v>0</v>
      </c>
      <c r="S405" s="5">
        <v>0</v>
      </c>
      <c r="T405" s="5">
        <v>0</v>
      </c>
      <c r="U405" s="5">
        <v>0</v>
      </c>
      <c r="V405" s="5">
        <v>0</v>
      </c>
      <c r="W405" s="5">
        <v>1</v>
      </c>
      <c r="X405" s="5">
        <v>1</v>
      </c>
      <c r="Y405" s="5">
        <v>0</v>
      </c>
      <c r="AA405">
        <v>2</v>
      </c>
    </row>
    <row r="406" spans="4:27" x14ac:dyDescent="0.2">
      <c r="D406" t="str">
        <f ca="1"/>
        <v>02-Feb</v>
      </c>
      <c r="E406" s="5">
        <v>0</v>
      </c>
      <c r="F406" s="5">
        <v>0</v>
      </c>
      <c r="G406" s="5">
        <v>0</v>
      </c>
      <c r="H406" s="5">
        <v>0</v>
      </c>
      <c r="I406" s="5">
        <v>0</v>
      </c>
      <c r="J406" s="5">
        <v>0</v>
      </c>
      <c r="K406" s="5">
        <v>0</v>
      </c>
      <c r="L406" s="5">
        <v>0</v>
      </c>
      <c r="M406" s="5">
        <v>0</v>
      </c>
      <c r="N406" s="5">
        <v>0</v>
      </c>
      <c r="O406" s="5">
        <v>0</v>
      </c>
      <c r="P406" s="5">
        <v>0</v>
      </c>
      <c r="Q406" s="5">
        <v>0</v>
      </c>
      <c r="R406" s="5">
        <v>0</v>
      </c>
      <c r="S406" s="5">
        <v>0</v>
      </c>
      <c r="T406" s="5">
        <v>0</v>
      </c>
      <c r="U406" s="5">
        <v>0</v>
      </c>
      <c r="V406" s="5">
        <v>0</v>
      </c>
      <c r="W406" s="5">
        <v>1</v>
      </c>
      <c r="X406" s="5">
        <v>1</v>
      </c>
      <c r="Y406" s="5">
        <v>0</v>
      </c>
      <c r="AA406">
        <v>2</v>
      </c>
    </row>
    <row r="407" spans="4:27" x14ac:dyDescent="0.2">
      <c r="D407" t="str">
        <f ca="1"/>
        <v>03-Feb</v>
      </c>
      <c r="E407" s="5">
        <v>0</v>
      </c>
      <c r="F407" s="5">
        <v>0</v>
      </c>
      <c r="G407" s="5">
        <v>0</v>
      </c>
      <c r="H407" s="5">
        <v>0</v>
      </c>
      <c r="I407" s="5">
        <v>0</v>
      </c>
      <c r="J407" s="5">
        <v>0</v>
      </c>
      <c r="K407" s="5">
        <v>0</v>
      </c>
      <c r="L407" s="5">
        <v>0</v>
      </c>
      <c r="M407" s="5">
        <v>0</v>
      </c>
      <c r="N407" s="5">
        <v>0</v>
      </c>
      <c r="O407" s="5">
        <v>0</v>
      </c>
      <c r="P407" s="5">
        <v>0</v>
      </c>
      <c r="Q407" s="5">
        <v>0</v>
      </c>
      <c r="R407" s="5">
        <v>0</v>
      </c>
      <c r="S407" s="5">
        <v>0</v>
      </c>
      <c r="T407" s="5">
        <v>0</v>
      </c>
      <c r="U407" s="5">
        <v>0</v>
      </c>
      <c r="V407" s="5">
        <v>0</v>
      </c>
      <c r="W407" s="5">
        <v>1</v>
      </c>
      <c r="X407" s="5">
        <v>1</v>
      </c>
      <c r="Y407" s="5">
        <v>0</v>
      </c>
      <c r="AA407">
        <v>2</v>
      </c>
    </row>
    <row r="408" spans="4:27" x14ac:dyDescent="0.2">
      <c r="D408" t="str">
        <f ca="1"/>
        <v>04-Feb</v>
      </c>
      <c r="E408" s="5">
        <v>0</v>
      </c>
      <c r="F408" s="5">
        <v>0</v>
      </c>
      <c r="G408" s="5">
        <v>0</v>
      </c>
      <c r="H408" s="5">
        <v>0</v>
      </c>
      <c r="I408" s="5">
        <v>0</v>
      </c>
      <c r="J408" s="5">
        <v>0</v>
      </c>
      <c r="K408" s="5">
        <v>0</v>
      </c>
      <c r="L408" s="5">
        <v>0</v>
      </c>
      <c r="M408" s="5">
        <v>0</v>
      </c>
      <c r="N408" s="5">
        <v>0</v>
      </c>
      <c r="O408" s="5">
        <v>0</v>
      </c>
      <c r="P408" s="5">
        <v>0</v>
      </c>
      <c r="Q408" s="5">
        <v>0</v>
      </c>
      <c r="R408" s="5">
        <v>0</v>
      </c>
      <c r="S408" s="5">
        <v>0</v>
      </c>
      <c r="T408" s="5">
        <v>0</v>
      </c>
      <c r="U408" s="5">
        <v>0</v>
      </c>
      <c r="V408" s="5">
        <v>0</v>
      </c>
      <c r="W408" s="5">
        <v>1</v>
      </c>
      <c r="X408" s="5">
        <v>1</v>
      </c>
      <c r="Y408" s="5">
        <v>0</v>
      </c>
      <c r="AA408">
        <v>2</v>
      </c>
    </row>
    <row r="409" spans="4:27" x14ac:dyDescent="0.2">
      <c r="D409" t="str">
        <f ca="1"/>
        <v>05-Feb</v>
      </c>
      <c r="E409" s="5">
        <v>0</v>
      </c>
      <c r="F409" s="5">
        <v>0</v>
      </c>
      <c r="G409" s="5">
        <v>0</v>
      </c>
      <c r="H409" s="5">
        <v>0</v>
      </c>
      <c r="I409" s="5">
        <v>0</v>
      </c>
      <c r="J409" s="5">
        <v>0</v>
      </c>
      <c r="K409" s="5">
        <v>0</v>
      </c>
      <c r="L409" s="5">
        <v>0</v>
      </c>
      <c r="M409" s="5">
        <v>0</v>
      </c>
      <c r="N409" s="5">
        <v>0</v>
      </c>
      <c r="O409" s="5">
        <v>0</v>
      </c>
      <c r="P409" s="5">
        <v>0</v>
      </c>
      <c r="Q409" s="5">
        <v>0</v>
      </c>
      <c r="R409" s="5">
        <v>0</v>
      </c>
      <c r="S409" s="5">
        <v>0</v>
      </c>
      <c r="T409" s="5">
        <v>0</v>
      </c>
      <c r="U409" s="5">
        <v>0</v>
      </c>
      <c r="V409" s="5">
        <v>0</v>
      </c>
      <c r="W409" s="5">
        <v>1</v>
      </c>
      <c r="X409" s="5">
        <v>1</v>
      </c>
      <c r="Y409" s="5">
        <v>0</v>
      </c>
      <c r="AA409">
        <v>2</v>
      </c>
    </row>
    <row r="410" spans="4:27" x14ac:dyDescent="0.2">
      <c r="D410" t="str">
        <f ca="1"/>
        <v>06-Feb</v>
      </c>
      <c r="E410" s="5">
        <v>0</v>
      </c>
      <c r="F410" s="5">
        <v>0</v>
      </c>
      <c r="G410" s="5">
        <v>0</v>
      </c>
      <c r="H410" s="5">
        <v>0</v>
      </c>
      <c r="I410" s="5">
        <v>0</v>
      </c>
      <c r="J410" s="5">
        <v>0</v>
      </c>
      <c r="K410" s="5">
        <v>0</v>
      </c>
      <c r="L410" s="5">
        <v>0</v>
      </c>
      <c r="M410" s="5">
        <v>0</v>
      </c>
      <c r="N410" s="5">
        <v>0</v>
      </c>
      <c r="O410" s="5">
        <v>0</v>
      </c>
      <c r="P410" s="5">
        <v>0</v>
      </c>
      <c r="Q410" s="5">
        <v>0</v>
      </c>
      <c r="R410" s="5">
        <v>0</v>
      </c>
      <c r="S410" s="5">
        <v>0</v>
      </c>
      <c r="T410" s="5">
        <v>0</v>
      </c>
      <c r="U410" s="5">
        <v>0</v>
      </c>
      <c r="V410" s="5">
        <v>0</v>
      </c>
      <c r="W410" s="5">
        <v>1</v>
      </c>
      <c r="X410" s="5">
        <v>1</v>
      </c>
      <c r="Y410" s="5">
        <v>0</v>
      </c>
      <c r="AA410">
        <v>2</v>
      </c>
    </row>
    <row r="411" spans="4:27" x14ac:dyDescent="0.2">
      <c r="D411" t="str">
        <f ca="1"/>
        <v>07-Feb</v>
      </c>
      <c r="E411" s="5">
        <v>0</v>
      </c>
      <c r="F411" s="5">
        <v>0</v>
      </c>
      <c r="G411" s="5">
        <v>0</v>
      </c>
      <c r="H411" s="5">
        <v>0</v>
      </c>
      <c r="I411" s="5">
        <v>0</v>
      </c>
      <c r="J411" s="5">
        <v>0</v>
      </c>
      <c r="K411" s="5">
        <v>0</v>
      </c>
      <c r="L411" s="5">
        <v>0</v>
      </c>
      <c r="M411" s="5">
        <v>0</v>
      </c>
      <c r="N411" s="5">
        <v>0</v>
      </c>
      <c r="O411" s="5">
        <v>0</v>
      </c>
      <c r="P411" s="5">
        <v>0</v>
      </c>
      <c r="Q411" s="5">
        <v>0</v>
      </c>
      <c r="R411" s="5">
        <v>0</v>
      </c>
      <c r="S411" s="5">
        <v>0</v>
      </c>
      <c r="T411" s="5">
        <v>0</v>
      </c>
      <c r="U411" s="5">
        <v>0</v>
      </c>
      <c r="V411" s="5">
        <v>0</v>
      </c>
      <c r="W411" s="5">
        <v>1</v>
      </c>
      <c r="X411" s="5">
        <v>1</v>
      </c>
      <c r="Y411" s="5">
        <v>0</v>
      </c>
      <c r="AA411">
        <v>2</v>
      </c>
    </row>
  </sheetData>
  <conditionalFormatting sqref="D9:Y339">
    <cfRule type="expression" dxfId="0" priority="1">
      <formula>MOD(ROW(D9)-ROW($D$8),2)</formula>
    </cfRule>
  </conditionalFormatting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502C83-F3D8-408A-8E04-C99CA4D728D7}">
  <dimension ref="A1"/>
  <sheetViews>
    <sheetView workbookViewId="0">
      <selection activeCell="C5" sqref="C5:C13"/>
    </sheetView>
  </sheetViews>
  <sheetFormatPr defaultRowHeight="12.75" x14ac:dyDescent="0.2"/>
  <cols>
    <col min="3" max="3" width="20" customWidth="1"/>
  </cols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EF4EBB-A76D-4834-A49E-430EF56D9D9D}">
  <sheetPr codeName="Sheet2"/>
  <dimension ref="A5:B7"/>
  <sheetViews>
    <sheetView workbookViewId="0">
      <selection activeCell="L8" sqref="L8"/>
    </sheetView>
  </sheetViews>
  <sheetFormatPr defaultRowHeight="12.75" x14ac:dyDescent="0.2"/>
  <cols>
    <col min="4" max="4" width="11.7109375" customWidth="1"/>
  </cols>
  <sheetData>
    <row r="5" spans="1:2" x14ac:dyDescent="0.2">
      <c r="A5" s="8" t="b">
        <v>0</v>
      </c>
      <c r="B5" t="s">
        <v>24</v>
      </c>
    </row>
    <row r="6" spans="1:2" x14ac:dyDescent="0.2">
      <c r="A6" s="8" t="b">
        <v>0</v>
      </c>
      <c r="B6" t="s">
        <v>25</v>
      </c>
    </row>
    <row r="7" spans="1:2" x14ac:dyDescent="0.2">
      <c r="A7" s="8" t="b">
        <v>0</v>
      </c>
      <c r="B7" t="s">
        <v>26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97831D-F099-40DB-AC27-E4AA1EAE9938}">
  <dimension ref="B1:S216"/>
  <sheetViews>
    <sheetView topLeftCell="A10" zoomScaleNormal="100" workbookViewId="0">
      <selection activeCell="I24" sqref="I24:I26"/>
    </sheetView>
  </sheetViews>
  <sheetFormatPr defaultRowHeight="12.75" x14ac:dyDescent="0.2"/>
  <cols>
    <col min="10" max="10" width="12" bestFit="1" customWidth="1"/>
  </cols>
  <sheetData>
    <row r="1" spans="2:6" x14ac:dyDescent="0.2">
      <c r="B1" t="s">
        <v>131</v>
      </c>
      <c r="C1">
        <v>10</v>
      </c>
      <c r="D1" t="s">
        <v>135</v>
      </c>
    </row>
    <row r="2" spans="2:6" x14ac:dyDescent="0.2">
      <c r="B2" t="s">
        <v>132</v>
      </c>
      <c r="C2">
        <v>30</v>
      </c>
      <c r="D2" t="s">
        <v>135</v>
      </c>
      <c r="F2">
        <f>SIN(120*PI()/180)</f>
        <v>0.86602540378443871</v>
      </c>
    </row>
    <row r="3" spans="2:6" x14ac:dyDescent="0.2">
      <c r="B3" t="s">
        <v>133</v>
      </c>
      <c r="C3">
        <v>2000</v>
      </c>
      <c r="D3" t="s">
        <v>138</v>
      </c>
      <c r="F3">
        <f>ASIN(0.5626/2)*180/PI()</f>
        <v>16.337808095148048</v>
      </c>
    </row>
    <row r="4" spans="2:6" x14ac:dyDescent="0.2">
      <c r="B4" t="s">
        <v>134</v>
      </c>
      <c r="C4">
        <v>100</v>
      </c>
      <c r="D4" t="s">
        <v>138</v>
      </c>
    </row>
    <row r="5" spans="2:6" x14ac:dyDescent="0.2">
      <c r="B5" t="s">
        <v>136</v>
      </c>
      <c r="C5">
        <v>2</v>
      </c>
      <c r="D5" t="s">
        <v>137</v>
      </c>
      <c r="F5">
        <f>2*SIN(14.47*PI()/180)</f>
        <v>0.49974609767390904</v>
      </c>
    </row>
    <row r="6" spans="2:6" x14ac:dyDescent="0.2">
      <c r="B6" t="s">
        <v>150</v>
      </c>
      <c r="C6">
        <v>0</v>
      </c>
      <c r="D6" t="s">
        <v>137</v>
      </c>
    </row>
    <row r="8" spans="2:6" x14ac:dyDescent="0.2">
      <c r="B8" t="s">
        <v>142</v>
      </c>
      <c r="C8" s="29">
        <f>_R*SIN(_B*PI()/180)</f>
        <v>999.99999999999989</v>
      </c>
      <c r="D8" t="s">
        <v>138</v>
      </c>
      <c r="F8">
        <f>ATAN2(_xShip,_yShip)*180/PI()</f>
        <v>60.000000000000007</v>
      </c>
    </row>
    <row r="9" spans="2:6" x14ac:dyDescent="0.2">
      <c r="B9" t="s">
        <v>143</v>
      </c>
      <c r="C9" s="29">
        <f>_R*COS(_B*PI()/180)</f>
        <v>1732.0508075688774</v>
      </c>
      <c r="D9" t="s">
        <v>138</v>
      </c>
    </row>
    <row r="10" spans="2:6" x14ac:dyDescent="0.2">
      <c r="B10" t="s">
        <v>146</v>
      </c>
      <c r="C10">
        <f>(90-_B)-_AOB</f>
        <v>50</v>
      </c>
      <c r="D10" t="s">
        <v>147</v>
      </c>
      <c r="F10">
        <f>ASIN(0.5626/2)*180/PI()</f>
        <v>16.337808095148048</v>
      </c>
    </row>
    <row r="11" spans="2:6" x14ac:dyDescent="0.2">
      <c r="B11" t="s">
        <v>145</v>
      </c>
      <c r="C11">
        <f>-SIN(PI()/180*_Theta)*_L</f>
        <v>-76.604444311897808</v>
      </c>
    </row>
    <row r="12" spans="2:6" x14ac:dyDescent="0.2">
      <c r="B12" t="s">
        <v>144</v>
      </c>
      <c r="C12">
        <f>-COS(PI()/180*C10)*_L</f>
        <v>-64.278760968653941</v>
      </c>
      <c r="F12">
        <f>ATAN(C11/C12)*180/PI()</f>
        <v>49.999999999999993</v>
      </c>
    </row>
    <row r="13" spans="2:6" x14ac:dyDescent="0.2">
      <c r="B13" t="s">
        <v>148</v>
      </c>
      <c r="C13">
        <f>CONVERT(CONVERT(_v,"kn","m/sec"),"m","yd")</f>
        <v>1.1252065714007973</v>
      </c>
      <c r="D13" t="s">
        <v>149</v>
      </c>
    </row>
    <row r="16" spans="2:6" x14ac:dyDescent="0.2">
      <c r="B16" t="s">
        <v>139</v>
      </c>
      <c r="C16" t="s">
        <v>140</v>
      </c>
      <c r="D16" t="s">
        <v>141</v>
      </c>
      <c r="E16" t="s">
        <v>151</v>
      </c>
      <c r="F16" t="s">
        <v>152</v>
      </c>
    </row>
    <row r="17" spans="2:19" x14ac:dyDescent="0.2">
      <c r="B17" cm="1">
        <f t="array" ref="B17:B216">_xlfn.SEQUENCE(200,1,0,1)</f>
        <v>0</v>
      </c>
      <c r="C17">
        <f t="shared" ref="C17:C48" si="0">COS(PI()/180*_Theta)*_vyps*B17+_xShip+__xL</f>
        <v>935.72123903134593</v>
      </c>
      <c r="D17">
        <f t="shared" ref="D17:D48" si="1">SIN(PI()/180*_Theta)*_vyps*B17+_yShip+_yL</f>
        <v>1655.4463632569796</v>
      </c>
      <c r="E17">
        <f>B17*CONVERT(CONVERT(_vSub,"kn","m/sec"),"m","yd")</f>
        <v>0</v>
      </c>
      <c r="F17" s="30">
        <f>ATAN2(C17,D17-E17)*180/PI()</f>
        <v>60.523214859546243</v>
      </c>
    </row>
    <row r="18" spans="2:19" x14ac:dyDescent="0.2">
      <c r="B18">
        <v>1</v>
      </c>
      <c r="C18">
        <f t="shared" si="0"/>
        <v>936.44450787378025</v>
      </c>
      <c r="D18">
        <f t="shared" si="1"/>
        <v>1656.3083214983621</v>
      </c>
      <c r="E18">
        <f t="shared" ref="E18:E48" si="2">B18*CONVERT(CONVERT(_vSub,"kn","m/sec"),"m","yd")</f>
        <v>0</v>
      </c>
      <c r="F18" s="30">
        <f t="shared" ref="F18:F81" si="3">ATAN2(C18,D18-E18)*180/PI()</f>
        <v>60.51702665194027</v>
      </c>
    </row>
    <row r="19" spans="2:19" x14ac:dyDescent="0.2">
      <c r="B19">
        <v>2</v>
      </c>
      <c r="C19">
        <f t="shared" si="0"/>
        <v>937.16777671621458</v>
      </c>
      <c r="D19">
        <f t="shared" si="1"/>
        <v>1657.1702797397447</v>
      </c>
      <c r="E19">
        <f t="shared" si="2"/>
        <v>0</v>
      </c>
      <c r="F19" s="30">
        <f t="shared" si="3"/>
        <v>60.510845636264357</v>
      </c>
      <c r="H19">
        <f>_nYpSKnot</f>
        <v>0.56260299999999996</v>
      </c>
    </row>
    <row r="20" spans="2:19" x14ac:dyDescent="0.2">
      <c r="B20">
        <v>3</v>
      </c>
      <c r="C20">
        <f t="shared" si="0"/>
        <v>937.8910455586489</v>
      </c>
      <c r="D20">
        <f t="shared" si="1"/>
        <v>1658.0322379811271</v>
      </c>
      <c r="E20">
        <f t="shared" si="2"/>
        <v>0</v>
      </c>
      <c r="F20" s="30">
        <f t="shared" si="3"/>
        <v>60.504671800131668</v>
      </c>
      <c r="M20" t="s">
        <v>153</v>
      </c>
    </row>
    <row r="21" spans="2:19" x14ac:dyDescent="0.2">
      <c r="B21">
        <v>4</v>
      </c>
      <c r="C21">
        <f t="shared" si="0"/>
        <v>938.61431440108311</v>
      </c>
      <c r="D21">
        <f t="shared" si="1"/>
        <v>1658.8941962225097</v>
      </c>
      <c r="E21">
        <f t="shared" si="2"/>
        <v>0</v>
      </c>
      <c r="F21" s="30">
        <f t="shared" si="3"/>
        <v>60.498505131183578</v>
      </c>
    </row>
    <row r="22" spans="2:19" x14ac:dyDescent="0.2">
      <c r="B22">
        <v>5</v>
      </c>
      <c r="C22">
        <f t="shared" si="0"/>
        <v>939.33758324351743</v>
      </c>
      <c r="D22">
        <f t="shared" si="1"/>
        <v>1659.7561544638922</v>
      </c>
      <c r="E22">
        <f t="shared" si="2"/>
        <v>0</v>
      </c>
      <c r="F22" s="30">
        <f t="shared" si="3"/>
        <v>60.492345617089349</v>
      </c>
      <c r="I22" cm="1">
        <f t="array" ref="I22">_fInt(90-_B,F17:F216,_xlfn.ANCHORARRAY(B17))</f>
        <v>88.872631800421445</v>
      </c>
      <c r="M22">
        <f>_L*SIN(_AOB*PI()/180)/I22</f>
        <v>0.19538993517924252</v>
      </c>
      <c r="N22" t="s">
        <v>154</v>
      </c>
    </row>
    <row r="23" spans="2:19" x14ac:dyDescent="0.2">
      <c r="B23">
        <v>6</v>
      </c>
      <c r="C23">
        <f t="shared" si="0"/>
        <v>940.06085208595175</v>
      </c>
      <c r="D23">
        <f t="shared" si="1"/>
        <v>1660.6181127052748</v>
      </c>
      <c r="E23">
        <f t="shared" si="2"/>
        <v>0</v>
      </c>
      <c r="F23" s="30">
        <f t="shared" si="3"/>
        <v>60.486193245546261</v>
      </c>
      <c r="G23">
        <v>65.51903600418477</v>
      </c>
      <c r="M23">
        <f>M22*1.777</f>
        <v>0.34720791481351393</v>
      </c>
      <c r="N23" t="s">
        <v>137</v>
      </c>
      <c r="O23" t="s">
        <v>155</v>
      </c>
    </row>
    <row r="24" spans="2:19" x14ac:dyDescent="0.2">
      <c r="B24">
        <v>7</v>
      </c>
      <c r="C24">
        <f t="shared" si="0"/>
        <v>940.78412092838607</v>
      </c>
      <c r="D24">
        <f t="shared" si="1"/>
        <v>1661.4800709466574</v>
      </c>
      <c r="E24">
        <f t="shared" si="2"/>
        <v>0</v>
      </c>
      <c r="F24" s="30">
        <f t="shared" si="3"/>
        <v>60.480048004279425</v>
      </c>
      <c r="I24">
        <f>_L</f>
        <v>100</v>
      </c>
      <c r="M24">
        <f>M23/SIN(_AOB*PI()/180)</f>
        <v>1.9994906913419133</v>
      </c>
      <c r="N24" t="s">
        <v>137</v>
      </c>
      <c r="O24" t="s">
        <v>156</v>
      </c>
    </row>
    <row r="25" spans="2:19" x14ac:dyDescent="0.2">
      <c r="B25">
        <v>8</v>
      </c>
      <c r="C25">
        <f t="shared" si="0"/>
        <v>941.5073897708204</v>
      </c>
      <c r="D25">
        <f t="shared" si="1"/>
        <v>1662.3420291880398</v>
      </c>
      <c r="E25">
        <f t="shared" si="2"/>
        <v>0</v>
      </c>
      <c r="F25" s="30">
        <f t="shared" si="3"/>
        <v>60.473909881041727</v>
      </c>
      <c r="I25">
        <f>(_v+_vSub*SIN(_B*PI()/180)/SIN((_AOB)*PI()/180))*_nYpSKnot</f>
        <v>1.1252059999999999</v>
      </c>
    </row>
    <row r="26" spans="2:19" x14ac:dyDescent="0.2">
      <c r="B26">
        <v>9</v>
      </c>
      <c r="C26">
        <f t="shared" si="0"/>
        <v>942.23065861325472</v>
      </c>
      <c r="D26">
        <f t="shared" si="1"/>
        <v>1663.2039874294223</v>
      </c>
      <c r="E26">
        <f t="shared" si="2"/>
        <v>0</v>
      </c>
      <c r="F26" s="30">
        <f t="shared" si="3"/>
        <v>60.467778863613781</v>
      </c>
      <c r="I26">
        <f>I24/I25</f>
        <v>88.872615325549276</v>
      </c>
      <c r="S26">
        <f>3*SIN(_B*PI()/180)/SIN(_AOB*PI()/180)</f>
        <v>8.6381557247154497</v>
      </c>
    </row>
    <row r="27" spans="2:19" x14ac:dyDescent="0.2">
      <c r="B27">
        <v>10</v>
      </c>
      <c r="C27">
        <f t="shared" si="0"/>
        <v>942.95392745568893</v>
      </c>
      <c r="D27">
        <f t="shared" si="1"/>
        <v>1664.0659456708049</v>
      </c>
      <c r="E27">
        <f t="shared" si="2"/>
        <v>0</v>
      </c>
      <c r="F27" s="30">
        <f t="shared" si="3"/>
        <v>60.4616549398038</v>
      </c>
      <c r="J27">
        <v>1.6880493882943532</v>
      </c>
      <c r="K27">
        <f>I24/J27</f>
        <v>59.23997289027335</v>
      </c>
      <c r="M27" t="s">
        <v>157</v>
      </c>
    </row>
    <row r="28" spans="2:19" x14ac:dyDescent="0.2">
      <c r="B28">
        <v>11</v>
      </c>
      <c r="C28">
        <f t="shared" si="0"/>
        <v>943.67719629812325</v>
      </c>
      <c r="D28">
        <f t="shared" si="1"/>
        <v>1664.9279039121875</v>
      </c>
      <c r="E28">
        <f t="shared" si="2"/>
        <v>0</v>
      </c>
      <c r="F28" s="30">
        <f t="shared" si="3"/>
        <v>60.455538097447551</v>
      </c>
      <c r="M28" t="s">
        <v>158</v>
      </c>
    </row>
    <row r="29" spans="2:19" x14ac:dyDescent="0.2">
      <c r="B29">
        <v>12</v>
      </c>
      <c r="C29">
        <f t="shared" si="0"/>
        <v>944.40046514055757</v>
      </c>
      <c r="D29">
        <f t="shared" si="1"/>
        <v>1665.7898621535701</v>
      </c>
      <c r="E29">
        <f t="shared" si="2"/>
        <v>0</v>
      </c>
      <c r="F29" s="30">
        <f t="shared" si="3"/>
        <v>60.449428324408238</v>
      </c>
    </row>
    <row r="30" spans="2:19" x14ac:dyDescent="0.2">
      <c r="B30">
        <v>13</v>
      </c>
      <c r="C30">
        <f t="shared" si="0"/>
        <v>945.12373398299189</v>
      </c>
      <c r="D30">
        <f t="shared" si="1"/>
        <v>1666.6518203949527</v>
      </c>
      <c r="E30">
        <f t="shared" si="2"/>
        <v>0</v>
      </c>
      <c r="F30" s="30">
        <f t="shared" si="3"/>
        <v>60.443325608576529</v>
      </c>
      <c r="I30">
        <f>_L/I26/_nYpSKnot</f>
        <v>2</v>
      </c>
    </row>
    <row r="31" spans="2:19" x14ac:dyDescent="0.2">
      <c r="B31">
        <v>14</v>
      </c>
      <c r="C31">
        <f t="shared" si="0"/>
        <v>945.84700282542622</v>
      </c>
      <c r="D31">
        <f t="shared" si="1"/>
        <v>1667.513778636335</v>
      </c>
      <c r="E31">
        <f t="shared" si="2"/>
        <v>0</v>
      </c>
      <c r="F31" s="30">
        <f t="shared" si="3"/>
        <v>60.437229937870356</v>
      </c>
    </row>
    <row r="32" spans="2:19" x14ac:dyDescent="0.2">
      <c r="B32">
        <v>15</v>
      </c>
      <c r="C32">
        <f t="shared" si="0"/>
        <v>946.57027166786054</v>
      </c>
      <c r="D32">
        <f t="shared" si="1"/>
        <v>1668.3757368777176</v>
      </c>
      <c r="E32">
        <f t="shared" si="2"/>
        <v>0</v>
      </c>
      <c r="F32" s="30">
        <f t="shared" si="3"/>
        <v>60.43114130023492</v>
      </c>
      <c r="I32">
        <f>_L*SIN(_AOB*PI()/180)</f>
        <v>17.364817766693033</v>
      </c>
    </row>
    <row r="33" spans="2:6" x14ac:dyDescent="0.2">
      <c r="B33">
        <v>16</v>
      </c>
      <c r="C33">
        <f t="shared" si="0"/>
        <v>947.29354051029486</v>
      </c>
      <c r="D33">
        <f t="shared" si="1"/>
        <v>1669.2376951191002</v>
      </c>
      <c r="E33">
        <f t="shared" si="2"/>
        <v>0</v>
      </c>
      <c r="F33" s="30">
        <f t="shared" si="3"/>
        <v>60.425059683642566</v>
      </c>
    </row>
    <row r="34" spans="2:6" x14ac:dyDescent="0.2">
      <c r="B34">
        <v>17</v>
      </c>
      <c r="C34">
        <f t="shared" si="0"/>
        <v>948.01680935272907</v>
      </c>
      <c r="D34">
        <f t="shared" si="1"/>
        <v>1670.0996533604828</v>
      </c>
      <c r="E34">
        <f t="shared" si="2"/>
        <v>0</v>
      </c>
      <c r="F34" s="30">
        <f t="shared" si="3"/>
        <v>60.418985076092753</v>
      </c>
    </row>
    <row r="35" spans="2:6" x14ac:dyDescent="0.2">
      <c r="B35">
        <v>18</v>
      </c>
      <c r="C35">
        <f t="shared" si="0"/>
        <v>948.74007819516339</v>
      </c>
      <c r="D35">
        <f t="shared" si="1"/>
        <v>1670.9616116018653</v>
      </c>
      <c r="E35">
        <f t="shared" si="2"/>
        <v>0</v>
      </c>
      <c r="F35" s="30">
        <f t="shared" si="3"/>
        <v>60.412917465611926</v>
      </c>
    </row>
    <row r="36" spans="2:6" x14ac:dyDescent="0.2">
      <c r="B36">
        <v>19</v>
      </c>
      <c r="C36">
        <f t="shared" si="0"/>
        <v>949.46334703759771</v>
      </c>
      <c r="D36">
        <f t="shared" si="1"/>
        <v>1671.8235698432477</v>
      </c>
      <c r="E36">
        <f t="shared" si="2"/>
        <v>0</v>
      </c>
      <c r="F36" s="30">
        <f t="shared" si="3"/>
        <v>60.406856840253489</v>
      </c>
    </row>
    <row r="37" spans="2:6" x14ac:dyDescent="0.2">
      <c r="B37">
        <v>20</v>
      </c>
      <c r="C37">
        <f t="shared" si="0"/>
        <v>950.18661588003204</v>
      </c>
      <c r="D37">
        <f t="shared" si="1"/>
        <v>1672.6855280846303</v>
      </c>
      <c r="E37">
        <f t="shared" si="2"/>
        <v>0</v>
      </c>
      <c r="F37" s="30">
        <f t="shared" si="3"/>
        <v>60.400803188097704</v>
      </c>
    </row>
    <row r="38" spans="2:6" x14ac:dyDescent="0.2">
      <c r="B38">
        <v>21</v>
      </c>
      <c r="C38">
        <f t="shared" si="0"/>
        <v>950.90988472246636</v>
      </c>
      <c r="D38">
        <f t="shared" si="1"/>
        <v>1673.5474863260129</v>
      </c>
      <c r="E38">
        <f t="shared" si="2"/>
        <v>0</v>
      </c>
      <c r="F38" s="30">
        <f t="shared" si="3"/>
        <v>60.394756497251649</v>
      </c>
    </row>
    <row r="39" spans="2:6" x14ac:dyDescent="0.2">
      <c r="B39">
        <v>22</v>
      </c>
      <c r="C39">
        <f t="shared" si="0"/>
        <v>951.63315356490068</v>
      </c>
      <c r="D39">
        <f t="shared" si="1"/>
        <v>1674.4094445673954</v>
      </c>
      <c r="E39">
        <f t="shared" si="2"/>
        <v>0</v>
      </c>
      <c r="F39" s="30">
        <f t="shared" si="3"/>
        <v>60.388716755849067</v>
      </c>
    </row>
    <row r="40" spans="2:6" x14ac:dyDescent="0.2">
      <c r="B40">
        <v>23</v>
      </c>
      <c r="C40">
        <f t="shared" si="0"/>
        <v>952.35642240733489</v>
      </c>
      <c r="D40">
        <f t="shared" si="1"/>
        <v>1675.271402808778</v>
      </c>
      <c r="E40">
        <f t="shared" si="2"/>
        <v>0</v>
      </c>
      <c r="F40" s="30">
        <f t="shared" si="3"/>
        <v>60.3826839520504</v>
      </c>
    </row>
    <row r="41" spans="2:6" x14ac:dyDescent="0.2">
      <c r="B41">
        <v>24</v>
      </c>
      <c r="C41">
        <f t="shared" si="0"/>
        <v>953.07969124976921</v>
      </c>
      <c r="D41">
        <f t="shared" si="1"/>
        <v>1676.1333610501604</v>
      </c>
      <c r="E41">
        <f t="shared" si="2"/>
        <v>0</v>
      </c>
      <c r="F41" s="30">
        <f t="shared" si="3"/>
        <v>60.376658074042609</v>
      </c>
    </row>
    <row r="42" spans="2:6" x14ac:dyDescent="0.2">
      <c r="B42">
        <v>25</v>
      </c>
      <c r="C42">
        <f t="shared" si="0"/>
        <v>953.80296009220353</v>
      </c>
      <c r="D42">
        <f t="shared" si="1"/>
        <v>1676.995319291543</v>
      </c>
      <c r="E42">
        <f t="shared" si="2"/>
        <v>0</v>
      </c>
      <c r="F42" s="30">
        <f t="shared" si="3"/>
        <v>60.370639110039193</v>
      </c>
    </row>
    <row r="43" spans="2:6" x14ac:dyDescent="0.2">
      <c r="B43">
        <v>26</v>
      </c>
      <c r="C43">
        <f t="shared" si="0"/>
        <v>954.52622893463786</v>
      </c>
      <c r="D43">
        <f t="shared" si="1"/>
        <v>1677.8572775329255</v>
      </c>
      <c r="E43">
        <f t="shared" si="2"/>
        <v>0</v>
      </c>
      <c r="F43" s="30">
        <f t="shared" si="3"/>
        <v>60.364627048280042</v>
      </c>
    </row>
    <row r="44" spans="2:6" x14ac:dyDescent="0.2">
      <c r="B44">
        <v>27</v>
      </c>
      <c r="C44">
        <f t="shared" si="0"/>
        <v>955.24949777707218</v>
      </c>
      <c r="D44">
        <f t="shared" si="1"/>
        <v>1678.7192357743081</v>
      </c>
      <c r="E44">
        <f t="shared" si="2"/>
        <v>0</v>
      </c>
      <c r="F44" s="30">
        <f t="shared" si="3"/>
        <v>60.35862187703141</v>
      </c>
    </row>
    <row r="45" spans="2:6" x14ac:dyDescent="0.2">
      <c r="B45">
        <v>28</v>
      </c>
      <c r="C45">
        <f t="shared" si="0"/>
        <v>955.9727666195065</v>
      </c>
      <c r="D45">
        <f t="shared" si="1"/>
        <v>1679.5811940156907</v>
      </c>
      <c r="E45">
        <f t="shared" si="2"/>
        <v>0</v>
      </c>
      <c r="F45" s="30">
        <f t="shared" si="3"/>
        <v>60.3526235845858</v>
      </c>
    </row>
    <row r="46" spans="2:6" x14ac:dyDescent="0.2">
      <c r="B46">
        <v>29</v>
      </c>
      <c r="C46">
        <f t="shared" si="0"/>
        <v>956.69603546194082</v>
      </c>
      <c r="D46">
        <f t="shared" si="1"/>
        <v>1680.4431522570733</v>
      </c>
      <c r="E46">
        <f t="shared" si="2"/>
        <v>0</v>
      </c>
      <c r="F46" s="30">
        <f t="shared" si="3"/>
        <v>60.346632159261951</v>
      </c>
    </row>
    <row r="47" spans="2:6" x14ac:dyDescent="0.2">
      <c r="B47">
        <v>30</v>
      </c>
      <c r="C47">
        <f t="shared" si="0"/>
        <v>957.41930430437503</v>
      </c>
      <c r="D47">
        <f t="shared" si="1"/>
        <v>1681.3051104984556</v>
      </c>
      <c r="E47">
        <f t="shared" si="2"/>
        <v>0</v>
      </c>
      <c r="F47" s="30">
        <f t="shared" si="3"/>
        <v>60.340647589404718</v>
      </c>
    </row>
    <row r="48" spans="2:6" x14ac:dyDescent="0.2">
      <c r="B48">
        <v>31</v>
      </c>
      <c r="C48">
        <f t="shared" si="0"/>
        <v>958.14257314680935</v>
      </c>
      <c r="D48">
        <f t="shared" si="1"/>
        <v>1682.1670687398382</v>
      </c>
      <c r="E48">
        <f t="shared" si="2"/>
        <v>0</v>
      </c>
      <c r="F48" s="30">
        <f t="shared" si="3"/>
        <v>60.334669863385031</v>
      </c>
    </row>
    <row r="49" spans="2:6" x14ac:dyDescent="0.2">
      <c r="B49">
        <v>32</v>
      </c>
      <c r="C49">
        <f t="shared" ref="C49:C80" si="4">COS(PI()/180*_Theta)*_vyps*B49+_xShip+__xL</f>
        <v>958.86584198924368</v>
      </c>
      <c r="D49">
        <f t="shared" ref="D49:D80" si="5">SIN(PI()/180*_Theta)*_vyps*B49+_yShip+_yL</f>
        <v>1683.0290269812208</v>
      </c>
      <c r="E49">
        <f t="shared" ref="E49:E80" si="6">B49*CONVERT(CONVERT(_vSub,"kn","m/sec"),"m","yd")</f>
        <v>0</v>
      </c>
      <c r="F49" s="30">
        <f t="shared" si="3"/>
        <v>60.32869896959977</v>
      </c>
    </row>
    <row r="50" spans="2:6" x14ac:dyDescent="0.2">
      <c r="B50">
        <v>33</v>
      </c>
      <c r="C50">
        <f t="shared" si="4"/>
        <v>959.589110831678</v>
      </c>
      <c r="D50">
        <f t="shared" si="5"/>
        <v>1683.8909852226034</v>
      </c>
      <c r="E50">
        <f t="shared" si="6"/>
        <v>0</v>
      </c>
      <c r="F50" s="30">
        <f t="shared" si="3"/>
        <v>60.322734896471765</v>
      </c>
    </row>
    <row r="51" spans="2:6" x14ac:dyDescent="0.2">
      <c r="B51">
        <v>34</v>
      </c>
      <c r="C51">
        <f t="shared" si="4"/>
        <v>960.31237967411232</v>
      </c>
      <c r="D51">
        <f t="shared" si="5"/>
        <v>1684.752943463986</v>
      </c>
      <c r="E51">
        <f t="shared" si="6"/>
        <v>0</v>
      </c>
      <c r="F51" s="30">
        <f t="shared" si="3"/>
        <v>60.316777632449671</v>
      </c>
    </row>
    <row r="52" spans="2:6" x14ac:dyDescent="0.2">
      <c r="B52">
        <v>35</v>
      </c>
      <c r="C52">
        <f t="shared" si="4"/>
        <v>961.03564851654653</v>
      </c>
      <c r="D52">
        <f t="shared" si="5"/>
        <v>1685.6149017053683</v>
      </c>
      <c r="E52">
        <f t="shared" si="6"/>
        <v>0</v>
      </c>
      <c r="F52" s="30">
        <f t="shared" si="3"/>
        <v>60.310827166007911</v>
      </c>
    </row>
    <row r="53" spans="2:6" x14ac:dyDescent="0.2">
      <c r="B53">
        <v>36</v>
      </c>
      <c r="C53">
        <f t="shared" si="4"/>
        <v>961.75891735898097</v>
      </c>
      <c r="D53">
        <f t="shared" si="5"/>
        <v>1686.4768599467509</v>
      </c>
      <c r="E53">
        <f t="shared" si="6"/>
        <v>0</v>
      </c>
      <c r="F53" s="30">
        <f t="shared" si="3"/>
        <v>60.304883485646641</v>
      </c>
    </row>
    <row r="54" spans="2:6" x14ac:dyDescent="0.2">
      <c r="B54">
        <v>37</v>
      </c>
      <c r="C54">
        <f t="shared" si="4"/>
        <v>962.48218620141517</v>
      </c>
      <c r="D54">
        <f t="shared" si="5"/>
        <v>1687.3388181881335</v>
      </c>
      <c r="E54">
        <f t="shared" si="6"/>
        <v>0</v>
      </c>
      <c r="F54" s="30">
        <f t="shared" si="3"/>
        <v>60.298946579891606</v>
      </c>
    </row>
    <row r="55" spans="2:6" x14ac:dyDescent="0.2">
      <c r="B55">
        <v>38</v>
      </c>
      <c r="C55">
        <f t="shared" si="4"/>
        <v>963.20545504384961</v>
      </c>
      <c r="D55">
        <f t="shared" si="5"/>
        <v>1688.2007764295161</v>
      </c>
      <c r="E55">
        <f t="shared" si="6"/>
        <v>0</v>
      </c>
      <c r="F55" s="30">
        <f t="shared" si="3"/>
        <v>60.293016437294114</v>
      </c>
    </row>
    <row r="56" spans="2:6" x14ac:dyDescent="0.2">
      <c r="B56">
        <v>39</v>
      </c>
      <c r="C56">
        <f t="shared" si="4"/>
        <v>963.92872388628382</v>
      </c>
      <c r="D56">
        <f t="shared" si="5"/>
        <v>1689.0627346708986</v>
      </c>
      <c r="E56">
        <f t="shared" si="6"/>
        <v>0</v>
      </c>
      <c r="F56" s="30">
        <f t="shared" si="3"/>
        <v>60.287093046431025</v>
      </c>
    </row>
    <row r="57" spans="2:6" x14ac:dyDescent="0.2">
      <c r="B57">
        <v>40</v>
      </c>
      <c r="C57">
        <f t="shared" si="4"/>
        <v>964.65199272871803</v>
      </c>
      <c r="D57">
        <f t="shared" si="5"/>
        <v>1689.924692912281</v>
      </c>
      <c r="E57">
        <f t="shared" si="6"/>
        <v>0</v>
      </c>
      <c r="F57" s="30">
        <f t="shared" si="3"/>
        <v>60.281176395904517</v>
      </c>
    </row>
    <row r="58" spans="2:6" x14ac:dyDescent="0.2">
      <c r="B58">
        <v>41</v>
      </c>
      <c r="C58">
        <f t="shared" si="4"/>
        <v>965.37526157115246</v>
      </c>
      <c r="D58">
        <f t="shared" si="5"/>
        <v>1690.7866511536636</v>
      </c>
      <c r="E58">
        <f t="shared" si="6"/>
        <v>0</v>
      </c>
      <c r="F58" s="30">
        <f t="shared" si="3"/>
        <v>60.275266474342203</v>
      </c>
    </row>
    <row r="59" spans="2:6" x14ac:dyDescent="0.2">
      <c r="B59">
        <v>42</v>
      </c>
      <c r="C59">
        <f t="shared" si="4"/>
        <v>966.09853041358667</v>
      </c>
      <c r="D59">
        <f t="shared" si="5"/>
        <v>1691.6486093950462</v>
      </c>
      <c r="E59">
        <f t="shared" si="6"/>
        <v>0</v>
      </c>
      <c r="F59" s="30">
        <f t="shared" si="3"/>
        <v>60.269363270396951</v>
      </c>
    </row>
    <row r="60" spans="2:6" x14ac:dyDescent="0.2">
      <c r="B60">
        <v>43</v>
      </c>
      <c r="C60">
        <f t="shared" si="4"/>
        <v>966.82179925602111</v>
      </c>
      <c r="D60">
        <f t="shared" si="5"/>
        <v>1692.5105676364287</v>
      </c>
      <c r="E60">
        <f t="shared" si="6"/>
        <v>0</v>
      </c>
      <c r="F60" s="30">
        <f t="shared" si="3"/>
        <v>60.263466772746796</v>
      </c>
    </row>
    <row r="61" spans="2:6" x14ac:dyDescent="0.2">
      <c r="B61">
        <v>44</v>
      </c>
      <c r="C61">
        <f t="shared" si="4"/>
        <v>967.54506809845532</v>
      </c>
      <c r="D61">
        <f t="shared" si="5"/>
        <v>1693.3725258778113</v>
      </c>
      <c r="E61">
        <f t="shared" si="6"/>
        <v>0</v>
      </c>
      <c r="F61" s="30">
        <f t="shared" si="3"/>
        <v>60.257576970095002</v>
      </c>
    </row>
    <row r="62" spans="2:6" x14ac:dyDescent="0.2">
      <c r="B62">
        <v>45</v>
      </c>
      <c r="C62">
        <f t="shared" si="4"/>
        <v>968.26833694088975</v>
      </c>
      <c r="D62">
        <f t="shared" si="5"/>
        <v>1694.2344841191939</v>
      </c>
      <c r="E62">
        <f t="shared" si="6"/>
        <v>0</v>
      </c>
      <c r="F62" s="30">
        <f t="shared" si="3"/>
        <v>60.251693851169819</v>
      </c>
    </row>
    <row r="63" spans="2:6" x14ac:dyDescent="0.2">
      <c r="B63">
        <v>46</v>
      </c>
      <c r="C63">
        <f t="shared" si="4"/>
        <v>968.99160578332396</v>
      </c>
      <c r="D63">
        <f t="shared" si="5"/>
        <v>1695.0964423605762</v>
      </c>
      <c r="E63">
        <f t="shared" si="6"/>
        <v>0</v>
      </c>
      <c r="F63" s="30">
        <f t="shared" si="3"/>
        <v>60.245817404724569</v>
      </c>
    </row>
    <row r="64" spans="2:6" x14ac:dyDescent="0.2">
      <c r="B64">
        <v>47</v>
      </c>
      <c r="C64">
        <f t="shared" si="4"/>
        <v>969.71487462575817</v>
      </c>
      <c r="D64">
        <f t="shared" si="5"/>
        <v>1695.9584006019588</v>
      </c>
      <c r="E64">
        <f t="shared" si="6"/>
        <v>0</v>
      </c>
      <c r="F64" s="30">
        <f t="shared" si="3"/>
        <v>60.239947619537453</v>
      </c>
    </row>
    <row r="65" spans="2:6" x14ac:dyDescent="0.2">
      <c r="B65">
        <v>48</v>
      </c>
      <c r="C65">
        <f t="shared" si="4"/>
        <v>970.43814346819261</v>
      </c>
      <c r="D65">
        <f t="shared" si="5"/>
        <v>1696.8203588433414</v>
      </c>
      <c r="E65">
        <f t="shared" si="6"/>
        <v>0</v>
      </c>
      <c r="F65" s="30">
        <f t="shared" si="3"/>
        <v>60.234084484411554</v>
      </c>
    </row>
    <row r="66" spans="2:6" x14ac:dyDescent="0.2">
      <c r="B66">
        <v>49</v>
      </c>
      <c r="C66">
        <f t="shared" si="4"/>
        <v>971.16141231062682</v>
      </c>
      <c r="D66">
        <f t="shared" si="5"/>
        <v>1697.682317084724</v>
      </c>
      <c r="E66">
        <f t="shared" si="6"/>
        <v>0</v>
      </c>
      <c r="F66" s="30">
        <f t="shared" si="3"/>
        <v>60.228227988174794</v>
      </c>
    </row>
    <row r="67" spans="2:6" x14ac:dyDescent="0.2">
      <c r="B67">
        <v>50</v>
      </c>
      <c r="C67">
        <f t="shared" si="4"/>
        <v>971.88468115306125</v>
      </c>
      <c r="D67">
        <f t="shared" si="5"/>
        <v>1698.5442753261066</v>
      </c>
      <c r="E67">
        <f t="shared" si="6"/>
        <v>0</v>
      </c>
      <c r="F67" s="30">
        <f t="shared" si="3"/>
        <v>60.222378119679789</v>
      </c>
    </row>
    <row r="68" spans="2:6" x14ac:dyDescent="0.2">
      <c r="B68">
        <v>51</v>
      </c>
      <c r="C68">
        <f t="shared" si="4"/>
        <v>972.60794999549546</v>
      </c>
      <c r="D68">
        <f t="shared" si="5"/>
        <v>1699.4062335674889</v>
      </c>
      <c r="E68">
        <f t="shared" si="6"/>
        <v>0</v>
      </c>
      <c r="F68" s="30">
        <f t="shared" si="3"/>
        <v>60.21653486780383</v>
      </c>
    </row>
    <row r="69" spans="2:6" x14ac:dyDescent="0.2">
      <c r="B69">
        <v>52</v>
      </c>
      <c r="C69">
        <f t="shared" si="4"/>
        <v>973.3312188379299</v>
      </c>
      <c r="D69">
        <f t="shared" si="5"/>
        <v>1700.2681918088715</v>
      </c>
      <c r="E69">
        <f t="shared" si="6"/>
        <v>0</v>
      </c>
      <c r="F69" s="30">
        <f t="shared" si="3"/>
        <v>60.210698221448773</v>
      </c>
    </row>
    <row r="70" spans="2:6" x14ac:dyDescent="0.2">
      <c r="B70">
        <v>53</v>
      </c>
      <c r="C70">
        <f t="shared" si="4"/>
        <v>974.0544876803641</v>
      </c>
      <c r="D70">
        <f t="shared" si="5"/>
        <v>1701.1301500502541</v>
      </c>
      <c r="E70">
        <f t="shared" si="6"/>
        <v>0</v>
      </c>
      <c r="F70" s="30">
        <f t="shared" si="3"/>
        <v>60.204868169541065</v>
      </c>
    </row>
    <row r="71" spans="2:6" x14ac:dyDescent="0.2">
      <c r="B71">
        <v>54</v>
      </c>
      <c r="C71">
        <f t="shared" si="4"/>
        <v>974.77775652279831</v>
      </c>
      <c r="D71">
        <f t="shared" si="5"/>
        <v>1701.9921082916367</v>
      </c>
      <c r="E71">
        <f t="shared" si="6"/>
        <v>0</v>
      </c>
      <c r="F71" s="30">
        <f t="shared" si="3"/>
        <v>60.199044701031575</v>
      </c>
    </row>
    <row r="72" spans="2:6" x14ac:dyDescent="0.2">
      <c r="B72">
        <v>55</v>
      </c>
      <c r="C72">
        <f t="shared" si="4"/>
        <v>975.50102536523275</v>
      </c>
      <c r="D72">
        <f t="shared" si="5"/>
        <v>1702.8540665330192</v>
      </c>
      <c r="E72">
        <f t="shared" si="6"/>
        <v>0</v>
      </c>
      <c r="F72" s="30">
        <f t="shared" si="3"/>
        <v>60.193227804895564</v>
      </c>
    </row>
    <row r="73" spans="2:6" x14ac:dyDescent="0.2">
      <c r="B73">
        <v>56</v>
      </c>
      <c r="C73">
        <f t="shared" si="4"/>
        <v>976.22429420766696</v>
      </c>
      <c r="D73">
        <f t="shared" si="5"/>
        <v>1703.7160247744016</v>
      </c>
      <c r="E73">
        <f t="shared" si="6"/>
        <v>0</v>
      </c>
      <c r="F73" s="30">
        <f t="shared" si="3"/>
        <v>60.187417470132644</v>
      </c>
    </row>
    <row r="74" spans="2:6" x14ac:dyDescent="0.2">
      <c r="B74">
        <v>57</v>
      </c>
      <c r="C74">
        <f t="shared" si="4"/>
        <v>976.94756305010139</v>
      </c>
      <c r="D74">
        <f t="shared" si="5"/>
        <v>1704.5779830157842</v>
      </c>
      <c r="E74">
        <f t="shared" si="6"/>
        <v>0</v>
      </c>
      <c r="F74" s="30">
        <f t="shared" si="3"/>
        <v>60.181613685766656</v>
      </c>
    </row>
    <row r="75" spans="2:6" x14ac:dyDescent="0.2">
      <c r="B75">
        <v>58</v>
      </c>
      <c r="C75">
        <f t="shared" si="4"/>
        <v>977.6708318925356</v>
      </c>
      <c r="D75">
        <f t="shared" si="5"/>
        <v>1705.4399412571668</v>
      </c>
      <c r="E75">
        <f t="shared" si="6"/>
        <v>0</v>
      </c>
      <c r="F75" s="30">
        <f t="shared" si="3"/>
        <v>60.175816440845693</v>
      </c>
    </row>
    <row r="76" spans="2:6" x14ac:dyDescent="0.2">
      <c r="B76">
        <v>59</v>
      </c>
      <c r="C76">
        <f t="shared" si="4"/>
        <v>978.39410073496981</v>
      </c>
      <c r="D76">
        <f t="shared" si="5"/>
        <v>1706.3018994985493</v>
      </c>
      <c r="E76">
        <f t="shared" si="6"/>
        <v>0</v>
      </c>
      <c r="F76" s="30">
        <f t="shared" si="3"/>
        <v>60.170025724441928</v>
      </c>
    </row>
    <row r="77" spans="2:6" x14ac:dyDescent="0.2">
      <c r="B77">
        <v>60</v>
      </c>
      <c r="C77">
        <f t="shared" si="4"/>
        <v>979.11736957740425</v>
      </c>
      <c r="D77">
        <f t="shared" si="5"/>
        <v>1707.1638577399319</v>
      </c>
      <c r="E77">
        <f t="shared" si="6"/>
        <v>0</v>
      </c>
      <c r="F77" s="30">
        <f t="shared" si="3"/>
        <v>60.164241525651605</v>
      </c>
    </row>
    <row r="78" spans="2:6" x14ac:dyDescent="0.2">
      <c r="B78">
        <v>61</v>
      </c>
      <c r="C78">
        <f t="shared" si="4"/>
        <v>979.84063841983846</v>
      </c>
      <c r="D78">
        <f t="shared" si="5"/>
        <v>1708.0258159813145</v>
      </c>
      <c r="E78">
        <f t="shared" si="6"/>
        <v>0</v>
      </c>
      <c r="F78" s="30">
        <f t="shared" si="3"/>
        <v>60.158463833595</v>
      </c>
    </row>
    <row r="79" spans="2:6" x14ac:dyDescent="0.2">
      <c r="B79">
        <v>62</v>
      </c>
      <c r="C79">
        <f t="shared" si="4"/>
        <v>980.56390726227289</v>
      </c>
      <c r="D79">
        <f t="shared" si="5"/>
        <v>1708.8877742226969</v>
      </c>
      <c r="E79">
        <f t="shared" si="6"/>
        <v>0</v>
      </c>
      <c r="F79" s="30">
        <f t="shared" si="3"/>
        <v>60.152692637416301</v>
      </c>
    </row>
    <row r="80" spans="2:6" x14ac:dyDescent="0.2">
      <c r="B80">
        <v>63</v>
      </c>
      <c r="C80">
        <f t="shared" si="4"/>
        <v>981.2871761047071</v>
      </c>
      <c r="D80">
        <f t="shared" si="5"/>
        <v>1709.7497324640794</v>
      </c>
      <c r="E80">
        <f t="shared" si="6"/>
        <v>0</v>
      </c>
      <c r="F80" s="30">
        <f t="shared" si="3"/>
        <v>60.146927926283546</v>
      </c>
    </row>
    <row r="81" spans="2:6" x14ac:dyDescent="0.2">
      <c r="B81">
        <v>64</v>
      </c>
      <c r="C81">
        <f t="shared" ref="C81:C112" si="7">COS(PI()/180*_Theta)*_vyps*B81+_xShip+__xL</f>
        <v>982.01044494714154</v>
      </c>
      <c r="D81">
        <f t="shared" ref="D81:D112" si="8">SIN(PI()/180*_Theta)*_vyps*B81+_yShip+_yL</f>
        <v>1710.611690705462</v>
      </c>
      <c r="E81">
        <f t="shared" ref="E81:E112" si="9">B81*CONVERT(CONVERT(_vSub,"kn","m/sec"),"m","yd")</f>
        <v>0</v>
      </c>
      <c r="F81" s="30">
        <f t="shared" si="3"/>
        <v>60.141169689388626</v>
      </c>
    </row>
    <row r="82" spans="2:6" x14ac:dyDescent="0.2">
      <c r="B82">
        <v>65</v>
      </c>
      <c r="C82">
        <f t="shared" si="7"/>
        <v>982.73371378957575</v>
      </c>
      <c r="D82">
        <f t="shared" si="8"/>
        <v>1711.4736489468446</v>
      </c>
      <c r="E82">
        <f t="shared" si="9"/>
        <v>0</v>
      </c>
      <c r="F82" s="30">
        <f t="shared" ref="F82:F145" si="10">ATAN2(C82,D82-E82)*180/PI()</f>
        <v>60.135417915947137</v>
      </c>
    </row>
    <row r="83" spans="2:6" x14ac:dyDescent="0.2">
      <c r="B83">
        <v>66</v>
      </c>
      <c r="C83">
        <f t="shared" si="7"/>
        <v>983.45698263200995</v>
      </c>
      <c r="D83">
        <f t="shared" si="8"/>
        <v>1712.3356071882272</v>
      </c>
      <c r="E83">
        <f t="shared" si="9"/>
        <v>0</v>
      </c>
      <c r="F83" s="30">
        <f t="shared" si="10"/>
        <v>60.12967259519835</v>
      </c>
    </row>
    <row r="84" spans="2:6" x14ac:dyDescent="0.2">
      <c r="B84">
        <v>67</v>
      </c>
      <c r="C84">
        <f t="shared" si="7"/>
        <v>984.18025147444439</v>
      </c>
      <c r="D84">
        <f t="shared" si="8"/>
        <v>1713.1975654296095</v>
      </c>
      <c r="E84">
        <f t="shared" si="9"/>
        <v>0</v>
      </c>
      <c r="F84" s="30">
        <f t="shared" si="10"/>
        <v>60.123933716405169</v>
      </c>
    </row>
    <row r="85" spans="2:6" x14ac:dyDescent="0.2">
      <c r="B85">
        <v>68</v>
      </c>
      <c r="C85">
        <f t="shared" si="7"/>
        <v>984.9035203168786</v>
      </c>
      <c r="D85">
        <f t="shared" si="8"/>
        <v>1714.0595236709921</v>
      </c>
      <c r="E85">
        <f t="shared" si="9"/>
        <v>0</v>
      </c>
      <c r="F85" s="30">
        <f t="shared" si="10"/>
        <v>60.11820126885403</v>
      </c>
    </row>
    <row r="86" spans="2:6" x14ac:dyDescent="0.2">
      <c r="B86">
        <v>69</v>
      </c>
      <c r="C86">
        <f t="shared" si="7"/>
        <v>985.62678915931303</v>
      </c>
      <c r="D86">
        <f t="shared" si="8"/>
        <v>1714.9214819123747</v>
      </c>
      <c r="E86">
        <f t="shared" si="9"/>
        <v>0</v>
      </c>
      <c r="F86" s="30">
        <f t="shared" si="10"/>
        <v>60.112475241854838</v>
      </c>
    </row>
    <row r="87" spans="2:6" x14ac:dyDescent="0.2">
      <c r="B87">
        <v>70</v>
      </c>
      <c r="C87">
        <f t="shared" si="7"/>
        <v>986.35005800174724</v>
      </c>
      <c r="D87">
        <f t="shared" si="8"/>
        <v>1715.7834401537573</v>
      </c>
      <c r="E87">
        <f t="shared" si="9"/>
        <v>0</v>
      </c>
      <c r="F87" s="30">
        <f t="shared" si="10"/>
        <v>60.10675562474097</v>
      </c>
    </row>
    <row r="88" spans="2:6" x14ac:dyDescent="0.2">
      <c r="B88">
        <v>71</v>
      </c>
      <c r="C88">
        <f t="shared" si="7"/>
        <v>987.07332684418168</v>
      </c>
      <c r="D88">
        <f t="shared" si="8"/>
        <v>1716.6453983951399</v>
      </c>
      <c r="E88">
        <f t="shared" si="9"/>
        <v>0</v>
      </c>
      <c r="F88" s="30">
        <f t="shared" si="10"/>
        <v>60.101042406869098</v>
      </c>
    </row>
    <row r="89" spans="2:6" x14ac:dyDescent="0.2">
      <c r="B89">
        <v>72</v>
      </c>
      <c r="C89">
        <f t="shared" si="7"/>
        <v>987.79659568661589</v>
      </c>
      <c r="D89">
        <f t="shared" si="8"/>
        <v>1717.5073566365222</v>
      </c>
      <c r="E89">
        <f t="shared" si="9"/>
        <v>0</v>
      </c>
      <c r="F89" s="30">
        <f t="shared" si="10"/>
        <v>60.095335577619217</v>
      </c>
    </row>
    <row r="90" spans="2:6" x14ac:dyDescent="0.2">
      <c r="B90">
        <v>73</v>
      </c>
      <c r="C90">
        <f t="shared" si="7"/>
        <v>988.5198645290501</v>
      </c>
      <c r="D90">
        <f t="shared" si="8"/>
        <v>1718.3693148779048</v>
      </c>
      <c r="E90">
        <f t="shared" si="9"/>
        <v>0</v>
      </c>
      <c r="F90" s="30">
        <f t="shared" si="10"/>
        <v>60.089635126394576</v>
      </c>
    </row>
    <row r="91" spans="2:6" x14ac:dyDescent="0.2">
      <c r="B91">
        <v>74</v>
      </c>
      <c r="C91">
        <f t="shared" si="7"/>
        <v>989.24313337148453</v>
      </c>
      <c r="D91">
        <f t="shared" si="8"/>
        <v>1719.2312731192874</v>
      </c>
      <c r="E91">
        <f t="shared" si="9"/>
        <v>0</v>
      </c>
      <c r="F91" s="30">
        <f t="shared" si="10"/>
        <v>60.083941042621532</v>
      </c>
    </row>
    <row r="92" spans="2:6" x14ac:dyDescent="0.2">
      <c r="B92">
        <v>75</v>
      </c>
      <c r="C92">
        <f t="shared" si="7"/>
        <v>989.96640221391874</v>
      </c>
      <c r="D92">
        <f t="shared" si="8"/>
        <v>1720.09323136067</v>
      </c>
      <c r="E92">
        <f t="shared" si="9"/>
        <v>0</v>
      </c>
      <c r="F92" s="30">
        <f t="shared" si="10"/>
        <v>60.078253315749606</v>
      </c>
    </row>
    <row r="93" spans="2:6" x14ac:dyDescent="0.2">
      <c r="B93">
        <v>76</v>
      </c>
      <c r="C93">
        <f t="shared" si="7"/>
        <v>990.68967105635318</v>
      </c>
      <c r="D93">
        <f t="shared" si="8"/>
        <v>1720.9551896020525</v>
      </c>
      <c r="E93">
        <f t="shared" si="9"/>
        <v>0</v>
      </c>
      <c r="F93" s="30">
        <f t="shared" si="10"/>
        <v>60.072571935251339</v>
      </c>
    </row>
    <row r="94" spans="2:6" x14ac:dyDescent="0.2">
      <c r="B94">
        <v>77</v>
      </c>
      <c r="C94">
        <f t="shared" si="7"/>
        <v>991.41293989878739</v>
      </c>
      <c r="D94">
        <f t="shared" si="8"/>
        <v>1721.8171478434349</v>
      </c>
      <c r="E94">
        <f t="shared" si="9"/>
        <v>0</v>
      </c>
      <c r="F94" s="30">
        <f t="shared" si="10"/>
        <v>60.066896890622232</v>
      </c>
    </row>
    <row r="95" spans="2:6" x14ac:dyDescent="0.2">
      <c r="B95">
        <v>78</v>
      </c>
      <c r="C95">
        <f t="shared" si="7"/>
        <v>992.13620874122182</v>
      </c>
      <c r="D95">
        <f t="shared" si="8"/>
        <v>1722.6791060848175</v>
      </c>
      <c r="E95">
        <f t="shared" si="9"/>
        <v>0</v>
      </c>
      <c r="F95" s="30">
        <f t="shared" si="10"/>
        <v>60.061228171380726</v>
      </c>
    </row>
    <row r="96" spans="2:6" x14ac:dyDescent="0.2">
      <c r="B96">
        <v>79</v>
      </c>
      <c r="C96">
        <f t="shared" si="7"/>
        <v>992.85947758365603</v>
      </c>
      <c r="D96">
        <f t="shared" si="8"/>
        <v>1723.5410643262001</v>
      </c>
      <c r="E96">
        <f t="shared" si="9"/>
        <v>0</v>
      </c>
      <c r="F96" s="30">
        <f t="shared" si="10"/>
        <v>60.055565767068153</v>
      </c>
    </row>
    <row r="97" spans="2:6" x14ac:dyDescent="0.2">
      <c r="B97">
        <v>80</v>
      </c>
      <c r="C97">
        <f t="shared" si="7"/>
        <v>993.58274642609024</v>
      </c>
      <c r="D97">
        <f t="shared" si="8"/>
        <v>1724.4030225675826</v>
      </c>
      <c r="E97">
        <f t="shared" si="9"/>
        <v>0</v>
      </c>
      <c r="F97" s="30">
        <f t="shared" si="10"/>
        <v>60.049909667248571</v>
      </c>
    </row>
    <row r="98" spans="2:6" x14ac:dyDescent="0.2">
      <c r="B98">
        <v>81</v>
      </c>
      <c r="C98">
        <f t="shared" si="7"/>
        <v>994.30601526852467</v>
      </c>
      <c r="D98">
        <f t="shared" si="8"/>
        <v>1725.2649808089652</v>
      </c>
      <c r="E98">
        <f t="shared" si="9"/>
        <v>0</v>
      </c>
      <c r="F98" s="30">
        <f t="shared" si="10"/>
        <v>60.04425986150882</v>
      </c>
    </row>
    <row r="99" spans="2:6" x14ac:dyDescent="0.2">
      <c r="B99">
        <v>82</v>
      </c>
      <c r="C99">
        <f t="shared" si="7"/>
        <v>995.02928411095888</v>
      </c>
      <c r="D99">
        <f t="shared" si="8"/>
        <v>1726.1269390503478</v>
      </c>
      <c r="E99">
        <f t="shared" si="9"/>
        <v>0</v>
      </c>
      <c r="F99" s="30">
        <f t="shared" si="10"/>
        <v>60.038616339458393</v>
      </c>
    </row>
    <row r="100" spans="2:6" x14ac:dyDescent="0.2">
      <c r="B100">
        <v>83</v>
      </c>
      <c r="C100">
        <f t="shared" si="7"/>
        <v>995.75255295339332</v>
      </c>
      <c r="D100">
        <f t="shared" si="8"/>
        <v>1726.9888972917302</v>
      </c>
      <c r="E100">
        <f t="shared" si="9"/>
        <v>0</v>
      </c>
      <c r="F100" s="30">
        <f t="shared" si="10"/>
        <v>60.032979090729398</v>
      </c>
    </row>
    <row r="101" spans="2:6" x14ac:dyDescent="0.2">
      <c r="B101">
        <v>84</v>
      </c>
      <c r="C101">
        <f t="shared" si="7"/>
        <v>996.47582179582753</v>
      </c>
      <c r="D101">
        <f t="shared" si="8"/>
        <v>1727.8508555331127</v>
      </c>
      <c r="E101">
        <f t="shared" si="9"/>
        <v>0</v>
      </c>
      <c r="F101" s="30">
        <f t="shared" si="10"/>
        <v>60.027348104976511</v>
      </c>
    </row>
    <row r="102" spans="2:6" x14ac:dyDescent="0.2">
      <c r="B102">
        <v>85</v>
      </c>
      <c r="C102">
        <f t="shared" si="7"/>
        <v>997.19909063826174</v>
      </c>
      <c r="D102">
        <f t="shared" si="8"/>
        <v>1728.7128137744953</v>
      </c>
      <c r="E102">
        <f t="shared" si="9"/>
        <v>0</v>
      </c>
      <c r="F102" s="30">
        <f t="shared" si="10"/>
        <v>60.021723371876881</v>
      </c>
    </row>
    <row r="103" spans="2:6" x14ac:dyDescent="0.2">
      <c r="B103">
        <v>86</v>
      </c>
      <c r="C103">
        <f t="shared" si="7"/>
        <v>997.92235948069617</v>
      </c>
      <c r="D103">
        <f t="shared" si="8"/>
        <v>1729.5747720158779</v>
      </c>
      <c r="E103">
        <f t="shared" si="9"/>
        <v>0</v>
      </c>
      <c r="F103" s="30">
        <f t="shared" si="10"/>
        <v>60.016104881130076</v>
      </c>
    </row>
    <row r="104" spans="2:6" x14ac:dyDescent="0.2">
      <c r="B104">
        <v>87</v>
      </c>
      <c r="C104">
        <f t="shared" si="7"/>
        <v>998.64562832313038</v>
      </c>
      <c r="D104">
        <f>SIN(PI()/180*_Theta)*_vyps*B104+_yShip+_yL</f>
        <v>1730.4367302572605</v>
      </c>
      <c r="E104">
        <f t="shared" si="9"/>
        <v>0</v>
      </c>
      <c r="F104" s="30">
        <f t="shared" si="10"/>
        <v>60.010492622458067</v>
      </c>
    </row>
    <row r="105" spans="2:6" x14ac:dyDescent="0.2">
      <c r="B105">
        <v>88</v>
      </c>
      <c r="C105">
        <f t="shared" si="7"/>
        <v>999.36889716556482</v>
      </c>
      <c r="D105">
        <f t="shared" si="8"/>
        <v>1731.2986884986428</v>
      </c>
      <c r="E105">
        <f t="shared" si="9"/>
        <v>0</v>
      </c>
      <c r="F105" s="30">
        <f t="shared" si="10"/>
        <v>60.004886585605121</v>
      </c>
    </row>
    <row r="106" spans="2:6" x14ac:dyDescent="0.2">
      <c r="B106">
        <v>89</v>
      </c>
      <c r="C106">
        <f t="shared" si="7"/>
        <v>1000.092166007999</v>
      </c>
      <c r="D106">
        <f t="shared" si="8"/>
        <v>1732.1606467400254</v>
      </c>
      <c r="E106">
        <f t="shared" si="9"/>
        <v>0</v>
      </c>
      <c r="F106" s="30">
        <f t="shared" si="10"/>
        <v>59.999286760337739</v>
      </c>
    </row>
    <row r="107" spans="2:6" x14ac:dyDescent="0.2">
      <c r="B107">
        <v>90</v>
      </c>
      <c r="C107">
        <f t="shared" si="7"/>
        <v>1000.8154348504335</v>
      </c>
      <c r="D107">
        <f t="shared" si="8"/>
        <v>1733.022604981408</v>
      </c>
      <c r="E107">
        <f t="shared" si="9"/>
        <v>0</v>
      </c>
      <c r="F107" s="30">
        <f t="shared" si="10"/>
        <v>59.99369313644462</v>
      </c>
    </row>
    <row r="108" spans="2:6" x14ac:dyDescent="0.2">
      <c r="B108">
        <v>91</v>
      </c>
      <c r="C108">
        <f t="shared" si="7"/>
        <v>1001.5387036928677</v>
      </c>
      <c r="D108">
        <f t="shared" si="8"/>
        <v>1733.8845632227906</v>
      </c>
      <c r="E108">
        <f t="shared" si="9"/>
        <v>0</v>
      </c>
      <c r="F108" s="30">
        <f t="shared" si="10"/>
        <v>59.988105703736622</v>
      </c>
    </row>
    <row r="109" spans="2:6" x14ac:dyDescent="0.2">
      <c r="B109">
        <v>92</v>
      </c>
      <c r="C109">
        <f t="shared" si="7"/>
        <v>1002.2619725353019</v>
      </c>
      <c r="D109">
        <f t="shared" si="8"/>
        <v>1734.7465214641732</v>
      </c>
      <c r="E109">
        <f t="shared" si="9"/>
        <v>0</v>
      </c>
      <c r="F109" s="30">
        <f t="shared" si="10"/>
        <v>59.982524452046633</v>
      </c>
    </row>
    <row r="110" spans="2:6" x14ac:dyDescent="0.2">
      <c r="B110">
        <v>93</v>
      </c>
      <c r="C110">
        <f t="shared" si="7"/>
        <v>1002.9852413777363</v>
      </c>
      <c r="D110">
        <f t="shared" si="8"/>
        <v>1735.6084797055557</v>
      </c>
      <c r="E110">
        <f t="shared" si="9"/>
        <v>0</v>
      </c>
      <c r="F110" s="30">
        <f t="shared" si="10"/>
        <v>59.97694937122958</v>
      </c>
    </row>
    <row r="111" spans="2:6" x14ac:dyDescent="0.2">
      <c r="B111">
        <v>94</v>
      </c>
      <c r="C111">
        <f t="shared" si="7"/>
        <v>1003.7085102201705</v>
      </c>
      <c r="D111">
        <f t="shared" si="8"/>
        <v>1736.4704379469381</v>
      </c>
      <c r="E111">
        <f t="shared" si="9"/>
        <v>0</v>
      </c>
      <c r="F111" s="30">
        <f t="shared" si="10"/>
        <v>59.971380451162325</v>
      </c>
    </row>
    <row r="112" spans="2:6" x14ac:dyDescent="0.2">
      <c r="B112">
        <v>95</v>
      </c>
      <c r="C112">
        <f t="shared" si="7"/>
        <v>1004.431779062605</v>
      </c>
      <c r="D112">
        <f t="shared" si="8"/>
        <v>1737.3323961883207</v>
      </c>
      <c r="E112">
        <f t="shared" si="9"/>
        <v>0</v>
      </c>
      <c r="F112" s="30">
        <f t="shared" si="10"/>
        <v>59.965817681743665</v>
      </c>
    </row>
    <row r="113" spans="2:6" x14ac:dyDescent="0.2">
      <c r="B113">
        <v>96</v>
      </c>
      <c r="C113">
        <f t="shared" ref="C113:C144" si="11">COS(PI()/180*_Theta)*_vyps*B113+_xShip+__xL</f>
        <v>1005.1550479050392</v>
      </c>
      <c r="D113">
        <f t="shared" ref="D113:D144" si="12">SIN(PI()/180*_Theta)*_vyps*B113+_yShip+_yL</f>
        <v>1738.1943544297033</v>
      </c>
      <c r="E113">
        <f t="shared" ref="E113:E144" si="13">B113*CONVERT(CONVERT(_vSub,"kn","m/sec"),"m","yd")</f>
        <v>0</v>
      </c>
      <c r="F113" s="30">
        <f t="shared" si="10"/>
        <v>59.960261052894168</v>
      </c>
    </row>
    <row r="114" spans="2:6" x14ac:dyDescent="0.2">
      <c r="B114">
        <v>97</v>
      </c>
      <c r="C114">
        <f t="shared" si="11"/>
        <v>1005.8783167474736</v>
      </c>
      <c r="D114">
        <f t="shared" si="12"/>
        <v>1739.0563126710858</v>
      </c>
      <c r="E114">
        <f t="shared" si="13"/>
        <v>0</v>
      </c>
      <c r="F114" s="30">
        <f t="shared" si="10"/>
        <v>59.95471055455625</v>
      </c>
    </row>
    <row r="115" spans="2:6" x14ac:dyDescent="0.2">
      <c r="B115">
        <v>98</v>
      </c>
      <c r="C115">
        <f t="shared" si="11"/>
        <v>1006.6015855899078</v>
      </c>
      <c r="D115">
        <f t="shared" si="12"/>
        <v>1739.9182709124684</v>
      </c>
      <c r="E115">
        <f t="shared" si="13"/>
        <v>0</v>
      </c>
      <c r="F115" s="30">
        <f t="shared" si="10"/>
        <v>59.949166176694</v>
      </c>
    </row>
    <row r="116" spans="2:6" x14ac:dyDescent="0.2">
      <c r="B116">
        <v>99</v>
      </c>
      <c r="C116">
        <f t="shared" si="11"/>
        <v>1007.324854432342</v>
      </c>
      <c r="D116">
        <f t="shared" si="12"/>
        <v>1740.7802291538508</v>
      </c>
      <c r="E116">
        <f t="shared" si="13"/>
        <v>0</v>
      </c>
      <c r="F116" s="30">
        <f t="shared" si="10"/>
        <v>59.943627909293184</v>
      </c>
    </row>
    <row r="117" spans="2:6" x14ac:dyDescent="0.2">
      <c r="B117">
        <v>100</v>
      </c>
      <c r="C117">
        <f t="shared" si="11"/>
        <v>1008.0481232747765</v>
      </c>
      <c r="D117">
        <f t="shared" si="12"/>
        <v>1741.6421873952333</v>
      </c>
      <c r="E117">
        <f t="shared" si="13"/>
        <v>0</v>
      </c>
      <c r="F117" s="30">
        <f t="shared" si="10"/>
        <v>59.93809574236117</v>
      </c>
    </row>
    <row r="118" spans="2:6" x14ac:dyDescent="0.2">
      <c r="B118">
        <v>101</v>
      </c>
      <c r="C118">
        <f t="shared" si="11"/>
        <v>1008.7713921172107</v>
      </c>
      <c r="D118">
        <f t="shared" si="12"/>
        <v>1742.5041456366159</v>
      </c>
      <c r="E118">
        <f t="shared" si="13"/>
        <v>0</v>
      </c>
      <c r="F118" s="30">
        <f t="shared" si="10"/>
        <v>59.932569665926884</v>
      </c>
    </row>
    <row r="119" spans="2:6" x14ac:dyDescent="0.2">
      <c r="B119">
        <v>102</v>
      </c>
      <c r="C119">
        <f t="shared" si="11"/>
        <v>1009.4946609596451</v>
      </c>
      <c r="D119">
        <f t="shared" si="12"/>
        <v>1743.3661038779985</v>
      </c>
      <c r="E119">
        <f t="shared" si="13"/>
        <v>0</v>
      </c>
      <c r="F119" s="30">
        <f t="shared" si="10"/>
        <v>59.927049670040738</v>
      </c>
    </row>
    <row r="120" spans="2:6" x14ac:dyDescent="0.2">
      <c r="B120">
        <v>103</v>
      </c>
      <c r="C120">
        <f t="shared" si="11"/>
        <v>1010.2179298020793</v>
      </c>
      <c r="D120">
        <f t="shared" si="12"/>
        <v>1744.2280621193811</v>
      </c>
      <c r="E120">
        <f t="shared" si="13"/>
        <v>0</v>
      </c>
      <c r="F120" s="30">
        <f t="shared" si="10"/>
        <v>59.921535744774552</v>
      </c>
    </row>
    <row r="121" spans="2:6" x14ac:dyDescent="0.2">
      <c r="B121">
        <v>104</v>
      </c>
      <c r="C121">
        <f t="shared" si="11"/>
        <v>1010.9411986445137</v>
      </c>
      <c r="D121">
        <f t="shared" si="12"/>
        <v>1745.0900203607634</v>
      </c>
      <c r="E121">
        <f t="shared" si="13"/>
        <v>0</v>
      </c>
      <c r="F121" s="30">
        <f t="shared" si="10"/>
        <v>59.916027880221549</v>
      </c>
    </row>
    <row r="122" spans="2:6" x14ac:dyDescent="0.2">
      <c r="B122">
        <v>105</v>
      </c>
      <c r="C122">
        <f t="shared" si="11"/>
        <v>1011.664467486948</v>
      </c>
      <c r="D122">
        <f t="shared" si="12"/>
        <v>1745.951978602146</v>
      </c>
      <c r="E122">
        <f t="shared" si="13"/>
        <v>0</v>
      </c>
      <c r="F122" s="30">
        <f t="shared" si="10"/>
        <v>59.910526066496281</v>
      </c>
    </row>
    <row r="123" spans="2:6" x14ac:dyDescent="0.2">
      <c r="B123">
        <v>106</v>
      </c>
      <c r="C123">
        <f t="shared" si="11"/>
        <v>1012.3877363293822</v>
      </c>
      <c r="D123">
        <f t="shared" si="12"/>
        <v>1746.8139368435286</v>
      </c>
      <c r="E123">
        <f t="shared" si="13"/>
        <v>0</v>
      </c>
      <c r="F123" s="30">
        <f t="shared" si="10"/>
        <v>59.905030293734534</v>
      </c>
    </row>
    <row r="124" spans="2:6" x14ac:dyDescent="0.2">
      <c r="B124">
        <v>107</v>
      </c>
      <c r="C124">
        <f t="shared" si="11"/>
        <v>1013.1110051718166</v>
      </c>
      <c r="D124">
        <f t="shared" si="12"/>
        <v>1747.6758950849112</v>
      </c>
      <c r="E124">
        <f t="shared" si="13"/>
        <v>0</v>
      </c>
      <c r="F124" s="30">
        <f t="shared" si="10"/>
        <v>59.899540552093285</v>
      </c>
    </row>
    <row r="125" spans="2:6" x14ac:dyDescent="0.2">
      <c r="B125">
        <v>108</v>
      </c>
      <c r="C125">
        <f t="shared" si="11"/>
        <v>1013.8342740142508</v>
      </c>
      <c r="D125">
        <f t="shared" si="12"/>
        <v>1748.5378533262938</v>
      </c>
      <c r="E125">
        <f t="shared" si="13"/>
        <v>0</v>
      </c>
      <c r="F125" s="30">
        <f t="shared" si="10"/>
        <v>59.89405683175071</v>
      </c>
    </row>
    <row r="126" spans="2:6" x14ac:dyDescent="0.2">
      <c r="B126">
        <v>109</v>
      </c>
      <c r="C126">
        <f t="shared" si="11"/>
        <v>1014.5575428566852</v>
      </c>
      <c r="D126">
        <f t="shared" si="12"/>
        <v>1749.3998115676761</v>
      </c>
      <c r="E126">
        <f t="shared" si="13"/>
        <v>0</v>
      </c>
      <c r="F126" s="30">
        <f t="shared" si="10"/>
        <v>59.888579122906016</v>
      </c>
    </row>
    <row r="127" spans="2:6" x14ac:dyDescent="0.2">
      <c r="B127">
        <v>110</v>
      </c>
      <c r="C127">
        <f t="shared" si="11"/>
        <v>1015.2808116991195</v>
      </c>
      <c r="D127">
        <f t="shared" si="12"/>
        <v>1750.2617698090587</v>
      </c>
      <c r="E127">
        <f t="shared" si="13"/>
        <v>0</v>
      </c>
      <c r="F127" s="30">
        <f t="shared" si="10"/>
        <v>59.883107415779541</v>
      </c>
    </row>
    <row r="128" spans="2:6" x14ac:dyDescent="0.2">
      <c r="B128">
        <v>111</v>
      </c>
      <c r="C128">
        <f t="shared" si="11"/>
        <v>1016.0040805415537</v>
      </c>
      <c r="D128">
        <f t="shared" si="12"/>
        <v>1751.1237280504413</v>
      </c>
      <c r="E128">
        <f t="shared" si="13"/>
        <v>0</v>
      </c>
      <c r="F128" s="30">
        <f t="shared" si="10"/>
        <v>59.877641700612479</v>
      </c>
    </row>
    <row r="129" spans="2:6" x14ac:dyDescent="0.2">
      <c r="B129">
        <v>112</v>
      </c>
      <c r="C129">
        <f t="shared" si="11"/>
        <v>1016.7273493839881</v>
      </c>
      <c r="D129">
        <f t="shared" si="12"/>
        <v>1751.9856862918239</v>
      </c>
      <c r="E129">
        <f t="shared" si="13"/>
        <v>0</v>
      </c>
      <c r="F129" s="30">
        <f t="shared" si="10"/>
        <v>59.872181967667046</v>
      </c>
    </row>
    <row r="130" spans="2:6" x14ac:dyDescent="0.2">
      <c r="B130">
        <v>113</v>
      </c>
      <c r="C130">
        <f t="shared" si="11"/>
        <v>1017.4506182264223</v>
      </c>
      <c r="D130">
        <f t="shared" si="12"/>
        <v>1752.8476445332064</v>
      </c>
      <c r="E130">
        <f t="shared" si="13"/>
        <v>0</v>
      </c>
      <c r="F130" s="30">
        <f t="shared" si="10"/>
        <v>59.866728207226309</v>
      </c>
    </row>
    <row r="131" spans="2:6" x14ac:dyDescent="0.2">
      <c r="B131">
        <v>114</v>
      </c>
      <c r="C131">
        <f t="shared" si="11"/>
        <v>1018.1738870688567</v>
      </c>
      <c r="D131">
        <f t="shared" si="12"/>
        <v>1753.709602774589</v>
      </c>
      <c r="E131">
        <f t="shared" si="13"/>
        <v>0</v>
      </c>
      <c r="F131" s="30">
        <f t="shared" si="10"/>
        <v>59.861280409594094</v>
      </c>
    </row>
    <row r="132" spans="2:6" x14ac:dyDescent="0.2">
      <c r="B132">
        <v>115</v>
      </c>
      <c r="C132">
        <f t="shared" si="11"/>
        <v>1018.897155911291</v>
      </c>
      <c r="D132">
        <f t="shared" si="12"/>
        <v>1754.5715610159714</v>
      </c>
      <c r="E132">
        <f t="shared" si="13"/>
        <v>0</v>
      </c>
      <c r="F132" s="30">
        <f t="shared" si="10"/>
        <v>59.855838565095077</v>
      </c>
    </row>
    <row r="133" spans="2:6" x14ac:dyDescent="0.2">
      <c r="B133">
        <v>116</v>
      </c>
      <c r="C133">
        <f t="shared" si="11"/>
        <v>1019.6204247537254</v>
      </c>
      <c r="D133">
        <f t="shared" si="12"/>
        <v>1755.433519257354</v>
      </c>
      <c r="E133">
        <f t="shared" si="13"/>
        <v>0</v>
      </c>
      <c r="F133" s="30">
        <f t="shared" si="10"/>
        <v>59.850402664074572</v>
      </c>
    </row>
    <row r="134" spans="2:6" x14ac:dyDescent="0.2">
      <c r="B134">
        <v>117</v>
      </c>
      <c r="C134">
        <f t="shared" si="11"/>
        <v>1020.3436935961596</v>
      </c>
      <c r="D134">
        <f t="shared" si="12"/>
        <v>1756.2954774987365</v>
      </c>
      <c r="E134">
        <f t="shared" si="13"/>
        <v>0</v>
      </c>
      <c r="F134" s="30">
        <f t="shared" si="10"/>
        <v>59.844972696898544</v>
      </c>
    </row>
    <row r="135" spans="2:6" x14ac:dyDescent="0.2">
      <c r="B135">
        <v>118</v>
      </c>
      <c r="C135">
        <f t="shared" si="11"/>
        <v>1021.0669624385938</v>
      </c>
      <c r="D135">
        <f t="shared" si="12"/>
        <v>1757.1574357401191</v>
      </c>
      <c r="E135">
        <f t="shared" si="13"/>
        <v>0</v>
      </c>
      <c r="F135" s="30">
        <f t="shared" si="10"/>
        <v>59.839548653953607</v>
      </c>
    </row>
    <row r="136" spans="2:6" x14ac:dyDescent="0.2">
      <c r="B136">
        <v>119</v>
      </c>
      <c r="C136">
        <f t="shared" si="11"/>
        <v>1021.7902312810282</v>
      </c>
      <c r="D136">
        <f t="shared" si="12"/>
        <v>1758.0193939815017</v>
      </c>
      <c r="E136">
        <f t="shared" si="13"/>
        <v>0</v>
      </c>
      <c r="F136" s="30">
        <f t="shared" si="10"/>
        <v>59.834130525646835</v>
      </c>
    </row>
    <row r="137" spans="2:6" x14ac:dyDescent="0.2">
      <c r="B137">
        <v>120</v>
      </c>
      <c r="C137">
        <f t="shared" si="11"/>
        <v>1022.5135001234624</v>
      </c>
      <c r="D137">
        <f t="shared" si="12"/>
        <v>1758.8813522228841</v>
      </c>
      <c r="E137">
        <f t="shared" si="13"/>
        <v>0</v>
      </c>
      <c r="F137" s="30">
        <f t="shared" si="10"/>
        <v>59.828718302405882</v>
      </c>
    </row>
    <row r="138" spans="2:6" x14ac:dyDescent="0.2">
      <c r="B138">
        <v>121</v>
      </c>
      <c r="C138">
        <f t="shared" si="11"/>
        <v>1023.2367689658969</v>
      </c>
      <c r="D138">
        <f t="shared" si="12"/>
        <v>1759.7433104642666</v>
      </c>
      <c r="E138">
        <f t="shared" si="13"/>
        <v>0</v>
      </c>
      <c r="F138" s="30">
        <f t="shared" si="10"/>
        <v>59.823311974678738</v>
      </c>
    </row>
    <row r="139" spans="2:6" x14ac:dyDescent="0.2">
      <c r="B139">
        <v>122</v>
      </c>
      <c r="C139">
        <f t="shared" si="11"/>
        <v>1023.9600378083311</v>
      </c>
      <c r="D139">
        <f t="shared" si="12"/>
        <v>1760.6052687056492</v>
      </c>
      <c r="E139">
        <f t="shared" si="13"/>
        <v>0</v>
      </c>
      <c r="F139" s="30">
        <f t="shared" si="10"/>
        <v>59.817911532933856</v>
      </c>
    </row>
    <row r="140" spans="2:6" x14ac:dyDescent="0.2">
      <c r="B140">
        <v>123</v>
      </c>
      <c r="C140">
        <f t="shared" si="11"/>
        <v>1024.6833066507656</v>
      </c>
      <c r="D140">
        <f t="shared" si="12"/>
        <v>1761.4672269470318</v>
      </c>
      <c r="E140">
        <f t="shared" si="13"/>
        <v>0</v>
      </c>
      <c r="F140" s="30">
        <f t="shared" si="10"/>
        <v>59.81251696765996</v>
      </c>
    </row>
    <row r="141" spans="2:6" x14ac:dyDescent="0.2">
      <c r="B141">
        <v>124</v>
      </c>
      <c r="C141">
        <f t="shared" si="11"/>
        <v>1025.4065754931999</v>
      </c>
      <c r="D141">
        <f t="shared" si="12"/>
        <v>1762.3291851884144</v>
      </c>
      <c r="E141">
        <f t="shared" si="13"/>
        <v>0</v>
      </c>
      <c r="F141" s="30">
        <f t="shared" si="10"/>
        <v>59.807128269366061</v>
      </c>
    </row>
    <row r="142" spans="2:6" x14ac:dyDescent="0.2">
      <c r="B142">
        <v>125</v>
      </c>
      <c r="C142">
        <f t="shared" si="11"/>
        <v>1026.1298443356341</v>
      </c>
      <c r="D142">
        <f t="shared" si="12"/>
        <v>1763.191143429797</v>
      </c>
      <c r="E142">
        <f t="shared" si="13"/>
        <v>0</v>
      </c>
      <c r="F142" s="30">
        <f t="shared" si="10"/>
        <v>59.801745428581405</v>
      </c>
    </row>
    <row r="143" spans="2:6" x14ac:dyDescent="0.2">
      <c r="B143">
        <v>126</v>
      </c>
      <c r="C143">
        <f t="shared" si="11"/>
        <v>1026.8531131780685</v>
      </c>
      <c r="D143">
        <f t="shared" si="12"/>
        <v>1764.0531016711793</v>
      </c>
      <c r="E143">
        <f t="shared" si="13"/>
        <v>0</v>
      </c>
      <c r="F143" s="30">
        <f t="shared" si="10"/>
        <v>59.796368435855364</v>
      </c>
    </row>
    <row r="144" spans="2:6" x14ac:dyDescent="0.2">
      <c r="B144">
        <v>127</v>
      </c>
      <c r="C144">
        <f t="shared" si="11"/>
        <v>1027.5763820205027</v>
      </c>
      <c r="D144">
        <f t="shared" si="12"/>
        <v>1764.9150599125619</v>
      </c>
      <c r="E144">
        <f t="shared" si="13"/>
        <v>0</v>
      </c>
      <c r="F144" s="30">
        <f t="shared" si="10"/>
        <v>59.790997281757463</v>
      </c>
    </row>
    <row r="145" spans="2:6" x14ac:dyDescent="0.2">
      <c r="B145">
        <v>128</v>
      </c>
      <c r="C145">
        <f t="shared" ref="C145:C176" si="14">COS(PI()/180*_Theta)*_vyps*B145+_xShip+__xL</f>
        <v>1028.2996508629371</v>
      </c>
      <c r="D145">
        <f t="shared" ref="D145:D176" si="15">SIN(PI()/180*_Theta)*_vyps*B145+_yShip+_yL</f>
        <v>1765.7770181539445</v>
      </c>
      <c r="E145">
        <f t="shared" ref="E145:E176" si="16">B145*CONVERT(CONVERT(_vSub,"kn","m/sec"),"m","yd")</f>
        <v>0</v>
      </c>
      <c r="F145" s="30">
        <f t="shared" si="10"/>
        <v>59.785631956877239</v>
      </c>
    </row>
    <row r="146" spans="2:6" x14ac:dyDescent="0.2">
      <c r="B146">
        <v>129</v>
      </c>
      <c r="C146">
        <f t="shared" si="14"/>
        <v>1029.0229197053714</v>
      </c>
      <c r="D146">
        <f t="shared" si="15"/>
        <v>1766.6389763953271</v>
      </c>
      <c r="E146">
        <f t="shared" si="16"/>
        <v>0</v>
      </c>
      <c r="F146" s="30">
        <f t="shared" ref="F146:F209" si="17">ATAN2(C146,D146-E146)*180/PI()</f>
        <v>59.78027245182431</v>
      </c>
    </row>
    <row r="147" spans="2:6" x14ac:dyDescent="0.2">
      <c r="B147">
        <v>130</v>
      </c>
      <c r="C147">
        <f t="shared" si="14"/>
        <v>1029.7461885478058</v>
      </c>
      <c r="D147">
        <f t="shared" si="15"/>
        <v>1767.5009346367096</v>
      </c>
      <c r="E147">
        <f t="shared" si="16"/>
        <v>0</v>
      </c>
      <c r="F147" s="30">
        <f t="shared" si="17"/>
        <v>59.774918757228171</v>
      </c>
    </row>
    <row r="148" spans="2:6" x14ac:dyDescent="0.2">
      <c r="B148">
        <v>131</v>
      </c>
      <c r="C148">
        <f t="shared" si="14"/>
        <v>1030.46945739024</v>
      </c>
      <c r="D148">
        <f t="shared" si="15"/>
        <v>1768.362892878092</v>
      </c>
      <c r="E148">
        <f t="shared" si="16"/>
        <v>0</v>
      </c>
      <c r="F148" s="30">
        <f t="shared" si="17"/>
        <v>59.769570863738238</v>
      </c>
    </row>
    <row r="149" spans="2:6" x14ac:dyDescent="0.2">
      <c r="B149">
        <v>132</v>
      </c>
      <c r="C149">
        <f t="shared" si="14"/>
        <v>1031.1927262326742</v>
      </c>
      <c r="D149">
        <f t="shared" si="15"/>
        <v>1769.2248511194746</v>
      </c>
      <c r="E149">
        <f t="shared" si="16"/>
        <v>0</v>
      </c>
      <c r="F149" s="30">
        <f t="shared" si="17"/>
        <v>59.764228762023798</v>
      </c>
    </row>
    <row r="150" spans="2:6" x14ac:dyDescent="0.2">
      <c r="B150">
        <v>133</v>
      </c>
      <c r="C150">
        <f t="shared" si="14"/>
        <v>1031.9159950751086</v>
      </c>
      <c r="D150">
        <f t="shared" si="15"/>
        <v>1770.0868093608572</v>
      </c>
      <c r="E150">
        <f t="shared" si="16"/>
        <v>0</v>
      </c>
      <c r="F150" s="30">
        <f t="shared" si="17"/>
        <v>59.758892442773934</v>
      </c>
    </row>
    <row r="151" spans="2:6" x14ac:dyDescent="0.2">
      <c r="B151">
        <v>134</v>
      </c>
      <c r="C151">
        <f t="shared" si="14"/>
        <v>1032.6392639175428</v>
      </c>
      <c r="D151">
        <f t="shared" si="15"/>
        <v>1770.9487676022397</v>
      </c>
      <c r="E151">
        <f t="shared" si="16"/>
        <v>0</v>
      </c>
      <c r="F151" s="30">
        <f t="shared" si="17"/>
        <v>59.753561896697441</v>
      </c>
    </row>
    <row r="152" spans="2:6" x14ac:dyDescent="0.2">
      <c r="B152">
        <v>135</v>
      </c>
      <c r="C152">
        <f t="shared" si="14"/>
        <v>1033.3625327599773</v>
      </c>
      <c r="D152">
        <f t="shared" si="15"/>
        <v>1771.8107258436223</v>
      </c>
      <c r="E152">
        <f t="shared" si="16"/>
        <v>0</v>
      </c>
      <c r="F152" s="30">
        <f t="shared" si="17"/>
        <v>59.748237114522837</v>
      </c>
    </row>
    <row r="153" spans="2:6" x14ac:dyDescent="0.2">
      <c r="B153">
        <v>136</v>
      </c>
      <c r="C153">
        <f t="shared" si="14"/>
        <v>1034.0858016024115</v>
      </c>
      <c r="D153">
        <f t="shared" si="15"/>
        <v>1772.6726840850047</v>
      </c>
      <c r="E153">
        <f t="shared" si="16"/>
        <v>0</v>
      </c>
      <c r="F153" s="30">
        <f t="shared" si="17"/>
        <v>59.742918086998266</v>
      </c>
    </row>
    <row r="154" spans="2:6" x14ac:dyDescent="0.2">
      <c r="B154">
        <v>137</v>
      </c>
      <c r="C154">
        <f t="shared" si="14"/>
        <v>1034.8090704448459</v>
      </c>
      <c r="D154">
        <f t="shared" si="15"/>
        <v>1773.5346423263873</v>
      </c>
      <c r="E154">
        <f t="shared" si="16"/>
        <v>0</v>
      </c>
      <c r="F154" s="30">
        <f t="shared" si="17"/>
        <v>59.737604804891475</v>
      </c>
    </row>
    <row r="155" spans="2:6" x14ac:dyDescent="0.2">
      <c r="B155">
        <v>138</v>
      </c>
      <c r="C155">
        <f t="shared" si="14"/>
        <v>1035.5323392872801</v>
      </c>
      <c r="D155">
        <f t="shared" si="15"/>
        <v>1774.3966005677698</v>
      </c>
      <c r="E155">
        <f t="shared" si="16"/>
        <v>0</v>
      </c>
      <c r="F155" s="30">
        <f t="shared" si="17"/>
        <v>59.732297258989753</v>
      </c>
    </row>
    <row r="156" spans="2:6" x14ac:dyDescent="0.2">
      <c r="B156">
        <v>139</v>
      </c>
      <c r="C156">
        <f t="shared" si="14"/>
        <v>1036.2556081297143</v>
      </c>
      <c r="D156">
        <f t="shared" si="15"/>
        <v>1775.2585588091524</v>
      </c>
      <c r="E156">
        <f t="shared" si="16"/>
        <v>0</v>
      </c>
      <c r="F156" s="30">
        <f t="shared" si="17"/>
        <v>59.726995440099842</v>
      </c>
    </row>
    <row r="157" spans="2:6" x14ac:dyDescent="0.2">
      <c r="B157">
        <v>140</v>
      </c>
      <c r="C157">
        <f t="shared" si="14"/>
        <v>1036.9788769721488</v>
      </c>
      <c r="D157">
        <f t="shared" si="15"/>
        <v>1776.120517050535</v>
      </c>
      <c r="E157">
        <f t="shared" si="16"/>
        <v>0</v>
      </c>
      <c r="F157" s="30">
        <f t="shared" si="17"/>
        <v>59.721699339047944</v>
      </c>
    </row>
    <row r="158" spans="2:6" x14ac:dyDescent="0.2">
      <c r="B158">
        <v>141</v>
      </c>
      <c r="C158">
        <f t="shared" si="14"/>
        <v>1037.702145814583</v>
      </c>
      <c r="D158">
        <f t="shared" si="15"/>
        <v>1776.9824752919174</v>
      </c>
      <c r="E158">
        <f t="shared" si="16"/>
        <v>0</v>
      </c>
      <c r="F158" s="30">
        <f t="shared" si="17"/>
        <v>59.716408946679685</v>
      </c>
    </row>
    <row r="159" spans="2:6" x14ac:dyDescent="0.2">
      <c r="B159">
        <v>142</v>
      </c>
      <c r="C159">
        <f t="shared" si="14"/>
        <v>1038.4254146570174</v>
      </c>
      <c r="D159">
        <f t="shared" si="15"/>
        <v>1777.8444335332999</v>
      </c>
      <c r="E159">
        <f t="shared" si="16"/>
        <v>0</v>
      </c>
      <c r="F159" s="30">
        <f t="shared" si="17"/>
        <v>59.711124253859929</v>
      </c>
    </row>
    <row r="160" spans="2:6" x14ac:dyDescent="0.2">
      <c r="B160">
        <v>143</v>
      </c>
      <c r="C160">
        <f t="shared" si="14"/>
        <v>1039.1486834994516</v>
      </c>
      <c r="D160">
        <f t="shared" si="15"/>
        <v>1778.7063917746825</v>
      </c>
      <c r="E160">
        <f t="shared" si="16"/>
        <v>0</v>
      </c>
      <c r="F160" s="30">
        <f t="shared" si="17"/>
        <v>59.705845251472944</v>
      </c>
    </row>
    <row r="161" spans="2:6" x14ac:dyDescent="0.2">
      <c r="B161">
        <v>144</v>
      </c>
      <c r="C161">
        <f t="shared" si="14"/>
        <v>1039.8719523418858</v>
      </c>
      <c r="D161">
        <f t="shared" si="15"/>
        <v>1779.5683500160651</v>
      </c>
      <c r="E161">
        <f t="shared" si="16"/>
        <v>0</v>
      </c>
      <c r="F161" s="30">
        <f t="shared" si="17"/>
        <v>59.700571930422136</v>
      </c>
    </row>
    <row r="162" spans="2:6" x14ac:dyDescent="0.2">
      <c r="B162">
        <v>145</v>
      </c>
      <c r="C162">
        <f t="shared" si="14"/>
        <v>1040.5952211843203</v>
      </c>
      <c r="D162">
        <f t="shared" si="15"/>
        <v>1780.4303082574477</v>
      </c>
      <c r="E162">
        <f t="shared" si="16"/>
        <v>0</v>
      </c>
      <c r="F162" s="30">
        <f t="shared" si="17"/>
        <v>59.695304281630136</v>
      </c>
    </row>
    <row r="163" spans="2:6" x14ac:dyDescent="0.2">
      <c r="B163">
        <v>146</v>
      </c>
      <c r="C163">
        <f t="shared" si="14"/>
        <v>1041.3184900267545</v>
      </c>
      <c r="D163">
        <f t="shared" si="15"/>
        <v>1781.2922664988303</v>
      </c>
      <c r="E163">
        <f t="shared" si="16"/>
        <v>0</v>
      </c>
      <c r="F163" s="30">
        <f t="shared" si="17"/>
        <v>59.690042296038719</v>
      </c>
    </row>
    <row r="164" spans="2:6" x14ac:dyDescent="0.2">
      <c r="B164">
        <v>147</v>
      </c>
      <c r="C164">
        <f t="shared" si="14"/>
        <v>1042.0417588691889</v>
      </c>
      <c r="D164">
        <f t="shared" si="15"/>
        <v>1782.1542247402126</v>
      </c>
      <c r="E164">
        <f t="shared" si="16"/>
        <v>0</v>
      </c>
      <c r="F164" s="30">
        <f t="shared" si="17"/>
        <v>59.684785964608707</v>
      </c>
    </row>
    <row r="165" spans="2:6" x14ac:dyDescent="0.2">
      <c r="B165">
        <v>148</v>
      </c>
      <c r="C165">
        <f t="shared" si="14"/>
        <v>1042.7650277116231</v>
      </c>
      <c r="D165">
        <f t="shared" si="15"/>
        <v>1783.0161829815952</v>
      </c>
      <c r="E165">
        <f t="shared" si="16"/>
        <v>0</v>
      </c>
      <c r="F165" s="30">
        <f t="shared" si="17"/>
        <v>59.679535278320003</v>
      </c>
    </row>
    <row r="166" spans="2:6" x14ac:dyDescent="0.2">
      <c r="B166">
        <v>149</v>
      </c>
      <c r="C166">
        <f t="shared" si="14"/>
        <v>1043.4882965540576</v>
      </c>
      <c r="D166">
        <f t="shared" si="15"/>
        <v>1783.8781412229778</v>
      </c>
      <c r="E166">
        <f t="shared" si="16"/>
        <v>0</v>
      </c>
      <c r="F166" s="30">
        <f t="shared" si="17"/>
        <v>59.674290228171465</v>
      </c>
    </row>
    <row r="167" spans="2:6" x14ac:dyDescent="0.2">
      <c r="B167">
        <v>150</v>
      </c>
      <c r="C167">
        <f t="shared" si="14"/>
        <v>1044.2115653964918</v>
      </c>
      <c r="D167">
        <f t="shared" si="15"/>
        <v>1784.7400994643604</v>
      </c>
      <c r="E167">
        <f t="shared" si="16"/>
        <v>0</v>
      </c>
      <c r="F167" s="30">
        <f t="shared" si="17"/>
        <v>59.669050805180895</v>
      </c>
    </row>
    <row r="168" spans="2:6" x14ac:dyDescent="0.2">
      <c r="B168">
        <v>151</v>
      </c>
      <c r="C168">
        <f t="shared" si="14"/>
        <v>1044.934834238926</v>
      </c>
      <c r="D168">
        <f t="shared" si="15"/>
        <v>1785.6020577057429</v>
      </c>
      <c r="E168">
        <f t="shared" si="16"/>
        <v>0</v>
      </c>
      <c r="F168" s="30">
        <f t="shared" si="17"/>
        <v>59.663817000384952</v>
      </c>
    </row>
    <row r="169" spans="2:6" x14ac:dyDescent="0.2">
      <c r="B169">
        <v>152</v>
      </c>
      <c r="C169">
        <f t="shared" si="14"/>
        <v>1045.6581030813604</v>
      </c>
      <c r="D169">
        <f t="shared" si="15"/>
        <v>1786.4640159471253</v>
      </c>
      <c r="E169">
        <f t="shared" si="16"/>
        <v>0</v>
      </c>
      <c r="F169" s="30">
        <f t="shared" si="17"/>
        <v>59.658588804839198</v>
      </c>
    </row>
    <row r="170" spans="2:6" x14ac:dyDescent="0.2">
      <c r="B170">
        <v>153</v>
      </c>
      <c r="C170">
        <f t="shared" si="14"/>
        <v>1046.3813719237946</v>
      </c>
      <c r="D170">
        <f t="shared" si="15"/>
        <v>1787.3259741885079</v>
      </c>
      <c r="E170">
        <f t="shared" si="16"/>
        <v>0</v>
      </c>
      <c r="F170" s="30">
        <f t="shared" si="17"/>
        <v>59.653366209617936</v>
      </c>
    </row>
    <row r="171" spans="2:6" x14ac:dyDescent="0.2">
      <c r="B171">
        <v>154</v>
      </c>
      <c r="C171">
        <f t="shared" si="14"/>
        <v>1047.1046407662291</v>
      </c>
      <c r="D171">
        <f t="shared" si="15"/>
        <v>1788.1879324298905</v>
      </c>
      <c r="E171">
        <f t="shared" si="16"/>
        <v>0</v>
      </c>
      <c r="F171" s="30">
        <f t="shared" si="17"/>
        <v>59.6481492058142</v>
      </c>
    </row>
    <row r="172" spans="2:6" x14ac:dyDescent="0.2">
      <c r="B172">
        <v>155</v>
      </c>
      <c r="C172">
        <f t="shared" si="14"/>
        <v>1047.8279096086633</v>
      </c>
      <c r="D172">
        <f t="shared" si="15"/>
        <v>1789.049890671273</v>
      </c>
      <c r="E172">
        <f t="shared" si="16"/>
        <v>0</v>
      </c>
      <c r="F172" s="30">
        <f t="shared" si="17"/>
        <v>59.642937784539754</v>
      </c>
    </row>
    <row r="173" spans="2:6" x14ac:dyDescent="0.2">
      <c r="B173">
        <v>156</v>
      </c>
      <c r="C173">
        <f t="shared" si="14"/>
        <v>1048.5511784510977</v>
      </c>
      <c r="D173">
        <f t="shared" si="15"/>
        <v>1789.9118489126556</v>
      </c>
      <c r="E173">
        <f t="shared" si="16"/>
        <v>0</v>
      </c>
      <c r="F173" s="30">
        <f t="shared" si="17"/>
        <v>59.637731936924965</v>
      </c>
    </row>
    <row r="174" spans="2:6" x14ac:dyDescent="0.2">
      <c r="B174">
        <v>157</v>
      </c>
      <c r="C174">
        <f t="shared" si="14"/>
        <v>1049.2744472935319</v>
      </c>
      <c r="D174">
        <f t="shared" si="15"/>
        <v>1790.7738071540382</v>
      </c>
      <c r="E174">
        <f t="shared" si="16"/>
        <v>0</v>
      </c>
      <c r="F174" s="30">
        <f t="shared" si="17"/>
        <v>59.632531654118814</v>
      </c>
    </row>
    <row r="175" spans="2:6" x14ac:dyDescent="0.2">
      <c r="B175">
        <v>158</v>
      </c>
      <c r="C175">
        <f t="shared" si="14"/>
        <v>1049.9977161359661</v>
      </c>
      <c r="D175">
        <f t="shared" si="15"/>
        <v>1791.6357653954205</v>
      </c>
      <c r="E175">
        <f t="shared" si="16"/>
        <v>0</v>
      </c>
      <c r="F175" s="30">
        <f t="shared" si="17"/>
        <v>59.627336927288837</v>
      </c>
    </row>
    <row r="176" spans="2:6" x14ac:dyDescent="0.2">
      <c r="B176">
        <v>159</v>
      </c>
      <c r="C176">
        <f t="shared" si="14"/>
        <v>1050.7209849784006</v>
      </c>
      <c r="D176">
        <f t="shared" si="15"/>
        <v>1792.4977236368031</v>
      </c>
      <c r="E176">
        <f t="shared" si="16"/>
        <v>0</v>
      </c>
      <c r="F176" s="30">
        <f t="shared" si="17"/>
        <v>59.62214774762105</v>
      </c>
    </row>
    <row r="177" spans="2:6" x14ac:dyDescent="0.2">
      <c r="B177">
        <v>160</v>
      </c>
      <c r="C177">
        <f t="shared" ref="C177:C208" si="18">COS(PI()/180*_Theta)*_vyps*B177+_xShip+__xL</f>
        <v>1051.4442538208348</v>
      </c>
      <c r="D177">
        <f t="shared" ref="D177:D208" si="19">SIN(PI()/180*_Theta)*_vyps*B177+_yShip+_yL</f>
        <v>1793.3596818781857</v>
      </c>
      <c r="E177">
        <f t="shared" ref="E177:E208" si="20">B177*CONVERT(CONVERT(_vSub,"kn","m/sec"),"m","yd")</f>
        <v>0</v>
      </c>
      <c r="F177" s="30">
        <f t="shared" si="17"/>
        <v>59.616964106319934</v>
      </c>
    </row>
    <row r="178" spans="2:6" x14ac:dyDescent="0.2">
      <c r="B178">
        <v>161</v>
      </c>
      <c r="C178">
        <f t="shared" si="18"/>
        <v>1052.1675226632692</v>
      </c>
      <c r="D178">
        <f t="shared" si="19"/>
        <v>1794.2216401195683</v>
      </c>
      <c r="E178">
        <f t="shared" si="20"/>
        <v>0</v>
      </c>
      <c r="F178" s="30">
        <f t="shared" si="17"/>
        <v>59.61178599460834</v>
      </c>
    </row>
    <row r="179" spans="2:6" x14ac:dyDescent="0.2">
      <c r="B179">
        <v>162</v>
      </c>
      <c r="C179">
        <f t="shared" si="18"/>
        <v>1052.8907915057034</v>
      </c>
      <c r="D179">
        <f t="shared" si="19"/>
        <v>1795.0835983609506</v>
      </c>
      <c r="E179">
        <f t="shared" si="20"/>
        <v>0</v>
      </c>
      <c r="F179" s="30">
        <f t="shared" si="17"/>
        <v>59.606613403727529</v>
      </c>
    </row>
    <row r="180" spans="2:6" x14ac:dyDescent="0.2">
      <c r="B180">
        <v>163</v>
      </c>
      <c r="C180">
        <f t="shared" si="18"/>
        <v>1053.6140603481376</v>
      </c>
      <c r="D180">
        <f t="shared" si="19"/>
        <v>1795.9455566023332</v>
      </c>
      <c r="E180">
        <f t="shared" si="20"/>
        <v>0</v>
      </c>
      <c r="F180" s="30">
        <f t="shared" si="17"/>
        <v>59.601446324937001</v>
      </c>
    </row>
    <row r="181" spans="2:6" x14ac:dyDescent="0.2">
      <c r="B181">
        <v>164</v>
      </c>
      <c r="C181">
        <f t="shared" si="18"/>
        <v>1054.3373291905721</v>
      </c>
      <c r="D181">
        <f t="shared" si="19"/>
        <v>1796.8075148437158</v>
      </c>
      <c r="E181">
        <f t="shared" si="20"/>
        <v>0</v>
      </c>
      <c r="F181" s="30">
        <f t="shared" si="17"/>
        <v>59.596284749514574</v>
      </c>
    </row>
    <row r="182" spans="2:6" x14ac:dyDescent="0.2">
      <c r="B182">
        <v>165</v>
      </c>
      <c r="C182">
        <f t="shared" si="18"/>
        <v>1055.0605980330063</v>
      </c>
      <c r="D182">
        <f t="shared" si="19"/>
        <v>1797.6694730850984</v>
      </c>
      <c r="E182">
        <f t="shared" si="20"/>
        <v>0</v>
      </c>
      <c r="F182" s="30">
        <f t="shared" si="17"/>
        <v>59.591128668756262</v>
      </c>
    </row>
    <row r="183" spans="2:6" x14ac:dyDescent="0.2">
      <c r="B183">
        <v>166</v>
      </c>
      <c r="C183">
        <f t="shared" si="18"/>
        <v>1055.7838668754407</v>
      </c>
      <c r="D183">
        <f t="shared" si="19"/>
        <v>1798.531431326481</v>
      </c>
      <c r="E183">
        <f t="shared" si="20"/>
        <v>0</v>
      </c>
      <c r="F183" s="30">
        <f t="shared" si="17"/>
        <v>59.585978073976229</v>
      </c>
    </row>
    <row r="184" spans="2:6" x14ac:dyDescent="0.2">
      <c r="B184">
        <v>167</v>
      </c>
      <c r="C184">
        <f t="shared" si="18"/>
        <v>1056.5071357178749</v>
      </c>
      <c r="D184">
        <f t="shared" si="19"/>
        <v>1799.3933895678636</v>
      </c>
      <c r="E184">
        <f t="shared" si="20"/>
        <v>0</v>
      </c>
      <c r="F184" s="30">
        <f t="shared" si="17"/>
        <v>59.580832956506768</v>
      </c>
    </row>
    <row r="185" spans="2:6" x14ac:dyDescent="0.2">
      <c r="B185">
        <v>168</v>
      </c>
      <c r="C185">
        <f t="shared" si="18"/>
        <v>1057.2304045603094</v>
      </c>
      <c r="D185">
        <f t="shared" si="19"/>
        <v>1800.2553478092459</v>
      </c>
      <c r="E185">
        <f t="shared" si="20"/>
        <v>0</v>
      </c>
      <c r="F185" s="30">
        <f t="shared" si="17"/>
        <v>59.575693307698238</v>
      </c>
    </row>
    <row r="186" spans="2:6" x14ac:dyDescent="0.2">
      <c r="B186">
        <v>169</v>
      </c>
      <c r="C186">
        <f t="shared" si="18"/>
        <v>1057.9536734027436</v>
      </c>
      <c r="D186">
        <f t="shared" si="19"/>
        <v>1801.1173060506285</v>
      </c>
      <c r="E186">
        <f t="shared" si="20"/>
        <v>0</v>
      </c>
      <c r="F186" s="30">
        <f t="shared" si="17"/>
        <v>59.570559118919036</v>
      </c>
    </row>
    <row r="187" spans="2:6" x14ac:dyDescent="0.2">
      <c r="B187">
        <v>170</v>
      </c>
      <c r="C187">
        <f t="shared" si="18"/>
        <v>1058.6769422451778</v>
      </c>
      <c r="D187">
        <f t="shared" si="19"/>
        <v>1801.9792642920111</v>
      </c>
      <c r="E187">
        <f t="shared" si="20"/>
        <v>0</v>
      </c>
      <c r="F187" s="30">
        <f t="shared" si="17"/>
        <v>59.565430381555529</v>
      </c>
    </row>
    <row r="188" spans="2:6" x14ac:dyDescent="0.2">
      <c r="B188">
        <v>171</v>
      </c>
      <c r="C188">
        <f t="shared" si="18"/>
        <v>1059.4002110876122</v>
      </c>
      <c r="D188">
        <f t="shared" si="19"/>
        <v>1802.8412225333936</v>
      </c>
      <c r="E188">
        <f t="shared" si="20"/>
        <v>0</v>
      </c>
      <c r="F188" s="30">
        <f t="shared" si="17"/>
        <v>59.560307087011999</v>
      </c>
    </row>
    <row r="189" spans="2:6" x14ac:dyDescent="0.2">
      <c r="B189">
        <v>172</v>
      </c>
      <c r="C189">
        <f t="shared" si="18"/>
        <v>1060.1234799300464</v>
      </c>
      <c r="D189">
        <f t="shared" si="19"/>
        <v>1803.7031807747762</v>
      </c>
      <c r="E189">
        <f t="shared" si="20"/>
        <v>0</v>
      </c>
      <c r="F189" s="30">
        <f t="shared" si="17"/>
        <v>59.555189226710688</v>
      </c>
    </row>
    <row r="190" spans="2:6" x14ac:dyDescent="0.2">
      <c r="B190">
        <v>173</v>
      </c>
      <c r="C190">
        <f t="shared" si="18"/>
        <v>1060.8467487724809</v>
      </c>
      <c r="D190">
        <f t="shared" si="19"/>
        <v>1804.5651390161586</v>
      </c>
      <c r="E190">
        <f t="shared" si="20"/>
        <v>0</v>
      </c>
      <c r="F190" s="30">
        <f t="shared" si="17"/>
        <v>59.550076792091552</v>
      </c>
    </row>
    <row r="191" spans="2:6" x14ac:dyDescent="0.2">
      <c r="B191">
        <v>174</v>
      </c>
      <c r="C191">
        <f t="shared" si="18"/>
        <v>1061.5700176149151</v>
      </c>
      <c r="D191">
        <f t="shared" si="19"/>
        <v>1805.4270972575412</v>
      </c>
      <c r="E191">
        <f t="shared" si="20"/>
        <v>0</v>
      </c>
      <c r="F191" s="30">
        <f t="shared" si="17"/>
        <v>59.544969774612468</v>
      </c>
    </row>
    <row r="192" spans="2:6" x14ac:dyDescent="0.2">
      <c r="B192">
        <v>175</v>
      </c>
      <c r="C192">
        <f t="shared" si="18"/>
        <v>1062.2932864573495</v>
      </c>
      <c r="D192">
        <f t="shared" si="19"/>
        <v>1806.2890554989237</v>
      </c>
      <c r="E192">
        <f t="shared" si="20"/>
        <v>0</v>
      </c>
      <c r="F192" s="30">
        <f t="shared" si="17"/>
        <v>59.53986816574897</v>
      </c>
    </row>
    <row r="193" spans="2:6" x14ac:dyDescent="0.2">
      <c r="B193">
        <v>176</v>
      </c>
      <c r="C193">
        <f t="shared" si="18"/>
        <v>1063.0165552997837</v>
      </c>
      <c r="D193">
        <f t="shared" si="19"/>
        <v>1807.1510137403063</v>
      </c>
      <c r="E193">
        <f t="shared" si="20"/>
        <v>0</v>
      </c>
      <c r="F193" s="30">
        <f t="shared" si="17"/>
        <v>59.534771956994355</v>
      </c>
    </row>
    <row r="194" spans="2:6" x14ac:dyDescent="0.2">
      <c r="B194">
        <v>177</v>
      </c>
      <c r="C194">
        <f t="shared" si="18"/>
        <v>1063.7398241422179</v>
      </c>
      <c r="D194">
        <f t="shared" si="19"/>
        <v>1808.0129719816889</v>
      </c>
      <c r="E194">
        <f t="shared" si="20"/>
        <v>0</v>
      </c>
      <c r="F194" s="30">
        <f t="shared" si="17"/>
        <v>59.529681139859562</v>
      </c>
    </row>
    <row r="195" spans="2:6" x14ac:dyDescent="0.2">
      <c r="B195">
        <v>178</v>
      </c>
      <c r="C195">
        <f t="shared" si="18"/>
        <v>1064.4630929846523</v>
      </c>
      <c r="D195">
        <f t="shared" si="19"/>
        <v>1808.8749302230715</v>
      </c>
      <c r="E195">
        <f t="shared" si="20"/>
        <v>0</v>
      </c>
      <c r="F195" s="30">
        <f t="shared" si="17"/>
        <v>59.524595705873111</v>
      </c>
    </row>
    <row r="196" spans="2:6" x14ac:dyDescent="0.2">
      <c r="B196">
        <v>179</v>
      </c>
      <c r="C196">
        <f t="shared" si="18"/>
        <v>1065.1863618270866</v>
      </c>
      <c r="D196">
        <f t="shared" si="19"/>
        <v>1809.7368884644538</v>
      </c>
      <c r="E196">
        <f t="shared" si="20"/>
        <v>0</v>
      </c>
      <c r="F196" s="30">
        <f t="shared" si="17"/>
        <v>59.519515646581119</v>
      </c>
    </row>
    <row r="197" spans="2:6" x14ac:dyDescent="0.2">
      <c r="B197">
        <v>180</v>
      </c>
      <c r="C197">
        <f t="shared" si="18"/>
        <v>1065.909630669521</v>
      </c>
      <c r="D197">
        <f t="shared" si="19"/>
        <v>1810.5988467058364</v>
      </c>
      <c r="E197">
        <f t="shared" si="20"/>
        <v>0</v>
      </c>
      <c r="F197" s="30">
        <f t="shared" si="17"/>
        <v>59.514440953547229</v>
      </c>
    </row>
    <row r="198" spans="2:6" x14ac:dyDescent="0.2">
      <c r="B198">
        <v>181</v>
      </c>
      <c r="C198">
        <f t="shared" si="18"/>
        <v>1066.6328995119552</v>
      </c>
      <c r="D198">
        <f t="shared" si="19"/>
        <v>1811.460804947219</v>
      </c>
      <c r="E198">
        <f t="shared" si="20"/>
        <v>0</v>
      </c>
      <c r="F198" s="30">
        <f t="shared" si="17"/>
        <v>59.509371618352546</v>
      </c>
    </row>
    <row r="199" spans="2:6" x14ac:dyDescent="0.2">
      <c r="B199">
        <v>182</v>
      </c>
      <c r="C199">
        <f t="shared" si="18"/>
        <v>1067.3561683543894</v>
      </c>
      <c r="D199">
        <f t="shared" si="19"/>
        <v>1812.3227631886016</v>
      </c>
      <c r="E199">
        <f t="shared" si="20"/>
        <v>0</v>
      </c>
      <c r="F199" s="30">
        <f t="shared" si="17"/>
        <v>59.504307632595605</v>
      </c>
    </row>
    <row r="200" spans="2:6" x14ac:dyDescent="0.2">
      <c r="B200">
        <v>183</v>
      </c>
      <c r="C200">
        <f t="shared" si="18"/>
        <v>1068.0794371968238</v>
      </c>
      <c r="D200">
        <f t="shared" si="19"/>
        <v>1813.1847214299842</v>
      </c>
      <c r="E200">
        <f t="shared" si="20"/>
        <v>0</v>
      </c>
      <c r="F200" s="30">
        <f t="shared" si="17"/>
        <v>59.499248987892337</v>
      </c>
    </row>
    <row r="201" spans="2:6" x14ac:dyDescent="0.2">
      <c r="B201">
        <v>184</v>
      </c>
      <c r="C201">
        <f t="shared" si="18"/>
        <v>1068.8027060392581</v>
      </c>
      <c r="D201">
        <f t="shared" si="19"/>
        <v>1814.0466796713665</v>
      </c>
      <c r="E201">
        <f t="shared" si="20"/>
        <v>0</v>
      </c>
      <c r="F201" s="30">
        <f t="shared" si="17"/>
        <v>59.494195675876036</v>
      </c>
    </row>
    <row r="202" spans="2:6" x14ac:dyDescent="0.2">
      <c r="B202">
        <v>185</v>
      </c>
      <c r="C202">
        <f t="shared" si="18"/>
        <v>1069.5259748816925</v>
      </c>
      <c r="D202">
        <f t="shared" si="19"/>
        <v>1814.9086379127491</v>
      </c>
      <c r="E202">
        <f t="shared" si="20"/>
        <v>0</v>
      </c>
      <c r="F202" s="30">
        <f t="shared" si="17"/>
        <v>59.489147688197242</v>
      </c>
    </row>
    <row r="203" spans="2:6" x14ac:dyDescent="0.2">
      <c r="B203">
        <v>186</v>
      </c>
      <c r="C203">
        <f t="shared" si="18"/>
        <v>1070.2492437241267</v>
      </c>
      <c r="D203">
        <f t="shared" si="19"/>
        <v>1815.7705961541317</v>
      </c>
      <c r="E203">
        <f t="shared" si="20"/>
        <v>0</v>
      </c>
      <c r="F203" s="30">
        <f t="shared" si="17"/>
        <v>59.484105016523813</v>
      </c>
    </row>
    <row r="204" spans="2:6" x14ac:dyDescent="0.2">
      <c r="B204">
        <v>187</v>
      </c>
      <c r="C204">
        <f t="shared" si="18"/>
        <v>1070.9725125665611</v>
      </c>
      <c r="D204">
        <f t="shared" si="19"/>
        <v>1816.6325543955143</v>
      </c>
      <c r="E204">
        <f t="shared" si="20"/>
        <v>0</v>
      </c>
      <c r="F204" s="30">
        <f t="shared" si="17"/>
        <v>59.47906765254077</v>
      </c>
    </row>
    <row r="205" spans="2:6" x14ac:dyDescent="0.2">
      <c r="B205">
        <v>188</v>
      </c>
      <c r="C205">
        <f t="shared" si="18"/>
        <v>1071.6957814089953</v>
      </c>
      <c r="D205">
        <f t="shared" si="19"/>
        <v>1817.4945126368968</v>
      </c>
      <c r="E205">
        <f t="shared" si="20"/>
        <v>0</v>
      </c>
      <c r="F205" s="30">
        <f t="shared" si="17"/>
        <v>59.474035587950304</v>
      </c>
    </row>
    <row r="206" spans="2:6" x14ac:dyDescent="0.2">
      <c r="B206">
        <v>189</v>
      </c>
      <c r="C206">
        <f t="shared" si="18"/>
        <v>1072.4190502514298</v>
      </c>
      <c r="D206">
        <f t="shared" si="19"/>
        <v>1818.3564708782794</v>
      </c>
      <c r="E206">
        <f t="shared" si="20"/>
        <v>0</v>
      </c>
      <c r="F206" s="30">
        <f t="shared" si="17"/>
        <v>59.469008814471771</v>
      </c>
    </row>
    <row r="207" spans="2:6" x14ac:dyDescent="0.2">
      <c r="B207">
        <v>190</v>
      </c>
      <c r="C207">
        <f t="shared" si="18"/>
        <v>1073.142319093864</v>
      </c>
      <c r="D207">
        <f t="shared" si="19"/>
        <v>1819.2184291196618</v>
      </c>
      <c r="E207">
        <f t="shared" si="20"/>
        <v>0</v>
      </c>
      <c r="F207" s="30">
        <f t="shared" si="17"/>
        <v>59.46398732384155</v>
      </c>
    </row>
    <row r="208" spans="2:6" x14ac:dyDescent="0.2">
      <c r="B208">
        <v>191</v>
      </c>
      <c r="C208">
        <f t="shared" si="18"/>
        <v>1073.8655879362982</v>
      </c>
      <c r="D208">
        <f t="shared" si="19"/>
        <v>1820.0803873610444</v>
      </c>
      <c r="E208">
        <f t="shared" si="20"/>
        <v>0</v>
      </c>
      <c r="F208" s="30">
        <f t="shared" si="17"/>
        <v>59.458971107813113</v>
      </c>
    </row>
    <row r="209" spans="2:6" x14ac:dyDescent="0.2">
      <c r="B209">
        <v>192</v>
      </c>
      <c r="C209">
        <f t="shared" ref="C209:C216" si="21">COS(PI()/180*_Theta)*_vyps*B209+_xShip+__xL</f>
        <v>1074.5888567787326</v>
      </c>
      <c r="D209">
        <f t="shared" ref="D209:D216" si="22">SIN(PI()/180*_Theta)*_vyps*B209+_yShip+_yL</f>
        <v>1820.9423456024269</v>
      </c>
      <c r="E209">
        <f t="shared" ref="E209:E216" si="23">B209*CONVERT(CONVERT(_vSub,"kn","m/sec"),"m","yd")</f>
        <v>0</v>
      </c>
      <c r="F209" s="30">
        <f t="shared" si="17"/>
        <v>59.453960158156853</v>
      </c>
    </row>
    <row r="210" spans="2:6" x14ac:dyDescent="0.2">
      <c r="B210">
        <v>193</v>
      </c>
      <c r="C210">
        <f t="shared" si="21"/>
        <v>1075.3121256211668</v>
      </c>
      <c r="D210">
        <f t="shared" si="22"/>
        <v>1821.8043038438095</v>
      </c>
      <c r="E210">
        <f t="shared" si="23"/>
        <v>0</v>
      </c>
      <c r="F210" s="30">
        <f t="shared" ref="F210:F216" si="24">ATAN2(C210,D210-E210)*180/PI()</f>
        <v>59.448954466660169</v>
      </c>
    </row>
    <row r="211" spans="2:6" x14ac:dyDescent="0.2">
      <c r="B211">
        <v>194</v>
      </c>
      <c r="C211">
        <f t="shared" si="21"/>
        <v>1076.0353944636013</v>
      </c>
      <c r="D211">
        <f t="shared" si="22"/>
        <v>1822.6662620851919</v>
      </c>
      <c r="E211">
        <f t="shared" si="23"/>
        <v>0</v>
      </c>
      <c r="F211" s="30">
        <f t="shared" si="24"/>
        <v>59.443954025127354</v>
      </c>
    </row>
    <row r="212" spans="2:6" x14ac:dyDescent="0.2">
      <c r="B212">
        <v>195</v>
      </c>
      <c r="C212">
        <f t="shared" si="21"/>
        <v>1076.7586633060355</v>
      </c>
      <c r="D212">
        <f t="shared" si="22"/>
        <v>1823.5282203265745</v>
      </c>
      <c r="E212">
        <f t="shared" si="23"/>
        <v>0</v>
      </c>
      <c r="F212" s="30">
        <f t="shared" si="24"/>
        <v>59.438958825379558</v>
      </c>
    </row>
    <row r="213" spans="2:6" x14ac:dyDescent="0.2">
      <c r="B213">
        <v>196</v>
      </c>
      <c r="C213">
        <f t="shared" si="21"/>
        <v>1077.4819321484697</v>
      </c>
      <c r="D213">
        <f t="shared" si="22"/>
        <v>1824.390178567957</v>
      </c>
      <c r="E213">
        <f t="shared" si="23"/>
        <v>0</v>
      </c>
      <c r="F213" s="30">
        <f t="shared" si="24"/>
        <v>59.433968859254726</v>
      </c>
    </row>
    <row r="214" spans="2:6" x14ac:dyDescent="0.2">
      <c r="B214">
        <v>197</v>
      </c>
      <c r="C214">
        <f t="shared" si="21"/>
        <v>1078.2052009909041</v>
      </c>
      <c r="D214">
        <f t="shared" si="22"/>
        <v>1825.2521368093396</v>
      </c>
      <c r="E214">
        <f t="shared" si="23"/>
        <v>0</v>
      </c>
      <c r="F214" s="30">
        <f t="shared" si="24"/>
        <v>59.428984118607637</v>
      </c>
    </row>
    <row r="215" spans="2:6" x14ac:dyDescent="0.2">
      <c r="B215">
        <v>198</v>
      </c>
      <c r="C215">
        <f t="shared" si="21"/>
        <v>1078.9284698333383</v>
      </c>
      <c r="D215">
        <f t="shared" si="22"/>
        <v>1826.1140950507222</v>
      </c>
      <c r="E215">
        <f t="shared" si="23"/>
        <v>0</v>
      </c>
      <c r="F215" s="30">
        <f t="shared" si="24"/>
        <v>59.424004595309746</v>
      </c>
    </row>
    <row r="216" spans="2:6" x14ac:dyDescent="0.2">
      <c r="B216">
        <v>199</v>
      </c>
      <c r="C216">
        <f t="shared" si="21"/>
        <v>1079.6517386757728</v>
      </c>
      <c r="D216">
        <f t="shared" si="22"/>
        <v>1826.9760532921048</v>
      </c>
      <c r="E216">
        <f t="shared" si="23"/>
        <v>0</v>
      </c>
      <c r="F216" s="30">
        <f t="shared" si="24"/>
        <v>59.419030281249235</v>
      </c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434AD6-609A-4984-A47E-CE86E855F2FD}">
  <dimension ref="A1:M12"/>
  <sheetViews>
    <sheetView workbookViewId="0">
      <selection activeCell="B12" sqref="B4:B12"/>
    </sheetView>
  </sheetViews>
  <sheetFormatPr defaultRowHeight="12.75" x14ac:dyDescent="0.2"/>
  <cols>
    <col min="1" max="1" width="17.28515625" bestFit="1" customWidth="1"/>
    <col min="2" max="2" width="17.28515625" customWidth="1"/>
    <col min="3" max="3" width="9" bestFit="1" customWidth="1"/>
    <col min="4" max="4" width="10" bestFit="1" customWidth="1"/>
    <col min="5" max="5" width="9" bestFit="1" customWidth="1"/>
    <col min="6" max="6" width="10" bestFit="1" customWidth="1"/>
    <col min="7" max="7" width="9" bestFit="1" customWidth="1"/>
    <col min="8" max="8" width="10" bestFit="1" customWidth="1"/>
    <col min="9" max="9" width="9" bestFit="1" customWidth="1"/>
    <col min="10" max="10" width="10" bestFit="1" customWidth="1"/>
    <col min="11" max="11" width="9" bestFit="1" customWidth="1"/>
    <col min="12" max="12" width="10" bestFit="1" customWidth="1"/>
    <col min="13" max="13" width="44.28515625" customWidth="1"/>
  </cols>
  <sheetData>
    <row r="1" spans="1:13" x14ac:dyDescent="0.2">
      <c r="C1" s="35" t="s">
        <v>164</v>
      </c>
      <c r="D1" s="35"/>
      <c r="E1" s="35"/>
      <c r="F1" s="35"/>
      <c r="G1" s="35"/>
      <c r="H1" s="35"/>
      <c r="I1" s="35"/>
      <c r="J1" s="35"/>
      <c r="K1" s="36" t="s">
        <v>165</v>
      </c>
      <c r="L1" s="36"/>
    </row>
    <row r="2" spans="1:13" x14ac:dyDescent="0.2">
      <c r="C2" s="34">
        <v>1</v>
      </c>
      <c r="D2" s="34"/>
      <c r="E2" s="34">
        <v>2</v>
      </c>
      <c r="F2" s="34"/>
      <c r="G2" s="34">
        <v>3</v>
      </c>
      <c r="H2" s="34"/>
      <c r="I2" s="34">
        <v>4</v>
      </c>
      <c r="J2" s="34"/>
      <c r="K2" s="37" t="s">
        <v>160</v>
      </c>
      <c r="L2" s="37" t="s">
        <v>160</v>
      </c>
    </row>
    <row r="3" spans="1:13" ht="13.5" thickBot="1" x14ac:dyDescent="0.25">
      <c r="A3" s="32" t="s">
        <v>163</v>
      </c>
      <c r="B3" s="32" t="s">
        <v>166</v>
      </c>
      <c r="C3" s="33" t="s">
        <v>161</v>
      </c>
      <c r="D3" s="33" t="s">
        <v>162</v>
      </c>
      <c r="E3" s="33" t="s">
        <v>161</v>
      </c>
      <c r="F3" s="33" t="s">
        <v>162</v>
      </c>
      <c r="G3" s="33" t="s">
        <v>161</v>
      </c>
      <c r="H3" s="33" t="s">
        <v>162</v>
      </c>
      <c r="I3" s="33" t="s">
        <v>161</v>
      </c>
      <c r="J3" s="33" t="s">
        <v>162</v>
      </c>
      <c r="K3" s="33" t="s">
        <v>161</v>
      </c>
      <c r="L3" s="33" t="s">
        <v>162</v>
      </c>
      <c r="M3" s="32" t="s">
        <v>169</v>
      </c>
    </row>
    <row r="4" spans="1:13" ht="13.5" thickTop="1" x14ac:dyDescent="0.2">
      <c r="A4" s="31">
        <v>46012.479166666664</v>
      </c>
      <c r="B4" s="31" t="s">
        <v>168</v>
      </c>
      <c r="C4">
        <v>135</v>
      </c>
      <c r="D4">
        <v>77</v>
      </c>
      <c r="E4">
        <v>139</v>
      </c>
      <c r="F4">
        <v>74</v>
      </c>
      <c r="G4">
        <v>146</v>
      </c>
      <c r="H4">
        <v>80</v>
      </c>
      <c r="I4">
        <v>141</v>
      </c>
      <c r="J4">
        <v>78</v>
      </c>
      <c r="K4" cm="1">
        <f t="array" ref="K4">ROUND(AVERAGE(_xlfn._xlws.FILTER($C4:$J4,($C$3:$J$3=K$3)*(--ISNUMBER(C4:J4)))),0)</f>
        <v>140</v>
      </c>
      <c r="L4" cm="1">
        <f t="array" ref="L4">ROUND(AVERAGE(_xlfn._xlws.FILTER($C4:$J4,($C$3:$J$3=L$3)*(--ISNUMBER(C4:J4)))),0)</f>
        <v>77</v>
      </c>
    </row>
    <row r="5" spans="1:13" x14ac:dyDescent="0.2">
      <c r="A5" s="31">
        <v>46013.916666666664</v>
      </c>
      <c r="B5" s="31" t="s">
        <v>168</v>
      </c>
      <c r="C5">
        <v>114</v>
      </c>
      <c r="D5">
        <v>73</v>
      </c>
      <c r="E5">
        <v>116</v>
      </c>
      <c r="F5">
        <v>67</v>
      </c>
      <c r="G5">
        <v>117</v>
      </c>
      <c r="H5">
        <v>74</v>
      </c>
      <c r="I5">
        <v>107</v>
      </c>
      <c r="J5">
        <v>78</v>
      </c>
      <c r="K5" cm="1">
        <f t="array" ref="K5">ROUND(AVERAGE(_xlfn._xlws.FILTER($C5:$J5,($C$3:$J$3=K$3)*(--ISNUMBER(C5:J5)))),0)</f>
        <v>114</v>
      </c>
      <c r="L5" cm="1">
        <f t="array" ref="L5">ROUND(AVERAGE(_xlfn._xlws.FILTER($C5:$J5,($C$3:$J$3=L$3)*(--ISNUMBER(C5:J5)))),0)</f>
        <v>73</v>
      </c>
    </row>
    <row r="6" spans="1:13" x14ac:dyDescent="0.2">
      <c r="A6" s="31">
        <v>46014.583333333336</v>
      </c>
      <c r="B6" s="31" t="s">
        <v>167</v>
      </c>
      <c r="C6">
        <v>133</v>
      </c>
      <c r="D6">
        <v>85</v>
      </c>
      <c r="E6">
        <v>135</v>
      </c>
      <c r="F6">
        <v>85</v>
      </c>
      <c r="G6">
        <v>132</v>
      </c>
      <c r="H6">
        <v>86</v>
      </c>
      <c r="I6">
        <v>132</v>
      </c>
      <c r="J6">
        <v>82</v>
      </c>
      <c r="K6" cm="1">
        <f t="array" ref="K6">ROUND(AVERAGE(_xlfn._xlws.FILTER($C6:$J6,($C$3:$J$3=K$3)*(--ISNUMBER(C6:J6)))),0)</f>
        <v>133</v>
      </c>
      <c r="L6" cm="1">
        <f t="array" ref="L6">ROUND(AVERAGE(_xlfn._xlws.FILTER($C6:$J6,($C$3:$J$3=L$3)*(--ISNUMBER(C6:J6)))),0)</f>
        <v>85</v>
      </c>
      <c r="M6" t="s">
        <v>170</v>
      </c>
    </row>
    <row r="7" spans="1:13" x14ac:dyDescent="0.2">
      <c r="A7" s="31">
        <v>46014.770833333336</v>
      </c>
      <c r="B7" s="31" t="s">
        <v>167</v>
      </c>
      <c r="C7">
        <v>141</v>
      </c>
      <c r="D7">
        <v>80</v>
      </c>
      <c r="K7" cm="1">
        <f t="array" ref="K7">ROUND(AVERAGE(_xlfn._xlws.FILTER($C7:$J7,($C$3:$J$3=K$3)*(--ISNUMBER(C7:J7)))),0)</f>
        <v>141</v>
      </c>
      <c r="L7" cm="1">
        <f t="array" ref="L7">ROUND(AVERAGE(_xlfn._xlws.FILTER($C7:$J7,($C$3:$J$3=L$3)*(--ISNUMBER(C7:J7)))),0)</f>
        <v>80</v>
      </c>
    </row>
    <row r="8" spans="1:13" x14ac:dyDescent="0.2">
      <c r="A8" s="31">
        <v>46014.854166666664</v>
      </c>
      <c r="B8" s="31" t="s">
        <v>168</v>
      </c>
      <c r="C8">
        <v>131</v>
      </c>
      <c r="D8">
        <v>74</v>
      </c>
      <c r="E8">
        <v>130</v>
      </c>
      <c r="F8">
        <v>82</v>
      </c>
      <c r="G8">
        <v>140</v>
      </c>
      <c r="H8">
        <v>77</v>
      </c>
      <c r="I8" s="29"/>
      <c r="K8" cm="1">
        <f t="array" ref="K8">ROUND(AVERAGE(_xlfn._xlws.FILTER($C8:$J8,($C$3:$J$3=K$3)*(--ISNUMBER(C8:J8)))),0)</f>
        <v>134</v>
      </c>
      <c r="L8" cm="1">
        <f t="array" ref="L8">ROUND(AVERAGE(_xlfn._xlws.FILTER($C8:$J8,($C$3:$J$3=L$3)*(--ISNUMBER(C8:J8)))),0)</f>
        <v>78</v>
      </c>
    </row>
    <row r="9" spans="1:13" x14ac:dyDescent="0.2">
      <c r="A9" s="31">
        <v>46014.895833333336</v>
      </c>
      <c r="B9" s="31" t="s">
        <v>168</v>
      </c>
      <c r="C9">
        <v>129</v>
      </c>
      <c r="D9">
        <v>69</v>
      </c>
      <c r="E9">
        <v>129</v>
      </c>
      <c r="F9">
        <v>69</v>
      </c>
      <c r="G9">
        <v>132</v>
      </c>
      <c r="H9">
        <v>70</v>
      </c>
      <c r="K9" cm="1">
        <f t="array" ref="K9">ROUND(AVERAGE(_xlfn._xlws.FILTER($C9:$J9,($C$3:$J$3=K$3)*(--ISNUMBER(C9:J9)))),0)</f>
        <v>130</v>
      </c>
      <c r="L9" cm="1">
        <f t="array" ref="L9">ROUND(AVERAGE(_xlfn._xlws.FILTER($C9:$J9,($C$3:$J$3=L$3)*(--ISNUMBER(C9:J9)))),0)</f>
        <v>69</v>
      </c>
    </row>
    <row r="10" spans="1:13" x14ac:dyDescent="0.2">
      <c r="A10" s="31">
        <v>46014.931944444441</v>
      </c>
      <c r="B10" s="31" t="s">
        <v>167</v>
      </c>
      <c r="C10">
        <v>139</v>
      </c>
      <c r="D10">
        <v>75</v>
      </c>
      <c r="K10" cm="1">
        <f t="array" ref="K10">ROUND(AVERAGE(_xlfn._xlws.FILTER($C10:$J10,($C$3:$J$3=K$3)*(--ISNUMBER(C10:J10)))),0)</f>
        <v>139</v>
      </c>
      <c r="L10" cm="1">
        <f t="array" ref="L10">ROUND(AVERAGE(_xlfn._xlws.FILTER($C10:$J10,($C$3:$J$3=L$3)*(--ISNUMBER(C10:J10)))),0)</f>
        <v>75</v>
      </c>
    </row>
    <row r="11" spans="1:13" x14ac:dyDescent="0.2">
      <c r="A11" s="31">
        <v>46020.90625</v>
      </c>
      <c r="B11" s="31" t="s">
        <v>168</v>
      </c>
      <c r="C11">
        <v>136</v>
      </c>
      <c r="D11">
        <v>72</v>
      </c>
      <c r="E11">
        <v>138</v>
      </c>
      <c r="F11">
        <v>71</v>
      </c>
      <c r="G11">
        <v>138</v>
      </c>
      <c r="H11">
        <v>75</v>
      </c>
      <c r="I11">
        <v>139</v>
      </c>
      <c r="J11">
        <v>70</v>
      </c>
      <c r="K11" cm="1">
        <f t="array" ref="K11">ROUND(AVERAGE(_xlfn._xlws.FILTER($C11:$J11,($C$3:$J$3=K$3)*(--ISNUMBER(C11:J11)))),0)</f>
        <v>138</v>
      </c>
      <c r="L11" cm="1">
        <f t="array" ref="L11">ROUND(AVERAGE(_xlfn._xlws.FILTER($C11:$J11,($C$3:$J$3=L$3)*(--ISNUMBER(C11:J11)))),0)</f>
        <v>72</v>
      </c>
    </row>
    <row r="12" spans="1:13" x14ac:dyDescent="0.2">
      <c r="A12" s="31">
        <v>46020.9375</v>
      </c>
      <c r="B12" s="31" t="s">
        <v>167</v>
      </c>
      <c r="C12">
        <v>143</v>
      </c>
      <c r="D12">
        <v>79</v>
      </c>
      <c r="K12" cm="1">
        <f t="array" ref="K12">ROUND(AVERAGE(_xlfn._xlws.FILTER($C12:$J12,($C$3:$J$3=K$3)*(--ISNUMBER(C12:J12)))),0)</f>
        <v>143</v>
      </c>
      <c r="L12" cm="1">
        <f t="array" ref="L12">ROUND(AVERAGE(_xlfn._xlws.FILTER($C12:$J12,($C$3:$J$3=L$3)*(--ISNUMBER(C12:J12)))),0)</f>
        <v>79</v>
      </c>
    </row>
  </sheetData>
  <autoFilter ref="A3:M3" xr:uid="{17434AD6-609A-4984-A47E-CE86E855F2FD}"/>
  <pageMargins left="0.7" right="0.7" top="0.75" bottom="0.75" header="0.3" footer="0.3"/>
  <pageSetup orientation="portrait" horizontalDpi="0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61932A-FBAC-4264-8A5F-50165E7C663D}">
  <dimension ref="A1:R64"/>
  <sheetViews>
    <sheetView topLeftCell="A40" workbookViewId="0">
      <selection activeCell="G52" sqref="G52"/>
    </sheetView>
  </sheetViews>
  <sheetFormatPr defaultRowHeight="12.75" x14ac:dyDescent="0.2"/>
  <sheetData>
    <row r="1" spans="1:3" x14ac:dyDescent="0.2">
      <c r="A1" s="27" t="s">
        <v>49</v>
      </c>
      <c r="B1" s="26" t="s">
        <v>48</v>
      </c>
      <c r="C1" s="26"/>
    </row>
    <row r="2" spans="1:3" x14ac:dyDescent="0.2">
      <c r="A2" s="27" t="s">
        <v>47</v>
      </c>
      <c r="B2" s="26"/>
      <c r="C2" s="26"/>
    </row>
    <row r="3" spans="1:3" x14ac:dyDescent="0.2">
      <c r="A3" s="27" t="s">
        <v>46</v>
      </c>
      <c r="B3" s="26" t="str" cm="1">
        <f t="array" aca="1" ref="B3" ca="1">HD_Date</f>
        <v>07-Feb-2026</v>
      </c>
      <c r="C3" s="26"/>
    </row>
    <row r="43" spans="4:12" x14ac:dyDescent="0.2">
      <c r="E43" t="s">
        <v>50</v>
      </c>
      <c r="F43" t="s">
        <v>50</v>
      </c>
      <c r="G43" t="s">
        <v>50</v>
      </c>
      <c r="H43" t="s">
        <v>51</v>
      </c>
    </row>
    <row r="44" spans="4:12" x14ac:dyDescent="0.2">
      <c r="D44" t="s">
        <v>50</v>
      </c>
      <c r="F44" t="s">
        <v>53</v>
      </c>
      <c r="G44" t="s">
        <v>53</v>
      </c>
      <c r="H44" t="s">
        <v>52</v>
      </c>
      <c r="J44" t="str" cm="1">
        <f t="array" ref="J44:J55">_xlfn._xlws.SORT(_xlfn.TOCOL(E44:H47,TRUE))</f>
        <v>BB</v>
      </c>
      <c r="K44" t="str" cm="1">
        <f t="array" ref="K44:L46">_xlfn.GROUPBY(_xlfn.ANCHORARRAY(J44),_xlfn.ANCHORARRAY(J44),_xleta.COUNTA)</f>
        <v>BB</v>
      </c>
      <c r="L44">
        <v>6</v>
      </c>
    </row>
    <row r="45" spans="4:12" x14ac:dyDescent="0.2">
      <c r="D45" t="s">
        <v>50</v>
      </c>
      <c r="E45" t="s">
        <v>53</v>
      </c>
      <c r="G45" t="s">
        <v>53</v>
      </c>
      <c r="H45" t="s">
        <v>52</v>
      </c>
      <c r="J45" t="str">
        <v>BB</v>
      </c>
      <c r="K45" t="str">
        <v>BR</v>
      </c>
      <c r="L45">
        <v>6</v>
      </c>
    </row>
    <row r="46" spans="4:12" x14ac:dyDescent="0.2">
      <c r="D46" t="s">
        <v>50</v>
      </c>
      <c r="E46" t="s">
        <v>53</v>
      </c>
      <c r="F46" t="s">
        <v>53</v>
      </c>
      <c r="H46" t="s">
        <v>52</v>
      </c>
      <c r="J46" t="str">
        <v>BB</v>
      </c>
      <c r="K46" t="str">
        <v>Total</v>
      </c>
      <c r="L46">
        <v>12</v>
      </c>
    </row>
    <row r="47" spans="4:12" x14ac:dyDescent="0.2">
      <c r="D47" t="s">
        <v>51</v>
      </c>
      <c r="E47" t="s">
        <v>52</v>
      </c>
      <c r="F47" t="s">
        <v>52</v>
      </c>
      <c r="G47" t="s">
        <v>52</v>
      </c>
      <c r="J47" t="str">
        <v>BB</v>
      </c>
    </row>
    <row r="48" spans="4:12" x14ac:dyDescent="0.2">
      <c r="J48" t="str">
        <v>BB</v>
      </c>
    </row>
    <row r="49" spans="4:18" x14ac:dyDescent="0.2">
      <c r="J49" t="str">
        <v>BB</v>
      </c>
    </row>
    <row r="50" spans="4:18" x14ac:dyDescent="0.2">
      <c r="J50" t="str">
        <v>BR</v>
      </c>
    </row>
    <row r="51" spans="4:18" x14ac:dyDescent="0.2">
      <c r="J51" t="str">
        <v>BR</v>
      </c>
    </row>
    <row r="52" spans="4:18" x14ac:dyDescent="0.2">
      <c r="J52" t="str">
        <v>BR</v>
      </c>
    </row>
    <row r="53" spans="4:18" x14ac:dyDescent="0.2">
      <c r="J53" t="str">
        <v>BR</v>
      </c>
    </row>
    <row r="54" spans="4:18" x14ac:dyDescent="0.2">
      <c r="J54" t="str">
        <v>BR</v>
      </c>
    </row>
    <row r="55" spans="4:18" x14ac:dyDescent="0.2">
      <c r="J55" t="str">
        <v>BR</v>
      </c>
    </row>
    <row r="58" spans="4:18" x14ac:dyDescent="0.2">
      <c r="E58" t="s">
        <v>50</v>
      </c>
      <c r="F58" t="s">
        <v>50</v>
      </c>
      <c r="G58" t="s">
        <v>51</v>
      </c>
      <c r="N58">
        <f>COMBIN(4,3)</f>
        <v>4</v>
      </c>
      <c r="O58">
        <f>(0.75)^2</f>
        <v>0.5625</v>
      </c>
      <c r="P58" t="str">
        <f ca="1">_xlfn.FORMULATEXT(O58)</f>
        <v>=(0.75)^2</v>
      </c>
      <c r="R58" t="s">
        <v>55</v>
      </c>
    </row>
    <row r="59" spans="4:18" x14ac:dyDescent="0.2">
      <c r="D59" t="s">
        <v>50</v>
      </c>
      <c r="F59" t="s">
        <v>53</v>
      </c>
      <c r="G59" t="s">
        <v>52</v>
      </c>
      <c r="J59" t="str" cm="1">
        <f t="array" ref="J59:J64">_xlfn._xlws.SORT(_xlfn.TOCOL(E59:G61,TRUE))</f>
        <v>BB</v>
      </c>
      <c r="K59" t="str" cm="1">
        <f t="array" ref="K59:L61">_xlfn.GROUPBY(_xlfn.ANCHORARRAY(J59),_xlfn.ANCHORARRAY(J59),_xleta.COUNTA)</f>
        <v>BB</v>
      </c>
      <c r="L59">
        <v>4</v>
      </c>
      <c r="R59" t="s">
        <v>56</v>
      </c>
    </row>
    <row r="60" spans="4:18" x14ac:dyDescent="0.2">
      <c r="D60" t="s">
        <v>50</v>
      </c>
      <c r="E60" t="s">
        <v>53</v>
      </c>
      <c r="G60" t="s">
        <v>52</v>
      </c>
      <c r="J60" t="str">
        <v>BB</v>
      </c>
      <c r="K60" t="str">
        <v>BR</v>
      </c>
      <c r="L60">
        <v>2</v>
      </c>
      <c r="O60">
        <f>(3/4)*(2/3)</f>
        <v>0.5</v>
      </c>
      <c r="P60" t="str">
        <f ca="1">_xlfn.FORMULATEXT(O60)</f>
        <v>=(3/4)*(2/3)</v>
      </c>
      <c r="R60" t="s">
        <v>54</v>
      </c>
    </row>
    <row r="61" spans="4:18" x14ac:dyDescent="0.2">
      <c r="D61" t="s">
        <v>50</v>
      </c>
      <c r="E61" t="s">
        <v>53</v>
      </c>
      <c r="F61" t="s">
        <v>53</v>
      </c>
      <c r="J61" t="str">
        <v>BB</v>
      </c>
      <c r="K61" t="str">
        <v>Total</v>
      </c>
      <c r="L61">
        <v>6</v>
      </c>
    </row>
    <row r="62" spans="4:18" x14ac:dyDescent="0.2">
      <c r="J62" t="str">
        <v>BB</v>
      </c>
    </row>
    <row r="63" spans="4:18" x14ac:dyDescent="0.2">
      <c r="J63" t="str">
        <v>BR</v>
      </c>
    </row>
    <row r="64" spans="4:18" x14ac:dyDescent="0.2">
      <c r="J64" t="str">
        <v>BR</v>
      </c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5877F3-E7D5-4CF8-8A2B-48C1D89B0166}">
  <dimension ref="B2:Q47"/>
  <sheetViews>
    <sheetView topLeftCell="A21" workbookViewId="0">
      <selection activeCell="H36" sqref="H36"/>
    </sheetView>
  </sheetViews>
  <sheetFormatPr defaultRowHeight="12.75" x14ac:dyDescent="0.2"/>
  <cols>
    <col min="2" max="2" width="7.85546875" customWidth="1"/>
    <col min="3" max="3" width="10.85546875" customWidth="1"/>
    <col min="4" max="4" width="8.85546875" customWidth="1"/>
    <col min="5" max="5" width="12.85546875" customWidth="1"/>
    <col min="6" max="6" width="5.85546875" customWidth="1"/>
  </cols>
  <sheetData>
    <row r="2" spans="2:17" x14ac:dyDescent="0.2">
      <c r="B2" t="s">
        <v>57</v>
      </c>
      <c r="C2" t="s">
        <v>58</v>
      </c>
      <c r="D2" t="s">
        <v>59</v>
      </c>
      <c r="E2" t="s">
        <v>60</v>
      </c>
      <c r="F2" t="s">
        <v>61</v>
      </c>
    </row>
    <row r="3" spans="2:17" x14ac:dyDescent="0.2">
      <c r="B3" t="s">
        <v>62</v>
      </c>
      <c r="C3" t="s">
        <v>68</v>
      </c>
      <c r="E3" t="s">
        <v>72</v>
      </c>
      <c r="H3">
        <f>'2025'!I3511</f>
        <v>0</v>
      </c>
      <c r="M3" t="b" cm="1">
        <f t="array" ref="M3:Q3">_xlfn.BYCOL(Table1[#All],_xleta.COUNTA)&gt;1</f>
        <v>1</v>
      </c>
      <c r="N3" t="b">
        <v>1</v>
      </c>
      <c r="O3" t="b">
        <v>0</v>
      </c>
      <c r="P3" t="b">
        <v>1</v>
      </c>
      <c r="Q3" t="b">
        <v>0</v>
      </c>
    </row>
    <row r="4" spans="2:17" x14ac:dyDescent="0.2">
      <c r="B4" t="s">
        <v>63</v>
      </c>
      <c r="C4" t="s">
        <v>69</v>
      </c>
      <c r="E4" t="s">
        <v>73</v>
      </c>
    </row>
    <row r="5" spans="2:17" x14ac:dyDescent="0.2">
      <c r="B5" t="s">
        <v>64</v>
      </c>
      <c r="E5" t="s">
        <v>74</v>
      </c>
    </row>
    <row r="6" spans="2:17" x14ac:dyDescent="0.2">
      <c r="B6" t="s">
        <v>65</v>
      </c>
      <c r="C6" t="s">
        <v>70</v>
      </c>
    </row>
    <row r="7" spans="2:17" x14ac:dyDescent="0.2">
      <c r="B7" t="s">
        <v>66</v>
      </c>
      <c r="E7" t="s">
        <v>72</v>
      </c>
    </row>
    <row r="8" spans="2:17" x14ac:dyDescent="0.2">
      <c r="B8" t="s">
        <v>67</v>
      </c>
      <c r="C8" t="s">
        <v>71</v>
      </c>
      <c r="E8" t="s">
        <v>75</v>
      </c>
    </row>
    <row r="35" spans="2:11" x14ac:dyDescent="0.2">
      <c r="B35" t="s">
        <v>541</v>
      </c>
      <c r="C35" t="s">
        <v>50</v>
      </c>
      <c r="D35" t="s">
        <v>542</v>
      </c>
      <c r="E35" t="s">
        <v>543</v>
      </c>
    </row>
    <row r="36" spans="2:11" x14ac:dyDescent="0.2">
      <c r="B36" t="s">
        <v>544</v>
      </c>
      <c r="C36">
        <v>1</v>
      </c>
      <c r="D36">
        <v>3</v>
      </c>
      <c r="E36">
        <v>1</v>
      </c>
      <c r="H36" t="str" cm="1">
        <f t="array" ref="H36:K45">_xlfn.GROUPBY(B35:D47,E35:E47,_xleta.SUM,3,1,,,0)</f>
        <v>A</v>
      </c>
      <c r="I36" t="str">
        <v>B</v>
      </c>
      <c r="J36" t="str">
        <v>C</v>
      </c>
      <c r="K36" t="str">
        <v>Value</v>
      </c>
    </row>
    <row r="37" spans="2:11" x14ac:dyDescent="0.2">
      <c r="B37" t="s">
        <v>545</v>
      </c>
      <c r="C37">
        <v>2</v>
      </c>
      <c r="D37">
        <v>3</v>
      </c>
      <c r="E37">
        <v>2</v>
      </c>
      <c r="H37" t="str">
        <v>Craig</v>
      </c>
      <c r="I37">
        <v>2</v>
      </c>
      <c r="J37">
        <v>3</v>
      </c>
      <c r="K37">
        <v>2</v>
      </c>
    </row>
    <row r="38" spans="2:11" x14ac:dyDescent="0.2">
      <c r="B38" t="s">
        <v>546</v>
      </c>
      <c r="C38">
        <v>1</v>
      </c>
      <c r="D38">
        <v>3</v>
      </c>
      <c r="E38">
        <v>3</v>
      </c>
      <c r="H38" t="str">
        <v>Craig</v>
      </c>
      <c r="I38">
        <v>2</v>
      </c>
      <c r="J38">
        <v>4</v>
      </c>
      <c r="K38">
        <v>16</v>
      </c>
    </row>
    <row r="39" spans="2:11" x14ac:dyDescent="0.2">
      <c r="B39" t="s">
        <v>547</v>
      </c>
      <c r="C39">
        <v>2</v>
      </c>
      <c r="D39">
        <v>4</v>
      </c>
      <c r="E39">
        <v>4</v>
      </c>
      <c r="H39" t="str">
        <v>Mark</v>
      </c>
      <c r="I39">
        <v>1</v>
      </c>
      <c r="J39">
        <v>3</v>
      </c>
      <c r="K39">
        <v>1</v>
      </c>
    </row>
    <row r="40" spans="2:11" x14ac:dyDescent="0.2">
      <c r="B40" t="s">
        <v>544</v>
      </c>
      <c r="C40">
        <v>1</v>
      </c>
      <c r="D40">
        <v>4</v>
      </c>
      <c r="E40">
        <v>5</v>
      </c>
      <c r="H40" t="str">
        <v>Mark</v>
      </c>
      <c r="I40">
        <v>1</v>
      </c>
      <c r="J40">
        <v>4</v>
      </c>
      <c r="K40">
        <v>14</v>
      </c>
    </row>
    <row r="41" spans="2:11" x14ac:dyDescent="0.2">
      <c r="B41" t="s">
        <v>545</v>
      </c>
      <c r="C41">
        <v>2</v>
      </c>
      <c r="D41">
        <v>4</v>
      </c>
      <c r="E41">
        <v>6</v>
      </c>
      <c r="H41" t="str">
        <v>Pat</v>
      </c>
      <c r="I41">
        <v>2</v>
      </c>
      <c r="J41">
        <v>3</v>
      </c>
      <c r="K41">
        <v>20</v>
      </c>
    </row>
    <row r="42" spans="2:11" x14ac:dyDescent="0.2">
      <c r="B42" t="s">
        <v>546</v>
      </c>
      <c r="C42">
        <v>1</v>
      </c>
      <c r="D42">
        <v>4</v>
      </c>
      <c r="E42">
        <v>7</v>
      </c>
      <c r="H42" t="str">
        <v>Pat</v>
      </c>
      <c r="I42">
        <v>2</v>
      </c>
      <c r="J42">
        <v>4</v>
      </c>
      <c r="K42">
        <v>4</v>
      </c>
    </row>
    <row r="43" spans="2:11" x14ac:dyDescent="0.2">
      <c r="B43" t="s">
        <v>547</v>
      </c>
      <c r="C43">
        <v>2</v>
      </c>
      <c r="D43">
        <v>3</v>
      </c>
      <c r="E43">
        <v>8</v>
      </c>
      <c r="H43" t="str">
        <v>Tim</v>
      </c>
      <c r="I43">
        <v>1</v>
      </c>
      <c r="J43">
        <v>3</v>
      </c>
      <c r="K43">
        <v>14</v>
      </c>
    </row>
    <row r="44" spans="2:11" x14ac:dyDescent="0.2">
      <c r="B44" t="s">
        <v>544</v>
      </c>
      <c r="C44">
        <v>1</v>
      </c>
      <c r="D44">
        <v>4</v>
      </c>
      <c r="E44">
        <v>9</v>
      </c>
      <c r="H44" t="str">
        <v>Tim</v>
      </c>
      <c r="I44">
        <v>1</v>
      </c>
      <c r="J44">
        <v>4</v>
      </c>
      <c r="K44">
        <v>7</v>
      </c>
    </row>
    <row r="45" spans="2:11" x14ac:dyDescent="0.2">
      <c r="B45" t="s">
        <v>545</v>
      </c>
      <c r="C45">
        <v>2</v>
      </c>
      <c r="D45">
        <v>4</v>
      </c>
      <c r="E45">
        <v>10</v>
      </c>
      <c r="H45" t="str">
        <v>Total</v>
      </c>
      <c r="I45" t="str">
        <v/>
      </c>
      <c r="J45" t="str">
        <v/>
      </c>
      <c r="K45">
        <v>78</v>
      </c>
    </row>
    <row r="46" spans="2:11" x14ac:dyDescent="0.2">
      <c r="B46" t="s">
        <v>546</v>
      </c>
      <c r="C46">
        <v>1</v>
      </c>
      <c r="D46">
        <v>3</v>
      </c>
      <c r="E46">
        <v>11</v>
      </c>
    </row>
    <row r="47" spans="2:11" x14ac:dyDescent="0.2">
      <c r="B47" t="s">
        <v>547</v>
      </c>
      <c r="C47">
        <v>2</v>
      </c>
      <c r="D47">
        <v>3</v>
      </c>
      <c r="E47">
        <v>12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55D86F-E8EF-4CA8-9428-C38CD865B658}">
  <dimension ref="B5:E16"/>
  <sheetViews>
    <sheetView workbookViewId="0">
      <selection activeCell="M15" sqref="M15"/>
    </sheetView>
  </sheetViews>
  <sheetFormatPr defaultRowHeight="12.75" x14ac:dyDescent="0.2"/>
  <cols>
    <col min="3" max="3" width="15.140625" bestFit="1" customWidth="1"/>
  </cols>
  <sheetData>
    <row r="5" spans="2:5" x14ac:dyDescent="0.2">
      <c r="B5" t="s">
        <v>548</v>
      </c>
      <c r="C5" s="45" t="s">
        <v>541</v>
      </c>
      <c r="D5" s="45" t="s">
        <v>50</v>
      </c>
      <c r="E5" s="45" t="s">
        <v>542</v>
      </c>
    </row>
    <row r="6" spans="2:5" x14ac:dyDescent="0.2">
      <c r="B6" t="s">
        <v>544</v>
      </c>
      <c r="C6" s="45">
        <v>17</v>
      </c>
      <c r="D6" s="45">
        <v>45</v>
      </c>
      <c r="E6" s="45">
        <v>10</v>
      </c>
    </row>
    <row r="7" spans="2:5" x14ac:dyDescent="0.2">
      <c r="B7" t="s">
        <v>544</v>
      </c>
      <c r="C7" s="45">
        <v>16</v>
      </c>
      <c r="D7" s="45">
        <v>80</v>
      </c>
      <c r="E7" s="45">
        <v>61</v>
      </c>
    </row>
    <row r="8" spans="2:5" x14ac:dyDescent="0.2">
      <c r="B8" t="s">
        <v>544</v>
      </c>
      <c r="C8" s="45">
        <v>23</v>
      </c>
      <c r="D8" s="45">
        <v>13</v>
      </c>
      <c r="E8" s="45">
        <v>57</v>
      </c>
    </row>
    <row r="9" spans="2:5" x14ac:dyDescent="0.2">
      <c r="B9" t="s">
        <v>545</v>
      </c>
      <c r="C9" s="45">
        <v>79</v>
      </c>
      <c r="D9" s="45">
        <v>90</v>
      </c>
      <c r="E9" s="45">
        <v>77</v>
      </c>
    </row>
    <row r="10" spans="2:5" x14ac:dyDescent="0.2">
      <c r="B10" t="s">
        <v>546</v>
      </c>
      <c r="C10" s="45">
        <v>90</v>
      </c>
      <c r="D10" s="45">
        <v>54</v>
      </c>
      <c r="E10" s="45">
        <v>55</v>
      </c>
    </row>
    <row r="11" spans="2:5" x14ac:dyDescent="0.2">
      <c r="B11" t="s">
        <v>547</v>
      </c>
      <c r="C11" s="45">
        <v>31</v>
      </c>
      <c r="D11" s="45">
        <v>74</v>
      </c>
      <c r="E11" s="45">
        <v>85</v>
      </c>
    </row>
    <row r="12" spans="2:5" x14ac:dyDescent="0.2">
      <c r="B12" t="s">
        <v>549</v>
      </c>
      <c r="C12" s="45">
        <v>33</v>
      </c>
      <c r="D12" s="45">
        <v>81</v>
      </c>
      <c r="E12" s="45">
        <v>96</v>
      </c>
    </row>
    <row r="13" spans="2:5" x14ac:dyDescent="0.2">
      <c r="B13" t="s">
        <v>549</v>
      </c>
      <c r="C13" s="45">
        <v>77</v>
      </c>
      <c r="D13" s="45">
        <v>30</v>
      </c>
      <c r="E13" s="45">
        <v>86</v>
      </c>
    </row>
    <row r="14" spans="2:5" x14ac:dyDescent="0.2">
      <c r="B14" t="s">
        <v>549</v>
      </c>
      <c r="C14" s="45">
        <v>27</v>
      </c>
      <c r="D14" s="45">
        <v>8</v>
      </c>
      <c r="E14" s="45">
        <v>42</v>
      </c>
    </row>
    <row r="15" spans="2:5" x14ac:dyDescent="0.2">
      <c r="B15" t="s">
        <v>550</v>
      </c>
      <c r="C15" s="45">
        <v>31</v>
      </c>
      <c r="D15" s="45">
        <v>62</v>
      </c>
      <c r="E15" s="45">
        <v>52</v>
      </c>
    </row>
    <row r="16" spans="2:5" x14ac:dyDescent="0.2">
      <c r="B16" t="s">
        <v>551</v>
      </c>
    </row>
  </sheetData>
  <autoFilter ref="B5:E16" xr:uid="{CF55D86F-E8EF-4CA8-9428-C38CD865B658}"/>
  <pageMargins left="0.7" right="0.7" top="0.75" bottom="0.75" header="0.3" footer="0.3"/>
  <pageSetup orientation="portrait" horizontalDpi="0" verticalDpi="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0B6392-A3FC-4640-A431-63B47D718E66}">
  <dimension ref="A1:AB31"/>
  <sheetViews>
    <sheetView topLeftCell="K1" workbookViewId="0">
      <selection activeCell="AH31" sqref="AH31"/>
    </sheetView>
  </sheetViews>
  <sheetFormatPr defaultRowHeight="12.75" x14ac:dyDescent="0.2"/>
  <cols>
    <col min="11" max="11" width="11" bestFit="1" customWidth="1"/>
  </cols>
  <sheetData>
    <row r="1" spans="1:28" x14ac:dyDescent="0.2">
      <c r="A1" s="27" t="s">
        <v>49</v>
      </c>
      <c r="B1" s="26" t="s">
        <v>48</v>
      </c>
      <c r="C1" s="26"/>
      <c r="K1" t="s">
        <v>128</v>
      </c>
      <c r="L1" s="28" t="s">
        <v>129</v>
      </c>
    </row>
    <row r="2" spans="1:28" x14ac:dyDescent="0.2">
      <c r="A2" s="27" t="s">
        <v>47</v>
      </c>
      <c r="B2" s="26"/>
      <c r="C2" s="26"/>
      <c r="K2" t="s">
        <v>127</v>
      </c>
      <c r="L2" s="28" t="s">
        <v>129</v>
      </c>
      <c r="M2" t="s">
        <v>130</v>
      </c>
    </row>
    <row r="3" spans="1:28" x14ac:dyDescent="0.2">
      <c r="A3" s="27" t="s">
        <v>46</v>
      </c>
      <c r="B3" s="26" t="str" cm="1">
        <f t="array" aca="1" ref="B3" ca="1">HD_Date</f>
        <v>07-Feb-2026</v>
      </c>
      <c r="C3" s="26"/>
    </row>
    <row r="6" spans="1:28" x14ac:dyDescent="0.2">
      <c r="U6" t="s">
        <v>77</v>
      </c>
      <c r="V6">
        <v>2</v>
      </c>
      <c r="W6">
        <v>3</v>
      </c>
      <c r="X6">
        <v>4</v>
      </c>
      <c r="Y6">
        <v>5</v>
      </c>
      <c r="Z6">
        <v>6</v>
      </c>
      <c r="AA6">
        <v>7</v>
      </c>
      <c r="AB6">
        <v>8</v>
      </c>
    </row>
    <row r="7" spans="1:28" x14ac:dyDescent="0.2"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</row>
    <row r="8" spans="1:28" x14ac:dyDescent="0.2">
      <c r="U8">
        <v>5</v>
      </c>
      <c r="V8" t="s">
        <v>78</v>
      </c>
      <c r="W8" t="s">
        <v>79</v>
      </c>
      <c r="X8" t="s">
        <v>80</v>
      </c>
      <c r="Y8" t="s">
        <v>81</v>
      </c>
      <c r="Z8" t="s">
        <v>82</v>
      </c>
      <c r="AA8" t="s">
        <v>83</v>
      </c>
      <c r="AB8" t="s">
        <v>84</v>
      </c>
    </row>
    <row r="9" spans="1:28" x14ac:dyDescent="0.2">
      <c r="U9">
        <v>10</v>
      </c>
      <c r="V9" t="s">
        <v>80</v>
      </c>
      <c r="W9" t="s">
        <v>85</v>
      </c>
      <c r="X9" t="s">
        <v>84</v>
      </c>
      <c r="Y9" t="s">
        <v>86</v>
      </c>
      <c r="Z9" t="s">
        <v>87</v>
      </c>
      <c r="AA9" t="s">
        <v>88</v>
      </c>
      <c r="AB9" t="s">
        <v>89</v>
      </c>
    </row>
    <row r="10" spans="1:28" x14ac:dyDescent="0.2">
      <c r="U10">
        <v>15</v>
      </c>
      <c r="V10" t="s">
        <v>90</v>
      </c>
      <c r="W10" t="s">
        <v>91</v>
      </c>
      <c r="X10" t="s">
        <v>92</v>
      </c>
      <c r="Y10" t="s">
        <v>93</v>
      </c>
      <c r="Z10" t="s">
        <v>94</v>
      </c>
      <c r="AA10" t="s">
        <v>95</v>
      </c>
      <c r="AB10" t="s">
        <v>96</v>
      </c>
    </row>
    <row r="11" spans="1:28" x14ac:dyDescent="0.2">
      <c r="U11">
        <v>20</v>
      </c>
      <c r="V11" t="s">
        <v>97</v>
      </c>
      <c r="W11" t="s">
        <v>98</v>
      </c>
      <c r="X11" t="s">
        <v>99</v>
      </c>
      <c r="Y11" t="s">
        <v>100</v>
      </c>
      <c r="Z11" t="s">
        <v>101</v>
      </c>
      <c r="AA11" t="s">
        <v>102</v>
      </c>
      <c r="AB11" t="s">
        <v>103</v>
      </c>
    </row>
    <row r="12" spans="1:28" x14ac:dyDescent="0.2">
      <c r="U12">
        <v>25</v>
      </c>
      <c r="V12" t="s">
        <v>104</v>
      </c>
      <c r="W12" t="s">
        <v>105</v>
      </c>
      <c r="X12" t="s">
        <v>106</v>
      </c>
      <c r="Y12" t="s">
        <v>107</v>
      </c>
      <c r="Z12" t="s">
        <v>108</v>
      </c>
      <c r="AA12" t="s">
        <v>109</v>
      </c>
      <c r="AB12" t="s">
        <v>110</v>
      </c>
    </row>
    <row r="13" spans="1:28" x14ac:dyDescent="0.2">
      <c r="U13">
        <v>30</v>
      </c>
      <c r="V13" t="s">
        <v>111</v>
      </c>
      <c r="W13" t="s">
        <v>112</v>
      </c>
      <c r="X13" t="s">
        <v>113</v>
      </c>
      <c r="Y13" t="s">
        <v>114</v>
      </c>
      <c r="Z13" t="s">
        <v>115</v>
      </c>
      <c r="AA13" t="s">
        <v>116</v>
      </c>
      <c r="AB13" t="s">
        <v>117</v>
      </c>
    </row>
    <row r="14" spans="1:28" x14ac:dyDescent="0.2">
      <c r="U14">
        <v>35</v>
      </c>
      <c r="V14" t="s">
        <v>105</v>
      </c>
      <c r="W14" t="s">
        <v>118</v>
      </c>
      <c r="X14" t="s">
        <v>108</v>
      </c>
      <c r="Y14">
        <v>3.5</v>
      </c>
      <c r="Z14" t="s">
        <v>119</v>
      </c>
      <c r="AA14" t="s">
        <v>120</v>
      </c>
      <c r="AB14">
        <v>5.6</v>
      </c>
    </row>
    <row r="15" spans="1:28" x14ac:dyDescent="0.2">
      <c r="U15">
        <v>40</v>
      </c>
      <c r="V15" t="s">
        <v>121</v>
      </c>
      <c r="W15" t="s">
        <v>122</v>
      </c>
      <c r="X15" t="s">
        <v>123</v>
      </c>
      <c r="Y15" t="s">
        <v>119</v>
      </c>
      <c r="Z15" t="s">
        <v>124</v>
      </c>
      <c r="AA15" t="s">
        <v>125</v>
      </c>
      <c r="AB15" t="s">
        <v>126</v>
      </c>
    </row>
    <row r="16" spans="1:28" x14ac:dyDescent="0.2">
      <c r="U16">
        <v>45</v>
      </c>
      <c r="V16">
        <v>2</v>
      </c>
      <c r="W16">
        <v>3</v>
      </c>
      <c r="X16">
        <v>4</v>
      </c>
      <c r="Y16">
        <v>5</v>
      </c>
      <c r="Z16">
        <v>6</v>
      </c>
      <c r="AA16">
        <v>7</v>
      </c>
      <c r="AB16">
        <v>8</v>
      </c>
    </row>
    <row r="21" spans="21:28" x14ac:dyDescent="0.2">
      <c r="U21" cm="1">
        <f t="array" ref="U21:AB21">_xlfn.SEQUENCE(1,8)</f>
        <v>1</v>
      </c>
      <c r="V21">
        <v>2</v>
      </c>
      <c r="W21">
        <v>3</v>
      </c>
      <c r="X21">
        <v>4</v>
      </c>
      <c r="Y21">
        <v>5</v>
      </c>
      <c r="Z21">
        <v>6</v>
      </c>
      <c r="AA21">
        <v>7</v>
      </c>
      <c r="AB21">
        <v>8</v>
      </c>
    </row>
    <row r="22" spans="21:28" x14ac:dyDescent="0.2">
      <c r="U22" cm="1">
        <f t="array" ref="U22:U31">_xlfn.SEQUENCE((45-0)/5+1,1,0,5)</f>
        <v>0</v>
      </c>
      <c r="V22" s="5" t="str">
        <f>FIXED(TAN($U22*PI()/180)*V$21,2)</f>
        <v>0.00</v>
      </c>
      <c r="W22" s="5" t="str">
        <f t="shared" ref="W22:AB22" si="0">FIXED(TAN($U22*PI()/180)*W$21,2)</f>
        <v>0.00</v>
      </c>
      <c r="X22" s="5" t="str">
        <f t="shared" si="0"/>
        <v>0.00</v>
      </c>
      <c r="Y22" s="5" t="str">
        <f t="shared" si="0"/>
        <v>0.00</v>
      </c>
      <c r="Z22" s="5" t="str">
        <f t="shared" si="0"/>
        <v>0.00</v>
      </c>
      <c r="AA22" s="5" t="str">
        <f t="shared" si="0"/>
        <v>0.00</v>
      </c>
      <c r="AB22" s="5" t="str">
        <f t="shared" si="0"/>
        <v>0.00</v>
      </c>
    </row>
    <row r="23" spans="21:28" x14ac:dyDescent="0.2">
      <c r="U23">
        <v>5</v>
      </c>
      <c r="V23" s="5" t="str">
        <f t="shared" ref="V23:AB31" si="1">FIXED(TAN($U23*PI()/180)*V$21,2)</f>
        <v>0.17</v>
      </c>
      <c r="W23" s="5" t="str">
        <f t="shared" si="1"/>
        <v>0.26</v>
      </c>
      <c r="X23" s="5" t="str">
        <f t="shared" si="1"/>
        <v>0.35</v>
      </c>
      <c r="Y23" s="5" t="str">
        <f t="shared" si="1"/>
        <v>0.44</v>
      </c>
      <c r="Z23" s="5" t="str">
        <f t="shared" si="1"/>
        <v>0.52</v>
      </c>
      <c r="AA23" s="5" t="str">
        <f t="shared" si="1"/>
        <v>0.61</v>
      </c>
      <c r="AB23" s="5" t="str">
        <f t="shared" si="1"/>
        <v>0.70</v>
      </c>
    </row>
    <row r="24" spans="21:28" x14ac:dyDescent="0.2">
      <c r="U24">
        <v>10</v>
      </c>
      <c r="V24" s="5" t="str">
        <f t="shared" si="1"/>
        <v>0.35</v>
      </c>
      <c r="W24" s="5" t="str">
        <f t="shared" si="1"/>
        <v>0.53</v>
      </c>
      <c r="X24" s="5" t="str">
        <f t="shared" si="1"/>
        <v>0.71</v>
      </c>
      <c r="Y24" s="5" t="str">
        <f t="shared" si="1"/>
        <v>0.88</v>
      </c>
      <c r="Z24" s="5" t="str">
        <f t="shared" si="1"/>
        <v>1.06</v>
      </c>
      <c r="AA24" s="5" t="str">
        <f t="shared" si="1"/>
        <v>1.23</v>
      </c>
      <c r="AB24" s="5" t="str">
        <f t="shared" si="1"/>
        <v>1.41</v>
      </c>
    </row>
    <row r="25" spans="21:28" x14ac:dyDescent="0.2">
      <c r="U25">
        <v>15</v>
      </c>
      <c r="V25" s="5" t="str">
        <f t="shared" si="1"/>
        <v>0.54</v>
      </c>
      <c r="W25" s="5" t="str">
        <f t="shared" si="1"/>
        <v>0.80</v>
      </c>
      <c r="X25" s="5" t="str">
        <f t="shared" si="1"/>
        <v>1.07</v>
      </c>
      <c r="Y25" s="5" t="str">
        <f t="shared" si="1"/>
        <v>1.34</v>
      </c>
      <c r="Z25" s="5" t="str">
        <f t="shared" si="1"/>
        <v>1.61</v>
      </c>
      <c r="AA25" s="5" t="str">
        <f t="shared" si="1"/>
        <v>1.88</v>
      </c>
      <c r="AB25" s="5" t="str">
        <f t="shared" si="1"/>
        <v>2.14</v>
      </c>
    </row>
    <row r="26" spans="21:28" x14ac:dyDescent="0.2">
      <c r="U26">
        <v>20</v>
      </c>
      <c r="V26" s="5" t="str">
        <f t="shared" si="1"/>
        <v>0.73</v>
      </c>
      <c r="W26" s="5" t="str">
        <f t="shared" si="1"/>
        <v>1.09</v>
      </c>
      <c r="X26" s="5" t="str">
        <f t="shared" si="1"/>
        <v>1.46</v>
      </c>
      <c r="Y26" s="5" t="str">
        <f t="shared" si="1"/>
        <v>1.82</v>
      </c>
      <c r="Z26" s="5" t="str">
        <f t="shared" si="1"/>
        <v>2.18</v>
      </c>
      <c r="AA26" s="5" t="str">
        <f t="shared" si="1"/>
        <v>2.55</v>
      </c>
      <c r="AB26" s="5" t="str">
        <f t="shared" si="1"/>
        <v>2.91</v>
      </c>
    </row>
    <row r="27" spans="21:28" x14ac:dyDescent="0.2">
      <c r="U27">
        <v>25</v>
      </c>
      <c r="V27" s="5" t="str">
        <f t="shared" si="1"/>
        <v>0.93</v>
      </c>
      <c r="W27" s="5" t="str">
        <f t="shared" si="1"/>
        <v>1.40</v>
      </c>
      <c r="X27" s="5" t="str">
        <f t="shared" si="1"/>
        <v>1.87</v>
      </c>
      <c r="Y27" s="5" t="str">
        <f t="shared" si="1"/>
        <v>2.33</v>
      </c>
      <c r="Z27" s="5" t="str">
        <f t="shared" si="1"/>
        <v>2.80</v>
      </c>
      <c r="AA27" s="5" t="str">
        <f t="shared" si="1"/>
        <v>3.26</v>
      </c>
      <c r="AB27" s="5" t="str">
        <f t="shared" si="1"/>
        <v>3.73</v>
      </c>
    </row>
    <row r="28" spans="21:28" x14ac:dyDescent="0.2">
      <c r="U28">
        <v>30</v>
      </c>
      <c r="V28" s="5" t="str">
        <f t="shared" si="1"/>
        <v>1.15</v>
      </c>
      <c r="W28" s="5" t="str">
        <f t="shared" si="1"/>
        <v>1.73</v>
      </c>
      <c r="X28" s="5" t="str">
        <f t="shared" si="1"/>
        <v>2.31</v>
      </c>
      <c r="Y28" s="5" t="str">
        <f t="shared" si="1"/>
        <v>2.89</v>
      </c>
      <c r="Z28" s="5" t="str">
        <f t="shared" si="1"/>
        <v>3.46</v>
      </c>
      <c r="AA28" s="5" t="str">
        <f t="shared" si="1"/>
        <v>4.04</v>
      </c>
      <c r="AB28" s="5" t="str">
        <f t="shared" si="1"/>
        <v>4.62</v>
      </c>
    </row>
    <row r="29" spans="21:28" x14ac:dyDescent="0.2">
      <c r="U29">
        <v>35</v>
      </c>
      <c r="V29" s="5" t="str">
        <f t="shared" si="1"/>
        <v>1.40</v>
      </c>
      <c r="W29" s="5" t="str">
        <f t="shared" si="1"/>
        <v>2.10</v>
      </c>
      <c r="X29" s="5" t="str">
        <f t="shared" si="1"/>
        <v>2.80</v>
      </c>
      <c r="Y29" s="5" t="str">
        <f t="shared" si="1"/>
        <v>3.50</v>
      </c>
      <c r="Z29" s="5" t="str">
        <f t="shared" si="1"/>
        <v>4.20</v>
      </c>
      <c r="AA29" s="5" t="str">
        <f t="shared" si="1"/>
        <v>4.90</v>
      </c>
      <c r="AB29" s="5" t="str">
        <f t="shared" si="1"/>
        <v>5.60</v>
      </c>
    </row>
    <row r="30" spans="21:28" x14ac:dyDescent="0.2">
      <c r="U30">
        <v>40</v>
      </c>
      <c r="V30" s="5" t="str">
        <f t="shared" si="1"/>
        <v>1.68</v>
      </c>
      <c r="W30" s="5" t="str">
        <f t="shared" si="1"/>
        <v>2.52</v>
      </c>
      <c r="X30" s="5" t="str">
        <f t="shared" si="1"/>
        <v>3.36</v>
      </c>
      <c r="Y30" s="5" t="str">
        <f t="shared" si="1"/>
        <v>4.20</v>
      </c>
      <c r="Z30" s="5" t="str">
        <f t="shared" si="1"/>
        <v>5.03</v>
      </c>
      <c r="AA30" s="5" t="str">
        <f t="shared" si="1"/>
        <v>5.87</v>
      </c>
      <c r="AB30" s="5" t="str">
        <f t="shared" si="1"/>
        <v>6.71</v>
      </c>
    </row>
    <row r="31" spans="21:28" x14ac:dyDescent="0.2">
      <c r="U31">
        <v>45</v>
      </c>
      <c r="V31" s="5" t="str">
        <f t="shared" si="1"/>
        <v>2.00</v>
      </c>
      <c r="W31" s="5" t="str">
        <f t="shared" si="1"/>
        <v>3.00</v>
      </c>
      <c r="X31" s="5" t="str">
        <f t="shared" si="1"/>
        <v>4.00</v>
      </c>
      <c r="Y31" s="5" t="str">
        <f t="shared" si="1"/>
        <v>5.00</v>
      </c>
      <c r="Z31" s="5" t="str">
        <f t="shared" si="1"/>
        <v>6.00</v>
      </c>
      <c r="AA31" s="5" t="str">
        <f t="shared" si="1"/>
        <v>7.00</v>
      </c>
      <c r="AB31" s="5" t="str">
        <f t="shared" si="1"/>
        <v>8.00</v>
      </c>
    </row>
  </sheetData>
  <hyperlinks>
    <hyperlink ref="L1" r:id="rId1" xr:uid="{2305FADE-7A8B-4ED4-BA52-2C55C850F551}"/>
    <hyperlink ref="L2" r:id="rId2" xr:uid="{D1933867-2A34-4FE5-950D-68378408D476}"/>
  </hyperlinks>
  <pageMargins left="0.7" right="0.7" top="0.75" bottom="0.75" header="0.3" footer="0.3"/>
  <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15</vt:i4>
      </vt:variant>
    </vt:vector>
  </HeadingPairs>
  <TitlesOfParts>
    <vt:vector size="26" baseType="lpstr">
      <vt:lpstr>2025</vt:lpstr>
      <vt:lpstr>2026</vt:lpstr>
      <vt:lpstr>LongTermTraining</vt:lpstr>
      <vt:lpstr>Sheet4</vt:lpstr>
      <vt:lpstr>PointTraining</vt:lpstr>
      <vt:lpstr>RAOBF</vt:lpstr>
      <vt:lpstr>BP_Data</vt:lpstr>
      <vt:lpstr>Sheet1</vt:lpstr>
      <vt:lpstr>Sheet2</vt:lpstr>
      <vt:lpstr>Sheet3</vt:lpstr>
      <vt:lpstr>SH3_Correction_Table</vt:lpstr>
      <vt:lpstr>__xL</vt:lpstr>
      <vt:lpstr>_AOB</vt:lpstr>
      <vt:lpstr>_B</vt:lpstr>
      <vt:lpstr>_L</vt:lpstr>
      <vt:lpstr>'2026'!_nHd</vt:lpstr>
      <vt:lpstr>_nHd</vt:lpstr>
      <vt:lpstr>_R</vt:lpstr>
      <vt:lpstr>_Theta</vt:lpstr>
      <vt:lpstr>_v</vt:lpstr>
      <vt:lpstr>_vSub</vt:lpstr>
      <vt:lpstr>_vyps</vt:lpstr>
      <vt:lpstr>_xShip</vt:lpstr>
      <vt:lpstr>_yL</vt:lpstr>
      <vt:lpstr>_yShip</vt:lpstr>
      <vt:lpstr>'2026'!data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Biegert</dc:creator>
  <cp:lastModifiedBy>Mark Biegert</cp:lastModifiedBy>
  <cp:lastPrinted>2025-01-13T03:35:14Z</cp:lastPrinted>
  <dcterms:created xsi:type="dcterms:W3CDTF">2021-09-27T12:19:57Z</dcterms:created>
  <dcterms:modified xsi:type="dcterms:W3CDTF">2026-02-08T01:11:56Z</dcterms:modified>
</cp:coreProperties>
</file>