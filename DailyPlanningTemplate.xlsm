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F41ED876-35A8-42F2-B88B-E14E655DDE6E}" xr6:coauthVersionLast="47" xr6:coauthVersionMax="47" xr10:uidLastSave="{00000000-0000-0000-0000-000000000000}"/>
  <bookViews>
    <workbookView xWindow="-108" yWindow="-108" windowWidth="23256" windowHeight="12456" activeTab="1" xr2:uid="{AD5FE48E-9CE6-4EDE-8F69-E8FD3B4EAF42}"/>
  </bookViews>
  <sheets>
    <sheet name="2025" sheetId="1" r:id="rId1"/>
    <sheet name="2026" sheetId="11" r:id="rId2"/>
    <sheet name="LongTermTraining" sheetId="3" r:id="rId3"/>
    <sheet name="PointTraining" sheetId="4" r:id="rId4"/>
    <sheet name="RAOBF" sheetId="8" r:id="rId5"/>
    <sheet name="BP_Data" sheetId="9" r:id="rId6"/>
    <sheet name="Sheet1" sheetId="5" r:id="rId7"/>
    <sheet name="Sheet2" sheetId="6" r:id="rId8"/>
    <sheet name="Sheet3" sheetId="10" r:id="rId9"/>
    <sheet name="SH3_Correction_Table" sheetId="7" r:id="rId10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'2026'!$O$24:$O$60</definedName>
    <definedName name="_xlnm._FilterDatabase" localSheetId="5" hidden="1">BP_Data!$A$3:$M$3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'2026'!$C$9:$K$9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DROP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'2026'!$L$10</definedName>
    <definedName name="data">_xlfn.DROP(Banded,11,1)</definedName>
    <definedName name="Dynamic" localSheetId="1">_xlfn.VSTACK('2026'!$O$9:$X$9,'2026'!Banded2)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_xlfn.DROP(_xlfn.TRIMRANGE(LongTermTraining!$D:$X),1)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1" l="1" a="1"/>
  <c r="B10" i="11" a="1"/>
  <c r="P9" i="11" a="1"/>
  <c r="P9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Z9" i="3" a="1"/>
  <c r="D9" i="3" a="1"/>
  <c r="M10" i="1" a="1"/>
  <c r="B10" i="11" l="1"/>
  <c r="L10" i="11" s="1" a="1"/>
  <c r="L10" i="11" s="1"/>
  <c r="O10" i="11" s="1" a="1"/>
  <c r="M10" i="11"/>
  <c r="I26" i="8"/>
  <c r="I30" i="8" s="1"/>
  <c r="P9" i="1"/>
  <c r="F8" i="8"/>
  <c r="C12" i="8"/>
  <c r="C11" i="8"/>
  <c r="J59" i="5"/>
  <c r="K59" i="5" a="1"/>
  <c r="J44" i="5"/>
  <c r="K44" i="5" a="1"/>
  <c r="D9" i="3"/>
  <c r="Z9" i="3"/>
  <c r="M10" i="1"/>
  <c r="O10" i="11" l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F17" i="8" l="1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<sst xmlns="http://schemas.openxmlformats.org/spreadsheetml/2006/main" count="622" uniqueCount="544">
  <si>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</si>
  <si>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</si>
  <si>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</si>
  <si>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</si>
  <si>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</si>
  <si>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</si>
  <si>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</si>
  <si>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</si>
  <si>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</si>
  <si>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</si>
  <si>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</si>
  <si>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</si>
  <si>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</si>
  <si>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</si>
  <si>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</si>
  <si>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</si>
  <si>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</si>
  <si>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</si>
  <si>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</si>
  <si>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</si>
  <si>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</si>
  <si>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</si>
  <si>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</si>
  <si>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</si>
  <si>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</si>
  <si>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</si>
  <si>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</si>
  <si>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</si>
  <si>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</si>
  <si>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</si>
  <si>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</si>
  <si>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</si>
  <si>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</si>
  <si>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</si>
  <si>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</si>
  <si>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</si>
  <si>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</si>
  <si>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</si>
  <si>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</si>
  <si>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</si>
  <si>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</si>
  <si>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</si>
  <si>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</si>
  <si>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</si>
  <si>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</si>
  <si>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</si>
  <si>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</si>
  <si>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</si>
  <si>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</si>
  <si>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</si>
  <si>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</si>
  <si>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</si>
  <si>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</si>
  <si>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</si>
  <si>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</si>
  <si>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</si>
  <si>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</si>
  <si>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</si>
  <si>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</si>
  <si>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</si>
  <si>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</si>
  <si>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</si>
  <si>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</si>
  <si>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</si>
  <si>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</si>
  <si>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</si>
  <si>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</si>
  <si>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</si>
  <si>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</si>
  <si>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</si>
  <si>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</si>
  <si>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</si>
  <si>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</si>
  <si>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</si>
  <si>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</si>
  <si>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</si>
  <si>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</si>
  <si>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</si>
  <si>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</si>
  <si>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</si>
  <si>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</si>
  <si>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</si>
  <si>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</si>
  <si>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</si>
  <si>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</si>
  <si>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</si>
  <si>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</si>
  <si>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</si>
  <si>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</si>
  <si>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</si>
  <si>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</si>
  <si>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</si>
  <si>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</si>
  <si>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</si>
  <si>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</si>
  <si>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</si>
  <si>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</si>
  <si>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</si>
  <si>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</si>
  <si>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</si>
  <si>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</si>
  <si>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</si>
  <si>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</si>
  <si>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</si>
  <si>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</si>
  <si>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</si>
  <si>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</si>
  <si>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</si>
  <si>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</si>
  <si>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</si>
  <si>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</si>
  <si>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</si>
  <si>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</si>
  <si>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</si>
  <si>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</si>
  <si>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</si>
  <si>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</si>
  <si>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</si>
  <si>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</si>
  <si>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</si>
  <si>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</si>
  <si>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</si>
  <si>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</si>
  <si>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</si>
  <si>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</si>
  <si>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</si>
  <si>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</si>
  <si>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</si>
  <si>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</si>
  <si>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</si>
  <si>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</si>
  <si>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</si>
  <si>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</si>
  <si>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</si>
  <si>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</si>
  <si>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</si>
  <si>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</si>
  <si>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</si>
  <si>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</si>
  <si>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</si>
  <si>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</si>
  <si>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</si>
  <si>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</si>
  <si>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</si>
  <si>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</si>
  <si>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</si>
  <si>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</si>
  <si>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</si>
  <si>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</si>
  <si>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</si>
  <si>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</si>
  <si>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</si>
  <si>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</si>
  <si>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</si>
  <si>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</si>
  <si>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</si>
  <si>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</si>
  <si>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</si>
  <si>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</si>
  <si>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</si>
  <si>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</si>
  <si>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</si>
  <si>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</si>
  <si>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</si>
  <si>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</si>
  <si>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</si>
  <si>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</si>
  <si>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</si>
  <si>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</si>
  <si>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</si>
  <si>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</si>
  <si>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Schwab</t>
  </si>
  <si>
    <t>Vanguard</t>
  </si>
  <si>
    <t>Fidelity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</si>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</sst>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8" formatCode="&quot;$&quot;#,##0.00_);[Red]\(&quot;$&quot;#,##0.00\)"/>
    <numFmt numFmtId="164" formatCode=";;;\ @"/>
    <numFmt numFmtId="165" formatCode="0.00000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3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8" fontId="0" fillId="0" borderId="0" xfId="0" applyNumberFormat="1"/>
    <xf numFmtId="16" fontId="0" fillId="0" borderId="0" xfId="0" applyNumberFormat="1"/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16" fontId="11" fillId="0" borderId="9" xfId="0" applyNumberFormat="1" applyFont="1" applyBorder="1" applyAlignment="1">
      <alignment horizontal="right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1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0"/>
      <tableStyleElement type="headerRow" dxfId="39"/>
      <tableStyleElement type="totalRow" dxfId="38"/>
      <tableStyleElement type="firstColumnStripe" dxfId="37"/>
      <tableStyleElement type="firstHeaderCell" dxfId="36"/>
      <tableStyleElement type="firstSubtotalColumn" dxfId="35"/>
      <tableStyleElement type="firstSubtotalRow" dxfId="34"/>
      <tableStyleElement type="secondSubtotalRow" dxfId="33"/>
      <tableStyleElement type="firstRowSubheading" dxfId="32"/>
      <tableStyleElement type="secondRowSubheading" dxfId="31"/>
      <tableStyleElement type="pageFieldLabels" dxfId="30"/>
      <tableStyleElement type="pageFieldValues" dxfId="29"/>
    </tableStyle>
    <tableStyle name="Biegert Table Standard" pivot="0" count="7" xr9:uid="{95B43237-2845-4068-A415-A5A3E7804959}">
      <tableStyleElement type="wholeTable" dxfId="28"/>
      <tableStyleElement type="headerRow" dxfId="27"/>
      <tableStyleElement type="totalRow" dxfId="26"/>
      <tableStyleElement type="firstColumn" dxfId="25"/>
      <tableStyleElement type="lastColumn" dxfId="24"/>
      <tableStyleElement type="firstRowStripe" dxfId="23"/>
      <tableStyleElement type="firstColumnStripe" dxfId="22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23/09/relationships/Python" Target="python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22/11/relationships/FeaturePropertyBag" Target="featurePropertyBag/featurePropertyBag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48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2" name="Rectangle: Top Corners Rounded 1">
          <a:extLst>
            <a:ext uri="{FF2B5EF4-FFF2-40B4-BE49-F238E27FC236}">
              <a16:creationId xmlns:a16="http://schemas.microsoft.com/office/drawing/2014/main" id="{B66B8452-5047-4618-BBFF-98ED925A0E3B}"/>
            </a:ext>
          </a:extLst>
        </xdr:cNvPr>
        <xdr:cNvSpPr/>
      </xdr:nvSpPr>
      <xdr:spPr>
        <a:xfrm>
          <a:off x="85191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21" activePane="bottomLeft" state="frozen"/>
      <selection pane="bottomLeft" activeCell="L22" sqref="L22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3" width="3.33203125" customWidth="1"/>
    <col min="15" max="15" width="19.109375" customWidth="1"/>
    <col min="16" max="23" width="3.33203125" style="5" bestFit="1" customWidth="1"/>
    <col min="24" max="24" width="3.33203125" style="5" customWidth="1"/>
  </cols>
  <sheetData>
    <row r="5" spans="1:26" ht="13.8" x14ac:dyDescent="0.3">
      <c r="O5" s="10"/>
    </row>
    <row r="7" spans="1:26" ht="4.8" customHeight="1" thickBot="1" x14ac:dyDescent="0.3"/>
    <row r="8" spans="1:26" ht="13.8" hidden="1" thickBot="1" x14ac:dyDescent="0.3"/>
    <row r="9" spans="1:26" ht="121.2" thickBot="1" x14ac:dyDescent="0.3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8" thickTop="1" x14ac:dyDescent="0.25">
      <c r="B10" s="11" t="s">
        <v>174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2" customHeight="1" x14ac:dyDescent="0.25">
      <c r="B11" s="15" t="s">
        <v>175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5">
      <c r="B12" s="15" t="s">
        <v>176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5">
      <c r="B13" s="15" t="s">
        <v>177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5">
      <c r="B14" s="15" t="s">
        <v>178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5">
      <c r="B15" s="15" t="s">
        <v>179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5">
      <c r="B16" s="15" t="s">
        <v>180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5">
      <c r="B17" s="15" t="s">
        <v>181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5">
      <c r="B18" s="15" t="s">
        <v>182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5">
      <c r="B19" s="15" t="s">
        <v>183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5">
      <c r="B20" s="15" t="s">
        <v>184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5">
      <c r="B21" s="15" t="s">
        <v>185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5">
      <c r="B22" s="15" t="s">
        <v>186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5">
      <c r="B23" s="15" t="s">
        <v>187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5">
      <c r="B24" s="15" t="s">
        <v>188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5">
      <c r="B25" s="15" t="s">
        <v>189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5">
      <c r="B26" s="15" t="s">
        <v>190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5">
      <c r="B27" s="15" t="s">
        <v>191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5">
      <c r="B28" s="15" t="s">
        <v>192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5">
      <c r="B29" s="15" t="s">
        <v>193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5">
      <c r="B30" s="15" t="s">
        <v>194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5">
      <c r="B31" s="15" t="s">
        <v>195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5">
      <c r="B32" s="15" t="s">
        <v>196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5">
      <c r="B33" s="15" t="s">
        <v>197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5">
      <c r="B34" s="15" t="s">
        <v>198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5">
      <c r="B35" s="15" t="s">
        <v>199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5">
      <c r="B36" s="15" t="s">
        <v>200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5">
      <c r="B37" s="15" t="s">
        <v>201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5">
      <c r="B38" s="15" t="s">
        <v>202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5">
      <c r="B39" s="15" t="s">
        <v>203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5">
      <c r="B40" s="15" t="s">
        <v>204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5">
      <c r="B41" s="15" t="s">
        <v>205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5">
      <c r="B42" s="15" t="s">
        <v>206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5">
      <c r="B43" s="15" t="s">
        <v>207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5">
      <c r="B44" s="15" t="s">
        <v>208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5">
      <c r="B45" s="15" t="s">
        <v>209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5">
      <c r="B46" s="15" t="s">
        <v>210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5">
      <c r="B47" s="15" t="s">
        <v>211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5">
      <c r="B48" s="15" t="s">
        <v>212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5">
      <c r="B49" s="15" t="s">
        <v>213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5">
      <c r="B50" s="15" t="s">
        <v>214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5">
      <c r="B51" s="15" t="s">
        <v>215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5">
      <c r="B52" s="15" t="s">
        <v>216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5">
      <c r="B53" s="15" t="s">
        <v>217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5">
      <c r="B54" s="15" t="s">
        <v>218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5">
      <c r="B55" s="15" t="s">
        <v>219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5">
      <c r="B56" s="15" t="s">
        <v>220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5">
      <c r="B57" s="15" t="s">
        <v>221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5">
      <c r="B58" s="15" t="s">
        <v>222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5">
      <c r="B59" s="15" t="s">
        <v>223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5">
      <c r="B60" s="15" t="s">
        <v>224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5">
      <c r="B61" s="15" t="s">
        <v>225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5">
      <c r="B62" s="15" t="s">
        <v>226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5">
      <c r="B63" s="15" t="s">
        <v>227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5">
      <c r="B64" s="15" t="s">
        <v>228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5">
      <c r="B65" s="15" t="s">
        <v>229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5">
      <c r="B66" s="15" t="s">
        <v>230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5">
      <c r="B67" s="15" t="s">
        <v>231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5">
      <c r="B68" s="15" t="s">
        <v>232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5">
      <c r="B69" s="15" t="s">
        <v>233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5">
      <c r="B70" s="15" t="s">
        <v>234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5">
      <c r="B71" s="15" t="s">
        <v>235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5">
      <c r="B72" s="15" t="s">
        <v>236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5">
      <c r="B73" s="15" t="s">
        <v>237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5">
      <c r="B74" s="15" t="s">
        <v>238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5">
      <c r="B75" s="15" t="s">
        <v>239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5">
      <c r="B76" s="15" t="s">
        <v>240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5">
      <c r="B77" s="15" t="s">
        <v>241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5">
      <c r="B78" s="15" t="s">
        <v>242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5">
      <c r="B79" s="15" t="s">
        <v>243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5">
      <c r="B80" s="15" t="s">
        <v>244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5">
      <c r="B81" s="15" t="s">
        <v>245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5">
      <c r="B82" s="15" t="s">
        <v>246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5">
      <c r="B83" s="15" t="s">
        <v>247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5">
      <c r="B84" s="15" t="s">
        <v>248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5">
      <c r="B85" s="15" t="s">
        <v>249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5">
      <c r="B86" s="15" t="s">
        <v>250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5">
      <c r="B87" s="15" t="s">
        <v>251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5">
      <c r="B88" s="15" t="s">
        <v>252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5">
      <c r="B89" s="15" t="s">
        <v>253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5">
      <c r="B90" s="15" t="s">
        <v>254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5">
      <c r="B91" s="15" t="s">
        <v>255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5">
      <c r="B92" s="15" t="s">
        <v>256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5">
      <c r="B93" s="15" t="s">
        <v>257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5">
      <c r="B94" s="15" t="s">
        <v>258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5">
      <c r="B95" s="15" t="s">
        <v>259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5">
      <c r="B96" s="15" t="s">
        <v>260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5">
      <c r="B97" s="15" t="s">
        <v>261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5">
      <c r="B98" s="15" t="s">
        <v>262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5">
      <c r="B99" s="15" t="s">
        <v>263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5">
      <c r="B100" s="15" t="s">
        <v>264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5">
      <c r="B101" s="15" t="s">
        <v>265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5">
      <c r="B102" s="15" t="s">
        <v>266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5">
      <c r="B103" s="15" t="s">
        <v>267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5">
      <c r="B104" s="15" t="s">
        <v>268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5">
      <c r="B105" s="15" t="s">
        <v>269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5">
      <c r="B106" s="15" t="s">
        <v>270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5">
      <c r="B107" s="15" t="s">
        <v>271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5">
      <c r="B108" s="15" t="s">
        <v>272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5">
      <c r="B109" s="15" t="s">
        <v>273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5">
      <c r="B110" s="15" t="s">
        <v>274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5">
      <c r="B111" s="15" t="s">
        <v>275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5">
      <c r="B112" s="15" t="s">
        <v>276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5">
      <c r="B113" s="15" t="s">
        <v>277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5">
      <c r="B114" s="15" t="s">
        <v>278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5">
      <c r="B115" s="15" t="s">
        <v>279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5">
      <c r="B116" s="15" t="s">
        <v>280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5">
      <c r="B117" s="15" t="s">
        <v>281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5">
      <c r="B118" s="15" t="s">
        <v>282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5">
      <c r="B119" s="15" t="s">
        <v>283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5">
      <c r="B120" s="15" t="s">
        <v>284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5">
      <c r="B121" s="15" t="s">
        <v>285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5">
      <c r="B122" s="15" t="s">
        <v>286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5">
      <c r="B123" s="15" t="s">
        <v>287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5">
      <c r="B124" s="15" t="s">
        <v>288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5">
      <c r="B125" s="15" t="s">
        <v>289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5">
      <c r="B126" s="15" t="s">
        <v>290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5">
      <c r="B127" s="15" t="s">
        <v>291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5">
      <c r="B128" s="15" t="s">
        <v>292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5">
      <c r="B129" s="15" t="s">
        <v>293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5">
      <c r="B130" s="15" t="s">
        <v>294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5">
      <c r="B131" s="15" t="s">
        <v>295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5">
      <c r="B132" s="15" t="s">
        <v>296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5">
      <c r="A133" t="s">
        <v>30</v>
      </c>
      <c r="B133" s="15" t="s">
        <v>297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5">
      <c r="A134" t="s">
        <v>31</v>
      </c>
      <c r="B134" s="15" t="s">
        <v>298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5">
      <c r="B135" s="15" t="s">
        <v>299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5">
      <c r="B136" s="15" t="s">
        <v>300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5">
      <c r="B137" s="15" t="s">
        <v>301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5">
      <c r="B138" s="15" t="s">
        <v>302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5">
      <c r="B139" s="15" t="s">
        <v>303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5">
      <c r="B140" s="15" t="s">
        <v>304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5">
      <c r="B141" s="15" t="s">
        <v>305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5">
      <c r="B142" s="15" t="s">
        <v>306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5">
      <c r="B143" s="15" t="s">
        <v>307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5">
      <c r="B144" s="15" t="s">
        <v>308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5">
      <c r="B145" s="15" t="s">
        <v>309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5">
      <c r="B146" s="15" t="s">
        <v>310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5">
      <c r="B147" s="15" t="s">
        <v>311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5">
      <c r="B148" s="15" t="s">
        <v>312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5">
      <c r="B149" s="15" t="s">
        <v>313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5">
      <c r="B150" s="15" t="s">
        <v>314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5">
      <c r="B151" s="15" t="s">
        <v>315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5">
      <c r="B152" s="15" t="s">
        <v>316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5">
      <c r="B153" s="15" t="s">
        <v>317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5">
      <c r="B154" s="15" t="s">
        <v>318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5">
      <c r="B155" s="15" t="s">
        <v>319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5">
      <c r="B156" s="15" t="s">
        <v>320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5">
      <c r="B157" s="15" t="s">
        <v>321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5">
      <c r="B158" s="15" t="s">
        <v>322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5">
      <c r="B159" s="15" t="s">
        <v>323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5">
      <c r="B160" s="15" t="s">
        <v>324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5">
      <c r="B161" s="15" t="s">
        <v>325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5">
      <c r="B162" s="15" t="s">
        <v>326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5">
      <c r="B163" s="15" t="s">
        <v>327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5">
      <c r="B164" s="15" t="s">
        <v>328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5">
      <c r="B165" s="15" t="s">
        <v>329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5">
      <c r="B166" s="15" t="s">
        <v>330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5">
      <c r="B167" s="15" t="s">
        <v>331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5">
      <c r="B168" s="15" t="s">
        <v>332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5">
      <c r="B169" s="15" t="s">
        <v>333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5">
      <c r="B170" s="15" t="s">
        <v>334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5">
      <c r="B171" s="15" t="s">
        <v>335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5">
      <c r="B172" s="15" t="s">
        <v>336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5">
      <c r="B173" s="15" t="s">
        <v>337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5">
      <c r="B174" s="15" t="s">
        <v>338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5">
      <c r="B175" s="15" t="s">
        <v>339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5">
      <c r="B176" s="15" t="s">
        <v>340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5">
      <c r="B177" s="15" t="s">
        <v>341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5">
      <c r="B178" s="15" t="s">
        <v>342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5">
      <c r="B179" s="15" t="s">
        <v>343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5">
      <c r="B180" s="15" t="s">
        <v>344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5">
      <c r="B181" s="15" t="s">
        <v>345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5">
      <c r="B182" s="15" t="s">
        <v>346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5">
      <c r="B183" s="15" t="s">
        <v>347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5">
      <c r="B184" s="15" t="s">
        <v>348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5">
      <c r="B185" s="15" t="s">
        <v>349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5">
      <c r="B186" s="15" t="s">
        <v>350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5">
      <c r="B187" s="15" t="s">
        <v>351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5">
      <c r="B188" s="15" t="s">
        <v>352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5">
      <c r="B189" s="15" t="s">
        <v>353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5">
      <c r="B190" s="15" t="s">
        <v>354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5">
      <c r="B191" s="15" t="s">
        <v>355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5">
      <c r="B192" s="15" t="s">
        <v>356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5">
      <c r="B193" s="15" t="s">
        <v>357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5">
      <c r="B194" s="15" t="s">
        <v>358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5">
      <c r="B195" s="15" t="s">
        <v>359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5">
      <c r="B196" s="15" t="s">
        <v>360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5">
      <c r="B197" s="15" t="s">
        <v>361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5">
      <c r="B198" s="15" t="s">
        <v>362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5">
      <c r="B199" s="15" t="s">
        <v>363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5">
      <c r="B200" s="15" t="s">
        <v>364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5">
      <c r="B201" s="15" t="s">
        <v>365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5">
      <c r="B202" s="15" t="s">
        <v>366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5">
      <c r="B203" s="15" t="s">
        <v>367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5">
      <c r="B204" s="15" t="s">
        <v>368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5">
      <c r="B205" s="15" t="s">
        <v>369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5">
      <c r="B206" s="15" t="s">
        <v>370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5">
      <c r="B207" s="15" t="s">
        <v>371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5">
      <c r="B208" s="15" t="s">
        <v>372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5">
      <c r="B209" s="15" t="s">
        <v>373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5">
      <c r="B210" s="15" t="s">
        <v>374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5">
      <c r="B211" s="15" t="s">
        <v>375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5">
      <c r="B212" s="15" t="s">
        <v>376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5">
      <c r="B213" s="15" t="s">
        <v>377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5">
      <c r="B214" s="15" t="s">
        <v>378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5">
      <c r="B215" s="15" t="s">
        <v>379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5">
      <c r="B216" s="15" t="s">
        <v>380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5">
      <c r="B217" s="15" t="s">
        <v>381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5">
      <c r="B218" s="15" t="s">
        <v>382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">
        <v>383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5">
      <c r="B220" s="15" t="s">
        <v>384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5">
      <c r="B221" s="15" t="s">
        <v>385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5">
      <c r="B222" s="15" t="s">
        <v>386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5">
      <c r="B223" s="15" t="s">
        <v>387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5">
      <c r="B224" s="15" t="s">
        <v>388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5">
      <c r="B225" s="15" t="s">
        <v>389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5">
      <c r="B226" s="15" t="s">
        <v>390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5">
      <c r="B227" s="15" t="s">
        <v>391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5">
      <c r="B228" s="15" t="s">
        <v>392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5">
      <c r="B229" s="15" t="s">
        <v>393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5">
      <c r="B230" s="15" t="s">
        <v>394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5">
      <c r="B231" s="15" t="s">
        <v>395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5">
      <c r="B232" s="15" t="s">
        <v>396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5">
      <c r="B233" s="15" t="s">
        <v>397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5">
      <c r="B234" s="15" t="s">
        <v>398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5">
      <c r="B235" s="15" t="s">
        <v>399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5">
      <c r="B236" s="15" t="s">
        <v>400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5">
      <c r="B237" s="15" t="s">
        <v>401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5">
      <c r="B238" s="15" t="s">
        <v>402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5">
      <c r="B239" s="15" t="s">
        <v>403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5">
      <c r="B240" s="15" t="s">
        <v>404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5">
      <c r="B241" s="15" t="s">
        <v>405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5">
      <c r="B242" s="15" t="s">
        <v>406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5">
      <c r="B243" s="15" t="s">
        <v>407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5">
      <c r="B244" s="15" t="s">
        <v>408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5">
      <c r="B245" s="15" t="s">
        <v>409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5">
      <c r="B246" s="15" t="s">
        <v>410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5">
      <c r="B247" s="15" t="s">
        <v>411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5">
      <c r="B248" s="15" t="s">
        <v>412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5">
      <c r="B249" s="15" t="s">
        <v>413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5">
      <c r="B250" s="15" t="s">
        <v>414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5">
      <c r="B251" s="15" t="s">
        <v>415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5">
      <c r="B252" s="15" t="s">
        <v>416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5">
      <c r="B253" s="15" t="s">
        <v>417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5">
      <c r="B254" s="15" t="s">
        <v>418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5">
      <c r="B255" s="15" t="s">
        <v>419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5">
      <c r="B256" s="15" t="s">
        <v>420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5">
      <c r="B257" s="15" t="s">
        <v>421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5">
      <c r="B258" s="15" t="s">
        <v>422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5">
      <c r="B259" s="15" t="s">
        <v>423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5">
      <c r="B260" s="15" t="s">
        <v>424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5">
      <c r="B261" s="15" t="s">
        <v>425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5">
      <c r="B262" s="15" t="s">
        <v>426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5">
      <c r="B263" s="15" t="s">
        <v>427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5">
      <c r="B264" s="15" t="s">
        <v>428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5">
      <c r="B265" s="15" t="s">
        <v>429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5">
      <c r="B266" s="15" t="s">
        <v>430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5">
      <c r="B267" s="15" t="s">
        <v>431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5">
      <c r="B268" s="15" t="s">
        <v>432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5">
      <c r="B269" s="15" t="s">
        <v>433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5">
      <c r="B270" s="15" t="s">
        <v>434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5">
      <c r="B271" s="15" t="s">
        <v>435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5">
      <c r="B272" s="15" t="s">
        <v>436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5">
      <c r="B273" s="15" t="s">
        <v>437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5">
      <c r="B274" s="15" t="s">
        <v>438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5">
      <c r="B275" s="15" t="s">
        <v>439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5">
      <c r="B276" s="15" t="s">
        <v>440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5">
      <c r="B277" s="15" t="s">
        <v>441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5">
      <c r="B278" s="15" t="s">
        <v>442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5">
      <c r="B279" s="15" t="s">
        <v>443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5">
      <c r="B280" s="15" t="s">
        <v>444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5">
      <c r="B281" s="15" t="s">
        <v>445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5">
      <c r="B282" s="15" t="s">
        <v>446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5">
      <c r="B283" s="15" t="s">
        <v>447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5">
      <c r="B284" s="15" t="s">
        <v>448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5">
      <c r="B285" s="15" t="s">
        <v>449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5">
      <c r="B286" s="15" t="s">
        <v>450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5">
      <c r="B287" s="15" t="s">
        <v>451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5">
      <c r="B288" s="15" t="s">
        <v>452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5">
      <c r="B289" s="15" t="s">
        <v>453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5">
      <c r="B290" s="15" t="s">
        <v>454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5">
      <c r="B291" s="15" t="s">
        <v>455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5">
      <c r="B292" s="15" t="s">
        <v>456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5">
      <c r="B293" s="15" t="s">
        <v>457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5">
      <c r="B294" s="15" t="s">
        <v>458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5">
      <c r="B295" s="15" t="s">
        <v>459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5">
      <c r="B296" s="15" t="s">
        <v>460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5">
      <c r="B297" s="15" t="s">
        <v>461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5">
      <c r="B298" s="15" t="s">
        <v>462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5">
      <c r="B299" s="15" t="s">
        <v>463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5">
      <c r="B300" s="15" t="s">
        <v>464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5">
      <c r="B301" s="15" t="s">
        <v>465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5">
      <c r="B302" s="15" t="s">
        <v>466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5">
      <c r="B303" s="15" t="s">
        <v>467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5">
      <c r="B304" s="15" t="s">
        <v>468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5">
      <c r="B305" s="15" t="s">
        <v>469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5">
      <c r="B306" s="15" t="s">
        <v>470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5">
      <c r="B307" s="15" t="s">
        <v>471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5">
      <c r="B308" s="15" t="s">
        <v>472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5">
      <c r="B309" s="15" t="s">
        <v>473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5">
      <c r="B310" s="15" t="s">
        <v>474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5">
      <c r="B311" s="15" t="s">
        <v>475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5">
      <c r="B312" s="15" t="s">
        <v>476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5">
      <c r="B313" s="15" t="s">
        <v>477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5">
      <c r="B314" s="15" t="s">
        <v>478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5">
      <c r="B315" s="15" t="s">
        <v>479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5">
      <c r="B316" s="15" t="s">
        <v>480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5">
      <c r="B317" s="15" t="s">
        <v>481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5">
      <c r="B318" s="15" t="s">
        <v>482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5">
      <c r="B319" s="15" t="s">
        <v>483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5">
      <c r="B320" s="15" t="s">
        <v>484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5">
      <c r="B321" s="15" t="s">
        <v>485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5">
      <c r="B322" s="15" t="s">
        <v>486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5">
      <c r="B323" s="15" t="s">
        <v>487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5">
      <c r="B324" s="15" t="s">
        <v>488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5">
      <c r="B325" s="15" t="s">
        <v>489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5">
      <c r="B326" s="15" t="s">
        <v>490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5">
      <c r="B327" s="15" t="s">
        <v>491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5">
      <c r="B328" s="15" t="s">
        <v>492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5">
      <c r="B329" s="15" t="s">
        <v>493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5">
      <c r="B330" s="15" t="s">
        <v>494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5">
      <c r="B331" s="15" t="s">
        <v>495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5">
      <c r="B332" s="15" t="s">
        <v>496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5">
      <c r="B333" s="15" t="s">
        <v>497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5">
      <c r="B334" s="15" t="s">
        <v>498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5">
      <c r="B335" s="15" t="s">
        <v>499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5">
      <c r="B336" s="15" t="s">
        <v>500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5">
      <c r="B337" s="15" t="s">
        <v>501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5">
      <c r="B338" s="15" t="s">
        <v>502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5">
      <c r="B339" s="15" t="s">
        <v>503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5">
      <c r="B340" s="15" t="s">
        <v>504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5">
      <c r="B341" s="15" t="s">
        <v>505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5">
      <c r="B342" s="15" t="s">
        <v>506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5">
      <c r="B343" s="15" t="s">
        <v>507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5">
      <c r="B344" s="15" t="s">
        <v>508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5">
      <c r="B345" s="15" t="s">
        <v>509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5">
      <c r="B346" s="15" t="s">
        <v>510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5">
      <c r="B347" s="15" t="s">
        <v>511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5">
      <c r="B348" s="15" t="s">
        <v>512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5">
      <c r="B349" s="15" t="s">
        <v>513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5">
      <c r="B350" s="15" t="s">
        <v>514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5">
      <c r="B351" s="15" t="s">
        <v>515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5">
      <c r="B352" s="15" t="s">
        <v>516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5">
      <c r="B353" s="15" t="s">
        <v>517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5">
      <c r="B354" s="15" t="s">
        <v>518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5">
      <c r="B355" s="15" t="s">
        <v>519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5">
      <c r="B356" s="15" t="s">
        <v>520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5">
      <c r="B357" s="15" t="s">
        <v>521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5">
      <c r="B358" s="15" t="s">
        <v>522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5">
      <c r="B359" s="15" t="s">
        <v>523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5">
      <c r="B360" s="15" t="s">
        <v>524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5">
      <c r="B361" s="15" t="s">
        <v>525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5">
      <c r="B362" s="15" t="s">
        <v>526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5">
      <c r="B363" s="15" t="s">
        <v>527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5">
      <c r="B364" s="15" t="s">
        <v>528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5">
      <c r="B365" s="15" t="s">
        <v>529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5">
      <c r="B366" s="15" t="s">
        <v>530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5">
      <c r="B367" s="15" t="s">
        <v>531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5">
      <c r="B368" s="15" t="s">
        <v>532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5">
      <c r="B369" s="15" t="s">
        <v>533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5">
      <c r="B370" s="15" t="s">
        <v>534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5">
      <c r="B371" s="15" t="s">
        <v>535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5">
      <c r="B372" s="15" t="s">
        <v>536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5">
      <c r="B373" s="15" t="s">
        <v>537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5">
      <c r="B374" s="15" t="s">
        <v>538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5">
      <c r="J375" s="5"/>
      <c r="O375" t="s">
        <v>34</v>
      </c>
    </row>
    <row r="376" spans="2:15" x14ac:dyDescent="0.25">
      <c r="O376" t="s">
        <v>35</v>
      </c>
    </row>
    <row r="377" spans="2:15" x14ac:dyDescent="0.25">
      <c r="O377" t="s">
        <v>39</v>
      </c>
    </row>
    <row r="378" spans="2:15" x14ac:dyDescent="0.25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9" priority="25" stopIfTrue="1">
      <formula>MOD(ROW(N9)-ROW($B$9),2)</formula>
    </cfRule>
  </conditionalFormatting>
  <conditionalFormatting sqref="O10:X60">
    <cfRule type="expression" dxfId="18" priority="64">
      <formula>MOD(ROW(O10)-ROW($O$258),2)</formula>
    </cfRule>
  </conditionalFormatting>
  <conditionalFormatting sqref="O45">
    <cfRule type="expression" dxfId="17" priority="20">
      <formula>MOD(ROW(O45)-ROW($O$258),2)</formula>
    </cfRule>
  </conditionalFormatting>
  <conditionalFormatting sqref="O46:O52">
    <cfRule type="expression" dxfId="16" priority="19">
      <formula>MOD(ROW(O46)-ROW($O$258),2)</formula>
    </cfRule>
  </conditionalFormatting>
  <conditionalFormatting sqref="P46:X46">
    <cfRule type="expression" dxfId="15" priority="18">
      <formula>MOD(ROW(P46)-ROW($O$258),2)</formula>
    </cfRule>
  </conditionalFormatting>
  <conditionalFormatting sqref="O48:X48">
    <cfRule type="expression" dxfId="14" priority="17">
      <formula>MOD(ROW(O48)-ROW($O$258),2)</formula>
    </cfRule>
  </conditionalFormatting>
  <conditionalFormatting sqref="P48:X48">
    <cfRule type="expression" dxfId="13" priority="16">
      <formula>MOD(ROW(P48)-ROW($O$258),2)</formula>
    </cfRule>
  </conditionalFormatting>
  <conditionalFormatting sqref="O49:X49">
    <cfRule type="expression" dxfId="12" priority="14">
      <formula>MOD(ROW(O49)-ROW($O$258),2)</formula>
    </cfRule>
  </conditionalFormatting>
  <conditionalFormatting sqref="O50:X50">
    <cfRule type="expression" dxfId="11" priority="13">
      <formula>MOD(ROW(O50)-ROW($O$258),2)</formula>
    </cfRule>
  </conditionalFormatting>
  <conditionalFormatting sqref="P50:X50">
    <cfRule type="expression" dxfId="10" priority="12">
      <formula>MOD(ROW(P50)-ROW($O$258),2)</formula>
    </cfRule>
  </conditionalFormatting>
  <conditionalFormatting sqref="O51:X51">
    <cfRule type="expression" dxfId="9" priority="10">
      <formula>MOD(ROW(O51)-ROW($O$258),2)</formula>
    </cfRule>
  </conditionalFormatting>
  <conditionalFormatting sqref="O52:X52">
    <cfRule type="expression" dxfId="8" priority="9">
      <formula>MOD(ROW(O52)-ROW($O$258),2)</formula>
    </cfRule>
  </conditionalFormatting>
  <conditionalFormatting sqref="O52:X52">
    <cfRule type="expression" dxfId="7" priority="8">
      <formula>MOD(ROW(O52)-ROW($O$258),2)</formula>
    </cfRule>
  </conditionalFormatting>
  <conditionalFormatting sqref="P52:X52">
    <cfRule type="expression" dxfId="6" priority="7">
      <formula>MOD(ROW(P52)-ROW($O$258),2)</formula>
    </cfRule>
  </conditionalFormatting>
  <conditionalFormatting sqref="P54:X54">
    <cfRule type="expression" dxfId="5" priority="2">
      <formula>MOD(ROW(P54)-ROW($O$258),2)</formula>
    </cfRule>
  </conditionalFormatting>
  <conditionalFormatting sqref="P53:X53">
    <cfRule type="expression" dxfId="4" priority="1">
      <formula>MOD(ROW(P53)-ROW($O$258),2)</formula>
    </cfRule>
  </conditionalFormatting>
  <conditionalFormatting sqref="J375">
    <cfRule type="expression" dxfId="3" priority="65" stopIfTrue="1">
      <formula>MOD(ROW(J375)-ROW($B$9),2)</formula>
    </cfRule>
  </conditionalFormatting>
  <conditionalFormatting sqref="B10:K374">
    <cfRule type="expression" dxfId="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A5:AC375"/>
  <sheetViews>
    <sheetView tabSelected="1" workbookViewId="0">
      <pane ySplit="9" topLeftCell="A10" activePane="bottomLeft" state="frozen"/>
      <selection pane="bottomLeft" activeCell="N14" sqref="N14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1" width="3.33203125" customWidth="1"/>
    <col min="12" max="12" width="4.109375" customWidth="1"/>
    <col min="13" max="13" width="3.33203125" customWidth="1"/>
    <col min="15" max="15" width="6.44140625" customWidth="1"/>
    <col min="16" max="23" width="3.33203125" style="5" bestFit="1" customWidth="1"/>
    <col min="24" max="24" width="3.33203125" style="5" customWidth="1"/>
  </cols>
  <sheetData>
    <row r="5" spans="1:26" ht="13.8" x14ac:dyDescent="0.3">
      <c r="O5" s="10"/>
    </row>
    <row r="7" spans="1:26" ht="3.6" customHeight="1" thickBot="1" x14ac:dyDescent="0.3"/>
    <row r="8" spans="1:26" ht="13.8" hidden="1" thickBot="1" x14ac:dyDescent="0.3"/>
    <row r="9" spans="1:26" ht="148.80000000000001" thickBot="1" x14ac:dyDescent="0.3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541</v>
      </c>
      <c r="H9" s="2" t="s">
        <v>6</v>
      </c>
      <c r="I9" s="2" t="s">
        <v>540</v>
      </c>
      <c r="J9" s="4" t="s">
        <v>542</v>
      </c>
      <c r="K9" s="2" t="s">
        <v>7</v>
      </c>
      <c r="L9" s="1" t="s">
        <v>539</v>
      </c>
      <c r="M9" s="9" t="s">
        <v>23</v>
      </c>
      <c r="N9" s="15"/>
      <c r="O9" s="41" t="s">
        <v>543</v>
      </c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Crossword</v>
      </c>
      <c r="U9" s="24" t="str">
        <v>German Vocab</v>
      </c>
      <c r="V9" s="24" t="str">
        <v>German Conjugation</v>
      </c>
      <c r="W9" s="24" t="str">
        <v>German Reading/W Practice</v>
      </c>
      <c r="X9" s="25" t="str">
        <v>CSS Drill</v>
      </c>
    </row>
    <row r="10" spans="1:26" ht="13.8" thickTop="1" x14ac:dyDescent="0.25">
      <c r="B10" s="11" t="str" cm="1">
        <f t="array" aca="1" ref="B10:B11" ca="1">TEXT(DATE(2026,1,_xlfn.SEQUENCE(1+_xlfn.DAYS(TODAY(),DATE(2026,1,1)))),"dd-mmm")</f>
        <v>01-Jan</v>
      </c>
      <c r="C10" s="12">
        <v>1</v>
      </c>
      <c r="D10" s="12">
        <v>1</v>
      </c>
      <c r="E10" s="12">
        <v>0</v>
      </c>
      <c r="F10" s="12">
        <v>0</v>
      </c>
      <c r="G10" s="12">
        <v>1</v>
      </c>
      <c r="H10" s="12">
        <v>1</v>
      </c>
      <c r="I10" s="12">
        <v>1</v>
      </c>
      <c r="J10" s="13">
        <v>1</v>
      </c>
      <c r="K10" s="14">
        <v>1</v>
      </c>
      <c r="L10" cm="1">
        <f t="array" aca="1" ref="L10:L11" ca="1">_xlfn.BYROW(_xlfn.TAKE(Banded,,1),_xleta.WEEKNUM)</f>
        <v>1</v>
      </c>
      <c r="M10" cm="1">
        <f t="array" ref="M10:M11">_xlfn.BYROW(_xlfn.DROP(Banded,,1),_xleta.SUM)</f>
        <v>7</v>
      </c>
      <c r="O10" s="40" cm="1">
        <f t="array" aca="1" ref="O10:X10" ca="1">_xlfn.PIVOTBY(ix,,_d,_xleta.SUM,0,0)</f>
        <v>1</v>
      </c>
      <c r="P10" s="5">
        <f ca="1"/>
        <v>1</v>
      </c>
      <c r="Q10" s="5">
        <f ca="1"/>
        <v>2</v>
      </c>
      <c r="R10" s="5">
        <f ca="1"/>
        <v>0</v>
      </c>
      <c r="S10" s="5">
        <f ca="1"/>
        <v>0</v>
      </c>
      <c r="T10" s="5">
        <f ca="1"/>
        <v>2</v>
      </c>
      <c r="U10" s="5">
        <f ca="1"/>
        <v>2</v>
      </c>
      <c r="V10" s="5">
        <f ca="1"/>
        <v>2</v>
      </c>
      <c r="W10" s="5">
        <f ca="1"/>
        <v>2</v>
      </c>
      <c r="X10" s="5">
        <f ca="1"/>
        <v>2</v>
      </c>
    </row>
    <row r="11" spans="1:26" ht="13.2" customHeight="1" x14ac:dyDescent="0.25">
      <c r="B11" s="42" t="str">
        <f ca="1"/>
        <v>02-Jan</v>
      </c>
      <c r="C11" s="21">
        <v>0</v>
      </c>
      <c r="D11" s="16">
        <v>1</v>
      </c>
      <c r="E11" s="16">
        <v>0</v>
      </c>
      <c r="F11" s="16">
        <v>0</v>
      </c>
      <c r="G11" s="16">
        <v>1</v>
      </c>
      <c r="H11" s="16">
        <v>1</v>
      </c>
      <c r="I11" s="16">
        <v>1</v>
      </c>
      <c r="J11" s="16">
        <v>1</v>
      </c>
      <c r="K11" s="16">
        <v>1</v>
      </c>
      <c r="L11">
        <f ca="1"/>
        <v>1</v>
      </c>
      <c r="M11">
        <v>6</v>
      </c>
      <c r="O11" s="40"/>
      <c r="Z11" t="s">
        <v>13</v>
      </c>
    </row>
    <row r="12" spans="1:26" x14ac:dyDescent="0.25">
      <c r="B12" s="39"/>
      <c r="O12" s="40"/>
      <c r="Z12" t="s">
        <v>14</v>
      </c>
    </row>
    <row r="13" spans="1:26" x14ac:dyDescent="0.25">
      <c r="B13" s="39"/>
      <c r="O13" s="40"/>
      <c r="Z13" t="s">
        <v>15</v>
      </c>
    </row>
    <row r="14" spans="1:26" x14ac:dyDescent="0.25">
      <c r="B14" s="39"/>
      <c r="O14" s="40"/>
    </row>
    <row r="15" spans="1:26" x14ac:dyDescent="0.25">
      <c r="B15" s="39"/>
      <c r="O15" s="40"/>
    </row>
    <row r="16" spans="1:26" x14ac:dyDescent="0.25">
      <c r="B16" s="39"/>
      <c r="O16" s="40"/>
    </row>
    <row r="17" spans="2:15" x14ac:dyDescent="0.25">
      <c r="B17" s="39"/>
      <c r="O17" s="40"/>
    </row>
    <row r="18" spans="2:15" x14ac:dyDescent="0.25">
      <c r="B18" s="39"/>
      <c r="O18" s="40"/>
    </row>
    <row r="19" spans="2:15" x14ac:dyDescent="0.25">
      <c r="B19" s="39"/>
      <c r="O19" s="40"/>
    </row>
    <row r="20" spans="2:15" x14ac:dyDescent="0.25">
      <c r="B20" s="39"/>
      <c r="O20" s="40"/>
    </row>
    <row r="21" spans="2:15" x14ac:dyDescent="0.25">
      <c r="B21" s="39"/>
      <c r="O21" s="40"/>
    </row>
    <row r="22" spans="2:15" x14ac:dyDescent="0.25">
      <c r="B22" s="39"/>
      <c r="O22" s="40"/>
    </row>
    <row r="23" spans="2:15" x14ac:dyDescent="0.25">
      <c r="B23" s="39"/>
      <c r="O23" s="40"/>
    </row>
    <row r="24" spans="2:15" x14ac:dyDescent="0.25">
      <c r="B24" s="39"/>
      <c r="O24" s="40"/>
    </row>
    <row r="25" spans="2:15" x14ac:dyDescent="0.25">
      <c r="B25" s="39"/>
      <c r="O25" s="40"/>
    </row>
    <row r="26" spans="2:15" x14ac:dyDescent="0.25">
      <c r="B26" s="39"/>
      <c r="O26" s="40"/>
    </row>
    <row r="27" spans="2:15" x14ac:dyDescent="0.25">
      <c r="B27" s="39"/>
      <c r="O27" s="40"/>
    </row>
    <row r="28" spans="2:15" x14ac:dyDescent="0.25">
      <c r="B28" s="39"/>
      <c r="O28" s="40"/>
    </row>
    <row r="29" spans="2:15" x14ac:dyDescent="0.25">
      <c r="B29" s="39"/>
      <c r="O29" s="40"/>
    </row>
    <row r="30" spans="2:15" x14ac:dyDescent="0.25">
      <c r="O30" s="40"/>
    </row>
    <row r="31" spans="2:15" x14ac:dyDescent="0.25">
      <c r="O31" s="40"/>
    </row>
    <row r="32" spans="2:15" x14ac:dyDescent="0.25">
      <c r="O32" s="40"/>
    </row>
    <row r="33" spans="15:15" x14ac:dyDescent="0.25">
      <c r="O33" s="40"/>
    </row>
    <row r="34" spans="15:15" x14ac:dyDescent="0.25">
      <c r="O34" s="40"/>
    </row>
    <row r="35" spans="15:15" x14ac:dyDescent="0.25">
      <c r="O35" s="40"/>
    </row>
    <row r="36" spans="15:15" x14ac:dyDescent="0.25">
      <c r="O36" s="40"/>
    </row>
    <row r="37" spans="15:15" x14ac:dyDescent="0.25">
      <c r="O37" s="40"/>
    </row>
    <row r="38" spans="15:15" x14ac:dyDescent="0.25">
      <c r="O38" s="40"/>
    </row>
    <row r="39" spans="15:15" x14ac:dyDescent="0.25">
      <c r="O39" s="40"/>
    </row>
    <row r="40" spans="15:15" x14ac:dyDescent="0.25">
      <c r="O40" s="40"/>
    </row>
    <row r="41" spans="15:15" x14ac:dyDescent="0.25">
      <c r="O41" s="40"/>
    </row>
    <row r="42" spans="15:15" x14ac:dyDescent="0.25">
      <c r="O42" s="40"/>
    </row>
    <row r="43" spans="15:15" x14ac:dyDescent="0.25">
      <c r="O43" s="40"/>
    </row>
    <row r="44" spans="15:15" x14ac:dyDescent="0.25">
      <c r="O44" s="40"/>
    </row>
    <row r="45" spans="15:15" x14ac:dyDescent="0.25">
      <c r="O45" s="40"/>
    </row>
    <row r="46" spans="15:15" x14ac:dyDescent="0.25">
      <c r="O46" s="40"/>
    </row>
    <row r="47" spans="15:15" x14ac:dyDescent="0.25">
      <c r="O47" s="40"/>
    </row>
    <row r="48" spans="15:15" x14ac:dyDescent="0.25">
      <c r="O48" s="40"/>
    </row>
    <row r="49" spans="15:15" x14ac:dyDescent="0.25">
      <c r="O49" s="40"/>
    </row>
    <row r="50" spans="15:15" x14ac:dyDescent="0.25">
      <c r="O50" s="40"/>
    </row>
    <row r="51" spans="15:15" x14ac:dyDescent="0.25">
      <c r="O51" s="40"/>
    </row>
    <row r="52" spans="15:15" x14ac:dyDescent="0.25">
      <c r="O52" s="40"/>
    </row>
    <row r="53" spans="15:15" x14ac:dyDescent="0.25">
      <c r="O53" s="40"/>
    </row>
    <row r="54" spans="15:15" x14ac:dyDescent="0.25">
      <c r="O54" s="40"/>
    </row>
    <row r="55" spans="15:15" x14ac:dyDescent="0.25">
      <c r="O55" s="40"/>
    </row>
    <row r="56" spans="15:15" x14ac:dyDescent="0.25">
      <c r="O56" s="40"/>
    </row>
    <row r="57" spans="15:15" x14ac:dyDescent="0.25">
      <c r="O57" s="40"/>
    </row>
    <row r="58" spans="15:15" x14ac:dyDescent="0.25">
      <c r="O58" s="40"/>
    </row>
    <row r="59" spans="15:15" x14ac:dyDescent="0.25">
      <c r="O59" s="40"/>
    </row>
    <row r="60" spans="15:15" x14ac:dyDescent="0.25">
      <c r="O60" s="40"/>
    </row>
    <row r="61" spans="15:15" x14ac:dyDescent="0.25">
      <c r="O61" s="40"/>
    </row>
    <row r="62" spans="15:15" x14ac:dyDescent="0.25">
      <c r="O62" s="40"/>
    </row>
    <row r="63" spans="15:15" x14ac:dyDescent="0.25">
      <c r="O63" s="40"/>
    </row>
    <row r="64" spans="15:15" x14ac:dyDescent="0.25">
      <c r="O64" s="40"/>
    </row>
    <row r="65" spans="15:15" x14ac:dyDescent="0.25">
      <c r="O65" s="40"/>
    </row>
    <row r="66" spans="15:15" x14ac:dyDescent="0.25">
      <c r="O66" s="40"/>
    </row>
    <row r="67" spans="15:15" x14ac:dyDescent="0.25">
      <c r="O67" s="40"/>
    </row>
    <row r="68" spans="15:15" x14ac:dyDescent="0.25">
      <c r="O68" s="40"/>
    </row>
    <row r="69" spans="15:15" x14ac:dyDescent="0.25">
      <c r="O69" s="40"/>
    </row>
    <row r="70" spans="15:15" x14ac:dyDescent="0.25">
      <c r="O70" s="40"/>
    </row>
    <row r="71" spans="15:15" x14ac:dyDescent="0.25">
      <c r="O71" s="40"/>
    </row>
    <row r="72" spans="15:15" x14ac:dyDescent="0.25">
      <c r="O72" s="40"/>
    </row>
    <row r="73" spans="15:15" x14ac:dyDescent="0.25">
      <c r="O73" s="40"/>
    </row>
    <row r="74" spans="15:15" x14ac:dyDescent="0.25">
      <c r="O74" s="40"/>
    </row>
    <row r="75" spans="15:15" x14ac:dyDescent="0.25">
      <c r="O75" s="40"/>
    </row>
    <row r="76" spans="15:15" x14ac:dyDescent="0.25">
      <c r="O76" s="40"/>
    </row>
    <row r="77" spans="15:15" x14ac:dyDescent="0.25">
      <c r="O77" s="40"/>
    </row>
    <row r="78" spans="15:15" x14ac:dyDescent="0.25">
      <c r="O78" s="40"/>
    </row>
    <row r="79" spans="15:15" x14ac:dyDescent="0.25">
      <c r="O79" s="40"/>
    </row>
    <row r="80" spans="15:15" x14ac:dyDescent="0.25">
      <c r="O80" s="40"/>
    </row>
    <row r="81" spans="15:15" x14ac:dyDescent="0.25">
      <c r="O81" s="40"/>
    </row>
    <row r="82" spans="15:15" x14ac:dyDescent="0.25">
      <c r="O82" s="40"/>
    </row>
    <row r="83" spans="15:15" x14ac:dyDescent="0.25">
      <c r="O83" s="40"/>
    </row>
    <row r="84" spans="15:15" x14ac:dyDescent="0.25">
      <c r="O84" s="40"/>
    </row>
    <row r="85" spans="15:15" x14ac:dyDescent="0.25">
      <c r="O85" s="40"/>
    </row>
    <row r="86" spans="15:15" x14ac:dyDescent="0.25">
      <c r="O86" s="40"/>
    </row>
    <row r="87" spans="15:15" x14ac:dyDescent="0.25">
      <c r="O87" s="40"/>
    </row>
    <row r="88" spans="15:15" x14ac:dyDescent="0.25">
      <c r="O88" s="40"/>
    </row>
    <row r="89" spans="15:15" x14ac:dyDescent="0.25">
      <c r="O89" s="40"/>
    </row>
    <row r="90" spans="15:15" x14ac:dyDescent="0.25">
      <c r="O90" s="40"/>
    </row>
    <row r="91" spans="15:15" x14ac:dyDescent="0.25">
      <c r="O91" s="40"/>
    </row>
    <row r="92" spans="15:15" x14ac:dyDescent="0.25">
      <c r="O92" s="40"/>
    </row>
    <row r="93" spans="15:15" x14ac:dyDescent="0.25">
      <c r="O93" s="40"/>
    </row>
    <row r="94" spans="15:15" x14ac:dyDescent="0.25">
      <c r="O94" s="40"/>
    </row>
    <row r="95" spans="15:15" x14ac:dyDescent="0.25">
      <c r="O95" s="40"/>
    </row>
    <row r="96" spans="15:15" x14ac:dyDescent="0.25">
      <c r="O96" s="40"/>
    </row>
    <row r="97" spans="15:24" x14ac:dyDescent="0.25">
      <c r="O97" s="40"/>
    </row>
    <row r="98" spans="15:24" x14ac:dyDescent="0.25">
      <c r="O98" s="40"/>
    </row>
    <row r="99" spans="15:24" x14ac:dyDescent="0.25">
      <c r="O99" s="40"/>
    </row>
    <row r="100" spans="15:24" x14ac:dyDescent="0.25">
      <c r="O100" s="40"/>
    </row>
    <row r="101" spans="15:24" x14ac:dyDescent="0.25">
      <c r="P101"/>
      <c r="Q101"/>
      <c r="R101"/>
      <c r="S101"/>
      <c r="T101"/>
      <c r="U101"/>
      <c r="V101"/>
      <c r="W101"/>
      <c r="X101"/>
    </row>
    <row r="102" spans="15:24" x14ac:dyDescent="0.25">
      <c r="P102"/>
      <c r="Q102"/>
      <c r="R102"/>
      <c r="S102"/>
      <c r="T102"/>
      <c r="U102"/>
      <c r="V102"/>
      <c r="W102"/>
      <c r="X102"/>
    </row>
    <row r="103" spans="15:24" x14ac:dyDescent="0.25">
      <c r="P103"/>
      <c r="Q103"/>
      <c r="R103"/>
      <c r="S103"/>
      <c r="T103"/>
      <c r="U103"/>
      <c r="V103"/>
      <c r="W103"/>
      <c r="X103"/>
    </row>
    <row r="104" spans="15:24" x14ac:dyDescent="0.25">
      <c r="P104"/>
      <c r="Q104"/>
      <c r="R104"/>
      <c r="S104"/>
      <c r="T104"/>
      <c r="U104"/>
      <c r="V104"/>
      <c r="W104"/>
      <c r="X104"/>
    </row>
    <row r="105" spans="15:24" x14ac:dyDescent="0.25">
      <c r="P105"/>
      <c r="Q105"/>
      <c r="R105"/>
      <c r="S105"/>
      <c r="T105"/>
      <c r="U105"/>
      <c r="V105"/>
      <c r="W105"/>
      <c r="X105"/>
    </row>
    <row r="106" spans="15:24" x14ac:dyDescent="0.25">
      <c r="P106"/>
      <c r="Q106"/>
      <c r="R106"/>
      <c r="S106"/>
      <c r="T106"/>
      <c r="U106"/>
      <c r="V106"/>
      <c r="W106"/>
      <c r="X106"/>
    </row>
    <row r="107" spans="15:24" x14ac:dyDescent="0.25">
      <c r="P107"/>
      <c r="Q107"/>
      <c r="R107"/>
      <c r="S107"/>
      <c r="T107"/>
      <c r="U107"/>
      <c r="V107"/>
      <c r="W107"/>
      <c r="X107"/>
    </row>
    <row r="108" spans="15:24" x14ac:dyDescent="0.25">
      <c r="P108"/>
      <c r="Q108"/>
      <c r="R108"/>
      <c r="S108"/>
      <c r="T108"/>
      <c r="U108"/>
      <c r="V108"/>
      <c r="W108"/>
      <c r="X108"/>
    </row>
    <row r="109" spans="15:24" x14ac:dyDescent="0.25">
      <c r="P109"/>
      <c r="Q109"/>
      <c r="R109"/>
      <c r="S109"/>
      <c r="T109"/>
      <c r="U109"/>
      <c r="V109"/>
      <c r="W109"/>
      <c r="X109"/>
    </row>
    <row r="110" spans="15:24" x14ac:dyDescent="0.25">
      <c r="P110"/>
      <c r="Q110"/>
      <c r="R110"/>
      <c r="S110"/>
      <c r="T110"/>
      <c r="U110"/>
      <c r="V110"/>
      <c r="W110"/>
      <c r="X110"/>
    </row>
    <row r="111" spans="15:24" x14ac:dyDescent="0.25">
      <c r="P111"/>
      <c r="Q111"/>
      <c r="R111"/>
      <c r="S111"/>
      <c r="T111"/>
      <c r="U111"/>
      <c r="V111"/>
      <c r="W111"/>
      <c r="X111"/>
    </row>
    <row r="112" spans="15:24" x14ac:dyDescent="0.25">
      <c r="P112"/>
      <c r="Q112"/>
      <c r="R112"/>
      <c r="S112"/>
      <c r="T112"/>
      <c r="U112"/>
      <c r="V112"/>
      <c r="W112"/>
      <c r="X112"/>
    </row>
    <row r="113" spans="16:25" x14ac:dyDescent="0.25">
      <c r="P113"/>
      <c r="Q113"/>
      <c r="R113"/>
      <c r="S113"/>
      <c r="T113"/>
      <c r="U113"/>
      <c r="V113"/>
      <c r="W113"/>
      <c r="X113"/>
    </row>
    <row r="114" spans="16:25" x14ac:dyDescent="0.25">
      <c r="P114"/>
      <c r="Q114"/>
      <c r="R114"/>
      <c r="S114"/>
      <c r="T114"/>
      <c r="U114"/>
      <c r="V114"/>
      <c r="W114"/>
      <c r="X114"/>
    </row>
    <row r="115" spans="16:25" x14ac:dyDescent="0.25">
      <c r="P115"/>
      <c r="Q115"/>
      <c r="R115"/>
      <c r="S115"/>
      <c r="T115"/>
      <c r="U115"/>
      <c r="V115"/>
      <c r="W115"/>
      <c r="X115"/>
    </row>
    <row r="116" spans="16:25" x14ac:dyDescent="0.25">
      <c r="P116"/>
      <c r="Q116"/>
      <c r="R116"/>
      <c r="S116"/>
      <c r="T116"/>
      <c r="U116"/>
      <c r="V116"/>
      <c r="W116"/>
      <c r="X116"/>
    </row>
    <row r="117" spans="16:25" x14ac:dyDescent="0.25">
      <c r="P117"/>
      <c r="Q117"/>
      <c r="R117"/>
      <c r="S117"/>
      <c r="T117"/>
      <c r="U117"/>
      <c r="V117"/>
      <c r="W117"/>
      <c r="X117"/>
    </row>
    <row r="118" spans="16:25" x14ac:dyDescent="0.25">
      <c r="P118"/>
      <c r="Q118"/>
      <c r="R118"/>
      <c r="S118"/>
      <c r="T118"/>
      <c r="U118"/>
      <c r="V118"/>
      <c r="W118"/>
      <c r="X118"/>
    </row>
    <row r="119" spans="16:25" x14ac:dyDescent="0.25">
      <c r="P119"/>
      <c r="Q119"/>
      <c r="R119"/>
      <c r="S119"/>
      <c r="T119"/>
      <c r="U119"/>
      <c r="V119"/>
      <c r="W119"/>
      <c r="X119"/>
    </row>
    <row r="120" spans="16:25" x14ac:dyDescent="0.25">
      <c r="P120"/>
      <c r="Q120"/>
      <c r="R120"/>
      <c r="S120"/>
      <c r="T120"/>
      <c r="U120"/>
      <c r="V120"/>
      <c r="W120"/>
      <c r="X120"/>
    </row>
    <row r="121" spans="16:25" x14ac:dyDescent="0.25">
      <c r="P121"/>
      <c r="Q121"/>
      <c r="R121"/>
      <c r="S121"/>
      <c r="T121"/>
      <c r="U121"/>
      <c r="V121"/>
      <c r="W121"/>
      <c r="X121"/>
    </row>
    <row r="122" spans="16:25" x14ac:dyDescent="0.25">
      <c r="P122"/>
      <c r="Q122"/>
      <c r="R122"/>
      <c r="S122"/>
      <c r="T122"/>
      <c r="U122"/>
      <c r="V122"/>
      <c r="W122"/>
      <c r="X122"/>
    </row>
    <row r="123" spans="16:25" x14ac:dyDescent="0.25">
      <c r="P123"/>
      <c r="Q123"/>
      <c r="R123"/>
      <c r="S123"/>
      <c r="T123"/>
      <c r="U123"/>
      <c r="V123"/>
      <c r="W123"/>
      <c r="X123"/>
    </row>
    <row r="124" spans="16:25" x14ac:dyDescent="0.25">
      <c r="P124"/>
      <c r="Q124"/>
      <c r="R124"/>
      <c r="S124"/>
      <c r="T124"/>
      <c r="U124"/>
      <c r="V124"/>
      <c r="W124"/>
      <c r="X124"/>
      <c r="Y124" t="s">
        <v>28</v>
      </c>
    </row>
    <row r="125" spans="16:25" x14ac:dyDescent="0.25">
      <c r="P125"/>
      <c r="Q125"/>
      <c r="R125"/>
      <c r="S125"/>
      <c r="T125"/>
      <c r="U125"/>
      <c r="V125"/>
      <c r="W125"/>
      <c r="X125"/>
    </row>
    <row r="126" spans="16:25" x14ac:dyDescent="0.25">
      <c r="P126"/>
      <c r="Q126"/>
      <c r="R126"/>
      <c r="S126"/>
      <c r="T126"/>
      <c r="U126"/>
      <c r="V126"/>
      <c r="W126"/>
      <c r="X126"/>
    </row>
    <row r="127" spans="16:25" x14ac:dyDescent="0.25">
      <c r="P127"/>
      <c r="Q127"/>
      <c r="R127"/>
      <c r="S127"/>
      <c r="T127"/>
      <c r="U127"/>
      <c r="V127"/>
      <c r="W127"/>
      <c r="X127"/>
    </row>
    <row r="128" spans="16:25" x14ac:dyDescent="0.25">
      <c r="P128"/>
      <c r="Q128"/>
      <c r="R128"/>
      <c r="S128"/>
      <c r="T128"/>
      <c r="U128"/>
      <c r="V128"/>
      <c r="W128"/>
      <c r="X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4:24" x14ac:dyDescent="0.25">
      <c r="P145"/>
      <c r="Q145"/>
      <c r="R145"/>
      <c r="S145"/>
      <c r="T145"/>
      <c r="U145"/>
      <c r="V145"/>
      <c r="W145"/>
      <c r="X145"/>
    </row>
    <row r="146" spans="14:24" x14ac:dyDescent="0.25">
      <c r="P146"/>
      <c r="Q146"/>
      <c r="R146"/>
      <c r="S146"/>
      <c r="T146"/>
      <c r="U146"/>
      <c r="V146"/>
      <c r="W146"/>
      <c r="X146"/>
    </row>
    <row r="147" spans="14:24" x14ac:dyDescent="0.25">
      <c r="P147"/>
      <c r="Q147"/>
      <c r="R147"/>
      <c r="S147"/>
      <c r="T147"/>
      <c r="U147"/>
      <c r="V147"/>
      <c r="W147"/>
      <c r="X147"/>
    </row>
    <row r="148" spans="14:24" x14ac:dyDescent="0.25">
      <c r="P148"/>
      <c r="Q148"/>
      <c r="R148"/>
      <c r="S148"/>
      <c r="T148"/>
      <c r="U148"/>
      <c r="V148"/>
      <c r="W148"/>
      <c r="X148"/>
    </row>
    <row r="149" spans="14:24" x14ac:dyDescent="0.25">
      <c r="P149"/>
      <c r="Q149"/>
      <c r="R149"/>
      <c r="S149"/>
      <c r="T149"/>
      <c r="U149"/>
      <c r="V149"/>
      <c r="W149"/>
      <c r="X149"/>
    </row>
    <row r="150" spans="14:24" x14ac:dyDescent="0.25">
      <c r="P150"/>
      <c r="Q150"/>
      <c r="R150"/>
      <c r="S150"/>
      <c r="T150"/>
      <c r="U150"/>
      <c r="V150"/>
      <c r="W150"/>
      <c r="X150"/>
    </row>
    <row r="151" spans="14:24" x14ac:dyDescent="0.25">
      <c r="N151" t="s">
        <v>33</v>
      </c>
      <c r="P151"/>
      <c r="Q151"/>
      <c r="R151"/>
      <c r="S151"/>
      <c r="T151"/>
      <c r="U151"/>
      <c r="V151"/>
      <c r="W151"/>
      <c r="X151"/>
    </row>
    <row r="152" spans="14:24" x14ac:dyDescent="0.25">
      <c r="P152"/>
      <c r="Q152"/>
      <c r="R152"/>
      <c r="S152"/>
      <c r="T152"/>
      <c r="U152"/>
      <c r="V152"/>
      <c r="W152"/>
      <c r="X152"/>
    </row>
    <row r="153" spans="14:24" x14ac:dyDescent="0.25">
      <c r="P153"/>
      <c r="Q153"/>
      <c r="R153"/>
      <c r="S153"/>
      <c r="T153"/>
      <c r="U153"/>
      <c r="V153"/>
      <c r="W153"/>
      <c r="X153"/>
    </row>
    <row r="154" spans="14:24" x14ac:dyDescent="0.25">
      <c r="P154"/>
      <c r="Q154"/>
      <c r="R154"/>
      <c r="S154"/>
      <c r="T154"/>
      <c r="U154"/>
      <c r="V154"/>
      <c r="W154"/>
      <c r="X154"/>
    </row>
    <row r="155" spans="14:24" x14ac:dyDescent="0.25">
      <c r="P155"/>
      <c r="Q155"/>
      <c r="R155"/>
      <c r="S155"/>
      <c r="T155"/>
      <c r="U155"/>
      <c r="V155"/>
      <c r="W155"/>
      <c r="X155"/>
    </row>
    <row r="156" spans="14:24" x14ac:dyDescent="0.25">
      <c r="P156"/>
      <c r="Q156"/>
      <c r="R156"/>
      <c r="S156"/>
      <c r="T156"/>
      <c r="U156"/>
      <c r="V156"/>
      <c r="W156"/>
      <c r="X156"/>
    </row>
    <row r="157" spans="14:24" x14ac:dyDescent="0.25">
      <c r="P157"/>
      <c r="Q157"/>
      <c r="R157"/>
      <c r="S157"/>
      <c r="T157"/>
      <c r="U157"/>
      <c r="V157"/>
      <c r="W157"/>
      <c r="X157"/>
    </row>
    <row r="158" spans="14:24" x14ac:dyDescent="0.25">
      <c r="P158"/>
      <c r="Q158"/>
      <c r="R158"/>
      <c r="S158"/>
      <c r="T158"/>
      <c r="U158"/>
      <c r="V158"/>
      <c r="W158"/>
      <c r="X158"/>
    </row>
    <row r="159" spans="14:24" x14ac:dyDescent="0.25">
      <c r="P159"/>
      <c r="Q159"/>
      <c r="R159"/>
      <c r="S159"/>
      <c r="T159"/>
      <c r="U159"/>
      <c r="V159"/>
      <c r="W159"/>
      <c r="X159"/>
    </row>
    <row r="160" spans="14:24" x14ac:dyDescent="0.25">
      <c r="P160"/>
      <c r="Q160"/>
      <c r="R160"/>
      <c r="S160"/>
      <c r="T160"/>
      <c r="U160"/>
      <c r="V160"/>
      <c r="W160"/>
      <c r="X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spans="16:29" x14ac:dyDescent="0.25">
      <c r="P337"/>
      <c r="Q337"/>
      <c r="R337"/>
      <c r="S337"/>
      <c r="T337"/>
      <c r="U337"/>
      <c r="V337"/>
      <c r="W337"/>
      <c r="X337"/>
    </row>
    <row r="338" spans="16:29" x14ac:dyDescent="0.25">
      <c r="P338"/>
      <c r="Q338"/>
      <c r="R338"/>
      <c r="S338"/>
      <c r="T338"/>
      <c r="U338"/>
      <c r="V338"/>
      <c r="W338"/>
      <c r="X338"/>
    </row>
    <row r="339" spans="16:29" x14ac:dyDescent="0.25">
      <c r="P339"/>
      <c r="Q339"/>
      <c r="R339"/>
      <c r="S339"/>
      <c r="T339"/>
      <c r="U339"/>
      <c r="V339"/>
      <c r="W339"/>
      <c r="X339"/>
    </row>
    <row r="340" spans="16:29" x14ac:dyDescent="0.25">
      <c r="P340"/>
      <c r="Q340"/>
      <c r="R340"/>
      <c r="S340"/>
      <c r="T340"/>
      <c r="U340"/>
      <c r="V340"/>
      <c r="W340"/>
      <c r="X340"/>
    </row>
    <row r="341" spans="16:29" x14ac:dyDescent="0.25">
      <c r="P341"/>
      <c r="Q341"/>
      <c r="R341"/>
      <c r="S341"/>
      <c r="T341"/>
      <c r="U341"/>
      <c r="V341"/>
      <c r="W341"/>
      <c r="X341"/>
    </row>
    <row r="342" spans="16:29" x14ac:dyDescent="0.25">
      <c r="P342"/>
      <c r="Q342"/>
      <c r="R342"/>
      <c r="S342"/>
      <c r="T342"/>
      <c r="U342"/>
      <c r="V342"/>
      <c r="W342"/>
      <c r="X342"/>
    </row>
    <row r="343" spans="16:29" x14ac:dyDescent="0.25">
      <c r="P343"/>
      <c r="Q343"/>
      <c r="R343"/>
      <c r="S343"/>
      <c r="T343"/>
      <c r="U343"/>
      <c r="V343"/>
      <c r="W343"/>
      <c r="X343"/>
    </row>
    <row r="344" spans="16:29" x14ac:dyDescent="0.25">
      <c r="P344"/>
      <c r="Q344"/>
      <c r="R344"/>
      <c r="S344"/>
      <c r="T344"/>
      <c r="U344"/>
      <c r="V344"/>
      <c r="W344"/>
      <c r="X344"/>
    </row>
    <row r="345" spans="16:29" x14ac:dyDescent="0.25">
      <c r="P345"/>
      <c r="Q345"/>
      <c r="R345"/>
      <c r="S345"/>
      <c r="T345"/>
      <c r="U345"/>
      <c r="V345"/>
      <c r="W345"/>
      <c r="X345"/>
    </row>
    <row r="346" spans="16:29" x14ac:dyDescent="0.25">
      <c r="P346"/>
      <c r="Q346"/>
      <c r="R346"/>
      <c r="S346"/>
      <c r="T346"/>
      <c r="U346"/>
      <c r="V346"/>
      <c r="W346"/>
      <c r="X346"/>
    </row>
    <row r="347" spans="16:29" x14ac:dyDescent="0.25">
      <c r="P347"/>
      <c r="Q347"/>
      <c r="R347"/>
      <c r="S347"/>
      <c r="T347"/>
      <c r="U347"/>
      <c r="V347"/>
      <c r="W347"/>
      <c r="X347"/>
    </row>
    <row r="348" spans="16:29" x14ac:dyDescent="0.25">
      <c r="P348"/>
      <c r="Q348"/>
      <c r="R348"/>
      <c r="S348"/>
      <c r="T348"/>
      <c r="U348"/>
      <c r="V348"/>
      <c r="W348"/>
      <c r="X348"/>
    </row>
    <row r="349" spans="16:29" x14ac:dyDescent="0.25">
      <c r="P349"/>
      <c r="Q349"/>
      <c r="R349"/>
      <c r="S349"/>
      <c r="T349"/>
      <c r="U349"/>
      <c r="V349"/>
      <c r="W349"/>
      <c r="X349"/>
    </row>
    <row r="350" spans="16:29" x14ac:dyDescent="0.25">
      <c r="P350"/>
      <c r="Q350"/>
      <c r="R350"/>
      <c r="S350"/>
      <c r="T350"/>
      <c r="U350"/>
      <c r="V350"/>
      <c r="W350"/>
      <c r="X350"/>
    </row>
    <row r="351" spans="16:29" x14ac:dyDescent="0.25">
      <c r="P351"/>
      <c r="Q351"/>
      <c r="R351"/>
      <c r="S351"/>
      <c r="T351"/>
      <c r="U351"/>
      <c r="V351"/>
      <c r="W351"/>
      <c r="X351"/>
      <c r="AC351" t="s">
        <v>76</v>
      </c>
    </row>
    <row r="352" spans="16:29" x14ac:dyDescent="0.25">
      <c r="P352"/>
      <c r="Q352"/>
      <c r="R352"/>
      <c r="S352"/>
      <c r="T352"/>
      <c r="U352"/>
      <c r="V352"/>
      <c r="W352"/>
      <c r="X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</sheetData>
  <conditionalFormatting sqref="O10:X100">
    <cfRule type="expression" dxfId="21" priority="2">
      <formula>AND(LEN(O10)&gt;0,MOD(ROW(O10)-ROW($O$9),2))</formula>
    </cfRule>
  </conditionalFormatting>
  <conditionalFormatting sqref="O10:O100">
    <cfRule type="expression" dxfId="20" priority="1">
      <formula>LEN(O10)=0</formula>
    </cfRule>
  </conditionalFormatting>
  <conditionalFormatting sqref="B10:K11">
    <cfRule type="expression" dxfId="0" priority="3" stopIfTrue="1">
      <formula>MOD(ROW(B10)-ROW($B$9),2)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B375"/>
  <sheetViews>
    <sheetView topLeftCell="A4" workbookViewId="0">
      <pane ySplit="5" topLeftCell="A366" activePane="bottomLeft" state="frozen"/>
      <selection activeCell="A4" sqref="A4"/>
      <selection pane="bottomLeft" activeCell="W377" sqref="W377"/>
    </sheetView>
  </sheetViews>
  <sheetFormatPr defaultRowHeight="13.2" x14ac:dyDescent="0.25"/>
  <cols>
    <col min="5" max="24" width="3.33203125" style="5" customWidth="1"/>
    <col min="25" max="27" width="3.33203125" customWidth="1"/>
  </cols>
  <sheetData>
    <row r="7" spans="4:26" ht="13.8" thickBot="1" x14ac:dyDescent="0.3"/>
    <row r="8" spans="4:26" ht="132" thickBot="1" x14ac:dyDescent="0.3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8" thickTop="1" x14ac:dyDescent="0.25">
      <c r="D9" t="str" cm="1">
        <f t="array" aca="1" ref="D9:D37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75">_xlfn.BYROW(_xlfn.DROP(_xlnm.Print_Area,,1),_xleta.SUM)</f>
        <v>0</v>
      </c>
    </row>
    <row r="10" spans="4:26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5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5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5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5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5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5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5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5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5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5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5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5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5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5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Z369">
        <v>3</v>
      </c>
    </row>
    <row r="370" spans="4:26" x14ac:dyDescent="0.25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Z370">
        <v>3</v>
      </c>
    </row>
    <row r="371" spans="4:26" x14ac:dyDescent="0.25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Z371">
        <v>3</v>
      </c>
    </row>
    <row r="372" spans="4:26" x14ac:dyDescent="0.25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Z372">
        <v>3</v>
      </c>
    </row>
    <row r="373" spans="4:26" x14ac:dyDescent="0.25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Z373">
        <v>3</v>
      </c>
    </row>
    <row r="374" spans="4:26" x14ac:dyDescent="0.25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Z374">
        <v>3</v>
      </c>
    </row>
    <row r="375" spans="4:26" x14ac:dyDescent="0.25">
      <c r="D375" t="str">
        <f ca="1"/>
        <v>02-Jan</v>
      </c>
      <c r="Z375">
        <v>0</v>
      </c>
    </row>
  </sheetData>
  <conditionalFormatting sqref="D9:X339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24</v>
      </c>
    </row>
    <row r="6" spans="1:2" x14ac:dyDescent="0.25">
      <c r="A6" s="8" t="b">
        <v>0</v>
      </c>
      <c r="B6" t="s">
        <v>25</v>
      </c>
    </row>
    <row r="7" spans="1:2" x14ac:dyDescent="0.25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3.2" x14ac:dyDescent="0.25"/>
  <cols>
    <col min="10" max="10" width="12" bestFit="1" customWidth="1"/>
  </cols>
  <sheetData>
    <row r="1" spans="2:6" x14ac:dyDescent="0.25">
      <c r="B1" t="s">
        <v>131</v>
      </c>
      <c r="C1">
        <v>10</v>
      </c>
      <c r="D1" t="s">
        <v>135</v>
      </c>
    </row>
    <row r="2" spans="2:6" x14ac:dyDescent="0.25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5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5">
      <c r="B4" t="s">
        <v>134</v>
      </c>
      <c r="C4">
        <v>100</v>
      </c>
      <c r="D4" t="s">
        <v>138</v>
      </c>
    </row>
    <row r="5" spans="2:6" x14ac:dyDescent="0.25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5">
      <c r="B6" t="s">
        <v>150</v>
      </c>
      <c r="C6">
        <v>0</v>
      </c>
      <c r="D6" t="s">
        <v>137</v>
      </c>
    </row>
    <row r="8" spans="2:6" x14ac:dyDescent="0.25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5">
      <c r="B9" t="s">
        <v>143</v>
      </c>
      <c r="C9" s="29">
        <f>_R*COS(_B*PI()/180)</f>
        <v>1732.0508075688774</v>
      </c>
      <c r="D9" t="s">
        <v>138</v>
      </c>
    </row>
    <row r="10" spans="2:6" x14ac:dyDescent="0.25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5">
      <c r="B11" t="s">
        <v>145</v>
      </c>
      <c r="C11">
        <f>-SIN(PI()/180*_Theta)*_L</f>
        <v>-76.604444311897808</v>
      </c>
    </row>
    <row r="12" spans="2:6" x14ac:dyDescent="0.25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5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5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5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5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5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5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5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5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5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5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5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5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5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5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5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5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5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5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5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5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5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5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5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5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5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5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5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5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5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5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5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5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5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5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5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5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5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5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5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5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5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5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5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5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5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5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5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5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5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5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5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5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5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5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5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5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5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5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5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5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5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5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5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5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5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5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5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5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5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5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5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5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5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5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5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5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5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5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5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5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5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5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5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5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5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5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5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5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5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5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5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5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5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5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5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5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5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5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5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5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5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5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5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5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5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5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5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5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5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5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5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5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5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5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5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5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5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5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5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5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5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5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5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5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5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5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5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5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5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5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5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5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5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5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5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5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5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5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5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5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5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5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5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5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5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5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5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5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5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5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5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5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5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5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5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5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5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5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5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5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5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5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5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5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5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5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5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5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5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5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5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5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5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5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5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5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5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5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5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5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5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5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5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5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5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5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5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5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5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5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5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5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5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5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5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5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5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5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5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5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5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5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3.2" x14ac:dyDescent="0.25"/>
  <cols>
    <col min="1" max="1" width="17.21875" bestFit="1" customWidth="1"/>
    <col min="2" max="2" width="17.2187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33203125" customWidth="1"/>
  </cols>
  <sheetData>
    <row r="1" spans="1:13" x14ac:dyDescent="0.25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5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8" thickBot="1" x14ac:dyDescent="0.3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8" thickTop="1" x14ac:dyDescent="0.25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5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5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5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5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5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5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5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5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49</v>
      </c>
      <c r="B1" s="26" t="s">
        <v>48</v>
      </c>
      <c r="C1" s="26"/>
    </row>
    <row r="2" spans="1:3" x14ac:dyDescent="0.25">
      <c r="A2" s="27" t="s">
        <v>47</v>
      </c>
      <c r="B2" s="26"/>
      <c r="C2" s="26"/>
    </row>
    <row r="3" spans="1:3" x14ac:dyDescent="0.25">
      <c r="A3" s="27" t="s">
        <v>46</v>
      </c>
      <c r="B3" s="26" t="str" cm="1">
        <f t="array" aca="1" ref="B3" ca="1">HD_Date</f>
        <v>02-Jan-2026</v>
      </c>
      <c r="C3" s="26"/>
    </row>
    <row r="43" spans="4:12" x14ac:dyDescent="0.25">
      <c r="E43" t="s">
        <v>50</v>
      </c>
      <c r="F43" t="s">
        <v>50</v>
      </c>
      <c r="G43" t="s">
        <v>50</v>
      </c>
      <c r="H43" t="s">
        <v>51</v>
      </c>
    </row>
    <row r="44" spans="4:12" x14ac:dyDescent="0.25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5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5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5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5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5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5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63</v>
      </c>
      <c r="C4" t="s">
        <v>69</v>
      </c>
      <c r="E4" t="s">
        <v>73</v>
      </c>
    </row>
    <row r="5" spans="2:17" x14ac:dyDescent="0.25">
      <c r="B5" t="s">
        <v>64</v>
      </c>
      <c r="E5" t="s">
        <v>74</v>
      </c>
    </row>
    <row r="6" spans="2:17" x14ac:dyDescent="0.25">
      <c r="B6" t="s">
        <v>65</v>
      </c>
      <c r="C6" t="s">
        <v>70</v>
      </c>
    </row>
    <row r="7" spans="2:17" x14ac:dyDescent="0.25">
      <c r="B7" t="s">
        <v>66</v>
      </c>
      <c r="E7" t="s">
        <v>72</v>
      </c>
    </row>
    <row r="8" spans="2:17" x14ac:dyDescent="0.25">
      <c r="B8" t="s">
        <v>67</v>
      </c>
      <c r="C8" t="s">
        <v>71</v>
      </c>
      <c r="E8" t="s">
        <v>75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2:C4"/>
  <sheetViews>
    <sheetView workbookViewId="0">
      <selection activeCell="I14" sqref="I14"/>
    </sheetView>
  </sheetViews>
  <sheetFormatPr defaultRowHeight="13.2" x14ac:dyDescent="0.25"/>
  <cols>
    <col min="3" max="3" width="15.109375" bestFit="1" customWidth="1"/>
  </cols>
  <sheetData>
    <row r="2" spans="2:3" x14ac:dyDescent="0.25">
      <c r="B2" t="s">
        <v>171</v>
      </c>
      <c r="C2" s="38">
        <v>1302.9100000000001</v>
      </c>
    </row>
    <row r="3" spans="2:3" x14ac:dyDescent="0.25">
      <c r="B3" t="s">
        <v>172</v>
      </c>
      <c r="C3" s="38">
        <v>61022.73</v>
      </c>
    </row>
    <row r="4" spans="2:3" x14ac:dyDescent="0.25">
      <c r="B4" t="s">
        <v>173</v>
      </c>
      <c r="C4" s="38">
        <v>1373382.41</v>
      </c>
    </row>
  </sheetData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U19" sqref="U19"/>
    </sheetView>
  </sheetViews>
  <sheetFormatPr defaultRowHeight="13.2" x14ac:dyDescent="0.25"/>
  <cols>
    <col min="11" max="11" width="11" bestFit="1" customWidth="1"/>
  </cols>
  <sheetData>
    <row r="1" spans="1:28" x14ac:dyDescent="0.25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5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5">
      <c r="A3" s="27" t="s">
        <v>46</v>
      </c>
      <c r="B3" s="26" t="str" cm="1">
        <f t="array" aca="1" ref="B3" ca="1">HD_Date</f>
        <v>02-Jan-2026</v>
      </c>
      <c r="C3" s="26"/>
    </row>
    <row r="6" spans="1:28" x14ac:dyDescent="0.25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5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5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5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5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5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5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5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2025</vt:lpstr>
      <vt:lpstr>2026</vt:lpstr>
      <vt:lpstr>LongTermTraining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2026-01-02T17:00:00Z</dcterms:modified>
</cp:coreProperties>
</file>