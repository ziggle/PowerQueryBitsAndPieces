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B968DA0-7C87-4C8C-B491-AB285F8DEB8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Sheet3" sheetId="8" r:id="rId2"/>
    <sheet name="PointTraining" sheetId="4" r:id="rId3"/>
    <sheet name="LongTermTraining" sheetId="3" r:id="rId4"/>
    <sheet name="Sheet1" sheetId="5" r:id="rId5"/>
    <sheet name="Sheet2" sheetId="6" r:id="rId6"/>
    <sheet name="SH3_Correction_Table" sheetId="7" r:id="rId7"/>
  </sheets>
  <definedNames>
    <definedName name="__xL">Sheet3!$C$12</definedName>
    <definedName name="_AOB">Sheet3!$C$1</definedName>
    <definedName name="_B">Sheet3!$C$2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Sheet3!$C$4</definedName>
    <definedName name="_nHd">Report!$C$9:$L$9</definedName>
    <definedName name="_R">Sheet3!$C$3</definedName>
    <definedName name="_Theta">Sheet3!$C$10</definedName>
    <definedName name="_v">Sheet3!$C$5</definedName>
    <definedName name="_vSub">Sheet3!$C$6</definedName>
    <definedName name="_vyps">Sheet3!$C$13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eta.TAN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Sheet3!$C$8</definedName>
    <definedName name="_yL">Sheet3!$C$11</definedName>
    <definedName name="_yShip">Sheet3!$C$9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3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8" l="1"/>
  <c r="C9" i="8"/>
  <c r="J20" i="8"/>
  <c r="K22" i="8"/>
  <c r="C10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17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Y9" i="3"/>
  <c r="N10" i="1"/>
  <c r="M21" i="1" a="1"/>
  <c r="B10" i="1"/>
  <c r="C191" i="8" l="1"/>
  <c r="F191" i="8" s="1"/>
  <c r="C210" i="8"/>
  <c r="F210" i="8" s="1"/>
  <c r="C211" i="8"/>
  <c r="F211" i="8" s="1"/>
  <c r="C149" i="8"/>
  <c r="F149" i="8" s="1"/>
  <c r="C208" i="8"/>
  <c r="F208" i="8" s="1"/>
  <c r="C212" i="8"/>
  <c r="F212" i="8" s="1"/>
  <c r="D104" i="8"/>
  <c r="F12" i="8"/>
  <c r="C216" i="8"/>
  <c r="F216" i="8" s="1"/>
  <c r="C194" i="8"/>
  <c r="F194" i="8" s="1"/>
  <c r="C88" i="8"/>
  <c r="F88" i="8" s="1"/>
  <c r="C140" i="8"/>
  <c r="F140" i="8" s="1"/>
  <c r="C213" i="8"/>
  <c r="F213" i="8" s="1"/>
  <c r="C61" i="8"/>
  <c r="F61" i="8" s="1"/>
  <c r="C94" i="8"/>
  <c r="F94" i="8" s="1"/>
  <c r="C105" i="8"/>
  <c r="F105" i="8" s="1"/>
  <c r="C84" i="8"/>
  <c r="F84" i="8" s="1"/>
  <c r="C179" i="8"/>
  <c r="F179" i="8" s="1"/>
  <c r="C142" i="8"/>
  <c r="F142" i="8" s="1"/>
  <c r="C101" i="8"/>
  <c r="F101" i="8" s="1"/>
  <c r="C193" i="8"/>
  <c r="F193" i="8" s="1"/>
  <c r="C181" i="8"/>
  <c r="F181" i="8" s="1"/>
  <c r="C99" i="8"/>
  <c r="F99" i="8" s="1"/>
  <c r="C148" i="8"/>
  <c r="F148" i="8" s="1"/>
  <c r="C204" i="8"/>
  <c r="F204" i="8" s="1"/>
  <c r="C90" i="8"/>
  <c r="F90" i="8" s="1"/>
  <c r="C189" i="8"/>
  <c r="F189" i="8" s="1"/>
  <c r="C93" i="8"/>
  <c r="F93" i="8" s="1"/>
  <c r="C150" i="8"/>
  <c r="F150" i="8" s="1"/>
  <c r="C177" i="8"/>
  <c r="F177" i="8" s="1"/>
  <c r="C180" i="8"/>
  <c r="F180" i="8" s="1"/>
  <c r="C186" i="8"/>
  <c r="F186" i="8" s="1"/>
  <c r="C206" i="8"/>
  <c r="F206" i="8" s="1"/>
  <c r="C95" i="8"/>
  <c r="F95" i="8" s="1"/>
  <c r="C97" i="8"/>
  <c r="F97" i="8" s="1"/>
  <c r="C92" i="8"/>
  <c r="F92" i="8" s="1"/>
  <c r="C100" i="8"/>
  <c r="F100" i="8" s="1"/>
  <c r="C102" i="8"/>
  <c r="F102" i="8" s="1"/>
  <c r="C104" i="8"/>
  <c r="F104" i="8" s="1"/>
  <c r="C106" i="8"/>
  <c r="F106" i="8" s="1"/>
  <c r="C139" i="8"/>
  <c r="F139" i="8" s="1"/>
  <c r="C207" i="8"/>
  <c r="F207" i="8" s="1"/>
  <c r="D182" i="8"/>
  <c r="D191" i="8"/>
  <c r="D200" i="8"/>
  <c r="D210" i="8"/>
  <c r="D214" i="8"/>
  <c r="D206" i="8"/>
  <c r="D215" i="8"/>
  <c r="D216" i="8"/>
  <c r="D202" i="8"/>
  <c r="D203" i="8"/>
  <c r="D188" i="8"/>
  <c r="C83" i="8"/>
  <c r="F83" i="8" s="1"/>
  <c r="C85" i="8"/>
  <c r="F85" i="8" s="1"/>
  <c r="C87" i="8"/>
  <c r="F87" i="8" s="1"/>
  <c r="C89" i="8"/>
  <c r="F89" i="8" s="1"/>
  <c r="C91" i="8"/>
  <c r="F91" i="8" s="1"/>
  <c r="C143" i="8"/>
  <c r="F143" i="8" s="1"/>
  <c r="C145" i="8"/>
  <c r="F145" i="8" s="1"/>
  <c r="C64" i="8"/>
  <c r="F64" i="8" s="1"/>
  <c r="C65" i="8"/>
  <c r="F65" i="8" s="1"/>
  <c r="C66" i="8"/>
  <c r="F66" i="8" s="1"/>
  <c r="C103" i="8"/>
  <c r="F103" i="8" s="1"/>
  <c r="C55" i="8"/>
  <c r="F55" i="8" s="1"/>
  <c r="C56" i="8"/>
  <c r="F56" i="8" s="1"/>
  <c r="C57" i="8"/>
  <c r="F57" i="8" s="1"/>
  <c r="C59" i="8"/>
  <c r="F59" i="8" s="1"/>
  <c r="D135" i="8"/>
  <c r="D140" i="8"/>
  <c r="D147" i="8"/>
  <c r="D212" i="8"/>
  <c r="D17" i="8"/>
  <c r="C50" i="8"/>
  <c r="F50" i="8" s="1"/>
  <c r="C51" i="8"/>
  <c r="F51" i="8" s="1"/>
  <c r="C52" i="8"/>
  <c r="F52" i="8" s="1"/>
  <c r="C53" i="8"/>
  <c r="F53" i="8" s="1"/>
  <c r="C58" i="8"/>
  <c r="F58" i="8" s="1"/>
  <c r="C60" i="8"/>
  <c r="F60" i="8" s="1"/>
  <c r="C215" i="8"/>
  <c r="F215" i="8" s="1"/>
  <c r="C62" i="8"/>
  <c r="F62" i="8" s="1"/>
  <c r="C63" i="8"/>
  <c r="F63" i="8" s="1"/>
  <c r="C152" i="8"/>
  <c r="F152" i="8" s="1"/>
  <c r="C185" i="8"/>
  <c r="F185" i="8" s="1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40" i="8"/>
  <c r="F40" i="8" s="1"/>
  <c r="C19" i="8"/>
  <c r="F19" i="8" s="1"/>
  <c r="C116" i="8"/>
  <c r="F116" i="8" s="1"/>
  <c r="C20" i="8"/>
  <c r="F20" i="8" s="1"/>
  <c r="C41" i="8"/>
  <c r="F41" i="8" s="1"/>
  <c r="C21" i="8"/>
  <c r="F21" i="8" s="1"/>
  <c r="C117" i="8"/>
  <c r="F117" i="8" s="1"/>
  <c r="C22" i="8"/>
  <c r="F22" i="8" s="1"/>
  <c r="C42" i="8"/>
  <c r="F42" i="8" s="1"/>
  <c r="C23" i="8"/>
  <c r="F23" i="8" s="1"/>
  <c r="C118" i="8"/>
  <c r="F118" i="8" s="1"/>
  <c r="C24" i="8"/>
  <c r="F24" i="8" s="1"/>
  <c r="C46" i="8"/>
  <c r="F46" i="8" s="1"/>
  <c r="C25" i="8"/>
  <c r="F25" i="8" s="1"/>
  <c r="C119" i="8"/>
  <c r="F119" i="8" s="1"/>
  <c r="C26" i="8"/>
  <c r="F26" i="8" s="1"/>
  <c r="C47" i="8"/>
  <c r="F47" i="8" s="1"/>
  <c r="C27" i="8"/>
  <c r="F27" i="8" s="1"/>
  <c r="C28" i="8"/>
  <c r="F28" i="8" s="1"/>
  <c r="C120" i="8"/>
  <c r="F120" i="8" s="1"/>
  <c r="C29" i="8"/>
  <c r="F29" i="8" s="1"/>
  <c r="C48" i="8"/>
  <c r="F48" i="8" s="1"/>
  <c r="C30" i="8"/>
  <c r="F30" i="8" s="1"/>
  <c r="C121" i="8"/>
  <c r="F121" i="8" s="1"/>
  <c r="C49" i="8"/>
  <c r="F49" i="8" s="1"/>
  <c r="C122" i="8"/>
  <c r="F122" i="8" s="1"/>
  <c r="C34" i="8"/>
  <c r="F34" i="8" s="1"/>
  <c r="C35" i="8"/>
  <c r="F35" i="8" s="1"/>
  <c r="C36" i="8"/>
  <c r="F36" i="8" s="1"/>
  <c r="C37" i="8"/>
  <c r="F37" i="8" s="1"/>
  <c r="C38" i="8"/>
  <c r="F38" i="8" s="1"/>
  <c r="C54" i="8"/>
  <c r="F54" i="8" s="1"/>
  <c r="C123" i="8"/>
  <c r="F123" i="8" s="1"/>
  <c r="C43" i="8"/>
  <c r="F43" i="8" s="1"/>
  <c r="C124" i="8"/>
  <c r="F124" i="8" s="1"/>
  <c r="C153" i="8"/>
  <c r="F153" i="8" s="1"/>
  <c r="C44" i="8"/>
  <c r="F44" i="8" s="1"/>
  <c r="C45" i="8"/>
  <c r="F45" i="8" s="1"/>
  <c r="C154" i="8"/>
  <c r="F154" i="8" s="1"/>
  <c r="C156" i="8"/>
  <c r="F156" i="8" s="1"/>
  <c r="C161" i="8"/>
  <c r="F161" i="8" s="1"/>
  <c r="C125" i="8"/>
  <c r="F125" i="8" s="1"/>
  <c r="C126" i="8"/>
  <c r="F126" i="8" s="1"/>
  <c r="C127" i="8"/>
  <c r="F127" i="8" s="1"/>
  <c r="C128" i="8"/>
  <c r="F128" i="8" s="1"/>
  <c r="C129" i="8"/>
  <c r="F129" i="8" s="1"/>
  <c r="C67" i="8"/>
  <c r="F67" i="8" s="1"/>
  <c r="C130" i="8"/>
  <c r="F130" i="8" s="1"/>
  <c r="C68" i="8"/>
  <c r="F68" i="8" s="1"/>
  <c r="C131" i="8"/>
  <c r="F131" i="8" s="1"/>
  <c r="C69" i="8"/>
  <c r="F69" i="8" s="1"/>
  <c r="C132" i="8"/>
  <c r="F132" i="8" s="1"/>
  <c r="C70" i="8"/>
  <c r="F70" i="8" s="1"/>
  <c r="C133" i="8"/>
  <c r="F133" i="8" s="1"/>
  <c r="C71" i="8"/>
  <c r="F71" i="8" s="1"/>
  <c r="C134" i="8"/>
  <c r="F134" i="8" s="1"/>
  <c r="C72" i="8"/>
  <c r="F72" i="8" s="1"/>
  <c r="C136" i="8"/>
  <c r="F136" i="8" s="1"/>
  <c r="C73" i="8"/>
  <c r="F73" i="8" s="1"/>
  <c r="C138" i="8"/>
  <c r="F138" i="8" s="1"/>
  <c r="C74" i="8"/>
  <c r="F74" i="8" s="1"/>
  <c r="C141" i="8"/>
  <c r="F141" i="8" s="1"/>
  <c r="C75" i="8"/>
  <c r="F75" i="8" s="1"/>
  <c r="C178" i="8"/>
  <c r="F178" i="8" s="1"/>
  <c r="C76" i="8"/>
  <c r="F76" i="8" s="1"/>
  <c r="C182" i="8"/>
  <c r="F182" i="8" s="1"/>
  <c r="C77" i="8"/>
  <c r="F77" i="8" s="1"/>
  <c r="C155" i="8"/>
  <c r="F155" i="8" s="1"/>
  <c r="C78" i="8"/>
  <c r="F78" i="8" s="1"/>
  <c r="C158" i="8"/>
  <c r="F158" i="8" s="1"/>
  <c r="C79" i="8"/>
  <c r="F79" i="8" s="1"/>
  <c r="C174" i="8"/>
  <c r="F174" i="8" s="1"/>
  <c r="C80" i="8"/>
  <c r="F80" i="8" s="1"/>
  <c r="C190" i="8"/>
  <c r="F190" i="8" s="1"/>
  <c r="C17" i="8"/>
  <c r="F17" i="8" s="1"/>
  <c r="J22" i="8" s="1" a="1"/>
  <c r="J22" i="8" s="1"/>
  <c r="C151" i="8"/>
  <c r="F151" i="8" s="1"/>
  <c r="C163" i="8"/>
  <c r="F163" i="8" s="1"/>
  <c r="C147" i="8"/>
  <c r="F147" i="8" s="1"/>
  <c r="C164" i="8"/>
  <c r="F164" i="8" s="1"/>
  <c r="C184" i="8"/>
  <c r="F184" i="8" s="1"/>
  <c r="C187" i="8"/>
  <c r="F187" i="8" s="1"/>
  <c r="C165" i="8"/>
  <c r="F165" i="8" s="1"/>
  <c r="C107" i="8"/>
  <c r="F107" i="8" s="1"/>
  <c r="C108" i="8"/>
  <c r="F108" i="8" s="1"/>
  <c r="C109" i="8"/>
  <c r="F109" i="8" s="1"/>
  <c r="C166" i="8"/>
  <c r="F166" i="8" s="1"/>
  <c r="C167" i="8"/>
  <c r="F167" i="8" s="1"/>
  <c r="C168" i="8"/>
  <c r="F168" i="8" s="1"/>
  <c r="C169" i="8"/>
  <c r="F169" i="8" s="1"/>
  <c r="C160" i="8"/>
  <c r="F160" i="8" s="1"/>
  <c r="C162" i="8"/>
  <c r="F162" i="8" s="1"/>
  <c r="C175" i="8"/>
  <c r="F175" i="8" s="1"/>
  <c r="C170" i="8"/>
  <c r="F170" i="8" s="1"/>
  <c r="C171" i="8"/>
  <c r="F171" i="8" s="1"/>
  <c r="C172" i="8"/>
  <c r="F172" i="8" s="1"/>
  <c r="C173" i="8"/>
  <c r="F173" i="8" s="1"/>
  <c r="C81" i="8"/>
  <c r="F81" i="8" s="1"/>
  <c r="C192" i="8"/>
  <c r="F192" i="8" s="1"/>
  <c r="C82" i="8"/>
  <c r="F82" i="8" s="1"/>
  <c r="C205" i="8"/>
  <c r="F205" i="8" s="1"/>
  <c r="C86" i="8"/>
  <c r="F86" i="8" s="1"/>
  <c r="C214" i="8"/>
  <c r="F214" i="8" s="1"/>
  <c r="C195" i="8"/>
  <c r="F195" i="8" s="1"/>
  <c r="C96" i="8"/>
  <c r="F96" i="8" s="1"/>
  <c r="C98" i="8"/>
  <c r="F98" i="8" s="1"/>
  <c r="C196" i="8"/>
  <c r="F196" i="8" s="1"/>
  <c r="C197" i="8"/>
  <c r="F197" i="8" s="1"/>
  <c r="C176" i="8"/>
  <c r="F176" i="8" s="1"/>
  <c r="C198" i="8"/>
  <c r="F198" i="8" s="1"/>
  <c r="C201" i="8"/>
  <c r="F201" i="8" s="1"/>
  <c r="C199" i="8"/>
  <c r="F199" i="8" s="1"/>
  <c r="C200" i="8"/>
  <c r="F200" i="8" s="1"/>
  <c r="C135" i="8"/>
  <c r="F135" i="8" s="1"/>
  <c r="C137" i="8"/>
  <c r="F137" i="8" s="1"/>
  <c r="C157" i="8"/>
  <c r="F157" i="8" s="1"/>
  <c r="C159" i="8"/>
  <c r="F159" i="8" s="1"/>
  <c r="C144" i="8"/>
  <c r="F144" i="8" s="1"/>
  <c r="C146" i="8"/>
  <c r="F146" i="8" s="1"/>
  <c r="C183" i="8"/>
  <c r="F183" i="8" s="1"/>
  <c r="C188" i="8"/>
  <c r="F188" i="8" s="1"/>
  <c r="C202" i="8"/>
  <c r="F202" i="8" s="1"/>
  <c r="C203" i="8"/>
  <c r="F203" i="8" s="1"/>
  <c r="C110" i="8"/>
  <c r="F110" i="8" s="1"/>
  <c r="C209" i="8"/>
  <c r="F209" i="8" s="1"/>
  <c r="C111" i="8"/>
  <c r="F111" i="8" s="1"/>
  <c r="C31" i="8"/>
  <c r="F31" i="8" s="1"/>
  <c r="C112" i="8"/>
  <c r="F112" i="8" s="1"/>
  <c r="C32" i="8"/>
  <c r="F32" i="8" s="1"/>
  <c r="C113" i="8"/>
  <c r="F113" i="8" s="1"/>
  <c r="C33" i="8"/>
  <c r="F33" i="8" s="1"/>
  <c r="C114" i="8"/>
  <c r="F114" i="8" s="1"/>
  <c r="C39" i="8"/>
  <c r="F39" i="8" s="1"/>
  <c r="C115" i="8"/>
  <c r="F115" i="8" s="1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<sst xmlns="http://schemas.openxmlformats.org/spreadsheetml/2006/main" count="200" uniqueCount="155">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</sst>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23/09/relationships/Python" Target="pyth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Sheet3!$C$17:$C$216</c:f>
              <c:numCache>
                <c:formatCode>General</c:formatCode>
                <c:ptCount val="200"/>
                <c:pt idx="0">
                  <c:v>1317.6209797441879</c:v>
                </c:pt>
                <c:pt idx="1">
                  <c:v>1318.707845831414</c:v>
                </c:pt>
                <c:pt idx="2">
                  <c:v>1319.7947119186406</c:v>
                </c:pt>
                <c:pt idx="3">
                  <c:v>1320.8815780058667</c:v>
                </c:pt>
                <c:pt idx="4">
                  <c:v>1321.9684440930928</c:v>
                </c:pt>
                <c:pt idx="5">
                  <c:v>1323.0553101803189</c:v>
                </c:pt>
                <c:pt idx="6">
                  <c:v>1324.1421762675454</c:v>
                </c:pt>
                <c:pt idx="7">
                  <c:v>1325.2290423547715</c:v>
                </c:pt>
                <c:pt idx="8">
                  <c:v>1326.3159084419976</c:v>
                </c:pt>
                <c:pt idx="9">
                  <c:v>1327.4027745292237</c:v>
                </c:pt>
                <c:pt idx="10">
                  <c:v>1328.4896406164503</c:v>
                </c:pt>
                <c:pt idx="11">
                  <c:v>1329.5765067036764</c:v>
                </c:pt>
                <c:pt idx="12">
                  <c:v>1330.6633727909025</c:v>
                </c:pt>
                <c:pt idx="13">
                  <c:v>1331.7502388781286</c:v>
                </c:pt>
                <c:pt idx="14">
                  <c:v>1332.8371049653551</c:v>
                </c:pt>
                <c:pt idx="15">
                  <c:v>1333.9239710525812</c:v>
                </c:pt>
                <c:pt idx="16">
                  <c:v>1335.0108371398073</c:v>
                </c:pt>
                <c:pt idx="17">
                  <c:v>1336.0977032270334</c:v>
                </c:pt>
                <c:pt idx="18">
                  <c:v>1337.1845693142595</c:v>
                </c:pt>
                <c:pt idx="19">
                  <c:v>1338.2714354014861</c:v>
                </c:pt>
                <c:pt idx="20">
                  <c:v>1339.3583014887122</c:v>
                </c:pt>
                <c:pt idx="21">
                  <c:v>1340.4451675759383</c:v>
                </c:pt>
                <c:pt idx="22">
                  <c:v>1341.5320336631644</c:v>
                </c:pt>
                <c:pt idx="23">
                  <c:v>1342.6188997503909</c:v>
                </c:pt>
                <c:pt idx="24">
                  <c:v>1343.705765837617</c:v>
                </c:pt>
                <c:pt idx="25">
                  <c:v>1344.7926319248431</c:v>
                </c:pt>
                <c:pt idx="26">
                  <c:v>1345.8794980120692</c:v>
                </c:pt>
                <c:pt idx="27">
                  <c:v>1346.9663640992958</c:v>
                </c:pt>
                <c:pt idx="28">
                  <c:v>1348.0532301865219</c:v>
                </c:pt>
                <c:pt idx="29">
                  <c:v>1349.140096273748</c:v>
                </c:pt>
                <c:pt idx="30">
                  <c:v>1350.2269623609741</c:v>
                </c:pt>
                <c:pt idx="31">
                  <c:v>1351.3138284482002</c:v>
                </c:pt>
                <c:pt idx="32">
                  <c:v>1352.4006945354267</c:v>
                </c:pt>
                <c:pt idx="33">
                  <c:v>1353.4875606226528</c:v>
                </c:pt>
                <c:pt idx="34">
                  <c:v>1354.5744267098789</c:v>
                </c:pt>
                <c:pt idx="35">
                  <c:v>1355.661292797105</c:v>
                </c:pt>
                <c:pt idx="36">
                  <c:v>1356.7481588843316</c:v>
                </c:pt>
                <c:pt idx="37">
                  <c:v>1357.8350249715577</c:v>
                </c:pt>
                <c:pt idx="38">
                  <c:v>1358.9218910587838</c:v>
                </c:pt>
                <c:pt idx="39">
                  <c:v>1360.0087571460099</c:v>
                </c:pt>
                <c:pt idx="40">
                  <c:v>1361.0956232332364</c:v>
                </c:pt>
                <c:pt idx="41">
                  <c:v>1362.1824893204625</c:v>
                </c:pt>
                <c:pt idx="42">
                  <c:v>1363.2693554076886</c:v>
                </c:pt>
                <c:pt idx="43">
                  <c:v>1364.3562214949147</c:v>
                </c:pt>
                <c:pt idx="44">
                  <c:v>1365.4430875821408</c:v>
                </c:pt>
                <c:pt idx="45">
                  <c:v>1366.5299536693674</c:v>
                </c:pt>
                <c:pt idx="46">
                  <c:v>1367.6168197565935</c:v>
                </c:pt>
                <c:pt idx="47">
                  <c:v>1368.7036858438196</c:v>
                </c:pt>
                <c:pt idx="48">
                  <c:v>1369.7905519310457</c:v>
                </c:pt>
                <c:pt idx="49">
                  <c:v>1370.8774180182722</c:v>
                </c:pt>
                <c:pt idx="50">
                  <c:v>1371.9642841054983</c:v>
                </c:pt>
                <c:pt idx="51">
                  <c:v>1373.0511501927244</c:v>
                </c:pt>
                <c:pt idx="52">
                  <c:v>1374.1380162799505</c:v>
                </c:pt>
                <c:pt idx="53">
                  <c:v>1375.2248823671771</c:v>
                </c:pt>
                <c:pt idx="54">
                  <c:v>1376.3117484544032</c:v>
                </c:pt>
                <c:pt idx="55">
                  <c:v>1377.3986145416293</c:v>
                </c:pt>
                <c:pt idx="56">
                  <c:v>1378.4854806288554</c:v>
                </c:pt>
                <c:pt idx="57">
                  <c:v>1379.5723467160819</c:v>
                </c:pt>
                <c:pt idx="58">
                  <c:v>1380.659212803308</c:v>
                </c:pt>
                <c:pt idx="59">
                  <c:v>1381.7460788905341</c:v>
                </c:pt>
                <c:pt idx="60">
                  <c:v>1382.8329449777602</c:v>
                </c:pt>
                <c:pt idx="61">
                  <c:v>1383.9198110649863</c:v>
                </c:pt>
                <c:pt idx="62">
                  <c:v>1385.0066771522129</c:v>
                </c:pt>
                <c:pt idx="63">
                  <c:v>1386.093543239439</c:v>
                </c:pt>
                <c:pt idx="64">
                  <c:v>1387.1804093266651</c:v>
                </c:pt>
                <c:pt idx="65">
                  <c:v>1388.2672754138912</c:v>
                </c:pt>
                <c:pt idx="66">
                  <c:v>1389.3541415011177</c:v>
                </c:pt>
                <c:pt idx="67">
                  <c:v>1390.4410075883438</c:v>
                </c:pt>
                <c:pt idx="68">
                  <c:v>1391.5278736755699</c:v>
                </c:pt>
                <c:pt idx="69">
                  <c:v>1392.614739762796</c:v>
                </c:pt>
                <c:pt idx="70">
                  <c:v>1393.7016058500226</c:v>
                </c:pt>
                <c:pt idx="71">
                  <c:v>1394.7884719372487</c:v>
                </c:pt>
                <c:pt idx="72">
                  <c:v>1395.8753380244748</c:v>
                </c:pt>
                <c:pt idx="73">
                  <c:v>1396.9622041117009</c:v>
                </c:pt>
                <c:pt idx="74">
                  <c:v>1398.049070198927</c:v>
                </c:pt>
                <c:pt idx="75">
                  <c:v>1399.1359362861535</c:v>
                </c:pt>
                <c:pt idx="76">
                  <c:v>1400.2228023733796</c:v>
                </c:pt>
                <c:pt idx="77">
                  <c:v>1401.3096684606057</c:v>
                </c:pt>
                <c:pt idx="78">
                  <c:v>1402.3965345478318</c:v>
                </c:pt>
                <c:pt idx="79">
                  <c:v>1403.4834006350584</c:v>
                </c:pt>
                <c:pt idx="80">
                  <c:v>1404.5702667222845</c:v>
                </c:pt>
                <c:pt idx="81">
                  <c:v>1405.6571328095106</c:v>
                </c:pt>
                <c:pt idx="82">
                  <c:v>1406.7439988967367</c:v>
                </c:pt>
                <c:pt idx="83">
                  <c:v>1407.8308649839632</c:v>
                </c:pt>
                <c:pt idx="84">
                  <c:v>1408.9177310711893</c:v>
                </c:pt>
                <c:pt idx="85">
                  <c:v>1410.0045971584154</c:v>
                </c:pt>
                <c:pt idx="86">
                  <c:v>1411.0914632456415</c:v>
                </c:pt>
                <c:pt idx="87">
                  <c:v>1412.1783293328676</c:v>
                </c:pt>
                <c:pt idx="88">
                  <c:v>1413.2651954200942</c:v>
                </c:pt>
                <c:pt idx="89">
                  <c:v>1414.3520615073203</c:v>
                </c:pt>
                <c:pt idx="90">
                  <c:v>1415.4389275945464</c:v>
                </c:pt>
                <c:pt idx="91">
                  <c:v>1416.5257936817725</c:v>
                </c:pt>
                <c:pt idx="92">
                  <c:v>1417.612659768999</c:v>
                </c:pt>
                <c:pt idx="93">
                  <c:v>1418.6995258562251</c:v>
                </c:pt>
                <c:pt idx="94">
                  <c:v>1419.7863919434512</c:v>
                </c:pt>
                <c:pt idx="95">
                  <c:v>1420.8732580306773</c:v>
                </c:pt>
                <c:pt idx="96">
                  <c:v>1421.9601241179039</c:v>
                </c:pt>
                <c:pt idx="97">
                  <c:v>1423.04699020513</c:v>
                </c:pt>
                <c:pt idx="98">
                  <c:v>1424.1338562923561</c:v>
                </c:pt>
                <c:pt idx="99">
                  <c:v>1425.2207223795822</c:v>
                </c:pt>
                <c:pt idx="100">
                  <c:v>1426.3075884668087</c:v>
                </c:pt>
                <c:pt idx="101">
                  <c:v>1427.3944545540348</c:v>
                </c:pt>
                <c:pt idx="102">
                  <c:v>1428.4813206412609</c:v>
                </c:pt>
                <c:pt idx="103">
                  <c:v>1429.568186728487</c:v>
                </c:pt>
                <c:pt idx="104">
                  <c:v>1430.6550528157131</c:v>
                </c:pt>
                <c:pt idx="105">
                  <c:v>1431.7419189029397</c:v>
                </c:pt>
                <c:pt idx="106">
                  <c:v>1432.8287849901658</c:v>
                </c:pt>
                <c:pt idx="107">
                  <c:v>1433.9156510773919</c:v>
                </c:pt>
                <c:pt idx="108">
                  <c:v>1435.002517164618</c:v>
                </c:pt>
                <c:pt idx="109">
                  <c:v>1436.0893832518445</c:v>
                </c:pt>
                <c:pt idx="110">
                  <c:v>1437.1762493390706</c:v>
                </c:pt>
                <c:pt idx="111">
                  <c:v>1438.2631154262967</c:v>
                </c:pt>
                <c:pt idx="112">
                  <c:v>1439.3499815135228</c:v>
                </c:pt>
                <c:pt idx="113">
                  <c:v>1440.4368476007494</c:v>
                </c:pt>
                <c:pt idx="114">
                  <c:v>1441.5237136879755</c:v>
                </c:pt>
                <c:pt idx="115">
                  <c:v>1442.6105797752016</c:v>
                </c:pt>
                <c:pt idx="116">
                  <c:v>1443.6974458624277</c:v>
                </c:pt>
                <c:pt idx="117">
                  <c:v>1444.7843119496538</c:v>
                </c:pt>
                <c:pt idx="118">
                  <c:v>1445.8711780368803</c:v>
                </c:pt>
                <c:pt idx="119">
                  <c:v>1446.9580441241064</c:v>
                </c:pt>
                <c:pt idx="120">
                  <c:v>1448.0449102113325</c:v>
                </c:pt>
                <c:pt idx="121">
                  <c:v>1449.1317762985586</c:v>
                </c:pt>
                <c:pt idx="122">
                  <c:v>1450.2186423857852</c:v>
                </c:pt>
                <c:pt idx="123">
                  <c:v>1451.3055084730113</c:v>
                </c:pt>
                <c:pt idx="124">
                  <c:v>1452.3923745602374</c:v>
                </c:pt>
                <c:pt idx="125">
                  <c:v>1453.4792406474635</c:v>
                </c:pt>
                <c:pt idx="126">
                  <c:v>1454.56610673469</c:v>
                </c:pt>
                <c:pt idx="127">
                  <c:v>1455.6529728219161</c:v>
                </c:pt>
                <c:pt idx="128">
                  <c:v>1456.7398389091422</c:v>
                </c:pt>
                <c:pt idx="129">
                  <c:v>1457.8267049963683</c:v>
                </c:pt>
                <c:pt idx="130">
                  <c:v>1458.9135710835944</c:v>
                </c:pt>
                <c:pt idx="131">
                  <c:v>1460.000437170821</c:v>
                </c:pt>
                <c:pt idx="132">
                  <c:v>1461.0873032580471</c:v>
                </c:pt>
                <c:pt idx="133">
                  <c:v>1462.1741693452732</c:v>
                </c:pt>
                <c:pt idx="134">
                  <c:v>1463.2610354324993</c:v>
                </c:pt>
                <c:pt idx="135">
                  <c:v>1464.3479015197258</c:v>
                </c:pt>
                <c:pt idx="136">
                  <c:v>1465.4347676069519</c:v>
                </c:pt>
                <c:pt idx="137">
                  <c:v>1466.521633694178</c:v>
                </c:pt>
                <c:pt idx="138">
                  <c:v>1467.6084997814041</c:v>
                </c:pt>
                <c:pt idx="139">
                  <c:v>1468.6953658686307</c:v>
                </c:pt>
                <c:pt idx="140">
                  <c:v>1469.7822319558568</c:v>
                </c:pt>
                <c:pt idx="141">
                  <c:v>1470.8690980430829</c:v>
                </c:pt>
                <c:pt idx="142">
                  <c:v>1471.955964130309</c:v>
                </c:pt>
                <c:pt idx="143">
                  <c:v>1473.0428302175355</c:v>
                </c:pt>
                <c:pt idx="144">
                  <c:v>1474.1296963047616</c:v>
                </c:pt>
                <c:pt idx="145">
                  <c:v>1475.2165623919877</c:v>
                </c:pt>
                <c:pt idx="146">
                  <c:v>1476.3034284792138</c:v>
                </c:pt>
                <c:pt idx="147">
                  <c:v>1477.3902945664399</c:v>
                </c:pt>
                <c:pt idx="148">
                  <c:v>1478.4771606536665</c:v>
                </c:pt>
                <c:pt idx="149">
                  <c:v>1479.5640267408926</c:v>
                </c:pt>
                <c:pt idx="150">
                  <c:v>1480.6508928281187</c:v>
                </c:pt>
                <c:pt idx="151">
                  <c:v>1481.7377589153448</c:v>
                </c:pt>
                <c:pt idx="152">
                  <c:v>1482.8246250025713</c:v>
                </c:pt>
                <c:pt idx="153">
                  <c:v>1483.9114910897974</c:v>
                </c:pt>
                <c:pt idx="154">
                  <c:v>1484.9983571770235</c:v>
                </c:pt>
                <c:pt idx="155">
                  <c:v>1486.0852232642496</c:v>
                </c:pt>
                <c:pt idx="156">
                  <c:v>1487.1720893514762</c:v>
                </c:pt>
                <c:pt idx="157">
                  <c:v>1488.2589554387023</c:v>
                </c:pt>
                <c:pt idx="158">
                  <c:v>1489.3458215259284</c:v>
                </c:pt>
                <c:pt idx="159">
                  <c:v>1490.4326876131545</c:v>
                </c:pt>
                <c:pt idx="160">
                  <c:v>1491.5195537003806</c:v>
                </c:pt>
                <c:pt idx="161">
                  <c:v>1492.6064197876071</c:v>
                </c:pt>
                <c:pt idx="162">
                  <c:v>1493.6932858748332</c:v>
                </c:pt>
                <c:pt idx="163">
                  <c:v>1494.7801519620593</c:v>
                </c:pt>
                <c:pt idx="164">
                  <c:v>1495.8670180492854</c:v>
                </c:pt>
                <c:pt idx="165">
                  <c:v>1496.953884136512</c:v>
                </c:pt>
                <c:pt idx="166">
                  <c:v>1498.0407502237381</c:v>
                </c:pt>
                <c:pt idx="167">
                  <c:v>1499.1276163109642</c:v>
                </c:pt>
                <c:pt idx="168">
                  <c:v>1500.2144823981903</c:v>
                </c:pt>
                <c:pt idx="169">
                  <c:v>1501.3013484854168</c:v>
                </c:pt>
                <c:pt idx="170">
                  <c:v>1502.3882145726429</c:v>
                </c:pt>
                <c:pt idx="171">
                  <c:v>1503.475080659869</c:v>
                </c:pt>
                <c:pt idx="172">
                  <c:v>1504.5619467470951</c:v>
                </c:pt>
                <c:pt idx="173">
                  <c:v>1505.6488128343212</c:v>
                </c:pt>
                <c:pt idx="174">
                  <c:v>1506.7356789215478</c:v>
                </c:pt>
                <c:pt idx="175">
                  <c:v>1507.8225450087739</c:v>
                </c:pt>
                <c:pt idx="176">
                  <c:v>1508.909411096</c:v>
                </c:pt>
                <c:pt idx="177">
                  <c:v>1509.9962771832261</c:v>
                </c:pt>
                <c:pt idx="178">
                  <c:v>1511.0831432704526</c:v>
                </c:pt>
                <c:pt idx="179">
                  <c:v>1512.1700093576787</c:v>
                </c:pt>
                <c:pt idx="180">
                  <c:v>1513.2568754449048</c:v>
                </c:pt>
                <c:pt idx="181">
                  <c:v>1514.3437415321309</c:v>
                </c:pt>
                <c:pt idx="182">
                  <c:v>1515.4306076193575</c:v>
                </c:pt>
                <c:pt idx="183">
                  <c:v>1516.5174737065836</c:v>
                </c:pt>
                <c:pt idx="184">
                  <c:v>1517.6043397938097</c:v>
                </c:pt>
                <c:pt idx="185">
                  <c:v>1518.6912058810358</c:v>
                </c:pt>
                <c:pt idx="186">
                  <c:v>1519.7780719682623</c:v>
                </c:pt>
                <c:pt idx="187">
                  <c:v>1520.8649380554884</c:v>
                </c:pt>
                <c:pt idx="188">
                  <c:v>1521.9518041427145</c:v>
                </c:pt>
                <c:pt idx="189">
                  <c:v>1523.0386702299406</c:v>
                </c:pt>
                <c:pt idx="190">
                  <c:v>1524.1255363171667</c:v>
                </c:pt>
                <c:pt idx="191">
                  <c:v>1525.2124024043933</c:v>
                </c:pt>
                <c:pt idx="192">
                  <c:v>1526.2992684916194</c:v>
                </c:pt>
                <c:pt idx="193">
                  <c:v>1527.3861345788455</c:v>
                </c:pt>
                <c:pt idx="194">
                  <c:v>1528.4730006660716</c:v>
                </c:pt>
                <c:pt idx="195">
                  <c:v>1529.5598667532981</c:v>
                </c:pt>
                <c:pt idx="196">
                  <c:v>1530.6467328405242</c:v>
                </c:pt>
                <c:pt idx="197">
                  <c:v>1531.7335989277503</c:v>
                </c:pt>
                <c:pt idx="198">
                  <c:v>1532.8204650149764</c:v>
                </c:pt>
                <c:pt idx="199">
                  <c:v>1533.907331102203</c:v>
                </c:pt>
              </c:numCache>
            </c:numRef>
          </c:xVal>
          <c:yVal>
            <c:numRef>
              <c:f>Sheet3!$D$17:$D$216</c:f>
              <c:numCache>
                <c:formatCode>General</c:formatCode>
                <c:ptCount val="200"/>
                <c:pt idx="0">
                  <c:v>1388.331657862843</c:v>
                </c:pt>
                <c:pt idx="1">
                  <c:v>1388.6228827531961</c:v>
                </c:pt>
                <c:pt idx="2">
                  <c:v>1388.9141076435492</c:v>
                </c:pt>
                <c:pt idx="3">
                  <c:v>1389.205332533902</c:v>
                </c:pt>
                <c:pt idx="4">
                  <c:v>1389.4965574242551</c:v>
                </c:pt>
                <c:pt idx="5">
                  <c:v>1389.7877823146082</c:v>
                </c:pt>
                <c:pt idx="6">
                  <c:v>1390.0790072049613</c:v>
                </c:pt>
                <c:pt idx="7">
                  <c:v>1390.3702320953143</c:v>
                </c:pt>
                <c:pt idx="8">
                  <c:v>1390.6614569856674</c:v>
                </c:pt>
                <c:pt idx="9">
                  <c:v>1390.9526818760203</c:v>
                </c:pt>
                <c:pt idx="10">
                  <c:v>1391.2439067663734</c:v>
                </c:pt>
                <c:pt idx="11">
                  <c:v>1391.5351316567264</c:v>
                </c:pt>
                <c:pt idx="12">
                  <c:v>1391.8263565470795</c:v>
                </c:pt>
                <c:pt idx="13">
                  <c:v>1392.1175814374326</c:v>
                </c:pt>
                <c:pt idx="14">
                  <c:v>1392.4088063277854</c:v>
                </c:pt>
                <c:pt idx="15">
                  <c:v>1392.7000312181385</c:v>
                </c:pt>
                <c:pt idx="16">
                  <c:v>1392.9912561084916</c:v>
                </c:pt>
                <c:pt idx="17">
                  <c:v>1393.2824809988447</c:v>
                </c:pt>
                <c:pt idx="18">
                  <c:v>1393.5737058891978</c:v>
                </c:pt>
                <c:pt idx="19">
                  <c:v>1393.8649307795506</c:v>
                </c:pt>
                <c:pt idx="20">
                  <c:v>1394.1561556699037</c:v>
                </c:pt>
                <c:pt idx="21">
                  <c:v>1394.4473805602568</c:v>
                </c:pt>
                <c:pt idx="22">
                  <c:v>1394.7386054506098</c:v>
                </c:pt>
                <c:pt idx="23">
                  <c:v>1395.0298303409629</c:v>
                </c:pt>
                <c:pt idx="24">
                  <c:v>1395.321055231316</c:v>
                </c:pt>
                <c:pt idx="25">
                  <c:v>1395.6122801216688</c:v>
                </c:pt>
                <c:pt idx="26">
                  <c:v>1395.9035050120219</c:v>
                </c:pt>
                <c:pt idx="27">
                  <c:v>1396.194729902375</c:v>
                </c:pt>
                <c:pt idx="28">
                  <c:v>1396.4859547927281</c:v>
                </c:pt>
                <c:pt idx="29">
                  <c:v>1396.7771796830812</c:v>
                </c:pt>
                <c:pt idx="30">
                  <c:v>1397.068404573434</c:v>
                </c:pt>
                <c:pt idx="31">
                  <c:v>1397.3596294637871</c:v>
                </c:pt>
                <c:pt idx="32">
                  <c:v>1397.6508543541402</c:v>
                </c:pt>
                <c:pt idx="33">
                  <c:v>1397.9420792444932</c:v>
                </c:pt>
                <c:pt idx="34">
                  <c:v>1398.2333041348463</c:v>
                </c:pt>
                <c:pt idx="35">
                  <c:v>1398.5245290251992</c:v>
                </c:pt>
                <c:pt idx="36">
                  <c:v>1398.8157539155522</c:v>
                </c:pt>
                <c:pt idx="37">
                  <c:v>1399.1069788059053</c:v>
                </c:pt>
                <c:pt idx="38">
                  <c:v>1399.3982036962584</c:v>
                </c:pt>
                <c:pt idx="39">
                  <c:v>1399.6894285866115</c:v>
                </c:pt>
                <c:pt idx="40">
                  <c:v>1399.9806534769646</c:v>
                </c:pt>
                <c:pt idx="41">
                  <c:v>1400.2718783673174</c:v>
                </c:pt>
                <c:pt idx="42">
                  <c:v>1400.5631032576705</c:v>
                </c:pt>
                <c:pt idx="43">
                  <c:v>1400.8543281480236</c:v>
                </c:pt>
                <c:pt idx="44">
                  <c:v>1401.1455530383766</c:v>
                </c:pt>
                <c:pt idx="45">
                  <c:v>1401.4367779287297</c:v>
                </c:pt>
                <c:pt idx="46">
                  <c:v>1401.7280028190826</c:v>
                </c:pt>
                <c:pt idx="47">
                  <c:v>1402.0192277094357</c:v>
                </c:pt>
                <c:pt idx="48">
                  <c:v>1402.3104525997887</c:v>
                </c:pt>
                <c:pt idx="49">
                  <c:v>1402.6016774901418</c:v>
                </c:pt>
                <c:pt idx="50">
                  <c:v>1402.8929023804949</c:v>
                </c:pt>
                <c:pt idx="51">
                  <c:v>1403.1841272708477</c:v>
                </c:pt>
                <c:pt idx="52">
                  <c:v>1403.4753521612008</c:v>
                </c:pt>
                <c:pt idx="53">
                  <c:v>1403.7665770515539</c:v>
                </c:pt>
                <c:pt idx="54">
                  <c:v>1404.057801941907</c:v>
                </c:pt>
                <c:pt idx="55">
                  <c:v>1404.3490268322601</c:v>
                </c:pt>
                <c:pt idx="56">
                  <c:v>1404.6402517226131</c:v>
                </c:pt>
                <c:pt idx="57">
                  <c:v>1404.931476612966</c:v>
                </c:pt>
                <c:pt idx="58">
                  <c:v>1405.2227015033191</c:v>
                </c:pt>
                <c:pt idx="59">
                  <c:v>1405.5139263936721</c:v>
                </c:pt>
                <c:pt idx="60">
                  <c:v>1405.8051512840252</c:v>
                </c:pt>
                <c:pt idx="61">
                  <c:v>1406.0963761743783</c:v>
                </c:pt>
                <c:pt idx="62">
                  <c:v>1406.3876010647311</c:v>
                </c:pt>
                <c:pt idx="63">
                  <c:v>1406.6788259550842</c:v>
                </c:pt>
                <c:pt idx="64">
                  <c:v>1406.9700508454373</c:v>
                </c:pt>
                <c:pt idx="65">
                  <c:v>1407.2612757357904</c:v>
                </c:pt>
                <c:pt idx="66">
                  <c:v>1407.5525006261435</c:v>
                </c:pt>
                <c:pt idx="67">
                  <c:v>1407.8437255164965</c:v>
                </c:pt>
                <c:pt idx="68">
                  <c:v>1408.1349504068494</c:v>
                </c:pt>
                <c:pt idx="69">
                  <c:v>1408.4261752972025</c:v>
                </c:pt>
                <c:pt idx="70">
                  <c:v>1408.7174001875555</c:v>
                </c:pt>
                <c:pt idx="71">
                  <c:v>1409.0086250779086</c:v>
                </c:pt>
                <c:pt idx="72">
                  <c:v>1409.2998499682617</c:v>
                </c:pt>
                <c:pt idx="73">
                  <c:v>1409.5910748586145</c:v>
                </c:pt>
                <c:pt idx="74">
                  <c:v>1409.8822997489676</c:v>
                </c:pt>
                <c:pt idx="75">
                  <c:v>1410.1735246393207</c:v>
                </c:pt>
                <c:pt idx="76">
                  <c:v>1410.4647495296738</c:v>
                </c:pt>
                <c:pt idx="77">
                  <c:v>1410.7559744200269</c:v>
                </c:pt>
                <c:pt idx="78">
                  <c:v>1411.0471993103797</c:v>
                </c:pt>
                <c:pt idx="79">
                  <c:v>1411.3384242007328</c:v>
                </c:pt>
                <c:pt idx="80">
                  <c:v>1411.6296490910859</c:v>
                </c:pt>
                <c:pt idx="81">
                  <c:v>1411.9208739814389</c:v>
                </c:pt>
                <c:pt idx="82">
                  <c:v>1412.212098871792</c:v>
                </c:pt>
                <c:pt idx="83">
                  <c:v>1412.5033237621451</c:v>
                </c:pt>
                <c:pt idx="84">
                  <c:v>1412.794548652498</c:v>
                </c:pt>
                <c:pt idx="85">
                  <c:v>1413.085773542851</c:v>
                </c:pt>
                <c:pt idx="86">
                  <c:v>1413.3769984332041</c:v>
                </c:pt>
                <c:pt idx="87">
                  <c:v>1413.6682233235572</c:v>
                </c:pt>
                <c:pt idx="88">
                  <c:v>1413.9594482139103</c:v>
                </c:pt>
                <c:pt idx="89">
                  <c:v>1414.2506731042631</c:v>
                </c:pt>
                <c:pt idx="90">
                  <c:v>1414.5418979946162</c:v>
                </c:pt>
                <c:pt idx="91">
                  <c:v>1414.8331228849693</c:v>
                </c:pt>
                <c:pt idx="92">
                  <c:v>1415.1243477753223</c:v>
                </c:pt>
                <c:pt idx="93">
                  <c:v>1415.4155726656754</c:v>
                </c:pt>
                <c:pt idx="94">
                  <c:v>1415.7067975560283</c:v>
                </c:pt>
                <c:pt idx="95">
                  <c:v>1415.9980224463814</c:v>
                </c:pt>
                <c:pt idx="96">
                  <c:v>1416.2892473367344</c:v>
                </c:pt>
                <c:pt idx="97">
                  <c:v>1416.5804722270875</c:v>
                </c:pt>
                <c:pt idx="98">
                  <c:v>1416.8716971174406</c:v>
                </c:pt>
                <c:pt idx="99">
                  <c:v>1417.1629220077937</c:v>
                </c:pt>
                <c:pt idx="100">
                  <c:v>1417.4541468981465</c:v>
                </c:pt>
                <c:pt idx="101">
                  <c:v>1417.7453717884996</c:v>
                </c:pt>
                <c:pt idx="102">
                  <c:v>1418.0365966788527</c:v>
                </c:pt>
                <c:pt idx="103">
                  <c:v>1418.3278215692058</c:v>
                </c:pt>
                <c:pt idx="104">
                  <c:v>1418.6190464595588</c:v>
                </c:pt>
                <c:pt idx="105">
                  <c:v>1418.9102713499117</c:v>
                </c:pt>
                <c:pt idx="106">
                  <c:v>1419.2014962402648</c:v>
                </c:pt>
                <c:pt idx="107">
                  <c:v>1419.4927211306178</c:v>
                </c:pt>
                <c:pt idx="108">
                  <c:v>1419.7839460209709</c:v>
                </c:pt>
                <c:pt idx="109">
                  <c:v>1420.075170911324</c:v>
                </c:pt>
                <c:pt idx="110">
                  <c:v>1420.3663958016768</c:v>
                </c:pt>
                <c:pt idx="111">
                  <c:v>1420.6576206920299</c:v>
                </c:pt>
                <c:pt idx="112">
                  <c:v>1420.948845582383</c:v>
                </c:pt>
                <c:pt idx="113">
                  <c:v>1421.2400704727361</c:v>
                </c:pt>
                <c:pt idx="114">
                  <c:v>1421.5312953630892</c:v>
                </c:pt>
                <c:pt idx="115">
                  <c:v>1421.8225202534422</c:v>
                </c:pt>
                <c:pt idx="116">
                  <c:v>1422.1137451437951</c:v>
                </c:pt>
                <c:pt idx="117">
                  <c:v>1422.4049700341482</c:v>
                </c:pt>
                <c:pt idx="118">
                  <c:v>1422.6961949245012</c:v>
                </c:pt>
                <c:pt idx="119">
                  <c:v>1422.9874198148543</c:v>
                </c:pt>
                <c:pt idx="120">
                  <c:v>1423.2786447052074</c:v>
                </c:pt>
                <c:pt idx="121">
                  <c:v>1423.5698695955602</c:v>
                </c:pt>
                <c:pt idx="122">
                  <c:v>1423.8610944859133</c:v>
                </c:pt>
                <c:pt idx="123">
                  <c:v>1424.1523193762664</c:v>
                </c:pt>
                <c:pt idx="124">
                  <c:v>1424.4435442666195</c:v>
                </c:pt>
                <c:pt idx="125">
                  <c:v>1424.7347691569726</c:v>
                </c:pt>
                <c:pt idx="126">
                  <c:v>1425.0259940473254</c:v>
                </c:pt>
                <c:pt idx="127">
                  <c:v>1425.3172189376785</c:v>
                </c:pt>
                <c:pt idx="128">
                  <c:v>1425.6084438280316</c:v>
                </c:pt>
                <c:pt idx="129">
                  <c:v>1425.8996687183846</c:v>
                </c:pt>
                <c:pt idx="130">
                  <c:v>1426.1908936087377</c:v>
                </c:pt>
                <c:pt idx="131">
                  <c:v>1426.4821184990908</c:v>
                </c:pt>
                <c:pt idx="132">
                  <c:v>1426.7733433894437</c:v>
                </c:pt>
                <c:pt idx="133">
                  <c:v>1427.0645682797967</c:v>
                </c:pt>
                <c:pt idx="134">
                  <c:v>1427.3557931701498</c:v>
                </c:pt>
                <c:pt idx="135">
                  <c:v>1427.6470180605029</c:v>
                </c:pt>
                <c:pt idx="136">
                  <c:v>1427.938242950856</c:v>
                </c:pt>
                <c:pt idx="137">
                  <c:v>1428.2294678412088</c:v>
                </c:pt>
                <c:pt idx="138">
                  <c:v>1428.5206927315619</c:v>
                </c:pt>
                <c:pt idx="139">
                  <c:v>1428.811917621915</c:v>
                </c:pt>
                <c:pt idx="140">
                  <c:v>1429.1031425122681</c:v>
                </c:pt>
                <c:pt idx="141">
                  <c:v>1429.3943674026211</c:v>
                </c:pt>
                <c:pt idx="142">
                  <c:v>1429.6855922929742</c:v>
                </c:pt>
                <c:pt idx="143">
                  <c:v>1429.9768171833271</c:v>
                </c:pt>
                <c:pt idx="144">
                  <c:v>1430.2680420736801</c:v>
                </c:pt>
                <c:pt idx="145">
                  <c:v>1430.5592669640332</c:v>
                </c:pt>
                <c:pt idx="146">
                  <c:v>1430.8504918543863</c:v>
                </c:pt>
                <c:pt idx="147">
                  <c:v>1431.1417167447394</c:v>
                </c:pt>
                <c:pt idx="148">
                  <c:v>1431.4329416350922</c:v>
                </c:pt>
                <c:pt idx="149">
                  <c:v>1431.7241665254453</c:v>
                </c:pt>
                <c:pt idx="150">
                  <c:v>1432.0153914157984</c:v>
                </c:pt>
                <c:pt idx="151">
                  <c:v>1432.3066163061515</c:v>
                </c:pt>
                <c:pt idx="152">
                  <c:v>1432.5978411965045</c:v>
                </c:pt>
                <c:pt idx="153">
                  <c:v>1432.8890660868574</c:v>
                </c:pt>
                <c:pt idx="154">
                  <c:v>1433.1802909772105</c:v>
                </c:pt>
                <c:pt idx="155">
                  <c:v>1433.4715158675635</c:v>
                </c:pt>
                <c:pt idx="156">
                  <c:v>1433.7627407579166</c:v>
                </c:pt>
                <c:pt idx="157">
                  <c:v>1434.0539656482697</c:v>
                </c:pt>
                <c:pt idx="158">
                  <c:v>1434.3451905386228</c:v>
                </c:pt>
                <c:pt idx="159">
                  <c:v>1434.6364154289756</c:v>
                </c:pt>
                <c:pt idx="160">
                  <c:v>1434.9276403193287</c:v>
                </c:pt>
                <c:pt idx="161">
                  <c:v>1435.2188652096818</c:v>
                </c:pt>
                <c:pt idx="162">
                  <c:v>1435.5100901000349</c:v>
                </c:pt>
                <c:pt idx="163">
                  <c:v>1435.8013149903879</c:v>
                </c:pt>
                <c:pt idx="164">
                  <c:v>1436.0925398807408</c:v>
                </c:pt>
                <c:pt idx="165">
                  <c:v>1436.3837647710939</c:v>
                </c:pt>
                <c:pt idx="166">
                  <c:v>1436.6749896614469</c:v>
                </c:pt>
                <c:pt idx="167">
                  <c:v>1436.9662145518</c:v>
                </c:pt>
                <c:pt idx="168">
                  <c:v>1437.2574394421531</c:v>
                </c:pt>
                <c:pt idx="169">
                  <c:v>1437.548664332506</c:v>
                </c:pt>
                <c:pt idx="170">
                  <c:v>1437.839889222859</c:v>
                </c:pt>
                <c:pt idx="171">
                  <c:v>1438.1311141132121</c:v>
                </c:pt>
                <c:pt idx="172">
                  <c:v>1438.4223390035652</c:v>
                </c:pt>
                <c:pt idx="173">
                  <c:v>1438.7135638939183</c:v>
                </c:pt>
                <c:pt idx="174">
                  <c:v>1439.0047887842713</c:v>
                </c:pt>
                <c:pt idx="175">
                  <c:v>1439.2960136746242</c:v>
                </c:pt>
                <c:pt idx="176">
                  <c:v>1439.5872385649773</c:v>
                </c:pt>
                <c:pt idx="177">
                  <c:v>1439.8784634553303</c:v>
                </c:pt>
                <c:pt idx="178">
                  <c:v>1440.1696883456834</c:v>
                </c:pt>
                <c:pt idx="179">
                  <c:v>1440.4609132360365</c:v>
                </c:pt>
                <c:pt idx="180">
                  <c:v>1440.7521381263894</c:v>
                </c:pt>
                <c:pt idx="181">
                  <c:v>1441.0433630167424</c:v>
                </c:pt>
                <c:pt idx="182">
                  <c:v>1441.3345879070955</c:v>
                </c:pt>
                <c:pt idx="183">
                  <c:v>1441.6258127974486</c:v>
                </c:pt>
                <c:pt idx="184">
                  <c:v>1441.9170376878017</c:v>
                </c:pt>
                <c:pt idx="185">
                  <c:v>1442.2082625781547</c:v>
                </c:pt>
                <c:pt idx="186">
                  <c:v>1442.4994874685076</c:v>
                </c:pt>
                <c:pt idx="187">
                  <c:v>1442.7907123588607</c:v>
                </c:pt>
                <c:pt idx="188">
                  <c:v>1443.0819372492138</c:v>
                </c:pt>
                <c:pt idx="189">
                  <c:v>1443.3731621395668</c:v>
                </c:pt>
                <c:pt idx="190">
                  <c:v>1443.6643870299199</c:v>
                </c:pt>
                <c:pt idx="191">
                  <c:v>1443.9556119202728</c:v>
                </c:pt>
                <c:pt idx="192">
                  <c:v>1444.2468368106258</c:v>
                </c:pt>
                <c:pt idx="193">
                  <c:v>1444.5380617009789</c:v>
                </c:pt>
                <c:pt idx="194">
                  <c:v>1444.829286591332</c:v>
                </c:pt>
                <c:pt idx="195">
                  <c:v>1445.1205114816851</c:v>
                </c:pt>
                <c:pt idx="196">
                  <c:v>1445.4117363720379</c:v>
                </c:pt>
                <c:pt idx="197">
                  <c:v>1445.702961262391</c:v>
                </c:pt>
                <c:pt idx="198">
                  <c:v>1445.9941861527441</c:v>
                </c:pt>
                <c:pt idx="199">
                  <c:v>1446.2854110430972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0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307</xdr:row>
          <xdr:rowOff>123190</xdr:rowOff>
        </xdr:from>
        <xdr:to>
          <xdr:col>25</xdr:col>
          <xdr:colOff>226060</xdr:colOff>
          <xdr:row>361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03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272405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6"/>
  <sheetViews>
    <sheetView tabSelected="1" workbookViewId="0">
      <pane ySplit="9" topLeftCell="A358" activePane="bottomLeft" state="frozen"/>
      <selection pane="bottomLeft" activeCell="AA360" sqref="AA36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1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5</v>
      </c>
      <c r="R58" s="5">
        <f ca="1"/>
        <v>5</v>
      </c>
      <c r="S58" s="5">
        <f ca="1"/>
        <v>3</v>
      </c>
      <c r="T58" s="5">
        <f ca="1"/>
        <v>4</v>
      </c>
      <c r="U58" s="5">
        <f ca="1"/>
        <v>5</v>
      </c>
      <c r="V58" s="5">
        <f ca="1"/>
        <v>5</v>
      </c>
      <c r="W58" s="5">
        <f ca="1"/>
        <v>4</v>
      </c>
      <c r="X58" s="5">
        <f ca="1"/>
        <v>4</v>
      </c>
      <c r="Y58" s="5">
        <f ca="1"/>
        <v>4</v>
      </c>
      <c r="Z58">
        <f ca="1"/>
        <v>5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1" spans="2:16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0</v>
      </c>
      <c r="G361" s="16">
        <v>1</v>
      </c>
      <c r="H361" s="16">
        <v>1</v>
      </c>
      <c r="I361" s="16">
        <v>0</v>
      </c>
      <c r="J361" s="16">
        <v>0</v>
      </c>
      <c r="K361" s="16">
        <v>0</v>
      </c>
      <c r="L361" s="16">
        <v>1</v>
      </c>
      <c r="M361">
        <f ca="1"/>
        <v>51</v>
      </c>
      <c r="N361">
        <v>6</v>
      </c>
    </row>
    <row r="363" spans="2:16" x14ac:dyDescent="0.25">
      <c r="P363" t="s">
        <v>35</v>
      </c>
    </row>
    <row r="364" spans="2:16" x14ac:dyDescent="0.25">
      <c r="P364" t="s">
        <v>36</v>
      </c>
    </row>
    <row r="365" spans="2:16" x14ac:dyDescent="0.25">
      <c r="P365" t="s">
        <v>40</v>
      </c>
    </row>
    <row r="366" spans="2:16" x14ac:dyDescent="0.25">
      <c r="P366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8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61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K216"/>
  <sheetViews>
    <sheetView topLeftCell="A3" zoomScale="115" zoomScaleNormal="115" workbookViewId="0">
      <selection activeCell="C11" sqref="C11:C12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60</v>
      </c>
      <c r="D1" t="s">
        <v>137</v>
      </c>
    </row>
    <row r="2" spans="2:6" x14ac:dyDescent="0.25">
      <c r="B2" t="s">
        <v>134</v>
      </c>
      <c r="C2">
        <v>45</v>
      </c>
      <c r="D2" t="s">
        <v>137</v>
      </c>
    </row>
    <row r="3" spans="2:6" x14ac:dyDescent="0.25">
      <c r="B3" t="s">
        <v>135</v>
      </c>
      <c r="C3">
        <v>2000</v>
      </c>
      <c r="D3" t="s">
        <v>140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</row>
    <row r="6" spans="2:6" x14ac:dyDescent="0.25">
      <c r="B6" t="s">
        <v>152</v>
      </c>
      <c r="C6">
        <v>0</v>
      </c>
      <c r="D6" t="s">
        <v>139</v>
      </c>
    </row>
    <row r="8" spans="2:6" x14ac:dyDescent="0.25">
      <c r="B8" t="s">
        <v>144</v>
      </c>
      <c r="C8" s="29">
        <f>_R*SIN(_B*PI()/180)</f>
        <v>1414.2135623730949</v>
      </c>
      <c r="D8" t="s">
        <v>140</v>
      </c>
      <c r="F8">
        <f>ATAN2(_xShip,_yShip)*180/PI()</f>
        <v>45.000000000000007</v>
      </c>
    </row>
    <row r="9" spans="2:6" x14ac:dyDescent="0.25">
      <c r="B9" t="s">
        <v>145</v>
      </c>
      <c r="C9" s="29">
        <f>_R*COS(_B*PI()/180)</f>
        <v>1414.2135623730951</v>
      </c>
      <c r="D9" t="s">
        <v>140</v>
      </c>
    </row>
    <row r="10" spans="2:6" x14ac:dyDescent="0.25">
      <c r="B10" t="s">
        <v>148</v>
      </c>
      <c r="C10">
        <f>(_B+_AOB)-90</f>
        <v>15</v>
      </c>
      <c r="D10" t="s">
        <v>149</v>
      </c>
    </row>
    <row r="11" spans="2:6" x14ac:dyDescent="0.25">
      <c r="B11" t="s">
        <v>147</v>
      </c>
      <c r="C11">
        <f>-SIN(PI()/180*_Theta)*_L</f>
        <v>-25.881904510252074</v>
      </c>
    </row>
    <row r="12" spans="2:6" x14ac:dyDescent="0.25">
      <c r="B12" t="s">
        <v>146</v>
      </c>
      <c r="C12">
        <f>-COS(PI()/180*C10)*_L</f>
        <v>-96.592582628906825</v>
      </c>
      <c r="F12">
        <f>ATAN(C11/C12)*180/PI()</f>
        <v>14.999999999999998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1" x14ac:dyDescent="0.25">
      <c r="B17" cm="1">
        <f t="array" ref="B17:B216">_xlfn.SEQUENCE(200,1,0,1)</f>
        <v>0</v>
      </c>
      <c r="C17">
        <f t="shared" ref="C17:C48" si="0">COS(PI()/180*_Theta)*_vyps*B17+_xShip+__xL</f>
        <v>1317.6209797441879</v>
      </c>
      <c r="D17">
        <f t="shared" ref="D17:D48" si="1">SIN(PI()/180*_Theta)*_vyps*B17+_yShip+_yL</f>
        <v>1388.331657862843</v>
      </c>
      <c r="E17">
        <f t="shared" ref="E17:E48" si="2">B17*CONVERT(CONVERT(_vSub,"kn","m/sec"),"m","yd")</f>
        <v>0</v>
      </c>
      <c r="F17">
        <f t="shared" ref="F17:F48" si="3">ATAN2(C17,_yShip)*180/PI()</f>
        <v>47.025028462352289</v>
      </c>
    </row>
    <row r="18" spans="2:11" x14ac:dyDescent="0.25">
      <c r="B18">
        <v>1</v>
      </c>
      <c r="C18">
        <f t="shared" si="0"/>
        <v>1318.707845831414</v>
      </c>
      <c r="D18">
        <f t="shared" si="1"/>
        <v>1388.6228827531961</v>
      </c>
      <c r="E18">
        <f t="shared" si="2"/>
        <v>0</v>
      </c>
      <c r="F18">
        <f t="shared" si="3"/>
        <v>47.001465721615389</v>
      </c>
    </row>
    <row r="19" spans="2:11" x14ac:dyDescent="0.25">
      <c r="B19">
        <v>2</v>
      </c>
      <c r="C19">
        <f t="shared" si="0"/>
        <v>1319.7947119186406</v>
      </c>
      <c r="D19">
        <f t="shared" si="1"/>
        <v>1388.9141076435492</v>
      </c>
      <c r="E19">
        <f t="shared" si="2"/>
        <v>0</v>
      </c>
      <c r="F19">
        <f t="shared" si="3"/>
        <v>46.977921038460096</v>
      </c>
    </row>
    <row r="20" spans="2:11" x14ac:dyDescent="0.25">
      <c r="B20">
        <v>3</v>
      </c>
      <c r="C20">
        <f t="shared" si="0"/>
        <v>1320.8815780058667</v>
      </c>
      <c r="D20">
        <f t="shared" si="1"/>
        <v>1389.205332533902</v>
      </c>
      <c r="E20">
        <f t="shared" si="2"/>
        <v>0</v>
      </c>
      <c r="F20">
        <f t="shared" si="3"/>
        <v>46.954394400079032</v>
      </c>
      <c r="J20">
        <f>100/1.125</f>
        <v>88.888888888888886</v>
      </c>
    </row>
    <row r="21" spans="2:11" x14ac:dyDescent="0.25">
      <c r="B21">
        <v>4</v>
      </c>
      <c r="C21">
        <f t="shared" si="0"/>
        <v>1321.9684440930928</v>
      </c>
      <c r="D21">
        <f t="shared" si="1"/>
        <v>1389.4965574242551</v>
      </c>
      <c r="E21">
        <f t="shared" si="2"/>
        <v>0</v>
      </c>
      <c r="F21">
        <f t="shared" si="3"/>
        <v>46.930885793660096</v>
      </c>
    </row>
    <row r="22" spans="2:11" x14ac:dyDescent="0.25">
      <c r="B22">
        <v>5</v>
      </c>
      <c r="C22">
        <f t="shared" si="0"/>
        <v>1323.0553101803189</v>
      </c>
      <c r="D22">
        <f t="shared" si="1"/>
        <v>1389.7877823146082</v>
      </c>
      <c r="E22">
        <f t="shared" si="2"/>
        <v>0</v>
      </c>
      <c r="F22">
        <f t="shared" si="3"/>
        <v>46.907395206386532</v>
      </c>
      <c r="J22" cm="1">
        <f t="array" ref="J22">_fInt(90-_B,F17:F216,_xlfn.ANCHORARRAY(B17))</f>
        <v>88.872612917308786</v>
      </c>
      <c r="K22">
        <f>2*J20</f>
        <v>177.77777777777777</v>
      </c>
    </row>
    <row r="23" spans="2:11" x14ac:dyDescent="0.25">
      <c r="B23">
        <v>6</v>
      </c>
      <c r="C23">
        <f t="shared" si="0"/>
        <v>1324.1421762675454</v>
      </c>
      <c r="D23">
        <f t="shared" si="1"/>
        <v>1390.0790072049613</v>
      </c>
      <c r="E23">
        <f t="shared" si="2"/>
        <v>0</v>
      </c>
      <c r="F23">
        <f t="shared" si="3"/>
        <v>46.883922625436995</v>
      </c>
    </row>
    <row r="24" spans="2:11" x14ac:dyDescent="0.25">
      <c r="B24">
        <v>7</v>
      </c>
      <c r="C24">
        <f t="shared" si="0"/>
        <v>1325.2290423547715</v>
      </c>
      <c r="D24">
        <f t="shared" si="1"/>
        <v>1390.3702320953143</v>
      </c>
      <c r="E24">
        <f t="shared" si="2"/>
        <v>0</v>
      </c>
      <c r="F24">
        <f t="shared" si="3"/>
        <v>46.860468037985626</v>
      </c>
    </row>
    <row r="25" spans="2:11" x14ac:dyDescent="0.25">
      <c r="B25">
        <v>8</v>
      </c>
      <c r="C25">
        <f t="shared" si="0"/>
        <v>1326.3159084419976</v>
      </c>
      <c r="D25">
        <f t="shared" si="1"/>
        <v>1390.6614569856674</v>
      </c>
      <c r="E25">
        <f t="shared" si="2"/>
        <v>0</v>
      </c>
      <c r="F25">
        <f t="shared" si="3"/>
        <v>46.837031431202099</v>
      </c>
    </row>
    <row r="26" spans="2:11" x14ac:dyDescent="0.25">
      <c r="B26">
        <v>9</v>
      </c>
      <c r="C26">
        <f t="shared" si="0"/>
        <v>1327.4027745292237</v>
      </c>
      <c r="D26">
        <f t="shared" si="1"/>
        <v>1390.9526818760203</v>
      </c>
      <c r="E26">
        <f t="shared" si="2"/>
        <v>0</v>
      </c>
      <c r="F26">
        <f t="shared" si="3"/>
        <v>46.813612792251632</v>
      </c>
    </row>
    <row r="27" spans="2:11" x14ac:dyDescent="0.25">
      <c r="B27">
        <v>10</v>
      </c>
      <c r="C27">
        <f t="shared" si="0"/>
        <v>1328.4896406164503</v>
      </c>
      <c r="D27">
        <f t="shared" si="1"/>
        <v>1391.2439067663734</v>
      </c>
      <c r="E27">
        <f t="shared" si="2"/>
        <v>0</v>
      </c>
      <c r="F27">
        <f t="shared" si="3"/>
        <v>46.790212108295194</v>
      </c>
    </row>
    <row r="28" spans="2:11" x14ac:dyDescent="0.25">
      <c r="B28">
        <v>11</v>
      </c>
      <c r="C28">
        <f t="shared" si="0"/>
        <v>1329.5765067036764</v>
      </c>
      <c r="D28">
        <f t="shared" si="1"/>
        <v>1391.5351316567264</v>
      </c>
      <c r="E28">
        <f t="shared" si="2"/>
        <v>0</v>
      </c>
      <c r="F28">
        <f t="shared" si="3"/>
        <v>46.766829366489397</v>
      </c>
    </row>
    <row r="29" spans="2:11" x14ac:dyDescent="0.25">
      <c r="B29">
        <v>12</v>
      </c>
      <c r="C29">
        <f t="shared" si="0"/>
        <v>1330.6633727909025</v>
      </c>
      <c r="D29">
        <f t="shared" si="1"/>
        <v>1391.8263565470795</v>
      </c>
      <c r="E29">
        <f t="shared" si="2"/>
        <v>0</v>
      </c>
      <c r="F29">
        <f t="shared" si="3"/>
        <v>46.743464553986669</v>
      </c>
    </row>
    <row r="30" spans="2:11" x14ac:dyDescent="0.25">
      <c r="B30">
        <v>13</v>
      </c>
      <c r="C30">
        <f t="shared" si="0"/>
        <v>1331.7502388781286</v>
      </c>
      <c r="D30">
        <f t="shared" si="1"/>
        <v>1392.1175814374326</v>
      </c>
      <c r="E30">
        <f t="shared" si="2"/>
        <v>0</v>
      </c>
      <c r="F30">
        <f t="shared" si="3"/>
        <v>46.720117657935283</v>
      </c>
    </row>
    <row r="31" spans="2:11" x14ac:dyDescent="0.25">
      <c r="B31">
        <v>14</v>
      </c>
      <c r="C31">
        <f t="shared" si="0"/>
        <v>1332.8371049653551</v>
      </c>
      <c r="D31">
        <f t="shared" si="1"/>
        <v>1392.4088063277854</v>
      </c>
      <c r="E31">
        <f t="shared" si="2"/>
        <v>0</v>
      </c>
      <c r="F31">
        <f t="shared" si="3"/>
        <v>46.696788665479374</v>
      </c>
    </row>
    <row r="32" spans="2:11" x14ac:dyDescent="0.25">
      <c r="B32">
        <v>15</v>
      </c>
      <c r="C32">
        <f t="shared" si="0"/>
        <v>1333.9239710525812</v>
      </c>
      <c r="D32">
        <f t="shared" si="1"/>
        <v>1392.7000312181385</v>
      </c>
      <c r="E32">
        <f t="shared" si="2"/>
        <v>0</v>
      </c>
      <c r="F32">
        <f t="shared" si="3"/>
        <v>46.673477563759114</v>
      </c>
    </row>
    <row r="33" spans="2:6" x14ac:dyDescent="0.25">
      <c r="B33">
        <v>16</v>
      </c>
      <c r="C33">
        <f t="shared" si="0"/>
        <v>1335.0108371398073</v>
      </c>
      <c r="D33">
        <f t="shared" si="1"/>
        <v>1392.9912561084916</v>
      </c>
      <c r="E33">
        <f t="shared" si="2"/>
        <v>0</v>
      </c>
      <c r="F33">
        <f t="shared" si="3"/>
        <v>46.650184339910624</v>
      </c>
    </row>
    <row r="34" spans="2:6" x14ac:dyDescent="0.25">
      <c r="B34">
        <v>17</v>
      </c>
      <c r="C34">
        <f t="shared" si="0"/>
        <v>1336.0977032270334</v>
      </c>
      <c r="D34">
        <f t="shared" si="1"/>
        <v>1393.2824809988447</v>
      </c>
      <c r="E34">
        <f t="shared" si="2"/>
        <v>0</v>
      </c>
      <c r="F34">
        <f t="shared" si="3"/>
        <v>46.626908981066173</v>
      </c>
    </row>
    <row r="35" spans="2:6" x14ac:dyDescent="0.25">
      <c r="B35">
        <v>18</v>
      </c>
      <c r="C35">
        <f t="shared" si="0"/>
        <v>1337.1845693142595</v>
      </c>
      <c r="D35">
        <f t="shared" si="1"/>
        <v>1393.5737058891978</v>
      </c>
      <c r="E35">
        <f t="shared" si="2"/>
        <v>0</v>
      </c>
      <c r="F35">
        <f t="shared" si="3"/>
        <v>46.603651474354116</v>
      </c>
    </row>
    <row r="36" spans="2:6" x14ac:dyDescent="0.25">
      <c r="B36">
        <v>19</v>
      </c>
      <c r="C36">
        <f t="shared" si="0"/>
        <v>1338.2714354014861</v>
      </c>
      <c r="D36">
        <f t="shared" si="1"/>
        <v>1393.8649307795506</v>
      </c>
      <c r="E36">
        <f t="shared" si="2"/>
        <v>0</v>
      </c>
      <c r="F36">
        <f t="shared" si="3"/>
        <v>46.58041180689905</v>
      </c>
    </row>
    <row r="37" spans="2:6" x14ac:dyDescent="0.25">
      <c r="B37">
        <v>20</v>
      </c>
      <c r="C37">
        <f t="shared" si="0"/>
        <v>1339.3583014887122</v>
      </c>
      <c r="D37">
        <f t="shared" si="1"/>
        <v>1394.1561556699037</v>
      </c>
      <c r="E37">
        <f t="shared" si="2"/>
        <v>0</v>
      </c>
      <c r="F37">
        <f t="shared" si="3"/>
        <v>46.557189965821856</v>
      </c>
    </row>
    <row r="38" spans="2:6" x14ac:dyDescent="0.25">
      <c r="B38">
        <v>21</v>
      </c>
      <c r="C38">
        <f t="shared" si="0"/>
        <v>1340.4451675759383</v>
      </c>
      <c r="D38">
        <f t="shared" si="1"/>
        <v>1394.4473805602568</v>
      </c>
      <c r="E38">
        <f t="shared" si="2"/>
        <v>0</v>
      </c>
      <c r="F38">
        <f t="shared" si="3"/>
        <v>46.533985938239695</v>
      </c>
    </row>
    <row r="39" spans="2:6" x14ac:dyDescent="0.25">
      <c r="B39">
        <v>22</v>
      </c>
      <c r="C39">
        <f t="shared" si="0"/>
        <v>1341.5320336631644</v>
      </c>
      <c r="D39">
        <f t="shared" si="1"/>
        <v>1394.7386054506098</v>
      </c>
      <c r="E39">
        <f t="shared" si="2"/>
        <v>0</v>
      </c>
      <c r="F39">
        <f t="shared" si="3"/>
        <v>46.510799711266131</v>
      </c>
    </row>
    <row r="40" spans="2:6" x14ac:dyDescent="0.25">
      <c r="B40">
        <v>23</v>
      </c>
      <c r="C40">
        <f t="shared" si="0"/>
        <v>1342.6188997503909</v>
      </c>
      <c r="D40">
        <f t="shared" si="1"/>
        <v>1395.0298303409629</v>
      </c>
      <c r="E40">
        <f t="shared" si="2"/>
        <v>0</v>
      </c>
      <c r="F40">
        <f t="shared" si="3"/>
        <v>46.487631272011178</v>
      </c>
    </row>
    <row r="41" spans="2:6" x14ac:dyDescent="0.25">
      <c r="B41">
        <v>24</v>
      </c>
      <c r="C41">
        <f t="shared" si="0"/>
        <v>1343.705765837617</v>
      </c>
      <c r="D41">
        <f t="shared" si="1"/>
        <v>1395.321055231316</v>
      </c>
      <c r="E41">
        <f t="shared" si="2"/>
        <v>0</v>
      </c>
      <c r="F41">
        <f t="shared" si="3"/>
        <v>46.464480607581343</v>
      </c>
    </row>
    <row r="42" spans="2:6" x14ac:dyDescent="0.25">
      <c r="B42">
        <v>25</v>
      </c>
      <c r="C42">
        <f t="shared" si="0"/>
        <v>1344.7926319248431</v>
      </c>
      <c r="D42">
        <f t="shared" si="1"/>
        <v>1395.6122801216688</v>
      </c>
      <c r="E42">
        <f t="shared" si="2"/>
        <v>0</v>
      </c>
      <c r="F42">
        <f t="shared" si="3"/>
        <v>46.441347705079693</v>
      </c>
    </row>
    <row r="43" spans="2:6" x14ac:dyDescent="0.25">
      <c r="B43">
        <v>26</v>
      </c>
      <c r="C43">
        <f t="shared" si="0"/>
        <v>1345.8794980120692</v>
      </c>
      <c r="D43">
        <f t="shared" si="1"/>
        <v>1395.9035050120219</v>
      </c>
      <c r="E43">
        <f t="shared" si="2"/>
        <v>0</v>
      </c>
      <c r="F43">
        <f t="shared" si="3"/>
        <v>46.418232551605918</v>
      </c>
    </row>
    <row r="44" spans="2:6" x14ac:dyDescent="0.25">
      <c r="B44">
        <v>27</v>
      </c>
      <c r="C44">
        <f t="shared" si="0"/>
        <v>1346.9663640992958</v>
      </c>
      <c r="D44">
        <f t="shared" si="1"/>
        <v>1396.194729902375</v>
      </c>
      <c r="E44">
        <f t="shared" si="2"/>
        <v>0</v>
      </c>
      <c r="F44">
        <f t="shared" si="3"/>
        <v>46.395135134256378</v>
      </c>
    </row>
    <row r="45" spans="2:6" x14ac:dyDescent="0.25">
      <c r="B45">
        <v>28</v>
      </c>
      <c r="C45">
        <f t="shared" si="0"/>
        <v>1348.0532301865219</v>
      </c>
      <c r="D45">
        <f t="shared" si="1"/>
        <v>1396.4859547927281</v>
      </c>
      <c r="E45">
        <f t="shared" si="2"/>
        <v>0</v>
      </c>
      <c r="F45">
        <f t="shared" si="3"/>
        <v>46.372055440124193</v>
      </c>
    </row>
    <row r="46" spans="2:6" x14ac:dyDescent="0.25">
      <c r="B46">
        <v>29</v>
      </c>
      <c r="C46">
        <f t="shared" si="0"/>
        <v>1349.140096273748</v>
      </c>
      <c r="D46">
        <f t="shared" si="1"/>
        <v>1396.7771796830812</v>
      </c>
      <c r="E46">
        <f t="shared" si="2"/>
        <v>0</v>
      </c>
      <c r="F46">
        <f t="shared" si="3"/>
        <v>46.348993456299254</v>
      </c>
    </row>
    <row r="47" spans="2:6" x14ac:dyDescent="0.25">
      <c r="B47">
        <v>30</v>
      </c>
      <c r="C47">
        <f t="shared" si="0"/>
        <v>1350.2269623609741</v>
      </c>
      <c r="D47">
        <f t="shared" si="1"/>
        <v>1397.068404573434</v>
      </c>
      <c r="E47">
        <f t="shared" si="2"/>
        <v>0</v>
      </c>
      <c r="F47">
        <f t="shared" si="3"/>
        <v>46.325949169868309</v>
      </c>
    </row>
    <row r="48" spans="2:6" x14ac:dyDescent="0.25">
      <c r="B48">
        <v>31</v>
      </c>
      <c r="C48">
        <f t="shared" si="0"/>
        <v>1351.3138284482002</v>
      </c>
      <c r="D48">
        <f t="shared" si="1"/>
        <v>1397.3596294637871</v>
      </c>
      <c r="E48">
        <f t="shared" si="2"/>
        <v>0</v>
      </c>
      <c r="F48">
        <f t="shared" si="3"/>
        <v>46.302922567915019</v>
      </c>
    </row>
    <row r="49" spans="2:6" x14ac:dyDescent="0.25">
      <c r="B49">
        <v>32</v>
      </c>
      <c r="C49">
        <f t="shared" ref="C49:C80" si="4">COS(PI()/180*_Theta)*_vyps*B49+_xShip+__xL</f>
        <v>1352.4006945354267</v>
      </c>
      <c r="D49">
        <f t="shared" ref="D49:D80" si="5">SIN(PI()/180*_Theta)*_vyps*B49+_yShip+_yL</f>
        <v>1397.6508543541402</v>
      </c>
      <c r="E49">
        <f t="shared" ref="E49:E80" si="6">B49*CONVERT(CONVERT(_vSub,"kn","m/sec"),"m","yd")</f>
        <v>0</v>
      </c>
      <c r="F49">
        <f t="shared" ref="F49:F80" si="7">ATAN2(C49,_yShip)*180/PI()</f>
        <v>46.279913637519982</v>
      </c>
    </row>
    <row r="50" spans="2:6" x14ac:dyDescent="0.25">
      <c r="B50">
        <v>33</v>
      </c>
      <c r="C50">
        <f t="shared" si="4"/>
        <v>1353.4875606226528</v>
      </c>
      <c r="D50">
        <f t="shared" si="5"/>
        <v>1397.9420792444932</v>
      </c>
      <c r="E50">
        <f t="shared" si="6"/>
        <v>0</v>
      </c>
      <c r="F50">
        <f t="shared" si="7"/>
        <v>46.25692236576085</v>
      </c>
    </row>
    <row r="51" spans="2:6" x14ac:dyDescent="0.25">
      <c r="B51">
        <v>34</v>
      </c>
      <c r="C51">
        <f t="shared" si="4"/>
        <v>1354.5744267098789</v>
      </c>
      <c r="D51">
        <f t="shared" si="5"/>
        <v>1398.2333041348463</v>
      </c>
      <c r="E51">
        <f t="shared" si="6"/>
        <v>0</v>
      </c>
      <c r="F51">
        <f t="shared" si="7"/>
        <v>46.233948739712375</v>
      </c>
    </row>
    <row r="52" spans="2:6" x14ac:dyDescent="0.25">
      <c r="B52">
        <v>35</v>
      </c>
      <c r="C52">
        <f t="shared" si="4"/>
        <v>1355.661292797105</v>
      </c>
      <c r="D52">
        <f t="shared" si="5"/>
        <v>1398.5245290251992</v>
      </c>
      <c r="E52">
        <f t="shared" si="6"/>
        <v>0</v>
      </c>
      <c r="F52">
        <f t="shared" si="7"/>
        <v>46.210992746446415</v>
      </c>
    </row>
    <row r="53" spans="2:6" x14ac:dyDescent="0.25">
      <c r="B53">
        <v>36</v>
      </c>
      <c r="C53">
        <f t="shared" si="4"/>
        <v>1356.7481588843316</v>
      </c>
      <c r="D53">
        <f t="shared" si="5"/>
        <v>1398.8157539155522</v>
      </c>
      <c r="E53">
        <f t="shared" si="6"/>
        <v>0</v>
      </c>
      <c r="F53">
        <f t="shared" si="7"/>
        <v>46.188054373032003</v>
      </c>
    </row>
    <row r="54" spans="2:6" x14ac:dyDescent="0.25">
      <c r="B54">
        <v>37</v>
      </c>
      <c r="C54">
        <f t="shared" si="4"/>
        <v>1357.8350249715577</v>
      </c>
      <c r="D54">
        <f t="shared" si="5"/>
        <v>1399.1069788059053</v>
      </c>
      <c r="E54">
        <f t="shared" si="6"/>
        <v>0</v>
      </c>
      <c r="F54">
        <f t="shared" si="7"/>
        <v>46.165133606535456</v>
      </c>
    </row>
    <row r="55" spans="2:6" x14ac:dyDescent="0.25">
      <c r="B55">
        <v>38</v>
      </c>
      <c r="C55">
        <f t="shared" si="4"/>
        <v>1358.9218910587838</v>
      </c>
      <c r="D55">
        <f t="shared" si="5"/>
        <v>1399.3982036962584</v>
      </c>
      <c r="E55">
        <f t="shared" si="6"/>
        <v>0</v>
      </c>
      <c r="F55">
        <f t="shared" si="7"/>
        <v>46.142230434020398</v>
      </c>
    </row>
    <row r="56" spans="2:6" x14ac:dyDescent="0.25">
      <c r="B56">
        <v>39</v>
      </c>
      <c r="C56">
        <f t="shared" si="4"/>
        <v>1360.0087571460099</v>
      </c>
      <c r="D56">
        <f t="shared" si="5"/>
        <v>1399.6894285866115</v>
      </c>
      <c r="E56">
        <f t="shared" si="6"/>
        <v>0</v>
      </c>
      <c r="F56">
        <f t="shared" si="7"/>
        <v>46.119344842547783</v>
      </c>
    </row>
    <row r="57" spans="2:6" x14ac:dyDescent="0.25">
      <c r="B57">
        <v>40</v>
      </c>
      <c r="C57">
        <f t="shared" si="4"/>
        <v>1361.0956232332364</v>
      </c>
      <c r="D57">
        <f t="shared" si="5"/>
        <v>1399.9806534769646</v>
      </c>
      <c r="E57">
        <f t="shared" si="6"/>
        <v>0</v>
      </c>
      <c r="F57">
        <f t="shared" si="7"/>
        <v>46.096476819176011</v>
      </c>
    </row>
    <row r="58" spans="2:6" x14ac:dyDescent="0.25">
      <c r="B58">
        <v>41</v>
      </c>
      <c r="C58">
        <f t="shared" si="4"/>
        <v>1362.1824893204625</v>
      </c>
      <c r="D58">
        <f t="shared" si="5"/>
        <v>1400.2718783673174</v>
      </c>
      <c r="E58">
        <f t="shared" si="6"/>
        <v>0</v>
      </c>
      <c r="F58">
        <f t="shared" si="7"/>
        <v>46.073626350960957</v>
      </c>
    </row>
    <row r="59" spans="2:6" x14ac:dyDescent="0.25">
      <c r="B59">
        <v>42</v>
      </c>
      <c r="C59">
        <f t="shared" si="4"/>
        <v>1363.2693554076886</v>
      </c>
      <c r="D59">
        <f t="shared" si="5"/>
        <v>1400.5631032576705</v>
      </c>
      <c r="E59">
        <f t="shared" si="6"/>
        <v>0</v>
      </c>
      <c r="F59">
        <f t="shared" si="7"/>
        <v>46.050793424955998</v>
      </c>
    </row>
    <row r="60" spans="2:6" x14ac:dyDescent="0.25">
      <c r="B60">
        <v>43</v>
      </c>
      <c r="C60">
        <f t="shared" si="4"/>
        <v>1364.3562214949147</v>
      </c>
      <c r="D60">
        <f t="shared" si="5"/>
        <v>1400.8543281480236</v>
      </c>
      <c r="E60">
        <f t="shared" si="6"/>
        <v>0</v>
      </c>
      <c r="F60">
        <f t="shared" si="7"/>
        <v>46.027978028212125</v>
      </c>
    </row>
    <row r="61" spans="2:6" x14ac:dyDescent="0.25">
      <c r="B61">
        <v>44</v>
      </c>
      <c r="C61">
        <f t="shared" si="4"/>
        <v>1365.4430875821408</v>
      </c>
      <c r="D61">
        <f t="shared" si="5"/>
        <v>1401.1455530383766</v>
      </c>
      <c r="E61">
        <f t="shared" si="6"/>
        <v>0</v>
      </c>
      <c r="F61">
        <f t="shared" si="7"/>
        <v>46.005180147777935</v>
      </c>
    </row>
    <row r="62" spans="2:6" x14ac:dyDescent="0.25">
      <c r="B62">
        <v>45</v>
      </c>
      <c r="C62">
        <f t="shared" si="4"/>
        <v>1366.5299536693674</v>
      </c>
      <c r="D62">
        <f t="shared" si="5"/>
        <v>1401.4367779287297</v>
      </c>
      <c r="E62">
        <f t="shared" si="6"/>
        <v>0</v>
      </c>
      <c r="F62">
        <f t="shared" si="7"/>
        <v>45.982399770699736</v>
      </c>
    </row>
    <row r="63" spans="2:6" x14ac:dyDescent="0.25">
      <c r="B63">
        <v>46</v>
      </c>
      <c r="C63">
        <f t="shared" si="4"/>
        <v>1367.6168197565935</v>
      </c>
      <c r="D63">
        <f t="shared" si="5"/>
        <v>1401.7280028190826</v>
      </c>
      <c r="E63">
        <f t="shared" si="6"/>
        <v>0</v>
      </c>
      <c r="F63">
        <f t="shared" si="7"/>
        <v>45.959636884021599</v>
      </c>
    </row>
    <row r="64" spans="2:6" x14ac:dyDescent="0.25">
      <c r="B64">
        <v>47</v>
      </c>
      <c r="C64">
        <f t="shared" si="4"/>
        <v>1368.7036858438196</v>
      </c>
      <c r="D64">
        <f t="shared" si="5"/>
        <v>1402.0192277094357</v>
      </c>
      <c r="E64">
        <f t="shared" si="6"/>
        <v>0</v>
      </c>
      <c r="F64">
        <f t="shared" si="7"/>
        <v>45.936891474785376</v>
      </c>
    </row>
    <row r="65" spans="2:6" x14ac:dyDescent="0.25">
      <c r="B65">
        <v>48</v>
      </c>
      <c r="C65">
        <f t="shared" si="4"/>
        <v>1369.7905519310457</v>
      </c>
      <c r="D65">
        <f t="shared" si="5"/>
        <v>1402.3104525997887</v>
      </c>
      <c r="E65">
        <f t="shared" si="6"/>
        <v>0</v>
      </c>
      <c r="F65">
        <f t="shared" si="7"/>
        <v>45.914163530030784</v>
      </c>
    </row>
    <row r="66" spans="2:6" x14ac:dyDescent="0.25">
      <c r="B66">
        <v>49</v>
      </c>
      <c r="C66">
        <f t="shared" si="4"/>
        <v>1370.8774180182722</v>
      </c>
      <c r="D66">
        <f t="shared" si="5"/>
        <v>1402.6016774901418</v>
      </c>
      <c r="E66">
        <f t="shared" si="6"/>
        <v>0</v>
      </c>
      <c r="F66">
        <f t="shared" si="7"/>
        <v>45.891453036795433</v>
      </c>
    </row>
    <row r="67" spans="2:6" x14ac:dyDescent="0.25">
      <c r="B67">
        <v>50</v>
      </c>
      <c r="C67">
        <f t="shared" si="4"/>
        <v>1371.9642841054983</v>
      </c>
      <c r="D67">
        <f t="shared" si="5"/>
        <v>1402.8929023804949</v>
      </c>
      <c r="E67">
        <f t="shared" si="6"/>
        <v>0</v>
      </c>
      <c r="F67">
        <f t="shared" si="7"/>
        <v>45.868759982114909</v>
      </c>
    </row>
    <row r="68" spans="2:6" x14ac:dyDescent="0.25">
      <c r="B68">
        <v>51</v>
      </c>
      <c r="C68">
        <f t="shared" si="4"/>
        <v>1373.0511501927244</v>
      </c>
      <c r="D68">
        <f t="shared" si="5"/>
        <v>1403.1841272708477</v>
      </c>
      <c r="E68">
        <f t="shared" si="6"/>
        <v>0</v>
      </c>
      <c r="F68">
        <f t="shared" si="7"/>
        <v>45.846084353022825</v>
      </c>
    </row>
    <row r="69" spans="2:6" x14ac:dyDescent="0.25">
      <c r="B69">
        <v>52</v>
      </c>
      <c r="C69">
        <f t="shared" si="4"/>
        <v>1374.1380162799505</v>
      </c>
      <c r="D69">
        <f t="shared" si="5"/>
        <v>1403.4753521612008</v>
      </c>
      <c r="E69">
        <f t="shared" si="6"/>
        <v>0</v>
      </c>
      <c r="F69">
        <f t="shared" si="7"/>
        <v>45.823426136550871</v>
      </c>
    </row>
    <row r="70" spans="2:6" x14ac:dyDescent="0.25">
      <c r="B70">
        <v>53</v>
      </c>
      <c r="C70">
        <f t="shared" si="4"/>
        <v>1375.2248823671771</v>
      </c>
      <c r="D70">
        <f t="shared" si="5"/>
        <v>1403.7665770515539</v>
      </c>
      <c r="E70">
        <f t="shared" si="6"/>
        <v>0</v>
      </c>
      <c r="F70">
        <f t="shared" si="7"/>
        <v>45.80078531972881</v>
      </c>
    </row>
    <row r="71" spans="2:6" x14ac:dyDescent="0.25">
      <c r="B71">
        <v>54</v>
      </c>
      <c r="C71">
        <f t="shared" si="4"/>
        <v>1376.3117484544032</v>
      </c>
      <c r="D71">
        <f t="shared" si="5"/>
        <v>1404.057801941907</v>
      </c>
      <c r="E71">
        <f t="shared" si="6"/>
        <v>0</v>
      </c>
      <c r="F71">
        <f t="shared" si="7"/>
        <v>45.778161889584652</v>
      </c>
    </row>
    <row r="72" spans="2:6" x14ac:dyDescent="0.25">
      <c r="B72">
        <v>55</v>
      </c>
      <c r="C72">
        <f t="shared" si="4"/>
        <v>1377.3986145416293</v>
      </c>
      <c r="D72">
        <f t="shared" si="5"/>
        <v>1404.3490268322601</v>
      </c>
      <c r="E72">
        <f t="shared" si="6"/>
        <v>0</v>
      </c>
      <c r="F72">
        <f t="shared" si="7"/>
        <v>45.755555833144591</v>
      </c>
    </row>
    <row r="73" spans="2:6" x14ac:dyDescent="0.25">
      <c r="B73">
        <v>56</v>
      </c>
      <c r="C73">
        <f t="shared" si="4"/>
        <v>1378.4854806288554</v>
      </c>
      <c r="D73">
        <f t="shared" si="5"/>
        <v>1404.6402517226131</v>
      </c>
      <c r="E73">
        <f t="shared" si="6"/>
        <v>0</v>
      </c>
      <c r="F73">
        <f t="shared" si="7"/>
        <v>45.732967137433107</v>
      </c>
    </row>
    <row r="74" spans="2:6" x14ac:dyDescent="0.25">
      <c r="B74">
        <v>57</v>
      </c>
      <c r="C74">
        <f t="shared" si="4"/>
        <v>1379.5723467160819</v>
      </c>
      <c r="D74">
        <f t="shared" si="5"/>
        <v>1404.931476612966</v>
      </c>
      <c r="E74">
        <f t="shared" si="6"/>
        <v>0</v>
      </c>
      <c r="F74">
        <f t="shared" si="7"/>
        <v>45.710395789473026</v>
      </c>
    </row>
    <row r="75" spans="2:6" x14ac:dyDescent="0.25">
      <c r="B75">
        <v>58</v>
      </c>
      <c r="C75">
        <f t="shared" si="4"/>
        <v>1380.659212803308</v>
      </c>
      <c r="D75">
        <f t="shared" si="5"/>
        <v>1405.2227015033191</v>
      </c>
      <c r="E75">
        <f t="shared" si="6"/>
        <v>0</v>
      </c>
      <c r="F75">
        <f t="shared" si="7"/>
        <v>45.687841776285573</v>
      </c>
    </row>
    <row r="76" spans="2:6" x14ac:dyDescent="0.25">
      <c r="B76">
        <v>59</v>
      </c>
      <c r="C76">
        <f t="shared" si="4"/>
        <v>1381.7460788905341</v>
      </c>
      <c r="D76">
        <f t="shared" si="5"/>
        <v>1405.5139263936721</v>
      </c>
      <c r="E76">
        <f t="shared" si="6"/>
        <v>0</v>
      </c>
      <c r="F76">
        <f t="shared" si="7"/>
        <v>45.665305084890385</v>
      </c>
    </row>
    <row r="77" spans="2:6" x14ac:dyDescent="0.25">
      <c r="B77">
        <v>60</v>
      </c>
      <c r="C77">
        <f t="shared" si="4"/>
        <v>1382.8329449777602</v>
      </c>
      <c r="D77">
        <f t="shared" si="5"/>
        <v>1405.8051512840252</v>
      </c>
      <c r="E77">
        <f t="shared" si="6"/>
        <v>0</v>
      </c>
      <c r="F77">
        <f t="shared" si="7"/>
        <v>45.642785702305609</v>
      </c>
    </row>
    <row r="78" spans="2:6" x14ac:dyDescent="0.25">
      <c r="B78">
        <v>61</v>
      </c>
      <c r="C78">
        <f t="shared" si="4"/>
        <v>1383.9198110649863</v>
      </c>
      <c r="D78">
        <f t="shared" si="5"/>
        <v>1406.0963761743783</v>
      </c>
      <c r="E78">
        <f t="shared" si="6"/>
        <v>0</v>
      </c>
      <c r="F78">
        <f t="shared" si="7"/>
        <v>45.620283615547912</v>
      </c>
    </row>
    <row r="79" spans="2:6" x14ac:dyDescent="0.25">
      <c r="B79">
        <v>62</v>
      </c>
      <c r="C79">
        <f t="shared" si="4"/>
        <v>1385.0066771522129</v>
      </c>
      <c r="D79">
        <f t="shared" si="5"/>
        <v>1406.3876010647311</v>
      </c>
      <c r="E79">
        <f t="shared" si="6"/>
        <v>0</v>
      </c>
      <c r="F79">
        <f t="shared" si="7"/>
        <v>45.597798811632579</v>
      </c>
    </row>
    <row r="80" spans="2:6" x14ac:dyDescent="0.25">
      <c r="B80">
        <v>63</v>
      </c>
      <c r="C80">
        <f t="shared" si="4"/>
        <v>1386.093543239439</v>
      </c>
      <c r="D80">
        <f t="shared" si="5"/>
        <v>1406.6788259550842</v>
      </c>
      <c r="E80">
        <f t="shared" si="6"/>
        <v>0</v>
      </c>
      <c r="F80">
        <f t="shared" si="7"/>
        <v>45.575331277573547</v>
      </c>
    </row>
    <row r="81" spans="2:6" x14ac:dyDescent="0.25">
      <c r="B81">
        <v>64</v>
      </c>
      <c r="C81">
        <f t="shared" ref="C81:C112" si="8">COS(PI()/180*_Theta)*_vyps*B81+_xShip+__xL</f>
        <v>1387.1804093266651</v>
      </c>
      <c r="D81">
        <f t="shared" ref="D81:D112" si="9">SIN(PI()/180*_Theta)*_vyps*B81+_yShip+_yL</f>
        <v>1406.9700508454373</v>
      </c>
      <c r="E81">
        <f t="shared" ref="E81:E112" si="10">B81*CONVERT(CONVERT(_vSub,"kn","m/sec"),"m","yd")</f>
        <v>0</v>
      </c>
      <c r="F81">
        <f t="shared" ref="F81:F112" si="11">ATAN2(C81,_yShip)*180/PI()</f>
        <v>45.552881000383415</v>
      </c>
    </row>
    <row r="82" spans="2:6" x14ac:dyDescent="0.25">
      <c r="B82">
        <v>65</v>
      </c>
      <c r="C82">
        <f t="shared" si="8"/>
        <v>1388.2672754138912</v>
      </c>
      <c r="D82">
        <f t="shared" si="9"/>
        <v>1407.2612757357904</v>
      </c>
      <c r="E82">
        <f t="shared" si="10"/>
        <v>0</v>
      </c>
      <c r="F82">
        <f t="shared" si="11"/>
        <v>45.530447967073542</v>
      </c>
    </row>
    <row r="83" spans="2:6" x14ac:dyDescent="0.25">
      <c r="B83">
        <v>66</v>
      </c>
      <c r="C83">
        <f t="shared" si="8"/>
        <v>1389.3541415011177</v>
      </c>
      <c r="D83">
        <f t="shared" si="9"/>
        <v>1407.5525006261435</v>
      </c>
      <c r="E83">
        <f t="shared" si="10"/>
        <v>0</v>
      </c>
      <c r="F83">
        <f t="shared" si="11"/>
        <v>45.508032164654111</v>
      </c>
    </row>
    <row r="84" spans="2:6" x14ac:dyDescent="0.25">
      <c r="B84">
        <v>67</v>
      </c>
      <c r="C84">
        <f t="shared" si="8"/>
        <v>1390.4410075883438</v>
      </c>
      <c r="D84">
        <f t="shared" si="9"/>
        <v>1407.8437255164965</v>
      </c>
      <c r="E84">
        <f t="shared" si="10"/>
        <v>0</v>
      </c>
      <c r="F84">
        <f t="shared" si="11"/>
        <v>45.48563358013412</v>
      </c>
    </row>
    <row r="85" spans="2:6" x14ac:dyDescent="0.25">
      <c r="B85">
        <v>68</v>
      </c>
      <c r="C85">
        <f t="shared" si="8"/>
        <v>1391.5278736755699</v>
      </c>
      <c r="D85">
        <f t="shared" si="9"/>
        <v>1408.1349504068494</v>
      </c>
      <c r="E85">
        <f t="shared" si="10"/>
        <v>0</v>
      </c>
      <c r="F85">
        <f t="shared" si="11"/>
        <v>45.463252200521495</v>
      </c>
    </row>
    <row r="86" spans="2:6" x14ac:dyDescent="0.25">
      <c r="B86">
        <v>69</v>
      </c>
      <c r="C86">
        <f t="shared" si="8"/>
        <v>1392.614739762796</v>
      </c>
      <c r="D86">
        <f t="shared" si="9"/>
        <v>1408.4261752972025</v>
      </c>
      <c r="E86">
        <f t="shared" si="10"/>
        <v>0</v>
      </c>
      <c r="F86">
        <f t="shared" si="11"/>
        <v>45.440888012823073</v>
      </c>
    </row>
    <row r="87" spans="2:6" x14ac:dyDescent="0.25">
      <c r="B87">
        <v>70</v>
      </c>
      <c r="C87">
        <f t="shared" si="8"/>
        <v>1393.7016058500226</v>
      </c>
      <c r="D87">
        <f t="shared" si="9"/>
        <v>1408.7174001875555</v>
      </c>
      <c r="E87">
        <f t="shared" si="10"/>
        <v>0</v>
      </c>
      <c r="F87">
        <f t="shared" si="11"/>
        <v>45.418541004044727</v>
      </c>
    </row>
    <row r="88" spans="2:6" x14ac:dyDescent="0.25">
      <c r="B88">
        <v>71</v>
      </c>
      <c r="C88">
        <f t="shared" si="8"/>
        <v>1394.7884719372487</v>
      </c>
      <c r="D88">
        <f t="shared" si="9"/>
        <v>1409.0086250779086</v>
      </c>
      <c r="E88">
        <f t="shared" si="10"/>
        <v>0</v>
      </c>
      <c r="F88">
        <f t="shared" si="11"/>
        <v>45.39621116119136</v>
      </c>
    </row>
    <row r="89" spans="2:6" x14ac:dyDescent="0.25">
      <c r="B89">
        <v>72</v>
      </c>
      <c r="C89">
        <f t="shared" si="8"/>
        <v>1395.8753380244748</v>
      </c>
      <c r="D89">
        <f t="shared" si="9"/>
        <v>1409.2998499682617</v>
      </c>
      <c r="E89">
        <f t="shared" si="10"/>
        <v>0</v>
      </c>
      <c r="F89">
        <f t="shared" si="11"/>
        <v>45.373898471266983</v>
      </c>
    </row>
    <row r="90" spans="2:6" x14ac:dyDescent="0.25">
      <c r="B90">
        <v>73</v>
      </c>
      <c r="C90">
        <f t="shared" si="8"/>
        <v>1396.9622041117009</v>
      </c>
      <c r="D90">
        <f t="shared" si="9"/>
        <v>1409.5910748586145</v>
      </c>
      <c r="E90">
        <f t="shared" si="10"/>
        <v>0</v>
      </c>
      <c r="F90">
        <f t="shared" si="11"/>
        <v>45.35160292127474</v>
      </c>
    </row>
    <row r="91" spans="2:6" x14ac:dyDescent="0.25">
      <c r="B91">
        <v>74</v>
      </c>
      <c r="C91">
        <f t="shared" si="8"/>
        <v>1398.049070198927</v>
      </c>
      <c r="D91">
        <f t="shared" si="9"/>
        <v>1409.8822997489676</v>
      </c>
      <c r="E91">
        <f t="shared" si="10"/>
        <v>0</v>
      </c>
      <c r="F91">
        <f t="shared" si="11"/>
        <v>45.329324498216991</v>
      </c>
    </row>
    <row r="92" spans="2:6" x14ac:dyDescent="0.25">
      <c r="B92">
        <v>75</v>
      </c>
      <c r="C92">
        <f t="shared" si="8"/>
        <v>1399.1359362861535</v>
      </c>
      <c r="D92">
        <f t="shared" si="9"/>
        <v>1410.1735246393207</v>
      </c>
      <c r="E92">
        <f t="shared" si="10"/>
        <v>0</v>
      </c>
      <c r="F92">
        <f t="shared" si="11"/>
        <v>45.307063189095302</v>
      </c>
    </row>
    <row r="93" spans="2:6" x14ac:dyDescent="0.25">
      <c r="B93">
        <v>76</v>
      </c>
      <c r="C93">
        <f t="shared" si="8"/>
        <v>1400.2228023733796</v>
      </c>
      <c r="D93">
        <f t="shared" si="9"/>
        <v>1410.4647495296738</v>
      </c>
      <c r="E93">
        <f t="shared" si="10"/>
        <v>0</v>
      </c>
      <c r="F93">
        <f t="shared" si="11"/>
        <v>45.2848189809106</v>
      </c>
    </row>
    <row r="94" spans="2:6" x14ac:dyDescent="0.25">
      <c r="B94">
        <v>77</v>
      </c>
      <c r="C94">
        <f t="shared" si="8"/>
        <v>1401.3096684606057</v>
      </c>
      <c r="D94">
        <f t="shared" si="9"/>
        <v>1410.7559744200269</v>
      </c>
      <c r="E94">
        <f t="shared" si="10"/>
        <v>0</v>
      </c>
      <c r="F94">
        <f t="shared" si="11"/>
        <v>45.262591860663107</v>
      </c>
    </row>
    <row r="95" spans="2:6" x14ac:dyDescent="0.25">
      <c r="B95">
        <v>78</v>
      </c>
      <c r="C95">
        <f t="shared" si="8"/>
        <v>1402.3965345478318</v>
      </c>
      <c r="D95">
        <f t="shared" si="9"/>
        <v>1411.0471993103797</v>
      </c>
      <c r="E95">
        <f t="shared" si="10"/>
        <v>0</v>
      </c>
      <c r="F95">
        <f t="shared" si="11"/>
        <v>45.240381815352436</v>
      </c>
    </row>
    <row r="96" spans="2:6" x14ac:dyDescent="0.25">
      <c r="B96">
        <v>79</v>
      </c>
      <c r="C96">
        <f t="shared" si="8"/>
        <v>1403.4834006350584</v>
      </c>
      <c r="D96">
        <f t="shared" si="9"/>
        <v>1411.3384242007328</v>
      </c>
      <c r="E96">
        <f t="shared" si="10"/>
        <v>0</v>
      </c>
      <c r="F96">
        <f t="shared" si="11"/>
        <v>45.218188831977663</v>
      </c>
    </row>
    <row r="97" spans="2:6" x14ac:dyDescent="0.25">
      <c r="B97">
        <v>80</v>
      </c>
      <c r="C97">
        <f t="shared" si="8"/>
        <v>1404.5702667222845</v>
      </c>
      <c r="D97">
        <f t="shared" si="9"/>
        <v>1411.6296490910859</v>
      </c>
      <c r="E97">
        <f t="shared" si="10"/>
        <v>0</v>
      </c>
      <c r="F97">
        <f t="shared" si="11"/>
        <v>45.196012897537351</v>
      </c>
    </row>
    <row r="98" spans="2:6" x14ac:dyDescent="0.25">
      <c r="B98">
        <v>81</v>
      </c>
      <c r="C98">
        <f t="shared" si="8"/>
        <v>1405.6571328095106</v>
      </c>
      <c r="D98">
        <f t="shared" si="9"/>
        <v>1411.9208739814389</v>
      </c>
      <c r="E98">
        <f t="shared" si="10"/>
        <v>0</v>
      </c>
      <c r="F98">
        <f t="shared" si="11"/>
        <v>45.173853999029568</v>
      </c>
    </row>
    <row r="99" spans="2:6" x14ac:dyDescent="0.25">
      <c r="B99">
        <v>82</v>
      </c>
      <c r="C99">
        <f t="shared" si="8"/>
        <v>1406.7439988967367</v>
      </c>
      <c r="D99">
        <f t="shared" si="9"/>
        <v>1412.212098871792</v>
      </c>
      <c r="E99">
        <f t="shared" si="10"/>
        <v>0</v>
      </c>
      <c r="F99">
        <f t="shared" si="11"/>
        <v>45.151712123452029</v>
      </c>
    </row>
    <row r="100" spans="2:6" x14ac:dyDescent="0.25">
      <c r="B100">
        <v>83</v>
      </c>
      <c r="C100">
        <f t="shared" si="8"/>
        <v>1407.8308649839632</v>
      </c>
      <c r="D100">
        <f t="shared" si="9"/>
        <v>1412.5033237621451</v>
      </c>
      <c r="E100">
        <f t="shared" si="10"/>
        <v>0</v>
      </c>
      <c r="F100">
        <f t="shared" si="11"/>
        <v>45.12958725780198</v>
      </c>
    </row>
    <row r="101" spans="2:6" x14ac:dyDescent="0.25">
      <c r="B101">
        <v>84</v>
      </c>
      <c r="C101">
        <f t="shared" si="8"/>
        <v>1408.9177310711893</v>
      </c>
      <c r="D101">
        <f t="shared" si="9"/>
        <v>1412.794548652498</v>
      </c>
      <c r="E101">
        <f t="shared" si="10"/>
        <v>0</v>
      </c>
      <c r="F101">
        <f t="shared" si="11"/>
        <v>45.107479389076452</v>
      </c>
    </row>
    <row r="102" spans="2:6" x14ac:dyDescent="0.25">
      <c r="B102">
        <v>85</v>
      </c>
      <c r="C102">
        <f t="shared" si="8"/>
        <v>1410.0045971584154</v>
      </c>
      <c r="D102">
        <f t="shared" si="9"/>
        <v>1413.085773542851</v>
      </c>
      <c r="E102">
        <f t="shared" si="10"/>
        <v>0</v>
      </c>
      <c r="F102">
        <f t="shared" si="11"/>
        <v>45.085388504272153</v>
      </c>
    </row>
    <row r="103" spans="2:6" x14ac:dyDescent="0.25">
      <c r="B103">
        <v>86</v>
      </c>
      <c r="C103">
        <f t="shared" si="8"/>
        <v>1411.0914632456415</v>
      </c>
      <c r="D103">
        <f t="shared" si="9"/>
        <v>1413.3769984332041</v>
      </c>
      <c r="E103">
        <f t="shared" si="10"/>
        <v>0</v>
      </c>
      <c r="F103">
        <f t="shared" si="11"/>
        <v>45.063314590385559</v>
      </c>
    </row>
    <row r="104" spans="2:6" x14ac:dyDescent="0.25">
      <c r="B104">
        <v>87</v>
      </c>
      <c r="C104">
        <f t="shared" si="8"/>
        <v>1412.1783293328676</v>
      </c>
      <c r="D104">
        <f>SIN(PI()/180*_Theta)*_vyps*B104+_yShip+_yL</f>
        <v>1413.6682233235572</v>
      </c>
      <c r="E104">
        <f t="shared" si="10"/>
        <v>0</v>
      </c>
      <c r="F104">
        <f t="shared" si="11"/>
        <v>45.041257634412972</v>
      </c>
    </row>
    <row r="105" spans="2:6" x14ac:dyDescent="0.25">
      <c r="B105">
        <v>88</v>
      </c>
      <c r="C105">
        <f t="shared" si="8"/>
        <v>1413.2651954200942</v>
      </c>
      <c r="D105">
        <f t="shared" si="9"/>
        <v>1413.9594482139103</v>
      </c>
      <c r="E105">
        <f t="shared" si="10"/>
        <v>0</v>
      </c>
      <c r="F105">
        <f t="shared" si="11"/>
        <v>45.019217623350563</v>
      </c>
    </row>
    <row r="106" spans="2:6" x14ac:dyDescent="0.25">
      <c r="B106">
        <v>89</v>
      </c>
      <c r="C106">
        <f t="shared" si="8"/>
        <v>1414.3520615073203</v>
      </c>
      <c r="D106">
        <f t="shared" si="9"/>
        <v>1414.2506731042631</v>
      </c>
      <c r="E106">
        <f t="shared" si="10"/>
        <v>0</v>
      </c>
      <c r="F106">
        <f t="shared" si="11"/>
        <v>44.997194544194421</v>
      </c>
    </row>
    <row r="107" spans="2:6" x14ac:dyDescent="0.25">
      <c r="B107">
        <v>90</v>
      </c>
      <c r="C107">
        <f t="shared" si="8"/>
        <v>1415.4389275945464</v>
      </c>
      <c r="D107">
        <f t="shared" si="9"/>
        <v>1414.5418979946162</v>
      </c>
      <c r="E107">
        <f t="shared" si="10"/>
        <v>0</v>
      </c>
      <c r="F107">
        <f t="shared" si="11"/>
        <v>44.975188383940598</v>
      </c>
    </row>
    <row r="108" spans="2:6" x14ac:dyDescent="0.25">
      <c r="B108">
        <v>91</v>
      </c>
      <c r="C108">
        <f t="shared" si="8"/>
        <v>1416.5257936817725</v>
      </c>
      <c r="D108">
        <f t="shared" si="9"/>
        <v>1414.8331228849693</v>
      </c>
      <c r="E108">
        <f t="shared" si="10"/>
        <v>0</v>
      </c>
      <c r="F108">
        <f t="shared" si="11"/>
        <v>44.953199129585137</v>
      </c>
    </row>
    <row r="109" spans="2:6" x14ac:dyDescent="0.25">
      <c r="B109">
        <v>92</v>
      </c>
      <c r="C109">
        <f t="shared" si="8"/>
        <v>1417.612659768999</v>
      </c>
      <c r="D109">
        <f t="shared" si="9"/>
        <v>1415.1243477753223</v>
      </c>
      <c r="E109">
        <f t="shared" si="10"/>
        <v>0</v>
      </c>
      <c r="F109">
        <f t="shared" si="11"/>
        <v>44.931226768124134</v>
      </c>
    </row>
    <row r="110" spans="2:6" x14ac:dyDescent="0.25">
      <c r="B110">
        <v>93</v>
      </c>
      <c r="C110">
        <f t="shared" si="8"/>
        <v>1418.6995258562251</v>
      </c>
      <c r="D110">
        <f t="shared" si="9"/>
        <v>1415.4155726656754</v>
      </c>
      <c r="E110">
        <f t="shared" si="10"/>
        <v>0</v>
      </c>
      <c r="F110">
        <f t="shared" si="11"/>
        <v>44.909271286553803</v>
      </c>
    </row>
    <row r="111" spans="2:6" x14ac:dyDescent="0.25">
      <c r="B111">
        <v>94</v>
      </c>
      <c r="C111">
        <f t="shared" si="8"/>
        <v>1419.7863919434512</v>
      </c>
      <c r="D111">
        <f t="shared" si="9"/>
        <v>1415.7067975560283</v>
      </c>
      <c r="E111">
        <f t="shared" si="10"/>
        <v>0</v>
      </c>
      <c r="F111">
        <f t="shared" si="11"/>
        <v>44.887332671870489</v>
      </c>
    </row>
    <row r="112" spans="2:6" x14ac:dyDescent="0.25">
      <c r="B112">
        <v>95</v>
      </c>
      <c r="C112">
        <f t="shared" si="8"/>
        <v>1420.8732580306773</v>
      </c>
      <c r="D112">
        <f t="shared" si="9"/>
        <v>1415.9980224463814</v>
      </c>
      <c r="E112">
        <f t="shared" si="10"/>
        <v>0</v>
      </c>
      <c r="F112">
        <f t="shared" si="11"/>
        <v>44.865410911070711</v>
      </c>
    </row>
    <row r="113" spans="2:6" x14ac:dyDescent="0.25">
      <c r="B113">
        <v>96</v>
      </c>
      <c r="C113">
        <f t="shared" ref="C113:C144" si="12">COS(PI()/180*_Theta)*_vyps*B113+_xShip+__xL</f>
        <v>1421.9601241179039</v>
      </c>
      <c r="D113">
        <f t="shared" ref="D113:D144" si="13">SIN(PI()/180*_Theta)*_vyps*B113+_yShip+_yL</f>
        <v>1416.2892473367344</v>
      </c>
      <c r="E113">
        <f t="shared" ref="E113:E144" si="14">B113*CONVERT(CONVERT(_vSub,"kn","m/sec"),"m","yd")</f>
        <v>0</v>
      </c>
      <c r="F113">
        <f t="shared" ref="F113:F144" si="15">ATAN2(C113,_yShip)*180/PI()</f>
        <v>44.843505991151233</v>
      </c>
    </row>
    <row r="114" spans="2:6" x14ac:dyDescent="0.25">
      <c r="B114">
        <v>97</v>
      </c>
      <c r="C114">
        <f t="shared" si="12"/>
        <v>1423.04699020513</v>
      </c>
      <c r="D114">
        <f t="shared" si="13"/>
        <v>1416.5804722270875</v>
      </c>
      <c r="E114">
        <f t="shared" si="14"/>
        <v>0</v>
      </c>
      <c r="F114">
        <f t="shared" si="15"/>
        <v>44.821617899109114</v>
      </c>
    </row>
    <row r="115" spans="2:6" x14ac:dyDescent="0.25">
      <c r="B115">
        <v>98</v>
      </c>
      <c r="C115">
        <f t="shared" si="12"/>
        <v>1424.1338562923561</v>
      </c>
      <c r="D115">
        <f t="shared" si="13"/>
        <v>1416.8716971174406</v>
      </c>
      <c r="E115">
        <f t="shared" si="14"/>
        <v>0</v>
      </c>
      <c r="F115">
        <f t="shared" si="15"/>
        <v>44.799746621941722</v>
      </c>
    </row>
    <row r="116" spans="2:6" x14ac:dyDescent="0.25">
      <c r="B116">
        <v>99</v>
      </c>
      <c r="C116">
        <f t="shared" si="12"/>
        <v>1425.2207223795822</v>
      </c>
      <c r="D116">
        <f t="shared" si="13"/>
        <v>1417.1629220077937</v>
      </c>
      <c r="E116">
        <f t="shared" si="14"/>
        <v>0</v>
      </c>
      <c r="F116">
        <f t="shared" si="15"/>
        <v>44.777892146646785</v>
      </c>
    </row>
    <row r="117" spans="2:6" x14ac:dyDescent="0.25">
      <c r="B117">
        <v>100</v>
      </c>
      <c r="C117">
        <f t="shared" si="12"/>
        <v>1426.3075884668087</v>
      </c>
      <c r="D117">
        <f t="shared" si="13"/>
        <v>1417.4541468981465</v>
      </c>
      <c r="E117">
        <f t="shared" si="14"/>
        <v>0</v>
      </c>
      <c r="F117">
        <f t="shared" si="15"/>
        <v>44.756054460222458</v>
      </c>
    </row>
    <row r="118" spans="2:6" x14ac:dyDescent="0.25">
      <c r="B118">
        <v>101</v>
      </c>
      <c r="C118">
        <f t="shared" si="12"/>
        <v>1427.3944545540348</v>
      </c>
      <c r="D118">
        <f t="shared" si="13"/>
        <v>1417.7453717884996</v>
      </c>
      <c r="E118">
        <f t="shared" si="14"/>
        <v>0</v>
      </c>
      <c r="F118">
        <f t="shared" si="15"/>
        <v>44.734233549667358</v>
      </c>
    </row>
    <row r="119" spans="2:6" x14ac:dyDescent="0.25">
      <c r="B119">
        <v>102</v>
      </c>
      <c r="C119">
        <f t="shared" si="12"/>
        <v>1428.4813206412609</v>
      </c>
      <c r="D119">
        <f t="shared" si="13"/>
        <v>1418.0365966788527</v>
      </c>
      <c r="E119">
        <f t="shared" si="14"/>
        <v>0</v>
      </c>
      <c r="F119">
        <f t="shared" si="15"/>
        <v>44.712429401980579</v>
      </c>
    </row>
    <row r="120" spans="2:6" x14ac:dyDescent="0.25">
      <c r="B120">
        <v>103</v>
      </c>
      <c r="C120">
        <f t="shared" si="12"/>
        <v>1429.568186728487</v>
      </c>
      <c r="D120">
        <f t="shared" si="13"/>
        <v>1418.3278215692058</v>
      </c>
      <c r="E120">
        <f t="shared" si="14"/>
        <v>0</v>
      </c>
      <c r="F120">
        <f t="shared" si="15"/>
        <v>44.690642004161802</v>
      </c>
    </row>
    <row r="121" spans="2:6" x14ac:dyDescent="0.25">
      <c r="B121">
        <v>104</v>
      </c>
      <c r="C121">
        <f t="shared" si="12"/>
        <v>1430.6550528157131</v>
      </c>
      <c r="D121">
        <f t="shared" si="13"/>
        <v>1418.6190464595588</v>
      </c>
      <c r="E121">
        <f t="shared" si="14"/>
        <v>0</v>
      </c>
      <c r="F121">
        <f t="shared" si="15"/>
        <v>44.668871343211258</v>
      </c>
    </row>
    <row r="122" spans="2:6" x14ac:dyDescent="0.25">
      <c r="B122">
        <v>105</v>
      </c>
      <c r="C122">
        <f t="shared" si="12"/>
        <v>1431.7419189029397</v>
      </c>
      <c r="D122">
        <f t="shared" si="13"/>
        <v>1418.9102713499117</v>
      </c>
      <c r="E122">
        <f t="shared" si="14"/>
        <v>0</v>
      </c>
      <c r="F122">
        <f t="shared" si="15"/>
        <v>44.647117406129816</v>
      </c>
    </row>
    <row r="123" spans="2:6" x14ac:dyDescent="0.25">
      <c r="B123">
        <v>106</v>
      </c>
      <c r="C123">
        <f t="shared" si="12"/>
        <v>1432.8287849901658</v>
      </c>
      <c r="D123">
        <f t="shared" si="13"/>
        <v>1419.2014962402648</v>
      </c>
      <c r="E123">
        <f t="shared" si="14"/>
        <v>0</v>
      </c>
      <c r="F123">
        <f t="shared" si="15"/>
        <v>44.625380179919055</v>
      </c>
    </row>
    <row r="124" spans="2:6" x14ac:dyDescent="0.25">
      <c r="B124">
        <v>107</v>
      </c>
      <c r="C124">
        <f t="shared" si="12"/>
        <v>1433.9156510773919</v>
      </c>
      <c r="D124">
        <f t="shared" si="13"/>
        <v>1419.4927211306178</v>
      </c>
      <c r="E124">
        <f t="shared" si="14"/>
        <v>0</v>
      </c>
      <c r="F124">
        <f t="shared" si="15"/>
        <v>44.603659651581232</v>
      </c>
    </row>
    <row r="125" spans="2:6" x14ac:dyDescent="0.25">
      <c r="B125">
        <v>108</v>
      </c>
      <c r="C125">
        <f t="shared" si="12"/>
        <v>1435.002517164618</v>
      </c>
      <c r="D125">
        <f t="shared" si="13"/>
        <v>1419.7839460209709</v>
      </c>
      <c r="E125">
        <f t="shared" si="14"/>
        <v>0</v>
      </c>
      <c r="F125">
        <f t="shared" si="15"/>
        <v>44.58195580811941</v>
      </c>
    </row>
    <row r="126" spans="2:6" x14ac:dyDescent="0.25">
      <c r="B126">
        <v>109</v>
      </c>
      <c r="C126">
        <f t="shared" si="12"/>
        <v>1436.0893832518445</v>
      </c>
      <c r="D126">
        <f t="shared" si="13"/>
        <v>1420.075170911324</v>
      </c>
      <c r="E126">
        <f t="shared" si="14"/>
        <v>0</v>
      </c>
      <c r="F126">
        <f t="shared" si="15"/>
        <v>44.560268636537408</v>
      </c>
    </row>
    <row r="127" spans="2:6" x14ac:dyDescent="0.25">
      <c r="B127">
        <v>110</v>
      </c>
      <c r="C127">
        <f t="shared" si="12"/>
        <v>1437.1762493390706</v>
      </c>
      <c r="D127">
        <f t="shared" si="13"/>
        <v>1420.3663958016768</v>
      </c>
      <c r="E127">
        <f t="shared" si="14"/>
        <v>0</v>
      </c>
      <c r="F127">
        <f t="shared" si="15"/>
        <v>44.538598123839954</v>
      </c>
    </row>
    <row r="128" spans="2:6" x14ac:dyDescent="0.25">
      <c r="B128">
        <v>111</v>
      </c>
      <c r="C128">
        <f t="shared" si="12"/>
        <v>1438.2631154262967</v>
      </c>
      <c r="D128">
        <f t="shared" si="13"/>
        <v>1420.6576206920299</v>
      </c>
      <c r="E128">
        <f t="shared" si="14"/>
        <v>0</v>
      </c>
      <c r="F128">
        <f t="shared" si="15"/>
        <v>44.51694425703262</v>
      </c>
    </row>
    <row r="129" spans="2:6" x14ac:dyDescent="0.25">
      <c r="B129">
        <v>112</v>
      </c>
      <c r="C129">
        <f t="shared" si="12"/>
        <v>1439.3499815135228</v>
      </c>
      <c r="D129">
        <f t="shared" si="13"/>
        <v>1420.948845582383</v>
      </c>
      <c r="E129">
        <f t="shared" si="14"/>
        <v>0</v>
      </c>
      <c r="F129">
        <f t="shared" si="15"/>
        <v>44.495307023121946</v>
      </c>
    </row>
    <row r="130" spans="2:6" x14ac:dyDescent="0.25">
      <c r="B130">
        <v>113</v>
      </c>
      <c r="C130">
        <f t="shared" si="12"/>
        <v>1440.4368476007494</v>
      </c>
      <c r="D130">
        <f t="shared" si="13"/>
        <v>1421.2400704727361</v>
      </c>
      <c r="E130">
        <f t="shared" si="14"/>
        <v>0</v>
      </c>
      <c r="F130">
        <f t="shared" si="15"/>
        <v>44.473686409115402</v>
      </c>
    </row>
    <row r="131" spans="2:6" x14ac:dyDescent="0.25">
      <c r="B131">
        <v>114</v>
      </c>
      <c r="C131">
        <f t="shared" si="12"/>
        <v>1441.5237136879755</v>
      </c>
      <c r="D131">
        <f t="shared" si="13"/>
        <v>1421.5312953630892</v>
      </c>
      <c r="E131">
        <f t="shared" si="14"/>
        <v>0</v>
      </c>
      <c r="F131">
        <f t="shared" si="15"/>
        <v>44.452082402021539</v>
      </c>
    </row>
    <row r="132" spans="2:6" x14ac:dyDescent="0.25">
      <c r="B132">
        <v>115</v>
      </c>
      <c r="C132">
        <f t="shared" si="12"/>
        <v>1442.6105797752016</v>
      </c>
      <c r="D132">
        <f t="shared" si="13"/>
        <v>1421.8225202534422</v>
      </c>
      <c r="E132">
        <f t="shared" si="14"/>
        <v>0</v>
      </c>
      <c r="F132">
        <f t="shared" si="15"/>
        <v>44.430494988849929</v>
      </c>
    </row>
    <row r="133" spans="2:6" x14ac:dyDescent="0.25">
      <c r="B133">
        <v>116</v>
      </c>
      <c r="C133">
        <f t="shared" si="12"/>
        <v>1443.6974458624277</v>
      </c>
      <c r="D133">
        <f t="shared" si="13"/>
        <v>1422.1137451437951</v>
      </c>
      <c r="E133">
        <f t="shared" si="14"/>
        <v>0</v>
      </c>
      <c r="F133">
        <f t="shared" si="15"/>
        <v>44.408924156611263</v>
      </c>
    </row>
    <row r="134" spans="2:6" x14ac:dyDescent="0.25">
      <c r="B134">
        <v>117</v>
      </c>
      <c r="C134">
        <f t="shared" si="12"/>
        <v>1444.7843119496538</v>
      </c>
      <c r="D134">
        <f t="shared" si="13"/>
        <v>1422.4049700341482</v>
      </c>
      <c r="E134">
        <f t="shared" si="14"/>
        <v>0</v>
      </c>
      <c r="F134">
        <f t="shared" si="15"/>
        <v>44.387369892317352</v>
      </c>
    </row>
    <row r="135" spans="2:6" x14ac:dyDescent="0.25">
      <c r="B135">
        <v>118</v>
      </c>
      <c r="C135">
        <f t="shared" si="12"/>
        <v>1445.8711780368803</v>
      </c>
      <c r="D135">
        <f t="shared" si="13"/>
        <v>1422.6961949245012</v>
      </c>
      <c r="E135">
        <f t="shared" si="14"/>
        <v>0</v>
      </c>
      <c r="F135">
        <f t="shared" si="15"/>
        <v>44.365832182981222</v>
      </c>
    </row>
    <row r="136" spans="2:6" x14ac:dyDescent="0.25">
      <c r="B136">
        <v>119</v>
      </c>
      <c r="C136">
        <f t="shared" si="12"/>
        <v>1446.9580441241064</v>
      </c>
      <c r="D136">
        <f t="shared" si="13"/>
        <v>1422.9874198148543</v>
      </c>
      <c r="E136">
        <f t="shared" si="14"/>
        <v>0</v>
      </c>
      <c r="F136">
        <f t="shared" si="15"/>
        <v>44.344311015617137</v>
      </c>
    </row>
    <row r="137" spans="2:6" x14ac:dyDescent="0.25">
      <c r="B137">
        <v>120</v>
      </c>
      <c r="C137">
        <f t="shared" si="12"/>
        <v>1448.0449102113325</v>
      </c>
      <c r="D137">
        <f t="shared" si="13"/>
        <v>1423.2786447052074</v>
      </c>
      <c r="E137">
        <f t="shared" si="14"/>
        <v>0</v>
      </c>
      <c r="F137">
        <f t="shared" si="15"/>
        <v>44.322806377240575</v>
      </c>
    </row>
    <row r="138" spans="2:6" x14ac:dyDescent="0.25">
      <c r="B138">
        <v>121</v>
      </c>
      <c r="C138">
        <f t="shared" si="12"/>
        <v>1449.1317762985586</v>
      </c>
      <c r="D138">
        <f t="shared" si="13"/>
        <v>1423.5698695955602</v>
      </c>
      <c r="E138">
        <f t="shared" si="14"/>
        <v>0</v>
      </c>
      <c r="F138">
        <f t="shared" si="15"/>
        <v>44.301318254868391</v>
      </c>
    </row>
    <row r="139" spans="2:6" x14ac:dyDescent="0.25">
      <c r="B139">
        <v>122</v>
      </c>
      <c r="C139">
        <f t="shared" si="12"/>
        <v>1450.2186423857852</v>
      </c>
      <c r="D139">
        <f t="shared" si="13"/>
        <v>1423.8610944859133</v>
      </c>
      <c r="E139">
        <f t="shared" si="14"/>
        <v>0</v>
      </c>
      <c r="F139">
        <f t="shared" si="15"/>
        <v>44.279846635518716</v>
      </c>
    </row>
    <row r="140" spans="2:6" x14ac:dyDescent="0.25">
      <c r="B140">
        <v>123</v>
      </c>
      <c r="C140">
        <f t="shared" si="12"/>
        <v>1451.3055084730113</v>
      </c>
      <c r="D140">
        <f t="shared" si="13"/>
        <v>1424.1523193762664</v>
      </c>
      <c r="E140">
        <f t="shared" si="14"/>
        <v>0</v>
      </c>
      <c r="F140">
        <f t="shared" si="15"/>
        <v>44.258391506211154</v>
      </c>
    </row>
    <row r="141" spans="2:6" x14ac:dyDescent="0.25">
      <c r="B141">
        <v>124</v>
      </c>
      <c r="C141">
        <f t="shared" si="12"/>
        <v>1452.3923745602374</v>
      </c>
      <c r="D141">
        <f t="shared" si="13"/>
        <v>1424.4435442666195</v>
      </c>
      <c r="E141">
        <f t="shared" si="14"/>
        <v>0</v>
      </c>
      <c r="F141">
        <f t="shared" si="15"/>
        <v>44.236952853966699</v>
      </c>
    </row>
    <row r="142" spans="2:6" x14ac:dyDescent="0.25">
      <c r="B142">
        <v>125</v>
      </c>
      <c r="C142">
        <f t="shared" si="12"/>
        <v>1453.4792406474635</v>
      </c>
      <c r="D142">
        <f t="shared" si="13"/>
        <v>1424.7347691569726</v>
      </c>
      <c r="E142">
        <f t="shared" si="14"/>
        <v>0</v>
      </c>
      <c r="F142">
        <f t="shared" si="15"/>
        <v>44.21553066580779</v>
      </c>
    </row>
    <row r="143" spans="2:6" x14ac:dyDescent="0.25">
      <c r="B143">
        <v>126</v>
      </c>
      <c r="C143">
        <f t="shared" si="12"/>
        <v>1454.56610673469</v>
      </c>
      <c r="D143">
        <f t="shared" si="13"/>
        <v>1425.0259940473254</v>
      </c>
      <c r="E143">
        <f t="shared" si="14"/>
        <v>0</v>
      </c>
      <c r="F143">
        <f t="shared" si="15"/>
        <v>44.194124928758441</v>
      </c>
    </row>
    <row r="144" spans="2:6" x14ac:dyDescent="0.25">
      <c r="B144">
        <v>127</v>
      </c>
      <c r="C144">
        <f t="shared" si="12"/>
        <v>1455.6529728219161</v>
      </c>
      <c r="D144">
        <f t="shared" si="13"/>
        <v>1425.3172189376785</v>
      </c>
      <c r="E144">
        <f t="shared" si="14"/>
        <v>0</v>
      </c>
      <c r="F144">
        <f t="shared" si="15"/>
        <v>44.172735629844162</v>
      </c>
    </row>
    <row r="145" spans="2:6" x14ac:dyDescent="0.25">
      <c r="B145">
        <v>128</v>
      </c>
      <c r="C145">
        <f t="shared" ref="C145:C176" si="16">COS(PI()/180*_Theta)*_vyps*B145+_xShip+__xL</f>
        <v>1456.7398389091422</v>
      </c>
      <c r="D145">
        <f t="shared" ref="D145:D176" si="17">SIN(PI()/180*_Theta)*_vyps*B145+_yShip+_yL</f>
        <v>1425.6084438280316</v>
      </c>
      <c r="E145">
        <f t="shared" ref="E145:E176" si="18">B145*CONVERT(CONVERT(_vSub,"kn","m/sec"),"m","yd")</f>
        <v>0</v>
      </c>
      <c r="F145">
        <f t="shared" ref="F145:F176" si="19">ATAN2(C145,_yShip)*180/PI()</f>
        <v>44.151362756092098</v>
      </c>
    </row>
    <row r="146" spans="2:6" x14ac:dyDescent="0.25">
      <c r="B146">
        <v>129</v>
      </c>
      <c r="C146">
        <f t="shared" si="16"/>
        <v>1457.8267049963683</v>
      </c>
      <c r="D146">
        <f t="shared" si="17"/>
        <v>1425.8996687183846</v>
      </c>
      <c r="E146">
        <f t="shared" si="18"/>
        <v>0</v>
      </c>
      <c r="F146">
        <f t="shared" si="19"/>
        <v>44.130006294531</v>
      </c>
    </row>
    <row r="147" spans="2:6" x14ac:dyDescent="0.25">
      <c r="B147">
        <v>130</v>
      </c>
      <c r="C147">
        <f t="shared" si="16"/>
        <v>1458.9135710835944</v>
      </c>
      <c r="D147">
        <f t="shared" si="17"/>
        <v>1426.1908936087377</v>
      </c>
      <c r="E147">
        <f t="shared" si="18"/>
        <v>0</v>
      </c>
      <c r="F147">
        <f t="shared" si="19"/>
        <v>44.108666232191283</v>
      </c>
    </row>
    <row r="148" spans="2:6" x14ac:dyDescent="0.25">
      <c r="B148">
        <v>131</v>
      </c>
      <c r="C148">
        <f t="shared" si="16"/>
        <v>1460.000437170821</v>
      </c>
      <c r="D148">
        <f t="shared" si="17"/>
        <v>1426.4821184990908</v>
      </c>
      <c r="E148">
        <f t="shared" si="18"/>
        <v>0</v>
      </c>
      <c r="F148">
        <f t="shared" si="19"/>
        <v>44.087342556105106</v>
      </c>
    </row>
    <row r="149" spans="2:6" x14ac:dyDescent="0.25">
      <c r="B149">
        <v>132</v>
      </c>
      <c r="C149">
        <f t="shared" si="16"/>
        <v>1461.0873032580471</v>
      </c>
      <c r="D149">
        <f t="shared" si="17"/>
        <v>1426.7733433894437</v>
      </c>
      <c r="E149">
        <f t="shared" si="18"/>
        <v>0</v>
      </c>
      <c r="F149">
        <f t="shared" si="19"/>
        <v>44.066035253306353</v>
      </c>
    </row>
    <row r="150" spans="2:6" x14ac:dyDescent="0.25">
      <c r="B150">
        <v>133</v>
      </c>
      <c r="C150">
        <f t="shared" si="16"/>
        <v>1462.1741693452732</v>
      </c>
      <c r="D150">
        <f t="shared" si="17"/>
        <v>1427.0645682797967</v>
      </c>
      <c r="E150">
        <f t="shared" si="18"/>
        <v>0</v>
      </c>
      <c r="F150">
        <f t="shared" si="19"/>
        <v>44.044744310830708</v>
      </c>
    </row>
    <row r="151" spans="2:6" x14ac:dyDescent="0.25">
      <c r="B151">
        <v>134</v>
      </c>
      <c r="C151">
        <f t="shared" si="16"/>
        <v>1463.2610354324993</v>
      </c>
      <c r="D151">
        <f t="shared" si="17"/>
        <v>1427.3557931701498</v>
      </c>
      <c r="E151">
        <f t="shared" si="18"/>
        <v>0</v>
      </c>
      <c r="F151">
        <f t="shared" si="19"/>
        <v>44.023469715715684</v>
      </c>
    </row>
    <row r="152" spans="2:6" x14ac:dyDescent="0.25">
      <c r="B152">
        <v>135</v>
      </c>
      <c r="C152">
        <f t="shared" si="16"/>
        <v>1464.3479015197258</v>
      </c>
      <c r="D152">
        <f t="shared" si="17"/>
        <v>1427.6470180605029</v>
      </c>
      <c r="E152">
        <f t="shared" si="18"/>
        <v>0</v>
      </c>
      <c r="F152">
        <f t="shared" si="19"/>
        <v>44.002211455000641</v>
      </c>
    </row>
    <row r="153" spans="2:6" x14ac:dyDescent="0.25">
      <c r="B153">
        <v>136</v>
      </c>
      <c r="C153">
        <f t="shared" si="16"/>
        <v>1465.4347676069519</v>
      </c>
      <c r="D153">
        <f t="shared" si="17"/>
        <v>1427.938242950856</v>
      </c>
      <c r="E153">
        <f t="shared" si="18"/>
        <v>0</v>
      </c>
      <c r="F153">
        <f t="shared" si="19"/>
        <v>43.980969515726869</v>
      </c>
    </row>
    <row r="154" spans="2:6" x14ac:dyDescent="0.25">
      <c r="B154">
        <v>137</v>
      </c>
      <c r="C154">
        <f t="shared" si="16"/>
        <v>1466.521633694178</v>
      </c>
      <c r="D154">
        <f t="shared" si="17"/>
        <v>1428.2294678412088</v>
      </c>
      <c r="E154">
        <f t="shared" si="18"/>
        <v>0</v>
      </c>
      <c r="F154">
        <f t="shared" si="19"/>
        <v>43.959743884937595</v>
      </c>
    </row>
    <row r="155" spans="2:6" x14ac:dyDescent="0.25">
      <c r="B155">
        <v>138</v>
      </c>
      <c r="C155">
        <f t="shared" si="16"/>
        <v>1467.6084997814041</v>
      </c>
      <c r="D155">
        <f t="shared" si="17"/>
        <v>1428.5206927315619</v>
      </c>
      <c r="E155">
        <f t="shared" si="18"/>
        <v>0</v>
      </c>
      <c r="F155">
        <f t="shared" si="19"/>
        <v>43.938534549678032</v>
      </c>
    </row>
    <row r="156" spans="2:6" x14ac:dyDescent="0.25">
      <c r="B156">
        <v>139</v>
      </c>
      <c r="C156">
        <f t="shared" si="16"/>
        <v>1468.6953658686307</v>
      </c>
      <c r="D156">
        <f t="shared" si="17"/>
        <v>1428.811917621915</v>
      </c>
      <c r="E156">
        <f t="shared" si="18"/>
        <v>0</v>
      </c>
      <c r="F156">
        <f t="shared" si="19"/>
        <v>43.917341496995377</v>
      </c>
    </row>
    <row r="157" spans="2:6" x14ac:dyDescent="0.25">
      <c r="B157">
        <v>140</v>
      </c>
      <c r="C157">
        <f t="shared" si="16"/>
        <v>1469.7822319558568</v>
      </c>
      <c r="D157">
        <f t="shared" si="17"/>
        <v>1429.1031425122681</v>
      </c>
      <c r="E157">
        <f t="shared" si="18"/>
        <v>0</v>
      </c>
      <c r="F157">
        <f t="shared" si="19"/>
        <v>43.896164713938965</v>
      </c>
    </row>
    <row r="158" spans="2:6" x14ac:dyDescent="0.25">
      <c r="B158">
        <v>141</v>
      </c>
      <c r="C158">
        <f t="shared" si="16"/>
        <v>1470.8690980430829</v>
      </c>
      <c r="D158">
        <f t="shared" si="17"/>
        <v>1429.3943674026211</v>
      </c>
      <c r="E158">
        <f t="shared" si="18"/>
        <v>0</v>
      </c>
      <c r="F158">
        <f t="shared" si="19"/>
        <v>43.875004187560144</v>
      </c>
    </row>
    <row r="159" spans="2:6" x14ac:dyDescent="0.25">
      <c r="B159">
        <v>142</v>
      </c>
      <c r="C159">
        <f t="shared" si="16"/>
        <v>1471.955964130309</v>
      </c>
      <c r="D159">
        <f t="shared" si="17"/>
        <v>1429.6855922929742</v>
      </c>
      <c r="E159">
        <f t="shared" si="18"/>
        <v>0</v>
      </c>
      <c r="F159">
        <f t="shared" si="19"/>
        <v>43.85385990491244</v>
      </c>
    </row>
    <row r="160" spans="2:6" x14ac:dyDescent="0.25">
      <c r="B160">
        <v>143</v>
      </c>
      <c r="C160">
        <f t="shared" si="16"/>
        <v>1473.0428302175355</v>
      </c>
      <c r="D160">
        <f t="shared" si="17"/>
        <v>1429.9768171833271</v>
      </c>
      <c r="E160">
        <f t="shared" si="18"/>
        <v>0</v>
      </c>
      <c r="F160">
        <f t="shared" si="19"/>
        <v>43.832731853051527</v>
      </c>
    </row>
    <row r="161" spans="2:6" x14ac:dyDescent="0.25">
      <c r="B161">
        <v>144</v>
      </c>
      <c r="C161">
        <f t="shared" si="16"/>
        <v>1474.1296963047616</v>
      </c>
      <c r="D161">
        <f t="shared" si="17"/>
        <v>1430.2680420736801</v>
      </c>
      <c r="E161">
        <f t="shared" si="18"/>
        <v>0</v>
      </c>
      <c r="F161">
        <f t="shared" si="19"/>
        <v>43.811620019035324</v>
      </c>
    </row>
    <row r="162" spans="2:6" x14ac:dyDescent="0.25">
      <c r="B162">
        <v>145</v>
      </c>
      <c r="C162">
        <f t="shared" si="16"/>
        <v>1475.2165623919877</v>
      </c>
      <c r="D162">
        <f t="shared" si="17"/>
        <v>1430.5592669640332</v>
      </c>
      <c r="E162">
        <f t="shared" si="18"/>
        <v>0</v>
      </c>
      <c r="F162">
        <f t="shared" si="19"/>
        <v>43.790524389923959</v>
      </c>
    </row>
    <row r="163" spans="2:6" x14ac:dyDescent="0.25">
      <c r="B163">
        <v>146</v>
      </c>
      <c r="C163">
        <f t="shared" si="16"/>
        <v>1476.3034284792138</v>
      </c>
      <c r="D163">
        <f t="shared" si="17"/>
        <v>1430.8504918543863</v>
      </c>
      <c r="E163">
        <f t="shared" si="18"/>
        <v>0</v>
      </c>
      <c r="F163">
        <f t="shared" si="19"/>
        <v>43.769444952779864</v>
      </c>
    </row>
    <row r="164" spans="2:6" x14ac:dyDescent="0.25">
      <c r="B164">
        <v>147</v>
      </c>
      <c r="C164">
        <f t="shared" si="16"/>
        <v>1477.3902945664399</v>
      </c>
      <c r="D164">
        <f t="shared" si="17"/>
        <v>1431.1417167447394</v>
      </c>
      <c r="E164">
        <f t="shared" si="18"/>
        <v>0</v>
      </c>
      <c r="F164">
        <f t="shared" si="19"/>
        <v>43.748381694667763</v>
      </c>
    </row>
    <row r="165" spans="2:6" x14ac:dyDescent="0.25">
      <c r="B165">
        <v>148</v>
      </c>
      <c r="C165">
        <f t="shared" si="16"/>
        <v>1478.4771606536665</v>
      </c>
      <c r="D165">
        <f t="shared" si="17"/>
        <v>1431.4329416350922</v>
      </c>
      <c r="E165">
        <f t="shared" si="18"/>
        <v>0</v>
      </c>
      <c r="F165">
        <f t="shared" si="19"/>
        <v>43.727334602654778</v>
      </c>
    </row>
    <row r="166" spans="2:6" x14ac:dyDescent="0.25">
      <c r="B166">
        <v>149</v>
      </c>
      <c r="C166">
        <f t="shared" si="16"/>
        <v>1479.5640267408926</v>
      </c>
      <c r="D166">
        <f t="shared" si="17"/>
        <v>1431.7241665254453</v>
      </c>
      <c r="E166">
        <f t="shared" si="18"/>
        <v>0</v>
      </c>
      <c r="F166">
        <f t="shared" si="19"/>
        <v>43.706303663810388</v>
      </c>
    </row>
    <row r="167" spans="2:6" x14ac:dyDescent="0.25">
      <c r="B167">
        <v>150</v>
      </c>
      <c r="C167">
        <f t="shared" si="16"/>
        <v>1480.6508928281187</v>
      </c>
      <c r="D167">
        <f t="shared" si="17"/>
        <v>1432.0153914157984</v>
      </c>
      <c r="E167">
        <f t="shared" si="18"/>
        <v>0</v>
      </c>
      <c r="F167">
        <f t="shared" si="19"/>
        <v>43.685288865206523</v>
      </c>
    </row>
    <row r="168" spans="2:6" x14ac:dyDescent="0.25">
      <c r="B168">
        <v>151</v>
      </c>
      <c r="C168">
        <f t="shared" si="16"/>
        <v>1481.7377589153448</v>
      </c>
      <c r="D168">
        <f t="shared" si="17"/>
        <v>1432.3066163061515</v>
      </c>
      <c r="E168">
        <f t="shared" si="18"/>
        <v>0</v>
      </c>
      <c r="F168">
        <f t="shared" si="19"/>
        <v>43.664290193917573</v>
      </c>
    </row>
    <row r="169" spans="2:6" x14ac:dyDescent="0.25">
      <c r="B169">
        <v>152</v>
      </c>
      <c r="C169">
        <f t="shared" si="16"/>
        <v>1482.8246250025713</v>
      </c>
      <c r="D169">
        <f t="shared" si="17"/>
        <v>1432.5978411965045</v>
      </c>
      <c r="E169">
        <f t="shared" si="18"/>
        <v>0</v>
      </c>
      <c r="F169">
        <f t="shared" si="19"/>
        <v>43.643307637020406</v>
      </c>
    </row>
    <row r="170" spans="2:6" x14ac:dyDescent="0.25">
      <c r="B170">
        <v>153</v>
      </c>
      <c r="C170">
        <f t="shared" si="16"/>
        <v>1483.9114910897974</v>
      </c>
      <c r="D170">
        <f t="shared" si="17"/>
        <v>1432.8890660868574</v>
      </c>
      <c r="E170">
        <f t="shared" si="18"/>
        <v>0</v>
      </c>
      <c r="F170">
        <f t="shared" si="19"/>
        <v>43.622341181594479</v>
      </c>
    </row>
    <row r="171" spans="2:6" x14ac:dyDescent="0.25">
      <c r="B171">
        <v>154</v>
      </c>
      <c r="C171">
        <f t="shared" si="16"/>
        <v>1484.9983571770235</v>
      </c>
      <c r="D171">
        <f t="shared" si="17"/>
        <v>1433.1802909772105</v>
      </c>
      <c r="E171">
        <f t="shared" si="18"/>
        <v>0</v>
      </c>
      <c r="F171">
        <f t="shared" si="19"/>
        <v>43.601390814721782</v>
      </c>
    </row>
    <row r="172" spans="2:6" x14ac:dyDescent="0.25">
      <c r="B172">
        <v>155</v>
      </c>
      <c r="C172">
        <f t="shared" si="16"/>
        <v>1486.0852232642496</v>
      </c>
      <c r="D172">
        <f t="shared" si="17"/>
        <v>1433.4715158675635</v>
      </c>
      <c r="E172">
        <f t="shared" si="18"/>
        <v>0</v>
      </c>
      <c r="F172">
        <f t="shared" si="19"/>
        <v>43.580456523486916</v>
      </c>
    </row>
    <row r="173" spans="2:6" x14ac:dyDescent="0.25">
      <c r="B173">
        <v>156</v>
      </c>
      <c r="C173">
        <f t="shared" si="16"/>
        <v>1487.1720893514762</v>
      </c>
      <c r="D173">
        <f t="shared" si="17"/>
        <v>1433.7627407579166</v>
      </c>
      <c r="E173">
        <f t="shared" si="18"/>
        <v>0</v>
      </c>
      <c r="F173">
        <f t="shared" si="19"/>
        <v>43.559538294977138</v>
      </c>
    </row>
    <row r="174" spans="2:6" x14ac:dyDescent="0.25">
      <c r="B174">
        <v>157</v>
      </c>
      <c r="C174">
        <f t="shared" si="16"/>
        <v>1488.2589554387023</v>
      </c>
      <c r="D174">
        <f t="shared" si="17"/>
        <v>1434.0539656482697</v>
      </c>
      <c r="E174">
        <f t="shared" si="18"/>
        <v>0</v>
      </c>
      <c r="F174">
        <f t="shared" si="19"/>
        <v>43.538636116282383</v>
      </c>
    </row>
    <row r="175" spans="2:6" x14ac:dyDescent="0.25">
      <c r="B175">
        <v>158</v>
      </c>
      <c r="C175">
        <f t="shared" si="16"/>
        <v>1489.3458215259284</v>
      </c>
      <c r="D175">
        <f t="shared" si="17"/>
        <v>1434.3451905386228</v>
      </c>
      <c r="E175">
        <f t="shared" si="18"/>
        <v>0</v>
      </c>
      <c r="F175">
        <f t="shared" si="19"/>
        <v>43.51774997449531</v>
      </c>
    </row>
    <row r="176" spans="2:6" x14ac:dyDescent="0.25">
      <c r="B176">
        <v>159</v>
      </c>
      <c r="C176">
        <f t="shared" si="16"/>
        <v>1490.4326876131545</v>
      </c>
      <c r="D176">
        <f t="shared" si="17"/>
        <v>1434.6364154289756</v>
      </c>
      <c r="E176">
        <f t="shared" si="18"/>
        <v>0</v>
      </c>
      <c r="F176">
        <f t="shared" si="19"/>
        <v>43.496879856711303</v>
      </c>
    </row>
    <row r="177" spans="2:6" x14ac:dyDescent="0.25">
      <c r="B177">
        <v>160</v>
      </c>
      <c r="C177">
        <f t="shared" ref="C177:C208" si="20">COS(PI()/180*_Theta)*_vyps*B177+_xShip+__xL</f>
        <v>1491.5195537003806</v>
      </c>
      <c r="D177">
        <f t="shared" ref="D177:D208" si="21">SIN(PI()/180*_Theta)*_vyps*B177+_yShip+_yL</f>
        <v>1434.9276403193287</v>
      </c>
      <c r="E177">
        <f t="shared" ref="E177:E208" si="22">B177*CONVERT(CONVERT(_vSub,"kn","m/sec"),"m","yd")</f>
        <v>0</v>
      </c>
      <c r="F177">
        <f t="shared" ref="F177:F208" si="23">ATAN2(C177,_yShip)*180/PI()</f>
        <v>43.476025750028548</v>
      </c>
    </row>
    <row r="178" spans="2:6" x14ac:dyDescent="0.25">
      <c r="B178">
        <v>161</v>
      </c>
      <c r="C178">
        <f t="shared" si="20"/>
        <v>1492.6064197876071</v>
      </c>
      <c r="D178">
        <f t="shared" si="21"/>
        <v>1435.2188652096818</v>
      </c>
      <c r="E178">
        <f t="shared" si="22"/>
        <v>0</v>
      </c>
      <c r="F178">
        <f t="shared" si="23"/>
        <v>43.455187641548051</v>
      </c>
    </row>
    <row r="179" spans="2:6" x14ac:dyDescent="0.25">
      <c r="B179">
        <v>162</v>
      </c>
      <c r="C179">
        <f t="shared" si="20"/>
        <v>1493.6932858748332</v>
      </c>
      <c r="D179">
        <f t="shared" si="21"/>
        <v>1435.5100901000349</v>
      </c>
      <c r="E179">
        <f t="shared" si="22"/>
        <v>0</v>
      </c>
      <c r="F179">
        <f t="shared" si="23"/>
        <v>43.43436551837366</v>
      </c>
    </row>
    <row r="180" spans="2:6" x14ac:dyDescent="0.25">
      <c r="B180">
        <v>163</v>
      </c>
      <c r="C180">
        <f t="shared" si="20"/>
        <v>1494.7801519620593</v>
      </c>
      <c r="D180">
        <f t="shared" si="21"/>
        <v>1435.8013149903879</v>
      </c>
      <c r="E180">
        <f t="shared" si="22"/>
        <v>0</v>
      </c>
      <c r="F180">
        <f t="shared" si="23"/>
        <v>43.413559367612152</v>
      </c>
    </row>
    <row r="181" spans="2:6" x14ac:dyDescent="0.25">
      <c r="B181">
        <v>164</v>
      </c>
      <c r="C181">
        <f t="shared" si="20"/>
        <v>1495.8670180492854</v>
      </c>
      <c r="D181">
        <f t="shared" si="21"/>
        <v>1436.0925398807408</v>
      </c>
      <c r="E181">
        <f t="shared" si="22"/>
        <v>0</v>
      </c>
      <c r="F181">
        <f t="shared" si="23"/>
        <v>43.392769176373157</v>
      </c>
    </row>
    <row r="182" spans="2:6" x14ac:dyDescent="0.25">
      <c r="B182">
        <v>165</v>
      </c>
      <c r="C182">
        <f t="shared" si="20"/>
        <v>1496.953884136512</v>
      </c>
      <c r="D182">
        <f t="shared" si="21"/>
        <v>1436.3837647710939</v>
      </c>
      <c r="E182">
        <f t="shared" si="22"/>
        <v>0</v>
      </c>
      <c r="F182">
        <f t="shared" si="23"/>
        <v>43.371994931769315</v>
      </c>
    </row>
    <row r="183" spans="2:6" x14ac:dyDescent="0.25">
      <c r="B183">
        <v>166</v>
      </c>
      <c r="C183">
        <f t="shared" si="20"/>
        <v>1498.0407502237381</v>
      </c>
      <c r="D183">
        <f t="shared" si="21"/>
        <v>1436.6749896614469</v>
      </c>
      <c r="E183">
        <f t="shared" si="22"/>
        <v>0</v>
      </c>
      <c r="F183">
        <f t="shared" si="23"/>
        <v>43.351236620916261</v>
      </c>
    </row>
    <row r="184" spans="2:6" x14ac:dyDescent="0.25">
      <c r="B184">
        <v>167</v>
      </c>
      <c r="C184">
        <f t="shared" si="20"/>
        <v>1499.1276163109642</v>
      </c>
      <c r="D184">
        <f t="shared" si="21"/>
        <v>1436.9662145518</v>
      </c>
      <c r="E184">
        <f t="shared" si="22"/>
        <v>0</v>
      </c>
      <c r="F184">
        <f t="shared" si="23"/>
        <v>43.330494230932615</v>
      </c>
    </row>
    <row r="185" spans="2:6" x14ac:dyDescent="0.25">
      <c r="B185">
        <v>168</v>
      </c>
      <c r="C185">
        <f t="shared" si="20"/>
        <v>1500.2144823981903</v>
      </c>
      <c r="D185">
        <f t="shared" si="21"/>
        <v>1437.2574394421531</v>
      </c>
      <c r="E185">
        <f t="shared" si="22"/>
        <v>0</v>
      </c>
      <c r="F185">
        <f t="shared" si="23"/>
        <v>43.309767748940089</v>
      </c>
    </row>
    <row r="186" spans="2:6" x14ac:dyDescent="0.25">
      <c r="B186">
        <v>169</v>
      </c>
      <c r="C186">
        <f t="shared" si="20"/>
        <v>1501.3013484854168</v>
      </c>
      <c r="D186">
        <f t="shared" si="21"/>
        <v>1437.548664332506</v>
      </c>
      <c r="E186">
        <f t="shared" si="22"/>
        <v>0</v>
      </c>
      <c r="F186">
        <f t="shared" si="23"/>
        <v>43.289057162063465</v>
      </c>
    </row>
    <row r="187" spans="2:6" x14ac:dyDescent="0.25">
      <c r="B187">
        <v>170</v>
      </c>
      <c r="C187">
        <f t="shared" si="20"/>
        <v>1502.3882145726429</v>
      </c>
      <c r="D187">
        <f t="shared" si="21"/>
        <v>1437.839889222859</v>
      </c>
      <c r="E187">
        <f t="shared" si="22"/>
        <v>0</v>
      </c>
      <c r="F187">
        <f t="shared" si="23"/>
        <v>43.268362457430676</v>
      </c>
    </row>
    <row r="188" spans="2:6" x14ac:dyDescent="0.25">
      <c r="B188">
        <v>171</v>
      </c>
      <c r="C188">
        <f t="shared" si="20"/>
        <v>1503.475080659869</v>
      </c>
      <c r="D188">
        <f t="shared" si="21"/>
        <v>1438.1311141132121</v>
      </c>
      <c r="E188">
        <f t="shared" si="22"/>
        <v>0</v>
      </c>
      <c r="F188">
        <f t="shared" si="23"/>
        <v>43.247683622172794</v>
      </c>
    </row>
    <row r="189" spans="2:6" x14ac:dyDescent="0.25">
      <c r="B189">
        <v>172</v>
      </c>
      <c r="C189">
        <f t="shared" si="20"/>
        <v>1504.5619467470951</v>
      </c>
      <c r="D189">
        <f t="shared" si="21"/>
        <v>1438.4223390035652</v>
      </c>
      <c r="E189">
        <f t="shared" si="22"/>
        <v>0</v>
      </c>
      <c r="F189">
        <f t="shared" si="23"/>
        <v>43.227020643424105</v>
      </c>
    </row>
    <row r="190" spans="2:6" x14ac:dyDescent="0.25">
      <c r="B190">
        <v>173</v>
      </c>
      <c r="C190">
        <f t="shared" si="20"/>
        <v>1505.6488128343212</v>
      </c>
      <c r="D190">
        <f t="shared" si="21"/>
        <v>1438.7135638939183</v>
      </c>
      <c r="E190">
        <f t="shared" si="22"/>
        <v>0</v>
      </c>
      <c r="F190">
        <f t="shared" si="23"/>
        <v>43.206373508322066</v>
      </c>
    </row>
    <row r="191" spans="2:6" x14ac:dyDescent="0.25">
      <c r="B191">
        <v>174</v>
      </c>
      <c r="C191">
        <f t="shared" si="20"/>
        <v>1506.7356789215478</v>
      </c>
      <c r="D191">
        <f t="shared" si="21"/>
        <v>1439.0047887842713</v>
      </c>
      <c r="E191">
        <f t="shared" si="22"/>
        <v>0</v>
      </c>
      <c r="F191">
        <f t="shared" si="23"/>
        <v>43.185742204007454</v>
      </c>
    </row>
    <row r="192" spans="2:6" x14ac:dyDescent="0.25">
      <c r="B192">
        <v>175</v>
      </c>
      <c r="C192">
        <f t="shared" si="20"/>
        <v>1507.8225450087739</v>
      </c>
      <c r="D192">
        <f t="shared" si="21"/>
        <v>1439.2960136746242</v>
      </c>
      <c r="E192">
        <f t="shared" si="22"/>
        <v>0</v>
      </c>
      <c r="F192">
        <f t="shared" si="23"/>
        <v>43.165126717624325</v>
      </c>
    </row>
    <row r="193" spans="2:6" x14ac:dyDescent="0.25">
      <c r="B193">
        <v>176</v>
      </c>
      <c r="C193">
        <f t="shared" si="20"/>
        <v>1508.909411096</v>
      </c>
      <c r="D193">
        <f t="shared" si="21"/>
        <v>1439.5872385649773</v>
      </c>
      <c r="E193">
        <f t="shared" si="22"/>
        <v>0</v>
      </c>
      <c r="F193">
        <f t="shared" si="23"/>
        <v>43.144527036320014</v>
      </c>
    </row>
    <row r="194" spans="2:6" x14ac:dyDescent="0.25">
      <c r="B194">
        <v>177</v>
      </c>
      <c r="C194">
        <f t="shared" si="20"/>
        <v>1509.9962771832261</v>
      </c>
      <c r="D194">
        <f t="shared" si="21"/>
        <v>1439.8784634553303</v>
      </c>
      <c r="E194">
        <f t="shared" si="22"/>
        <v>0</v>
      </c>
      <c r="F194">
        <f t="shared" si="23"/>
        <v>43.123943147245271</v>
      </c>
    </row>
    <row r="195" spans="2:6" x14ac:dyDescent="0.25">
      <c r="B195">
        <v>178</v>
      </c>
      <c r="C195">
        <f t="shared" si="20"/>
        <v>1511.0831432704526</v>
      </c>
      <c r="D195">
        <f t="shared" si="21"/>
        <v>1440.1696883456834</v>
      </c>
      <c r="E195">
        <f t="shared" si="22"/>
        <v>0</v>
      </c>
      <c r="F195">
        <f t="shared" si="23"/>
        <v>43.10337503755418</v>
      </c>
    </row>
    <row r="196" spans="2:6" x14ac:dyDescent="0.25">
      <c r="B196">
        <v>179</v>
      </c>
      <c r="C196">
        <f t="shared" si="20"/>
        <v>1512.1700093576787</v>
      </c>
      <c r="D196">
        <f t="shared" si="21"/>
        <v>1440.4609132360365</v>
      </c>
      <c r="E196">
        <f t="shared" si="22"/>
        <v>0</v>
      </c>
      <c r="F196">
        <f t="shared" si="23"/>
        <v>43.082822694404292</v>
      </c>
    </row>
    <row r="197" spans="2:6" x14ac:dyDescent="0.25">
      <c r="B197">
        <v>180</v>
      </c>
      <c r="C197">
        <f t="shared" si="20"/>
        <v>1513.2568754449048</v>
      </c>
      <c r="D197">
        <f t="shared" si="21"/>
        <v>1440.7521381263894</v>
      </c>
      <c r="E197">
        <f t="shared" si="22"/>
        <v>0</v>
      </c>
      <c r="F197">
        <f t="shared" si="23"/>
        <v>43.062286104956591</v>
      </c>
    </row>
    <row r="198" spans="2:6" x14ac:dyDescent="0.25">
      <c r="B198">
        <v>181</v>
      </c>
      <c r="C198">
        <f t="shared" si="20"/>
        <v>1514.3437415321309</v>
      </c>
      <c r="D198">
        <f t="shared" si="21"/>
        <v>1441.0433630167424</v>
      </c>
      <c r="E198">
        <f t="shared" si="22"/>
        <v>0</v>
      </c>
      <c r="F198">
        <f t="shared" si="23"/>
        <v>43.04176525637552</v>
      </c>
    </row>
    <row r="199" spans="2:6" x14ac:dyDescent="0.25">
      <c r="B199">
        <v>182</v>
      </c>
      <c r="C199">
        <f t="shared" si="20"/>
        <v>1515.4306076193575</v>
      </c>
      <c r="D199">
        <f t="shared" si="21"/>
        <v>1441.3345879070955</v>
      </c>
      <c r="E199">
        <f t="shared" si="22"/>
        <v>0</v>
      </c>
      <c r="F199">
        <f t="shared" si="23"/>
        <v>43.021260135829074</v>
      </c>
    </row>
    <row r="200" spans="2:6" x14ac:dyDescent="0.25">
      <c r="B200">
        <v>183</v>
      </c>
      <c r="C200">
        <f t="shared" si="20"/>
        <v>1516.5174737065836</v>
      </c>
      <c r="D200">
        <f t="shared" si="21"/>
        <v>1441.6258127974486</v>
      </c>
      <c r="E200">
        <f t="shared" si="22"/>
        <v>0</v>
      </c>
      <c r="F200">
        <f t="shared" si="23"/>
        <v>43.000770730488782</v>
      </c>
    </row>
    <row r="201" spans="2:6" x14ac:dyDescent="0.25">
      <c r="B201">
        <v>184</v>
      </c>
      <c r="C201">
        <f t="shared" si="20"/>
        <v>1517.6043397938097</v>
      </c>
      <c r="D201">
        <f t="shared" si="21"/>
        <v>1441.9170376878017</v>
      </c>
      <c r="E201">
        <f t="shared" si="22"/>
        <v>0</v>
      </c>
      <c r="F201">
        <f t="shared" si="23"/>
        <v>42.980297027529751</v>
      </c>
    </row>
    <row r="202" spans="2:6" x14ac:dyDescent="0.25">
      <c r="B202">
        <v>185</v>
      </c>
      <c r="C202">
        <f t="shared" si="20"/>
        <v>1518.6912058810358</v>
      </c>
      <c r="D202">
        <f t="shared" si="21"/>
        <v>1442.2082625781547</v>
      </c>
      <c r="E202">
        <f t="shared" si="22"/>
        <v>0</v>
      </c>
      <c r="F202">
        <f t="shared" si="23"/>
        <v>42.959839014130672</v>
      </c>
    </row>
    <row r="203" spans="2:6" x14ac:dyDescent="0.25">
      <c r="B203">
        <v>186</v>
      </c>
      <c r="C203">
        <f t="shared" si="20"/>
        <v>1519.7780719682623</v>
      </c>
      <c r="D203">
        <f t="shared" si="21"/>
        <v>1442.4994874685076</v>
      </c>
      <c r="E203">
        <f t="shared" si="22"/>
        <v>0</v>
      </c>
      <c r="F203">
        <f t="shared" si="23"/>
        <v>42.939396677473923</v>
      </c>
    </row>
    <row r="204" spans="2:6" x14ac:dyDescent="0.25">
      <c r="B204">
        <v>187</v>
      </c>
      <c r="C204">
        <f t="shared" si="20"/>
        <v>1520.8649380554884</v>
      </c>
      <c r="D204">
        <f t="shared" si="21"/>
        <v>1442.7907123588607</v>
      </c>
      <c r="E204">
        <f t="shared" si="22"/>
        <v>0</v>
      </c>
      <c r="F204">
        <f t="shared" si="23"/>
        <v>42.918970004745539</v>
      </c>
    </row>
    <row r="205" spans="2:6" x14ac:dyDescent="0.25">
      <c r="B205">
        <v>188</v>
      </c>
      <c r="C205">
        <f t="shared" si="20"/>
        <v>1521.9518041427145</v>
      </c>
      <c r="D205">
        <f t="shared" si="21"/>
        <v>1443.0819372492138</v>
      </c>
      <c r="E205">
        <f t="shared" si="22"/>
        <v>0</v>
      </c>
      <c r="F205">
        <f t="shared" si="23"/>
        <v>42.898558983135246</v>
      </c>
    </row>
    <row r="206" spans="2:6" x14ac:dyDescent="0.25">
      <c r="B206">
        <v>189</v>
      </c>
      <c r="C206">
        <f t="shared" si="20"/>
        <v>1523.0386702299406</v>
      </c>
      <c r="D206">
        <f t="shared" si="21"/>
        <v>1443.3731621395668</v>
      </c>
      <c r="E206">
        <f t="shared" si="22"/>
        <v>0</v>
      </c>
      <c r="F206">
        <f t="shared" si="23"/>
        <v>42.878163599836491</v>
      </c>
    </row>
    <row r="207" spans="2:6" x14ac:dyDescent="0.25">
      <c r="B207">
        <v>190</v>
      </c>
      <c r="C207">
        <f t="shared" si="20"/>
        <v>1524.1255363171667</v>
      </c>
      <c r="D207">
        <f t="shared" si="21"/>
        <v>1443.6643870299199</v>
      </c>
      <c r="E207">
        <f t="shared" si="22"/>
        <v>0</v>
      </c>
      <c r="F207">
        <f t="shared" si="23"/>
        <v>42.857783842046523</v>
      </c>
    </row>
    <row r="208" spans="2:6" x14ac:dyDescent="0.25">
      <c r="B208">
        <v>191</v>
      </c>
      <c r="C208">
        <f t="shared" si="20"/>
        <v>1525.2124024043933</v>
      </c>
      <c r="D208">
        <f t="shared" si="21"/>
        <v>1443.9556119202728</v>
      </c>
      <c r="E208">
        <f t="shared" si="22"/>
        <v>0</v>
      </c>
      <c r="F208">
        <f t="shared" si="23"/>
        <v>42.837419696966343</v>
      </c>
    </row>
    <row r="209" spans="2:6" x14ac:dyDescent="0.25">
      <c r="B209">
        <v>192</v>
      </c>
      <c r="C209">
        <f t="shared" ref="C209:C216" si="24">COS(PI()/180*_Theta)*_vyps*B209+_xShip+__xL</f>
        <v>1526.2992684916194</v>
      </c>
      <c r="D209">
        <f t="shared" ref="D209:D216" si="25">SIN(PI()/180*_Theta)*_vyps*B209+_yShip+_yL</f>
        <v>1444.2468368106258</v>
      </c>
      <c r="E209">
        <f t="shared" ref="E209:E216" si="26">B209*CONVERT(CONVERT(_vSub,"kn","m/sec"),"m","yd")</f>
        <v>0</v>
      </c>
      <c r="F209">
        <f t="shared" ref="F209:F216" si="27">ATAN2(C209,_yShip)*180/PI()</f>
        <v>42.81707115180081</v>
      </c>
    </row>
    <row r="210" spans="2:6" x14ac:dyDescent="0.25">
      <c r="B210">
        <v>193</v>
      </c>
      <c r="C210">
        <f t="shared" si="24"/>
        <v>1527.3861345788455</v>
      </c>
      <c r="D210">
        <f t="shared" si="25"/>
        <v>1444.5380617009789</v>
      </c>
      <c r="E210">
        <f t="shared" si="26"/>
        <v>0</v>
      </c>
      <c r="F210">
        <f t="shared" si="27"/>
        <v>42.796738193758642</v>
      </c>
    </row>
    <row r="211" spans="2:6" x14ac:dyDescent="0.25">
      <c r="B211">
        <v>194</v>
      </c>
      <c r="C211">
        <f t="shared" si="24"/>
        <v>1528.4730006660716</v>
      </c>
      <c r="D211">
        <f t="shared" si="25"/>
        <v>1444.829286591332</v>
      </c>
      <c r="E211">
        <f t="shared" si="26"/>
        <v>0</v>
      </c>
      <c r="F211">
        <f t="shared" si="27"/>
        <v>42.776420810052393</v>
      </c>
    </row>
    <row r="212" spans="2:6" x14ac:dyDescent="0.25">
      <c r="B212">
        <v>195</v>
      </c>
      <c r="C212">
        <f t="shared" si="24"/>
        <v>1529.5598667532981</v>
      </c>
      <c r="D212">
        <f t="shared" si="25"/>
        <v>1445.1205114816851</v>
      </c>
      <c r="E212">
        <f t="shared" si="26"/>
        <v>0</v>
      </c>
      <c r="F212">
        <f t="shared" si="27"/>
        <v>42.756118987898581</v>
      </c>
    </row>
    <row r="213" spans="2:6" x14ac:dyDescent="0.25">
      <c r="B213">
        <v>196</v>
      </c>
      <c r="C213">
        <f t="shared" si="24"/>
        <v>1530.6467328405242</v>
      </c>
      <c r="D213">
        <f t="shared" si="25"/>
        <v>1445.4117363720379</v>
      </c>
      <c r="E213">
        <f t="shared" si="26"/>
        <v>0</v>
      </c>
      <c r="F213">
        <f t="shared" si="27"/>
        <v>42.735832714517649</v>
      </c>
    </row>
    <row r="214" spans="2:6" x14ac:dyDescent="0.25">
      <c r="B214">
        <v>197</v>
      </c>
      <c r="C214">
        <f t="shared" si="24"/>
        <v>1531.7335989277503</v>
      </c>
      <c r="D214">
        <f t="shared" si="25"/>
        <v>1445.702961262391</v>
      </c>
      <c r="E214">
        <f t="shared" si="26"/>
        <v>0</v>
      </c>
      <c r="F214">
        <f t="shared" si="27"/>
        <v>42.71556197713403</v>
      </c>
    </row>
    <row r="215" spans="2:6" x14ac:dyDescent="0.25">
      <c r="B215">
        <v>198</v>
      </c>
      <c r="C215">
        <f t="shared" si="24"/>
        <v>1532.8204650149764</v>
      </c>
      <c r="D215">
        <f t="shared" si="25"/>
        <v>1445.9941861527441</v>
      </c>
      <c r="E215">
        <f t="shared" si="26"/>
        <v>0</v>
      </c>
      <c r="F215">
        <f t="shared" si="27"/>
        <v>42.695306762976131</v>
      </c>
    </row>
    <row r="216" spans="2:6" x14ac:dyDescent="0.25">
      <c r="B216">
        <v>199</v>
      </c>
      <c r="C216">
        <f t="shared" si="24"/>
        <v>1533.907331102203</v>
      </c>
      <c r="D216">
        <f t="shared" si="25"/>
        <v>1446.2854110430972</v>
      </c>
      <c r="E216">
        <f t="shared" si="26"/>
        <v>0</v>
      </c>
      <c r="F216">
        <f t="shared" si="27"/>
        <v>42.675067059276401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60"/>
  <sheetViews>
    <sheetView topLeftCell="A4" workbookViewId="0">
      <pane ySplit="5" topLeftCell="A354" activePane="bottomLeft" state="frozen"/>
      <selection activeCell="A4" sqref="A4"/>
      <selection pane="bottomLeft" activeCell="E360" sqref="E360:W360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6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60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  <row r="356" spans="4:25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Y356">
        <v>3</v>
      </c>
    </row>
    <row r="357" spans="4:25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Y357">
        <v>3</v>
      </c>
    </row>
    <row r="358" spans="4:25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Y358">
        <v>3</v>
      </c>
    </row>
    <row r="359" spans="4:25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Y359">
        <v>3</v>
      </c>
    </row>
    <row r="360" spans="4:25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5">
        <v>0</v>
      </c>
      <c r="V360" s="5">
        <v>0</v>
      </c>
      <c r="W360" s="5">
        <v>0</v>
      </c>
      <c r="Y360">
        <v>0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18-Dec-2025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18-Dec-2025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Report</vt:lpstr>
      <vt:lpstr>Sheet3</vt:lpstr>
      <vt:lpstr>PointTraining</vt:lpstr>
      <vt:lpstr>LongTermTraining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2025-12-18T18:03:11Z</dcterms:modified>
</cp:coreProperties>
</file>