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1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3832BD19-E3F0-45C4-9707-0174AFF91DE0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LongTermTraining" sheetId="3" r:id="rId2"/>
    <sheet name="PointTraining" sheetId="4" r:id="rId3"/>
    <sheet name="RAOBF" sheetId="8" r:id="rId4"/>
    <sheet name="BP_Data" sheetId="9" r:id="rId5"/>
    <sheet name="Sheet1" sheetId="5" r:id="rId6"/>
    <sheet name="Sheet2" sheetId="6" r:id="rId7"/>
    <sheet name="SH3_Correction_Table" sheetId="7" r:id="rId8"/>
  </sheets>
  <definedNames>
    <definedName name="__xL">RAOBF!$C$12</definedName>
    <definedName name="_AOB">RAOBF!$C$1</definedName>
    <definedName name="_B">RAOBF!$C$2</definedName>
    <definedName name="_date">_xlfn.DROP(_xlfn._TRO_ALL(Report!$B:$B),12)</definedName>
    <definedName name="_xlnm._FilterDatabase" localSheetId="0" hidden="1">Report!$P$24:$P$60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>Report!$C$9:$L$9</definedName>
    <definedName name="_nYpSKnot">0.562603</definedName>
    <definedName name="_R">RAOBF!$C$3</definedName>
    <definedName name="_Theta">RAOBF!$C$10</definedName>
    <definedName name="_v">RAOBF!$C$5</definedName>
    <definedName name="_vSub">RAOBF!$C$6</definedName>
    <definedName name="_vyps">RAOBF!$C$13</definedName>
    <definedName name="_xleta.COS" hidden="1" xlm="1">#NAME?</definedName>
    <definedName name="_xleta.COUNTA" hidden="1" xlm="1">#NAME?</definedName>
    <definedName name="_xleta.SIN" hidden="1" xlm="1">#NAME?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1">_xlfn.DROP(_xlfn.TRIMRANGE(LongTermTraining!$D:$X),1)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5" i="8" l="1"/>
  <c r="K27" i="8"/>
  <c r="C10" i="8"/>
  <c r="I24" i="8"/>
  <c r="I26" i="8"/>
  <c r="E17" i="8"/>
  <c r="H19" i="8"/>
  <c r="F3" i="8"/>
  <c r="F10" i="8"/>
  <c r="F2" i="8"/>
  <c r="F5" i="8"/>
  <c r="D6" i="9"/>
  <c r="C6" i="9"/>
  <c r="B6" i="9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Q9" i="1" a="1"/>
  <c r="Q9" i="1" s="1"/>
  <c r="Z9" i="3" a="1"/>
  <c r="D9" i="3" a="1"/>
  <c r="N10" i="1" a="1"/>
  <c r="B10" i="1" a="1"/>
  <c r="F8" i="8" l="1"/>
  <c r="C12" i="8"/>
  <c r="C11" i="8"/>
  <c r="J59" i="5"/>
  <c r="K59" i="5" a="1"/>
  <c r="J44" i="5"/>
  <c r="K44" i="5" a="1"/>
  <c r="D9" i="3"/>
  <c r="Z9" i="3"/>
  <c r="N10" i="1"/>
  <c r="M21" i="1" a="1"/>
  <c r="B10" i="1"/>
  <c r="C191" i="8" l="1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M21" i="1"/>
  <c r="P10" i="1" s="1" a="1"/>
  <c r="F17" i="8" l="1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P10" i="1"/>
  <c r="I22" i="8" l="1" a="1"/>
  <c r="I22" i="8" s="1"/>
  <c r="M22" i="8" s="1"/>
  <c r="M23" i="8" s="1"/>
  <c r="M24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<sst xmlns="http://schemas.openxmlformats.org/spreadsheetml/2006/main" count="210" uniqueCount="163">
  <si>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</si>
  <si>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</si>
  <si>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</si>
  <si>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</si>
  <si>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</si>
  <si>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</si>
  <si>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</si>
  <si>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</si>
  <si>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</si>
  <si>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</si>
  <si>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</si>
  <si>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</si>
  <si>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</si>
  <si>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</si>
  <si>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</si>
  <si>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</si>
  <si>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</si>
  <si>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</si>
  <si>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</si>
  <si>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</si>
  <si>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</si>
  <si>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</si>
  <si>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</si>
  <si>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</si>
  <si>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</si>
  <si>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</si>
  <si>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</si>
  <si>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</si>
  <si>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</si>
  <si>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</si>
  <si>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</si>
  <si>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</si>
  <si>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</si>
  <si>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</si>
  <si>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</si>
  <si>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</si>
  <si>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</si>
  <si>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</si>
  <si>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</si>
  <si>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</si>
  <si>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</si>
  <si>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</si>
  <si>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</si>
  <si>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</si>
  <si>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</si>
  <si>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</si>
  <si>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</si>
  <si>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</si>
  <si>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</si>
  <si>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</si>
  <si>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</si>
  <si>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</si>
  <si>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</si>
  <si>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</si>
  <si>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</si>
  <si>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</si>
  <si>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</si>
  <si>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</si>
  <si>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</si>
  <si>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</si>
  <si>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</si>
  <si>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</si>
  <si>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</si>
  <si>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</si>
  <si>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</si>
  <si>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</si>
  <si>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</si>
  <si>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</si>
  <si>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</si>
  <si>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</si>
  <si>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</si>
  <si>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</si>
  <si>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</si>
  <si>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</si>
  <si>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</si>
  <si>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</si>
  <si>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</si>
  <si>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</si>
  <si>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</si>
  <si>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</si>
  <si>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</si>
  <si>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</si>
  <si>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</si>
  <si>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</si>
  <si>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</si>
  <si>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</si>
  <si>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</si>
  <si>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</si>
  <si>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</si>
  <si>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</si>
  <si>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</si>
  <si>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</si>
  <si>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</si>
  <si>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</si>
  <si>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</si>
  <si>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</si>
  <si>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</si>
  <si>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</si>
  <si>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</si>
  <si>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</si>
  <si>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</si>
  <si>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</si>
  <si>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</si>
  <si>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</si>
  <si>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</si>
  <si>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</si>
  <si>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</si>
  <si>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</si>
  <si>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</si>
  <si>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</si>
  <si>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</si>
  <si>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</si>
  <si>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</si>
  <si>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</si>
  <si>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</si>
  <si>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</si>
  <si>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</si>
  <si>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</si>
  <si>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</si>
  <si>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</si>
  <si>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</si>
  <si>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</si>
  <si>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</si>
  <si>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</si>
  <si>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</si>
  <si>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</si>
  <si>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</si>
  <si>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</si>
  <si>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</si>
  <si>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</si>
  <si>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</si>
  <si>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</si>
  <si>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</si>
  <si>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</si>
  <si>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</si>
  <si>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</si>
  <si>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</si>
  <si>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</si>
  <si>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</si>
  <si>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</si>
  <si>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</si>
  <si>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</si>
  <si>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</si>
  <si>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</si>
  <si>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</si>
  <si>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</si>
  <si>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</si>
  <si>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</si>
  <si>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</si>
  <si>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</si>
  <si>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</si>
  <si>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</si>
  <si>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</si>
  <si>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</si>
  <si>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</si>
  <si>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</si>
  <si>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</si>
  <si>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</si>
  <si>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</si>
  <si>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</si>
  <si>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</si>
  <si>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BP</t>
  </si>
  <si>
    <t>Chemistry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</si>
</sst>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;;;\ @"/>
    <numFmt numFmtId="165" formatCode="0.00000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32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15" fontId="0" fillId="0" borderId="0" xfId="0" applyNumberFormat="1"/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8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7"/>
      <tableStyleElement type="headerRow" dxfId="36"/>
      <tableStyleElement type="totalRow" dxfId="35"/>
      <tableStyleElement type="firstColumnStripe" dxfId="34"/>
      <tableStyleElement type="firstHeaderCell" dxfId="33"/>
      <tableStyleElement type="firstSubtotalColumn" dxfId="32"/>
      <tableStyleElement type="firstSubtotalRow" dxfId="31"/>
      <tableStyleElement type="secondSubtotalRow" dxfId="30"/>
      <tableStyleElement type="firstRowSubheading" dxfId="29"/>
      <tableStyleElement type="secondRowSubheading" dxfId="28"/>
      <tableStyleElement type="pageFieldLabels" dxfId="27"/>
      <tableStyleElement type="pageFieldValues" dxfId="26"/>
    </tableStyle>
    <tableStyle name="Biegert Table Standard" pivot="0" count="7" xr9:uid="{95B43237-2845-4068-A415-A5A3E7804959}">
      <tableStyleElement type="wholeTable" dxfId="25"/>
      <tableStyleElement type="headerRow" dxfId="24"/>
      <tableStyleElement type="totalRow" dxfId="23"/>
      <tableStyleElement type="firstColumn" dxfId="22"/>
      <tableStyleElement type="lastColumn" dxfId="21"/>
      <tableStyleElement type="firstRowStripe" dxfId="20"/>
      <tableStyleElement type="firstColumnStripe" dxfId="19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23/09/relationships/Python" Target="python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999.99999999999989</c:v>
                </c:pt>
                <c:pt idx="1">
                  <c:v>999.99999999999989</c:v>
                </c:pt>
                <c:pt idx="2">
                  <c:v>999.99999999999989</c:v>
                </c:pt>
                <c:pt idx="3">
                  <c:v>999.99999999999989</c:v>
                </c:pt>
                <c:pt idx="4">
                  <c:v>999.99999999999989</c:v>
                </c:pt>
                <c:pt idx="5">
                  <c:v>999.99999999999989</c:v>
                </c:pt>
                <c:pt idx="6">
                  <c:v>999.99999999999989</c:v>
                </c:pt>
                <c:pt idx="7">
                  <c:v>999.99999999999989</c:v>
                </c:pt>
                <c:pt idx="8">
                  <c:v>999.99999999999989</c:v>
                </c:pt>
                <c:pt idx="9">
                  <c:v>999.99999999999989</c:v>
                </c:pt>
                <c:pt idx="10">
                  <c:v>999.99999999999989</c:v>
                </c:pt>
                <c:pt idx="11">
                  <c:v>999.99999999999989</c:v>
                </c:pt>
                <c:pt idx="12">
                  <c:v>999.99999999999989</c:v>
                </c:pt>
                <c:pt idx="13">
                  <c:v>999.99999999999989</c:v>
                </c:pt>
                <c:pt idx="14">
                  <c:v>999.99999999999989</c:v>
                </c:pt>
                <c:pt idx="15">
                  <c:v>999.99999999999989</c:v>
                </c:pt>
                <c:pt idx="16">
                  <c:v>999.99999999999989</c:v>
                </c:pt>
                <c:pt idx="17">
                  <c:v>999.99999999999989</c:v>
                </c:pt>
                <c:pt idx="18">
                  <c:v>999.99999999999989</c:v>
                </c:pt>
                <c:pt idx="19">
                  <c:v>999.99999999999989</c:v>
                </c:pt>
                <c:pt idx="20">
                  <c:v>999.99999999999989</c:v>
                </c:pt>
                <c:pt idx="21">
                  <c:v>999.99999999999989</c:v>
                </c:pt>
                <c:pt idx="22">
                  <c:v>999.99999999999989</c:v>
                </c:pt>
                <c:pt idx="23">
                  <c:v>999.99999999999989</c:v>
                </c:pt>
                <c:pt idx="24">
                  <c:v>999.99999999999989</c:v>
                </c:pt>
                <c:pt idx="25">
                  <c:v>999.99999999999989</c:v>
                </c:pt>
                <c:pt idx="26">
                  <c:v>999.99999999999989</c:v>
                </c:pt>
                <c:pt idx="27">
                  <c:v>999.99999999999989</c:v>
                </c:pt>
                <c:pt idx="28">
                  <c:v>999.99999999999989</c:v>
                </c:pt>
                <c:pt idx="29">
                  <c:v>999.99999999999989</c:v>
                </c:pt>
                <c:pt idx="30">
                  <c:v>999.99999999999989</c:v>
                </c:pt>
                <c:pt idx="31">
                  <c:v>999.99999999999989</c:v>
                </c:pt>
                <c:pt idx="32">
                  <c:v>999.99999999999989</c:v>
                </c:pt>
                <c:pt idx="33">
                  <c:v>999.99999999999989</c:v>
                </c:pt>
                <c:pt idx="34">
                  <c:v>999.99999999999989</c:v>
                </c:pt>
                <c:pt idx="35">
                  <c:v>999.99999999999989</c:v>
                </c:pt>
                <c:pt idx="36">
                  <c:v>999.99999999999989</c:v>
                </c:pt>
                <c:pt idx="37">
                  <c:v>999.99999999999989</c:v>
                </c:pt>
                <c:pt idx="38">
                  <c:v>999.99999999999989</c:v>
                </c:pt>
                <c:pt idx="39">
                  <c:v>999.99999999999989</c:v>
                </c:pt>
                <c:pt idx="40">
                  <c:v>999.99999999999989</c:v>
                </c:pt>
                <c:pt idx="41">
                  <c:v>999.99999999999989</c:v>
                </c:pt>
                <c:pt idx="42">
                  <c:v>999.99999999999989</c:v>
                </c:pt>
                <c:pt idx="43">
                  <c:v>999.99999999999989</c:v>
                </c:pt>
                <c:pt idx="44">
                  <c:v>999.99999999999989</c:v>
                </c:pt>
                <c:pt idx="45">
                  <c:v>999.99999999999989</c:v>
                </c:pt>
                <c:pt idx="46">
                  <c:v>999.99999999999989</c:v>
                </c:pt>
                <c:pt idx="47">
                  <c:v>999.99999999999989</c:v>
                </c:pt>
                <c:pt idx="48">
                  <c:v>999.99999999999989</c:v>
                </c:pt>
                <c:pt idx="49">
                  <c:v>999.99999999999989</c:v>
                </c:pt>
                <c:pt idx="50">
                  <c:v>999.99999999999989</c:v>
                </c:pt>
                <c:pt idx="51">
                  <c:v>999.99999999999989</c:v>
                </c:pt>
                <c:pt idx="52">
                  <c:v>999.99999999999989</c:v>
                </c:pt>
                <c:pt idx="53">
                  <c:v>999.99999999999989</c:v>
                </c:pt>
                <c:pt idx="54">
                  <c:v>999.99999999999989</c:v>
                </c:pt>
                <c:pt idx="55">
                  <c:v>999.99999999999989</c:v>
                </c:pt>
                <c:pt idx="56">
                  <c:v>999.99999999999989</c:v>
                </c:pt>
                <c:pt idx="57">
                  <c:v>999.99999999999989</c:v>
                </c:pt>
                <c:pt idx="58">
                  <c:v>999.99999999999989</c:v>
                </c:pt>
                <c:pt idx="59">
                  <c:v>999.99999999999989</c:v>
                </c:pt>
                <c:pt idx="60">
                  <c:v>999.99999999999989</c:v>
                </c:pt>
                <c:pt idx="61">
                  <c:v>999.99999999999989</c:v>
                </c:pt>
                <c:pt idx="62">
                  <c:v>999.99999999999989</c:v>
                </c:pt>
                <c:pt idx="63">
                  <c:v>999.99999999999989</c:v>
                </c:pt>
                <c:pt idx="64">
                  <c:v>999.99999999999989</c:v>
                </c:pt>
                <c:pt idx="65">
                  <c:v>999.99999999999989</c:v>
                </c:pt>
                <c:pt idx="66">
                  <c:v>999.99999999999989</c:v>
                </c:pt>
                <c:pt idx="67">
                  <c:v>999.99999999999989</c:v>
                </c:pt>
                <c:pt idx="68">
                  <c:v>999.99999999999989</c:v>
                </c:pt>
                <c:pt idx="69">
                  <c:v>999.99999999999989</c:v>
                </c:pt>
                <c:pt idx="70">
                  <c:v>999.99999999999989</c:v>
                </c:pt>
                <c:pt idx="71">
                  <c:v>999.99999999999989</c:v>
                </c:pt>
                <c:pt idx="72">
                  <c:v>999.99999999999989</c:v>
                </c:pt>
                <c:pt idx="73">
                  <c:v>999.99999999999989</c:v>
                </c:pt>
                <c:pt idx="74">
                  <c:v>999.99999999999989</c:v>
                </c:pt>
                <c:pt idx="75">
                  <c:v>999.99999999999989</c:v>
                </c:pt>
                <c:pt idx="76">
                  <c:v>999.99999999999989</c:v>
                </c:pt>
                <c:pt idx="77">
                  <c:v>999.99999999999989</c:v>
                </c:pt>
                <c:pt idx="78">
                  <c:v>999.99999999999989</c:v>
                </c:pt>
                <c:pt idx="79">
                  <c:v>999.99999999999989</c:v>
                </c:pt>
                <c:pt idx="80">
                  <c:v>999.99999999999989</c:v>
                </c:pt>
                <c:pt idx="81">
                  <c:v>999.99999999999989</c:v>
                </c:pt>
                <c:pt idx="82">
                  <c:v>999.99999999999989</c:v>
                </c:pt>
                <c:pt idx="83">
                  <c:v>999.99999999999989</c:v>
                </c:pt>
                <c:pt idx="84">
                  <c:v>999.99999999999989</c:v>
                </c:pt>
                <c:pt idx="85">
                  <c:v>999.99999999999989</c:v>
                </c:pt>
                <c:pt idx="86">
                  <c:v>999.99999999999989</c:v>
                </c:pt>
                <c:pt idx="87">
                  <c:v>999.99999999999989</c:v>
                </c:pt>
                <c:pt idx="88">
                  <c:v>999.99999999999989</c:v>
                </c:pt>
                <c:pt idx="89">
                  <c:v>999.99999999999989</c:v>
                </c:pt>
                <c:pt idx="90">
                  <c:v>999.99999999999989</c:v>
                </c:pt>
                <c:pt idx="91">
                  <c:v>999.99999999999989</c:v>
                </c:pt>
                <c:pt idx="92">
                  <c:v>999.99999999999989</c:v>
                </c:pt>
                <c:pt idx="93">
                  <c:v>999.99999999999989</c:v>
                </c:pt>
                <c:pt idx="94">
                  <c:v>999.99999999999989</c:v>
                </c:pt>
                <c:pt idx="95">
                  <c:v>999.99999999999989</c:v>
                </c:pt>
                <c:pt idx="96">
                  <c:v>999.99999999999989</c:v>
                </c:pt>
                <c:pt idx="97">
                  <c:v>999.99999999999989</c:v>
                </c:pt>
                <c:pt idx="98">
                  <c:v>999.99999999999989</c:v>
                </c:pt>
                <c:pt idx="99">
                  <c:v>999.99999999999989</c:v>
                </c:pt>
                <c:pt idx="100">
                  <c:v>999.99999999999989</c:v>
                </c:pt>
                <c:pt idx="101">
                  <c:v>999.99999999999989</c:v>
                </c:pt>
                <c:pt idx="102">
                  <c:v>999.99999999999989</c:v>
                </c:pt>
                <c:pt idx="103">
                  <c:v>999.99999999999989</c:v>
                </c:pt>
                <c:pt idx="104">
                  <c:v>999.99999999999989</c:v>
                </c:pt>
                <c:pt idx="105">
                  <c:v>999.99999999999989</c:v>
                </c:pt>
                <c:pt idx="106">
                  <c:v>999.99999999999989</c:v>
                </c:pt>
                <c:pt idx="107">
                  <c:v>999.99999999999989</c:v>
                </c:pt>
                <c:pt idx="108">
                  <c:v>999.99999999999989</c:v>
                </c:pt>
                <c:pt idx="109">
                  <c:v>999.99999999999989</c:v>
                </c:pt>
                <c:pt idx="110">
                  <c:v>999.99999999999989</c:v>
                </c:pt>
                <c:pt idx="111">
                  <c:v>999.99999999999989</c:v>
                </c:pt>
                <c:pt idx="112">
                  <c:v>999.99999999999989</c:v>
                </c:pt>
                <c:pt idx="113">
                  <c:v>999.99999999999989</c:v>
                </c:pt>
                <c:pt idx="114">
                  <c:v>999.99999999999989</c:v>
                </c:pt>
                <c:pt idx="115">
                  <c:v>999.99999999999989</c:v>
                </c:pt>
                <c:pt idx="116">
                  <c:v>999.99999999999989</c:v>
                </c:pt>
                <c:pt idx="117">
                  <c:v>999.99999999999989</c:v>
                </c:pt>
                <c:pt idx="118">
                  <c:v>999.99999999999989</c:v>
                </c:pt>
                <c:pt idx="119">
                  <c:v>999.99999999999989</c:v>
                </c:pt>
                <c:pt idx="120">
                  <c:v>999.99999999999989</c:v>
                </c:pt>
                <c:pt idx="121">
                  <c:v>999.99999999999989</c:v>
                </c:pt>
                <c:pt idx="122">
                  <c:v>999.99999999999989</c:v>
                </c:pt>
                <c:pt idx="123">
                  <c:v>999.99999999999989</c:v>
                </c:pt>
                <c:pt idx="124">
                  <c:v>999.99999999999989</c:v>
                </c:pt>
                <c:pt idx="125">
                  <c:v>999.99999999999989</c:v>
                </c:pt>
                <c:pt idx="126">
                  <c:v>999.99999999999989</c:v>
                </c:pt>
                <c:pt idx="127">
                  <c:v>999.99999999999989</c:v>
                </c:pt>
                <c:pt idx="128">
                  <c:v>999.99999999999989</c:v>
                </c:pt>
                <c:pt idx="129">
                  <c:v>999.99999999999989</c:v>
                </c:pt>
                <c:pt idx="130">
                  <c:v>999.99999999999989</c:v>
                </c:pt>
                <c:pt idx="131">
                  <c:v>999.99999999999989</c:v>
                </c:pt>
                <c:pt idx="132">
                  <c:v>999.99999999999989</c:v>
                </c:pt>
                <c:pt idx="133">
                  <c:v>999.99999999999989</c:v>
                </c:pt>
                <c:pt idx="134">
                  <c:v>999.99999999999989</c:v>
                </c:pt>
                <c:pt idx="135">
                  <c:v>999.99999999999989</c:v>
                </c:pt>
                <c:pt idx="136">
                  <c:v>999.99999999999989</c:v>
                </c:pt>
                <c:pt idx="137">
                  <c:v>999.99999999999989</c:v>
                </c:pt>
                <c:pt idx="138">
                  <c:v>999.99999999999989</c:v>
                </c:pt>
                <c:pt idx="139">
                  <c:v>999.99999999999989</c:v>
                </c:pt>
                <c:pt idx="140">
                  <c:v>999.99999999999989</c:v>
                </c:pt>
                <c:pt idx="141">
                  <c:v>999.99999999999989</c:v>
                </c:pt>
                <c:pt idx="142">
                  <c:v>999.99999999999989</c:v>
                </c:pt>
                <c:pt idx="143">
                  <c:v>999.99999999999989</c:v>
                </c:pt>
                <c:pt idx="144">
                  <c:v>999.99999999999989</c:v>
                </c:pt>
                <c:pt idx="145">
                  <c:v>999.99999999999989</c:v>
                </c:pt>
                <c:pt idx="146">
                  <c:v>999.99999999999989</c:v>
                </c:pt>
                <c:pt idx="147">
                  <c:v>999.99999999999989</c:v>
                </c:pt>
                <c:pt idx="148">
                  <c:v>999.99999999999989</c:v>
                </c:pt>
                <c:pt idx="149">
                  <c:v>999.99999999999989</c:v>
                </c:pt>
                <c:pt idx="150">
                  <c:v>999.99999999999989</c:v>
                </c:pt>
                <c:pt idx="151">
                  <c:v>999.99999999999989</c:v>
                </c:pt>
                <c:pt idx="152">
                  <c:v>999.99999999999989</c:v>
                </c:pt>
                <c:pt idx="153">
                  <c:v>999.99999999999989</c:v>
                </c:pt>
                <c:pt idx="154">
                  <c:v>999.99999999999989</c:v>
                </c:pt>
                <c:pt idx="155">
                  <c:v>999.99999999999989</c:v>
                </c:pt>
                <c:pt idx="156">
                  <c:v>999.99999999999989</c:v>
                </c:pt>
                <c:pt idx="157">
                  <c:v>999.99999999999989</c:v>
                </c:pt>
                <c:pt idx="158">
                  <c:v>999.99999999999989</c:v>
                </c:pt>
                <c:pt idx="159">
                  <c:v>999.99999999999989</c:v>
                </c:pt>
                <c:pt idx="160">
                  <c:v>999.99999999999989</c:v>
                </c:pt>
                <c:pt idx="161">
                  <c:v>999.99999999999989</c:v>
                </c:pt>
                <c:pt idx="162">
                  <c:v>999.99999999999989</c:v>
                </c:pt>
                <c:pt idx="163">
                  <c:v>999.99999999999989</c:v>
                </c:pt>
                <c:pt idx="164">
                  <c:v>999.99999999999989</c:v>
                </c:pt>
                <c:pt idx="165">
                  <c:v>999.99999999999989</c:v>
                </c:pt>
                <c:pt idx="166">
                  <c:v>999.99999999999989</c:v>
                </c:pt>
                <c:pt idx="167">
                  <c:v>999.99999999999989</c:v>
                </c:pt>
                <c:pt idx="168">
                  <c:v>999.99999999999989</c:v>
                </c:pt>
                <c:pt idx="169">
                  <c:v>999.99999999999989</c:v>
                </c:pt>
                <c:pt idx="170">
                  <c:v>999.99999999999989</c:v>
                </c:pt>
                <c:pt idx="171">
                  <c:v>999.99999999999989</c:v>
                </c:pt>
                <c:pt idx="172">
                  <c:v>999.99999999999989</c:v>
                </c:pt>
                <c:pt idx="173">
                  <c:v>999.99999999999989</c:v>
                </c:pt>
                <c:pt idx="174">
                  <c:v>999.99999999999989</c:v>
                </c:pt>
                <c:pt idx="175">
                  <c:v>999.99999999999989</c:v>
                </c:pt>
                <c:pt idx="176">
                  <c:v>999.99999999999989</c:v>
                </c:pt>
                <c:pt idx="177">
                  <c:v>999.99999999999989</c:v>
                </c:pt>
                <c:pt idx="178">
                  <c:v>999.99999999999989</c:v>
                </c:pt>
                <c:pt idx="179">
                  <c:v>999.99999999999989</c:v>
                </c:pt>
                <c:pt idx="180">
                  <c:v>999.99999999999989</c:v>
                </c:pt>
                <c:pt idx="181">
                  <c:v>999.99999999999989</c:v>
                </c:pt>
                <c:pt idx="182">
                  <c:v>999.99999999999989</c:v>
                </c:pt>
                <c:pt idx="183">
                  <c:v>999.99999999999989</c:v>
                </c:pt>
                <c:pt idx="184">
                  <c:v>999.99999999999989</c:v>
                </c:pt>
                <c:pt idx="185">
                  <c:v>999.99999999999989</c:v>
                </c:pt>
                <c:pt idx="186">
                  <c:v>999.99999999999989</c:v>
                </c:pt>
                <c:pt idx="187">
                  <c:v>999.99999999999989</c:v>
                </c:pt>
                <c:pt idx="188">
                  <c:v>999.99999999999989</c:v>
                </c:pt>
                <c:pt idx="189">
                  <c:v>999.99999999999989</c:v>
                </c:pt>
                <c:pt idx="190">
                  <c:v>999.99999999999989</c:v>
                </c:pt>
                <c:pt idx="191">
                  <c:v>999.99999999999989</c:v>
                </c:pt>
                <c:pt idx="192">
                  <c:v>999.99999999999989</c:v>
                </c:pt>
                <c:pt idx="193">
                  <c:v>999.99999999999989</c:v>
                </c:pt>
                <c:pt idx="194">
                  <c:v>999.99999999999989</c:v>
                </c:pt>
                <c:pt idx="195">
                  <c:v>999.99999999999989</c:v>
                </c:pt>
                <c:pt idx="196">
                  <c:v>999.99999999999989</c:v>
                </c:pt>
                <c:pt idx="197">
                  <c:v>999.99999999999989</c:v>
                </c:pt>
                <c:pt idx="198">
                  <c:v>999.99999999999989</c:v>
                </c:pt>
                <c:pt idx="199">
                  <c:v>999.99999999999989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1832.0508075688774</c:v>
                </c:pt>
                <c:pt idx="1">
                  <c:v>1830.9256009974765</c:v>
                </c:pt>
                <c:pt idx="2">
                  <c:v>1829.8003944260759</c:v>
                </c:pt>
                <c:pt idx="3">
                  <c:v>1828.675187854675</c:v>
                </c:pt>
                <c:pt idx="4">
                  <c:v>1827.5499812832743</c:v>
                </c:pt>
                <c:pt idx="5">
                  <c:v>1826.4247747118734</c:v>
                </c:pt>
                <c:pt idx="6">
                  <c:v>1825.2995681404727</c:v>
                </c:pt>
                <c:pt idx="7">
                  <c:v>1824.1743615690718</c:v>
                </c:pt>
                <c:pt idx="8">
                  <c:v>1823.0491549976709</c:v>
                </c:pt>
                <c:pt idx="9">
                  <c:v>1821.9239484262703</c:v>
                </c:pt>
                <c:pt idx="10">
                  <c:v>1820.7987418548694</c:v>
                </c:pt>
                <c:pt idx="11">
                  <c:v>1819.6735352834687</c:v>
                </c:pt>
                <c:pt idx="12">
                  <c:v>1818.5483287120678</c:v>
                </c:pt>
                <c:pt idx="13">
                  <c:v>1817.4231221406671</c:v>
                </c:pt>
                <c:pt idx="14">
                  <c:v>1816.2979155692663</c:v>
                </c:pt>
                <c:pt idx="15">
                  <c:v>1815.1727089978654</c:v>
                </c:pt>
                <c:pt idx="16">
                  <c:v>1814.0475024264647</c:v>
                </c:pt>
                <c:pt idx="17">
                  <c:v>1812.9222958550638</c:v>
                </c:pt>
                <c:pt idx="18">
                  <c:v>1811.7970892836631</c:v>
                </c:pt>
                <c:pt idx="19">
                  <c:v>1810.6718827122622</c:v>
                </c:pt>
                <c:pt idx="20">
                  <c:v>1809.5466761408616</c:v>
                </c:pt>
                <c:pt idx="21">
                  <c:v>1808.4214695694607</c:v>
                </c:pt>
                <c:pt idx="22">
                  <c:v>1807.2962629980598</c:v>
                </c:pt>
                <c:pt idx="23">
                  <c:v>1806.1710564266591</c:v>
                </c:pt>
                <c:pt idx="24">
                  <c:v>1805.0458498552582</c:v>
                </c:pt>
                <c:pt idx="25">
                  <c:v>1803.9206432838575</c:v>
                </c:pt>
                <c:pt idx="26">
                  <c:v>1802.7954367124566</c:v>
                </c:pt>
                <c:pt idx="27">
                  <c:v>1801.670230141056</c:v>
                </c:pt>
                <c:pt idx="28">
                  <c:v>1800.5450235696551</c:v>
                </c:pt>
                <c:pt idx="29">
                  <c:v>1799.4198169982542</c:v>
                </c:pt>
                <c:pt idx="30">
                  <c:v>1798.2946104268535</c:v>
                </c:pt>
                <c:pt idx="31">
                  <c:v>1797.1694038554526</c:v>
                </c:pt>
                <c:pt idx="32">
                  <c:v>1796.044197284052</c:v>
                </c:pt>
                <c:pt idx="33">
                  <c:v>1794.9189907126511</c:v>
                </c:pt>
                <c:pt idx="34">
                  <c:v>1793.7937841412504</c:v>
                </c:pt>
                <c:pt idx="35">
                  <c:v>1792.6685775698495</c:v>
                </c:pt>
                <c:pt idx="36">
                  <c:v>1791.5433709984486</c:v>
                </c:pt>
                <c:pt idx="37">
                  <c:v>1790.4181644270479</c:v>
                </c:pt>
                <c:pt idx="38">
                  <c:v>1789.292957855647</c:v>
                </c:pt>
                <c:pt idx="39">
                  <c:v>1788.1677512842464</c:v>
                </c:pt>
                <c:pt idx="40">
                  <c:v>1787.0425447128455</c:v>
                </c:pt>
                <c:pt idx="41">
                  <c:v>1785.9173381414448</c:v>
                </c:pt>
                <c:pt idx="42">
                  <c:v>1784.7921315700439</c:v>
                </c:pt>
                <c:pt idx="43">
                  <c:v>1783.666924998643</c:v>
                </c:pt>
                <c:pt idx="44">
                  <c:v>1782.5417184272424</c:v>
                </c:pt>
                <c:pt idx="45">
                  <c:v>1781.4165118558415</c:v>
                </c:pt>
                <c:pt idx="46">
                  <c:v>1780.2913052844408</c:v>
                </c:pt>
                <c:pt idx="47">
                  <c:v>1779.1660987130399</c:v>
                </c:pt>
                <c:pt idx="48">
                  <c:v>1778.0408921416392</c:v>
                </c:pt>
                <c:pt idx="49">
                  <c:v>1776.9156855702383</c:v>
                </c:pt>
                <c:pt idx="50">
                  <c:v>1775.7904789988374</c:v>
                </c:pt>
                <c:pt idx="51">
                  <c:v>1774.6652724274368</c:v>
                </c:pt>
                <c:pt idx="52">
                  <c:v>1773.5400658560359</c:v>
                </c:pt>
                <c:pt idx="53">
                  <c:v>1772.4148592846352</c:v>
                </c:pt>
                <c:pt idx="54">
                  <c:v>1771.2896527132343</c:v>
                </c:pt>
                <c:pt idx="55">
                  <c:v>1770.1644461418337</c:v>
                </c:pt>
                <c:pt idx="56">
                  <c:v>1769.0392395704328</c:v>
                </c:pt>
                <c:pt idx="57">
                  <c:v>1767.9140329990319</c:v>
                </c:pt>
                <c:pt idx="58">
                  <c:v>1766.7888264276312</c:v>
                </c:pt>
                <c:pt idx="59">
                  <c:v>1765.6636198562303</c:v>
                </c:pt>
                <c:pt idx="60">
                  <c:v>1764.5384132848296</c:v>
                </c:pt>
                <c:pt idx="61">
                  <c:v>1763.4132067134287</c:v>
                </c:pt>
                <c:pt idx="62">
                  <c:v>1762.2880001420281</c:v>
                </c:pt>
                <c:pt idx="63">
                  <c:v>1761.1627935706272</c:v>
                </c:pt>
                <c:pt idx="64">
                  <c:v>1760.0375869992263</c:v>
                </c:pt>
                <c:pt idx="65">
                  <c:v>1758.9123804278256</c:v>
                </c:pt>
                <c:pt idx="66">
                  <c:v>1757.7871738564247</c:v>
                </c:pt>
                <c:pt idx="67">
                  <c:v>1756.661967285024</c:v>
                </c:pt>
                <c:pt idx="68">
                  <c:v>1755.5367607136232</c:v>
                </c:pt>
                <c:pt idx="69">
                  <c:v>1754.4115541422225</c:v>
                </c:pt>
                <c:pt idx="70">
                  <c:v>1753.2863475708216</c:v>
                </c:pt>
                <c:pt idx="71">
                  <c:v>1752.1611409994207</c:v>
                </c:pt>
                <c:pt idx="72">
                  <c:v>1751.03593442802</c:v>
                </c:pt>
                <c:pt idx="73">
                  <c:v>1749.9107278566191</c:v>
                </c:pt>
                <c:pt idx="74">
                  <c:v>1748.7855212852185</c:v>
                </c:pt>
                <c:pt idx="75">
                  <c:v>1747.6603147138176</c:v>
                </c:pt>
                <c:pt idx="76">
                  <c:v>1746.5351081424169</c:v>
                </c:pt>
                <c:pt idx="77">
                  <c:v>1745.409901571016</c:v>
                </c:pt>
                <c:pt idx="78">
                  <c:v>1744.2846949996151</c:v>
                </c:pt>
                <c:pt idx="79">
                  <c:v>1743.1594884282144</c:v>
                </c:pt>
                <c:pt idx="80">
                  <c:v>1742.0342818568135</c:v>
                </c:pt>
                <c:pt idx="81">
                  <c:v>1740.9090752854129</c:v>
                </c:pt>
                <c:pt idx="82">
                  <c:v>1739.783868714012</c:v>
                </c:pt>
                <c:pt idx="83">
                  <c:v>1738.6586621426113</c:v>
                </c:pt>
                <c:pt idx="84">
                  <c:v>1737.5334555712104</c:v>
                </c:pt>
                <c:pt idx="85">
                  <c:v>1736.4082489998095</c:v>
                </c:pt>
                <c:pt idx="86">
                  <c:v>1735.2830424284089</c:v>
                </c:pt>
                <c:pt idx="87">
                  <c:v>1734.157835857008</c:v>
                </c:pt>
                <c:pt idx="88">
                  <c:v>1733.0326292856073</c:v>
                </c:pt>
                <c:pt idx="89">
                  <c:v>1731.9074227142064</c:v>
                </c:pt>
                <c:pt idx="90">
                  <c:v>1730.7822161428057</c:v>
                </c:pt>
                <c:pt idx="91">
                  <c:v>1729.6570095714048</c:v>
                </c:pt>
                <c:pt idx="92">
                  <c:v>1728.5318030000039</c:v>
                </c:pt>
                <c:pt idx="93">
                  <c:v>1727.4065964286033</c:v>
                </c:pt>
                <c:pt idx="94">
                  <c:v>1726.2813898572024</c:v>
                </c:pt>
                <c:pt idx="95">
                  <c:v>1725.1561832858017</c:v>
                </c:pt>
                <c:pt idx="96">
                  <c:v>1724.0309767144008</c:v>
                </c:pt>
                <c:pt idx="97">
                  <c:v>1722.9057701430002</c:v>
                </c:pt>
                <c:pt idx="98">
                  <c:v>1721.7805635715993</c:v>
                </c:pt>
                <c:pt idx="99">
                  <c:v>1720.6553570001986</c:v>
                </c:pt>
                <c:pt idx="100">
                  <c:v>1719.5301504287977</c:v>
                </c:pt>
                <c:pt idx="101">
                  <c:v>1718.4049438573968</c:v>
                </c:pt>
                <c:pt idx="102">
                  <c:v>1717.2797372859961</c:v>
                </c:pt>
                <c:pt idx="103">
                  <c:v>1716.1545307145952</c:v>
                </c:pt>
                <c:pt idx="104">
                  <c:v>1715.0293241431946</c:v>
                </c:pt>
                <c:pt idx="105">
                  <c:v>1713.9041175717937</c:v>
                </c:pt>
                <c:pt idx="106">
                  <c:v>1712.778911000393</c:v>
                </c:pt>
                <c:pt idx="107">
                  <c:v>1711.6537044289921</c:v>
                </c:pt>
                <c:pt idx="108">
                  <c:v>1710.5284978575912</c:v>
                </c:pt>
                <c:pt idx="109">
                  <c:v>1709.4032912861906</c:v>
                </c:pt>
                <c:pt idx="110">
                  <c:v>1708.2780847147897</c:v>
                </c:pt>
                <c:pt idx="111">
                  <c:v>1707.152878143389</c:v>
                </c:pt>
                <c:pt idx="112">
                  <c:v>1706.0276715719881</c:v>
                </c:pt>
                <c:pt idx="113">
                  <c:v>1704.9024650005874</c:v>
                </c:pt>
                <c:pt idx="114">
                  <c:v>1703.7772584291865</c:v>
                </c:pt>
                <c:pt idx="115">
                  <c:v>1702.6520518577856</c:v>
                </c:pt>
                <c:pt idx="116">
                  <c:v>1701.526845286385</c:v>
                </c:pt>
                <c:pt idx="117">
                  <c:v>1700.4016387149841</c:v>
                </c:pt>
                <c:pt idx="118">
                  <c:v>1699.2764321435834</c:v>
                </c:pt>
                <c:pt idx="119">
                  <c:v>1698.1512255721825</c:v>
                </c:pt>
                <c:pt idx="120">
                  <c:v>1697.0260190007816</c:v>
                </c:pt>
                <c:pt idx="121">
                  <c:v>1695.9008124293809</c:v>
                </c:pt>
                <c:pt idx="122">
                  <c:v>1694.7756058579801</c:v>
                </c:pt>
                <c:pt idx="123">
                  <c:v>1693.6503992865794</c:v>
                </c:pt>
                <c:pt idx="124">
                  <c:v>1692.5251927151785</c:v>
                </c:pt>
                <c:pt idx="125">
                  <c:v>1691.3999861437778</c:v>
                </c:pt>
                <c:pt idx="126">
                  <c:v>1690.2747795723769</c:v>
                </c:pt>
                <c:pt idx="127">
                  <c:v>1689.1495730009763</c:v>
                </c:pt>
                <c:pt idx="128">
                  <c:v>1688.0243664295754</c:v>
                </c:pt>
                <c:pt idx="129">
                  <c:v>1686.8991598581745</c:v>
                </c:pt>
                <c:pt idx="130">
                  <c:v>1685.7739532867738</c:v>
                </c:pt>
                <c:pt idx="131">
                  <c:v>1684.6487467153729</c:v>
                </c:pt>
                <c:pt idx="132">
                  <c:v>1683.5235401439722</c:v>
                </c:pt>
                <c:pt idx="133">
                  <c:v>1682.3983335725713</c:v>
                </c:pt>
                <c:pt idx="134">
                  <c:v>1681.2731270011707</c:v>
                </c:pt>
                <c:pt idx="135">
                  <c:v>1680.1479204297698</c:v>
                </c:pt>
                <c:pt idx="136">
                  <c:v>1679.0227138583691</c:v>
                </c:pt>
                <c:pt idx="137">
                  <c:v>1677.8975072869682</c:v>
                </c:pt>
                <c:pt idx="138">
                  <c:v>1676.7723007155673</c:v>
                </c:pt>
                <c:pt idx="139">
                  <c:v>1675.6470941441667</c:v>
                </c:pt>
                <c:pt idx="140">
                  <c:v>1674.5218875727658</c:v>
                </c:pt>
                <c:pt idx="141">
                  <c:v>1673.3966810013651</c:v>
                </c:pt>
                <c:pt idx="142">
                  <c:v>1672.2714744299642</c:v>
                </c:pt>
                <c:pt idx="143">
                  <c:v>1671.1462678585635</c:v>
                </c:pt>
                <c:pt idx="144">
                  <c:v>1670.0210612871626</c:v>
                </c:pt>
                <c:pt idx="145">
                  <c:v>1668.8958547157617</c:v>
                </c:pt>
                <c:pt idx="146">
                  <c:v>1667.7706481443611</c:v>
                </c:pt>
                <c:pt idx="147">
                  <c:v>1666.6454415729602</c:v>
                </c:pt>
                <c:pt idx="148">
                  <c:v>1665.5202350015595</c:v>
                </c:pt>
                <c:pt idx="149">
                  <c:v>1664.3950284301586</c:v>
                </c:pt>
                <c:pt idx="150">
                  <c:v>1663.269821858758</c:v>
                </c:pt>
                <c:pt idx="151">
                  <c:v>1662.1446152873571</c:v>
                </c:pt>
                <c:pt idx="152">
                  <c:v>1661.0194087159562</c:v>
                </c:pt>
                <c:pt idx="153">
                  <c:v>1659.8942021445555</c:v>
                </c:pt>
                <c:pt idx="154">
                  <c:v>1658.7689955731546</c:v>
                </c:pt>
                <c:pt idx="155">
                  <c:v>1657.6437890017539</c:v>
                </c:pt>
                <c:pt idx="156">
                  <c:v>1656.518582430353</c:v>
                </c:pt>
                <c:pt idx="157">
                  <c:v>1655.3933758589524</c:v>
                </c:pt>
                <c:pt idx="158">
                  <c:v>1654.2681692875515</c:v>
                </c:pt>
                <c:pt idx="159">
                  <c:v>1653.1429627161506</c:v>
                </c:pt>
                <c:pt idx="160">
                  <c:v>1652.0177561447499</c:v>
                </c:pt>
                <c:pt idx="161">
                  <c:v>1650.892549573349</c:v>
                </c:pt>
                <c:pt idx="162">
                  <c:v>1649.7673430019483</c:v>
                </c:pt>
                <c:pt idx="163">
                  <c:v>1648.6421364305475</c:v>
                </c:pt>
                <c:pt idx="164">
                  <c:v>1647.5169298591468</c:v>
                </c:pt>
                <c:pt idx="165">
                  <c:v>1646.3917232877459</c:v>
                </c:pt>
                <c:pt idx="166">
                  <c:v>1645.266516716345</c:v>
                </c:pt>
                <c:pt idx="167">
                  <c:v>1644.1413101449443</c:v>
                </c:pt>
                <c:pt idx="168">
                  <c:v>1643.0161035735434</c:v>
                </c:pt>
                <c:pt idx="169">
                  <c:v>1641.8908970021428</c:v>
                </c:pt>
                <c:pt idx="170">
                  <c:v>1640.7656904307419</c:v>
                </c:pt>
                <c:pt idx="171">
                  <c:v>1639.6404838593412</c:v>
                </c:pt>
                <c:pt idx="172">
                  <c:v>1638.5152772879403</c:v>
                </c:pt>
                <c:pt idx="173">
                  <c:v>1637.3900707165394</c:v>
                </c:pt>
                <c:pt idx="174">
                  <c:v>1636.2648641451387</c:v>
                </c:pt>
                <c:pt idx="175">
                  <c:v>1635.1396575737378</c:v>
                </c:pt>
                <c:pt idx="176">
                  <c:v>1634.0144510023372</c:v>
                </c:pt>
                <c:pt idx="177">
                  <c:v>1632.8892444309363</c:v>
                </c:pt>
                <c:pt idx="178">
                  <c:v>1631.7640378595356</c:v>
                </c:pt>
                <c:pt idx="179">
                  <c:v>1630.6388312881347</c:v>
                </c:pt>
                <c:pt idx="180">
                  <c:v>1629.5136247167338</c:v>
                </c:pt>
                <c:pt idx="181">
                  <c:v>1628.3884181453332</c:v>
                </c:pt>
                <c:pt idx="182">
                  <c:v>1627.2632115739323</c:v>
                </c:pt>
                <c:pt idx="183">
                  <c:v>1626.1380050025316</c:v>
                </c:pt>
                <c:pt idx="184">
                  <c:v>1625.0127984311307</c:v>
                </c:pt>
                <c:pt idx="185">
                  <c:v>1623.88759185973</c:v>
                </c:pt>
                <c:pt idx="186">
                  <c:v>1622.7623852883291</c:v>
                </c:pt>
                <c:pt idx="187">
                  <c:v>1621.6371787169282</c:v>
                </c:pt>
                <c:pt idx="188">
                  <c:v>1620.5119721455276</c:v>
                </c:pt>
                <c:pt idx="189">
                  <c:v>1619.3867655741267</c:v>
                </c:pt>
                <c:pt idx="190">
                  <c:v>1618.261559002726</c:v>
                </c:pt>
                <c:pt idx="191">
                  <c:v>1617.1363524313251</c:v>
                </c:pt>
                <c:pt idx="192">
                  <c:v>1616.0111458599245</c:v>
                </c:pt>
                <c:pt idx="193">
                  <c:v>1614.8859392885236</c:v>
                </c:pt>
                <c:pt idx="194">
                  <c:v>1613.7607327171227</c:v>
                </c:pt>
                <c:pt idx="195">
                  <c:v>1612.635526145722</c:v>
                </c:pt>
                <c:pt idx="196">
                  <c:v>1611.5103195743211</c:v>
                </c:pt>
                <c:pt idx="197">
                  <c:v>1610.3851130029204</c:v>
                </c:pt>
                <c:pt idx="198">
                  <c:v>1609.2599064315195</c:v>
                </c:pt>
                <c:pt idx="199">
                  <c:v>1608.1346998601189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in val="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291</xdr:row>
          <xdr:rowOff>127000</xdr:rowOff>
        </xdr:from>
        <xdr:to>
          <xdr:col>26</xdr:col>
          <xdr:colOff>0</xdr:colOff>
          <xdr:row>345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64FE5FD-0960-61CF-74BD-A9CB051F476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6" spid="_x0000_s914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2000" y="50045620"/>
              <a:ext cx="3596640" cy="89255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309</xdr:row>
          <xdr:rowOff>123190</xdr:rowOff>
        </xdr:from>
        <xdr:to>
          <xdr:col>25</xdr:col>
          <xdr:colOff>226060</xdr:colOff>
          <xdr:row>363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EA38C59D-649D-192D-9A34-4263BC6B39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8" spid="_x0000_s9143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4572000" y="53059330"/>
              <a:ext cx="3594100" cy="892937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17</xdr:col>
      <xdr:colOff>601980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E368"/>
  <sheetViews>
    <sheetView tabSelected="1" workbookViewId="0">
      <pane ySplit="9" topLeftCell="A358" activePane="bottomLeft" state="frozen"/>
      <selection pane="bottomLeft" activeCell="J367" sqref="J367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4" t="str" cm="1">
        <f t="array" ref="Q9:Z9">_nHd</f>
        <v>Excel Drill</v>
      </c>
      <c r="R9" s="24" t="str">
        <v>Meds</v>
      </c>
      <c r="S9" s="24" t="str">
        <v>Weight Lift</v>
      </c>
      <c r="T9" s="24" t="str">
        <v>Walk</v>
      </c>
      <c r="U9" s="24" t="str">
        <v>German Grammar</v>
      </c>
      <c r="V9" s="24" t="str">
        <v>German Vocab</v>
      </c>
      <c r="W9" s="24" t="str">
        <v>German Story Audio</v>
      </c>
      <c r="X9" s="24" t="str">
        <v>German Story Reading</v>
      </c>
      <c r="Y9" s="25" t="str">
        <v>Dynamic Drill</v>
      </c>
      <c r="Z9" s="25" t="str">
        <v>CSS Drill</v>
      </c>
    </row>
    <row r="10" spans="1:28" ht="13.8" thickTop="1" x14ac:dyDescent="0.25">
      <c r="B10" s="11" t="str" cm="1">
        <f t="array" aca="1" ref="B10:B363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363">_xlfn.BYROW(_xlfn.DROP(Banded,,1),_xleta.SUM)</f>
        <v>0</v>
      </c>
      <c r="P10" s="7" cm="1">
        <f t="array" aca="1" ref="P10:Z58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363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7</v>
      </c>
      <c r="R49" s="5">
        <f ca="1"/>
        <v>7</v>
      </c>
      <c r="S49" s="5">
        <f ca="1"/>
        <v>4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  <c r="Y49" s="5">
        <f ca="1"/>
        <v>7</v>
      </c>
      <c r="Z49" s="5">
        <f ca="1"/>
        <v>7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  <c r="P50" s="7">
        <f ca="1"/>
        <v>43</v>
      </c>
      <c r="Q50" s="5">
        <f ca="1"/>
        <v>7</v>
      </c>
      <c r="R50" s="5">
        <f ca="1"/>
        <v>7</v>
      </c>
      <c r="S50" s="5">
        <f ca="1"/>
        <v>4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  <c r="Y50" s="5">
        <f ca="1"/>
        <v>7</v>
      </c>
      <c r="Z50" s="5">
        <f ca="1"/>
        <v>7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  <c r="P51" s="7">
        <f ca="1"/>
        <v>44</v>
      </c>
      <c r="Q51" s="5">
        <f ca="1"/>
        <v>7</v>
      </c>
      <c r="R51" s="5">
        <f ca="1"/>
        <v>7</v>
      </c>
      <c r="S51" s="5">
        <f ca="1"/>
        <v>6</v>
      </c>
      <c r="T51" s="5">
        <f ca="1"/>
        <v>7</v>
      </c>
      <c r="U51" s="5">
        <f ca="1"/>
        <v>7</v>
      </c>
      <c r="V51" s="5">
        <f ca="1"/>
        <v>7</v>
      </c>
      <c r="W51" s="5">
        <f ca="1"/>
        <v>7</v>
      </c>
      <c r="X51" s="5">
        <f ca="1"/>
        <v>7</v>
      </c>
      <c r="Y51" s="5">
        <f ca="1"/>
        <v>7</v>
      </c>
      <c r="Z51" s="5">
        <f ca="1"/>
        <v>7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  <c r="P52" s="7">
        <f ca="1"/>
        <v>45</v>
      </c>
      <c r="Q52" s="5">
        <f ca="1"/>
        <v>7</v>
      </c>
      <c r="R52" s="5">
        <f ca="1"/>
        <v>7</v>
      </c>
      <c r="S52" s="5">
        <f ca="1"/>
        <v>4</v>
      </c>
      <c r="T52" s="5">
        <f ca="1"/>
        <v>7</v>
      </c>
      <c r="U52" s="5">
        <f ca="1"/>
        <v>7</v>
      </c>
      <c r="V52" s="5">
        <f ca="1"/>
        <v>7</v>
      </c>
      <c r="W52" s="5">
        <f ca="1"/>
        <v>7</v>
      </c>
      <c r="X52" s="5">
        <f ca="1"/>
        <v>7</v>
      </c>
      <c r="Y52" s="5">
        <f ca="1"/>
        <v>7</v>
      </c>
      <c r="Z52" s="5">
        <f ca="1"/>
        <v>7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  <c r="P53" s="7">
        <f ca="1"/>
        <v>46</v>
      </c>
      <c r="Q53" s="5">
        <f ca="1"/>
        <v>7</v>
      </c>
      <c r="R53" s="5">
        <f ca="1"/>
        <v>7</v>
      </c>
      <c r="S53" s="5">
        <f ca="1"/>
        <v>4</v>
      </c>
      <c r="T53" s="5">
        <f ca="1"/>
        <v>7</v>
      </c>
      <c r="U53" s="5">
        <f ca="1"/>
        <v>7</v>
      </c>
      <c r="V53" s="5">
        <f ca="1"/>
        <v>7</v>
      </c>
      <c r="W53" s="5">
        <f ca="1"/>
        <v>7</v>
      </c>
      <c r="X53" s="5">
        <f ca="1"/>
        <v>7</v>
      </c>
      <c r="Y53" s="5">
        <f ca="1"/>
        <v>7</v>
      </c>
      <c r="Z53" s="5">
        <f ca="1"/>
        <v>7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  <c r="P54" s="7">
        <f ca="1"/>
        <v>47</v>
      </c>
      <c r="Q54" s="5">
        <f ca="1"/>
        <v>7</v>
      </c>
      <c r="R54" s="5">
        <f ca="1"/>
        <v>7</v>
      </c>
      <c r="S54" s="5">
        <f ca="1"/>
        <v>2</v>
      </c>
      <c r="T54" s="5">
        <f ca="1"/>
        <v>6</v>
      </c>
      <c r="U54" s="5">
        <f ca="1"/>
        <v>7</v>
      </c>
      <c r="V54" s="5">
        <f ca="1"/>
        <v>7</v>
      </c>
      <c r="W54" s="5">
        <f ca="1"/>
        <v>7</v>
      </c>
      <c r="X54" s="5">
        <f ca="1"/>
        <v>7</v>
      </c>
      <c r="Y54" s="5">
        <f ca="1"/>
        <v>7</v>
      </c>
      <c r="Z54" s="5">
        <f ca="1"/>
        <v>7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  <c r="P55" s="7">
        <f ca="1"/>
        <v>48</v>
      </c>
      <c r="Q55" s="5">
        <f ca="1"/>
        <v>7</v>
      </c>
      <c r="R55" s="5">
        <f ca="1"/>
        <v>7</v>
      </c>
      <c r="S55" s="5">
        <f ca="1"/>
        <v>4</v>
      </c>
      <c r="T55" s="5">
        <f ca="1"/>
        <v>4</v>
      </c>
      <c r="U55" s="5">
        <f ca="1"/>
        <v>7</v>
      </c>
      <c r="V55" s="5">
        <f ca="1"/>
        <v>7</v>
      </c>
      <c r="W55" s="5">
        <f ca="1"/>
        <v>7</v>
      </c>
      <c r="X55" s="5">
        <f ca="1"/>
        <v>7</v>
      </c>
      <c r="Y55" s="5">
        <f ca="1"/>
        <v>7</v>
      </c>
      <c r="Z55">
        <f ca="1"/>
        <v>7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  <c r="P56" s="7">
        <f ca="1"/>
        <v>49</v>
      </c>
      <c r="Q56" s="5">
        <f ca="1"/>
        <v>7</v>
      </c>
      <c r="R56" s="5">
        <f ca="1"/>
        <v>7</v>
      </c>
      <c r="S56" s="5">
        <f ca="1"/>
        <v>3</v>
      </c>
      <c r="T56" s="5">
        <f ca="1"/>
        <v>7</v>
      </c>
      <c r="U56" s="5">
        <f ca="1"/>
        <v>7</v>
      </c>
      <c r="V56" s="5">
        <f ca="1"/>
        <v>7</v>
      </c>
      <c r="W56" s="5">
        <f ca="1"/>
        <v>7</v>
      </c>
      <c r="X56" s="5">
        <f ca="1"/>
        <v>7</v>
      </c>
      <c r="Y56" s="5">
        <f ca="1"/>
        <v>7</v>
      </c>
      <c r="Z56">
        <f ca="1"/>
        <v>7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  <c r="P57" s="7">
        <f ca="1"/>
        <v>50</v>
      </c>
      <c r="Q57" s="5">
        <f ca="1"/>
        <v>7</v>
      </c>
      <c r="R57" s="5">
        <f ca="1"/>
        <v>7</v>
      </c>
      <c r="S57" s="5">
        <f ca="1"/>
        <v>4</v>
      </c>
      <c r="T57" s="5">
        <f ca="1"/>
        <v>7</v>
      </c>
      <c r="U57" s="5">
        <f ca="1"/>
        <v>7</v>
      </c>
      <c r="V57" s="5">
        <f ca="1"/>
        <v>7</v>
      </c>
      <c r="W57" s="5">
        <f ca="1"/>
        <v>7</v>
      </c>
      <c r="X57" s="5">
        <f ca="1"/>
        <v>7</v>
      </c>
      <c r="Y57" s="5">
        <f ca="1"/>
        <v>7</v>
      </c>
      <c r="Z57">
        <f ca="1"/>
        <v>7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  <c r="P58" s="7">
        <f ca="1"/>
        <v>51</v>
      </c>
      <c r="Q58" s="5">
        <f ca="1"/>
        <v>7</v>
      </c>
      <c r="R58" s="5">
        <f ca="1"/>
        <v>7</v>
      </c>
      <c r="S58" s="5">
        <f ca="1"/>
        <v>4</v>
      </c>
      <c r="T58" s="5">
        <f ca="1"/>
        <v>7</v>
      </c>
      <c r="U58" s="5">
        <f ca="1"/>
        <v>7</v>
      </c>
      <c r="V58" s="5">
        <f ca="1"/>
        <v>7</v>
      </c>
      <c r="W58" s="5">
        <f ca="1"/>
        <v>7</v>
      </c>
      <c r="X58" s="5">
        <f ca="1"/>
        <v>7</v>
      </c>
      <c r="Y58" s="5">
        <f ca="1"/>
        <v>7</v>
      </c>
      <c r="Z58">
        <f ca="1"/>
        <v>7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4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4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4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4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4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4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4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4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4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4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 s="16">
        <v>1</v>
      </c>
      <c r="M298">
        <f ca="1"/>
        <v>42</v>
      </c>
      <c r="N298">
        <v>10</v>
      </c>
    </row>
    <row r="299" spans="2:14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 s="16">
        <v>1</v>
      </c>
      <c r="M299">
        <f ca="1"/>
        <v>42</v>
      </c>
      <c r="N299">
        <v>9</v>
      </c>
    </row>
    <row r="300" spans="2:14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 s="16">
        <v>1</v>
      </c>
      <c r="M300">
        <f ca="1"/>
        <v>42</v>
      </c>
      <c r="N300">
        <v>10</v>
      </c>
    </row>
    <row r="301" spans="2:14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 s="16">
        <v>1</v>
      </c>
      <c r="M301">
        <f ca="1"/>
        <v>43</v>
      </c>
      <c r="N301">
        <v>10</v>
      </c>
    </row>
    <row r="302" spans="2:14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 s="16">
        <v>1</v>
      </c>
      <c r="M302">
        <f ca="1"/>
        <v>43</v>
      </c>
      <c r="N302">
        <v>10</v>
      </c>
    </row>
    <row r="303" spans="2:14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 s="16">
        <v>1</v>
      </c>
      <c r="M303">
        <f ca="1"/>
        <v>43</v>
      </c>
      <c r="N303">
        <v>9</v>
      </c>
    </row>
    <row r="304" spans="2:14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 s="16">
        <v>1</v>
      </c>
      <c r="M304">
        <f ca="1"/>
        <v>43</v>
      </c>
      <c r="N304">
        <v>10</v>
      </c>
    </row>
    <row r="305" spans="2:14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 s="16">
        <v>1</v>
      </c>
      <c r="M305">
        <f ca="1"/>
        <v>43</v>
      </c>
      <c r="N305">
        <v>9</v>
      </c>
    </row>
    <row r="306" spans="2:14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 s="16">
        <v>1</v>
      </c>
      <c r="M306">
        <f ca="1"/>
        <v>43</v>
      </c>
      <c r="N306">
        <v>9</v>
      </c>
    </row>
    <row r="307" spans="2:14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 s="16">
        <v>1</v>
      </c>
      <c r="M307">
        <f ca="1"/>
        <v>43</v>
      </c>
      <c r="N307">
        <v>10</v>
      </c>
    </row>
    <row r="308" spans="2:14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 s="16">
        <v>1</v>
      </c>
      <c r="M308">
        <f ca="1"/>
        <v>44</v>
      </c>
      <c r="N308">
        <v>9</v>
      </c>
    </row>
    <row r="309" spans="2:14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 s="16">
        <v>1</v>
      </c>
      <c r="M309">
        <f ca="1"/>
        <v>44</v>
      </c>
      <c r="N309">
        <v>10</v>
      </c>
    </row>
    <row r="310" spans="2:14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 s="16">
        <v>1</v>
      </c>
      <c r="M310">
        <f ca="1"/>
        <v>44</v>
      </c>
      <c r="N310">
        <v>10</v>
      </c>
    </row>
    <row r="311" spans="2:14" x14ac:dyDescent="0.25">
      <c r="B311" s="15" t="str">
        <f ca="1"/>
        <v>29-Oct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 s="16">
        <v>1</v>
      </c>
      <c r="M311">
        <f ca="1"/>
        <v>44</v>
      </c>
      <c r="N311">
        <v>10</v>
      </c>
    </row>
    <row r="312" spans="2:14" x14ac:dyDescent="0.25">
      <c r="B312" s="15" t="str">
        <f ca="1"/>
        <v>30-Oct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 s="16">
        <v>1</v>
      </c>
      <c r="M312">
        <f ca="1"/>
        <v>44</v>
      </c>
      <c r="N312">
        <v>10</v>
      </c>
    </row>
    <row r="313" spans="2:14" x14ac:dyDescent="0.25">
      <c r="B313" s="15" t="str">
        <f ca="1"/>
        <v>31-Oct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 s="16">
        <v>1</v>
      </c>
      <c r="M313">
        <f ca="1"/>
        <v>44</v>
      </c>
      <c r="N313">
        <v>10</v>
      </c>
    </row>
    <row r="314" spans="2:14" x14ac:dyDescent="0.25">
      <c r="B314" s="15" t="str">
        <f ca="1"/>
        <v>01-Nov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 s="16">
        <v>1</v>
      </c>
      <c r="M314">
        <f ca="1"/>
        <v>44</v>
      </c>
      <c r="N314">
        <v>10</v>
      </c>
    </row>
    <row r="315" spans="2:14" x14ac:dyDescent="0.25">
      <c r="B315" s="15" t="str">
        <f ca="1"/>
        <v>02-Nov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 s="16">
        <v>1</v>
      </c>
      <c r="M315">
        <f ca="1"/>
        <v>45</v>
      </c>
      <c r="N315">
        <v>10</v>
      </c>
    </row>
    <row r="316" spans="2:14" x14ac:dyDescent="0.25">
      <c r="B316" s="15" t="str">
        <f ca="1"/>
        <v>03-Nov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 s="16">
        <v>1</v>
      </c>
      <c r="M316">
        <f ca="1"/>
        <v>45</v>
      </c>
      <c r="N316">
        <v>10</v>
      </c>
    </row>
    <row r="317" spans="2:14" x14ac:dyDescent="0.25">
      <c r="B317" s="15" t="str">
        <f ca="1"/>
        <v>04-Nov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 s="16">
        <v>1</v>
      </c>
      <c r="M317">
        <f ca="1"/>
        <v>45</v>
      </c>
      <c r="N317">
        <v>9</v>
      </c>
    </row>
    <row r="318" spans="2:14" x14ac:dyDescent="0.25">
      <c r="B318" s="15" t="str">
        <f ca="1"/>
        <v>05-Nov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 s="16">
        <v>1</v>
      </c>
      <c r="M318">
        <f ca="1"/>
        <v>45</v>
      </c>
      <c r="N318">
        <v>10</v>
      </c>
    </row>
    <row r="319" spans="2:14" x14ac:dyDescent="0.25">
      <c r="B319" s="15" t="str">
        <f ca="1"/>
        <v>06-Nov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 s="16">
        <v>1</v>
      </c>
      <c r="M319">
        <f ca="1"/>
        <v>45</v>
      </c>
      <c r="N319">
        <v>10</v>
      </c>
    </row>
    <row r="320" spans="2:14" x14ac:dyDescent="0.25">
      <c r="B320" s="15" t="str">
        <f ca="1"/>
        <v>07-Nov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 s="16">
        <v>1</v>
      </c>
      <c r="M320">
        <f ca="1"/>
        <v>45</v>
      </c>
      <c r="N320">
        <v>9</v>
      </c>
    </row>
    <row r="321" spans="2:14" x14ac:dyDescent="0.25">
      <c r="B321" s="15" t="str">
        <f ca="1"/>
        <v>08-Nov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 s="16">
        <v>1</v>
      </c>
      <c r="M321">
        <f ca="1"/>
        <v>45</v>
      </c>
      <c r="N321">
        <v>9</v>
      </c>
    </row>
    <row r="322" spans="2:14" x14ac:dyDescent="0.25">
      <c r="B322" s="15" t="str">
        <f ca="1"/>
        <v>09-Nov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 s="16">
        <v>1</v>
      </c>
      <c r="M322">
        <f ca="1"/>
        <v>46</v>
      </c>
      <c r="N322">
        <v>10</v>
      </c>
    </row>
    <row r="323" spans="2:14" x14ac:dyDescent="0.25">
      <c r="B323" s="15" t="str">
        <f ca="1"/>
        <v>10-Nov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 s="16">
        <v>1</v>
      </c>
      <c r="M323">
        <f ca="1"/>
        <v>46</v>
      </c>
      <c r="N323">
        <v>9</v>
      </c>
    </row>
    <row r="324" spans="2:14" x14ac:dyDescent="0.25">
      <c r="B324" s="15" t="str">
        <f ca="1"/>
        <v>11-Nov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 s="16">
        <v>1</v>
      </c>
      <c r="M324">
        <f ca="1"/>
        <v>46</v>
      </c>
      <c r="N324">
        <v>10</v>
      </c>
    </row>
    <row r="325" spans="2:14" x14ac:dyDescent="0.25">
      <c r="B325" s="15" t="str">
        <f ca="1"/>
        <v>12-Nov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 s="16">
        <v>1</v>
      </c>
      <c r="M325">
        <f ca="1"/>
        <v>46</v>
      </c>
      <c r="N325">
        <v>9</v>
      </c>
    </row>
    <row r="326" spans="2:14" x14ac:dyDescent="0.25">
      <c r="B326" s="15" t="str">
        <f ca="1"/>
        <v>13-Nov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 s="16">
        <v>1</v>
      </c>
      <c r="M326">
        <f ca="1"/>
        <v>46</v>
      </c>
      <c r="N326">
        <v>10</v>
      </c>
    </row>
    <row r="327" spans="2:14" x14ac:dyDescent="0.25">
      <c r="B327" s="15" t="str">
        <f ca="1"/>
        <v>14-Nov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 s="16">
        <v>1</v>
      </c>
      <c r="M327">
        <f ca="1"/>
        <v>46</v>
      </c>
      <c r="N327">
        <v>9</v>
      </c>
    </row>
    <row r="328" spans="2:14" x14ac:dyDescent="0.25">
      <c r="B328" s="15" t="str">
        <f ca="1"/>
        <v>15-Nov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 s="16">
        <v>1</v>
      </c>
      <c r="M328">
        <f ca="1"/>
        <v>46</v>
      </c>
      <c r="N328">
        <v>10</v>
      </c>
    </row>
    <row r="329" spans="2:14" x14ac:dyDescent="0.25">
      <c r="B329" s="15" t="str">
        <f ca="1"/>
        <v>16-Nov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 s="16">
        <v>1</v>
      </c>
      <c r="M329">
        <f ca="1"/>
        <v>47</v>
      </c>
      <c r="N329">
        <v>9</v>
      </c>
    </row>
    <row r="330" spans="2:14" x14ac:dyDescent="0.25">
      <c r="B330" s="15" t="str">
        <f ca="1"/>
        <v>17-Nov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 s="16">
        <v>1</v>
      </c>
      <c r="M330">
        <f ca="1"/>
        <v>47</v>
      </c>
      <c r="N330">
        <v>9</v>
      </c>
    </row>
    <row r="331" spans="2:14" x14ac:dyDescent="0.25">
      <c r="B331" s="15" t="str">
        <f ca="1"/>
        <v>18-Nov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 s="16">
        <v>1</v>
      </c>
      <c r="M331">
        <f ca="1"/>
        <v>47</v>
      </c>
      <c r="N331">
        <v>10</v>
      </c>
    </row>
    <row r="332" spans="2:14" x14ac:dyDescent="0.25">
      <c r="B332" s="15" t="str">
        <f ca="1"/>
        <v>19-Nov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 s="16">
        <v>1</v>
      </c>
      <c r="M332">
        <f ca="1"/>
        <v>47</v>
      </c>
      <c r="N332">
        <v>9</v>
      </c>
    </row>
    <row r="333" spans="2:14" x14ac:dyDescent="0.25">
      <c r="B333" s="15" t="str">
        <f ca="1"/>
        <v>20-Nov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 s="16">
        <v>1</v>
      </c>
      <c r="M333">
        <f ca="1"/>
        <v>47</v>
      </c>
      <c r="N333">
        <v>8</v>
      </c>
    </row>
    <row r="334" spans="2:14" x14ac:dyDescent="0.25">
      <c r="B334" s="15" t="str">
        <f ca="1"/>
        <v>21-Nov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 s="16">
        <v>1</v>
      </c>
      <c r="M334">
        <f ca="1"/>
        <v>47</v>
      </c>
      <c r="N334">
        <v>9</v>
      </c>
    </row>
    <row r="335" spans="2:14" x14ac:dyDescent="0.25">
      <c r="B335" s="15" t="str">
        <f ca="1"/>
        <v>22-Nov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 s="16">
        <v>1</v>
      </c>
      <c r="M335">
        <f ca="1"/>
        <v>47</v>
      </c>
      <c r="N335">
        <v>10</v>
      </c>
    </row>
    <row r="336" spans="2:14" x14ac:dyDescent="0.25">
      <c r="B336" s="15" t="str">
        <f ca="1"/>
        <v>23-Nov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 s="16">
        <v>1</v>
      </c>
      <c r="M336">
        <f ca="1"/>
        <v>48</v>
      </c>
      <c r="N336">
        <v>10</v>
      </c>
    </row>
    <row r="337" spans="2:31" x14ac:dyDescent="0.25">
      <c r="B337" s="15" t="str">
        <f ca="1"/>
        <v>24-Nov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 s="16">
        <v>1</v>
      </c>
      <c r="M337">
        <f ca="1"/>
        <v>48</v>
      </c>
      <c r="N337">
        <v>10</v>
      </c>
    </row>
    <row r="338" spans="2:31" x14ac:dyDescent="0.25">
      <c r="B338" s="15" t="str">
        <f ca="1"/>
        <v>25-Nov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 s="16">
        <v>1</v>
      </c>
      <c r="M338">
        <f ca="1"/>
        <v>48</v>
      </c>
      <c r="N338">
        <v>9</v>
      </c>
    </row>
    <row r="339" spans="2:31" x14ac:dyDescent="0.25">
      <c r="B339" s="15" t="str">
        <f ca="1"/>
        <v>26-Nov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 s="16">
        <v>1</v>
      </c>
      <c r="M339">
        <f ca="1"/>
        <v>48</v>
      </c>
      <c r="N339">
        <v>9</v>
      </c>
    </row>
    <row r="340" spans="2:31" x14ac:dyDescent="0.25">
      <c r="B340" s="15" t="str">
        <f ca="1"/>
        <v>27-Nov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 s="16">
        <v>1</v>
      </c>
      <c r="M340">
        <f ca="1"/>
        <v>48</v>
      </c>
      <c r="N340">
        <v>8</v>
      </c>
    </row>
    <row r="341" spans="2:31" x14ac:dyDescent="0.25">
      <c r="B341" s="15" t="str">
        <f ca="1"/>
        <v>28-Nov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 s="16">
        <v>1</v>
      </c>
      <c r="M341">
        <f ca="1"/>
        <v>48</v>
      </c>
      <c r="N341">
        <v>9</v>
      </c>
    </row>
    <row r="342" spans="2:31" x14ac:dyDescent="0.25">
      <c r="B342" s="15" t="str">
        <f ca="1"/>
        <v>29-Nov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 s="16">
        <v>1</v>
      </c>
      <c r="M342">
        <f ca="1"/>
        <v>48</v>
      </c>
      <c r="N342">
        <v>9</v>
      </c>
    </row>
    <row r="343" spans="2:31" x14ac:dyDescent="0.25">
      <c r="B343" s="15" t="str">
        <f ca="1"/>
        <v>30-Nov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 s="16">
        <v>1</v>
      </c>
      <c r="M343">
        <f ca="1"/>
        <v>49</v>
      </c>
      <c r="N343">
        <v>10</v>
      </c>
    </row>
    <row r="344" spans="2:31" x14ac:dyDescent="0.25">
      <c r="B344" s="15" t="str">
        <f ca="1"/>
        <v>01-Dec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 s="16">
        <v>1</v>
      </c>
      <c r="M344">
        <f ca="1"/>
        <v>49</v>
      </c>
      <c r="N344">
        <v>10</v>
      </c>
    </row>
    <row r="345" spans="2:31" x14ac:dyDescent="0.25">
      <c r="B345" s="15" t="str">
        <f ca="1"/>
        <v>02-Dec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 s="16">
        <v>1</v>
      </c>
      <c r="M345">
        <f ca="1"/>
        <v>49</v>
      </c>
      <c r="N345">
        <v>9</v>
      </c>
    </row>
    <row r="346" spans="2:31" x14ac:dyDescent="0.25">
      <c r="B346" s="15" t="str">
        <f ca="1"/>
        <v>03-Dec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 s="16">
        <v>1</v>
      </c>
      <c r="M346">
        <f ca="1"/>
        <v>49</v>
      </c>
      <c r="N346">
        <v>9</v>
      </c>
    </row>
    <row r="347" spans="2:31" x14ac:dyDescent="0.25">
      <c r="B347" s="15" t="str">
        <f ca="1"/>
        <v>04-Dec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 s="16">
        <v>1</v>
      </c>
      <c r="M347">
        <f ca="1"/>
        <v>49</v>
      </c>
      <c r="N347">
        <v>9</v>
      </c>
    </row>
    <row r="348" spans="2:31" x14ac:dyDescent="0.25">
      <c r="B348" s="15" t="str">
        <f ca="1"/>
        <v>05-Dec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 s="16">
        <v>1</v>
      </c>
      <c r="M348">
        <f ca="1"/>
        <v>49</v>
      </c>
      <c r="N348">
        <v>10</v>
      </c>
    </row>
    <row r="349" spans="2:31" x14ac:dyDescent="0.25">
      <c r="B349" s="15" t="str">
        <f ca="1"/>
        <v>06-Dec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 s="16">
        <v>1</v>
      </c>
      <c r="M349">
        <f ca="1"/>
        <v>49</v>
      </c>
      <c r="N349">
        <v>9</v>
      </c>
    </row>
    <row r="350" spans="2:31" x14ac:dyDescent="0.25">
      <c r="B350" s="15" t="str">
        <f ca="1"/>
        <v>07-Dec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 s="16">
        <v>1</v>
      </c>
      <c r="M350">
        <f ca="1"/>
        <v>50</v>
      </c>
      <c r="N350">
        <v>10</v>
      </c>
    </row>
    <row r="351" spans="2:31" x14ac:dyDescent="0.25">
      <c r="B351" s="15" t="str">
        <f ca="1"/>
        <v>08-Dec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 s="16">
        <v>1</v>
      </c>
      <c r="M351">
        <f ca="1"/>
        <v>50</v>
      </c>
      <c r="N351">
        <v>9</v>
      </c>
      <c r="AE351" t="s">
        <v>78</v>
      </c>
    </row>
    <row r="352" spans="2:31" x14ac:dyDescent="0.25">
      <c r="B352" s="15" t="str">
        <f ca="1"/>
        <v>09-Dec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 s="16">
        <v>1</v>
      </c>
      <c r="M352">
        <f ca="1"/>
        <v>50</v>
      </c>
      <c r="N352">
        <v>10</v>
      </c>
    </row>
    <row r="353" spans="2:16" x14ac:dyDescent="0.25">
      <c r="B353" s="15" t="str">
        <f ca="1"/>
        <v>10-Dec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 s="16">
        <v>1</v>
      </c>
      <c r="M353">
        <f ca="1"/>
        <v>50</v>
      </c>
      <c r="N353">
        <v>9</v>
      </c>
    </row>
    <row r="354" spans="2:16" x14ac:dyDescent="0.25">
      <c r="B354" s="15" t="str">
        <f ca="1"/>
        <v>11-Dec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 s="16">
        <v>1</v>
      </c>
      <c r="M354">
        <f ca="1"/>
        <v>50</v>
      </c>
      <c r="N354">
        <v>10</v>
      </c>
    </row>
    <row r="355" spans="2:16" x14ac:dyDescent="0.25">
      <c r="B355" s="15" t="str">
        <f ca="1"/>
        <v>12-Dec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 s="16">
        <v>1</v>
      </c>
      <c r="M355">
        <f ca="1"/>
        <v>50</v>
      </c>
      <c r="N355">
        <v>9</v>
      </c>
    </row>
    <row r="356" spans="2:16" x14ac:dyDescent="0.25">
      <c r="B356" s="15" t="str">
        <f ca="1"/>
        <v>13-Dec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 s="16">
        <v>1</v>
      </c>
      <c r="M356">
        <f ca="1"/>
        <v>50</v>
      </c>
      <c r="N356">
        <v>10</v>
      </c>
    </row>
    <row r="357" spans="2:16" x14ac:dyDescent="0.25">
      <c r="B357" s="15" t="str">
        <f ca="1"/>
        <v>14-Dec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 s="16">
        <v>1</v>
      </c>
      <c r="M357">
        <f ca="1"/>
        <v>51</v>
      </c>
      <c r="N357">
        <v>9</v>
      </c>
    </row>
    <row r="358" spans="2:16" x14ac:dyDescent="0.25">
      <c r="B358" s="15" t="str">
        <f ca="1"/>
        <v>15-Dec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 s="16">
        <v>1</v>
      </c>
      <c r="M358">
        <f ca="1"/>
        <v>51</v>
      </c>
      <c r="N358">
        <v>10</v>
      </c>
    </row>
    <row r="359" spans="2:16" x14ac:dyDescent="0.25">
      <c r="B359" s="15" t="str">
        <f ca="1"/>
        <v>16-Dec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 s="16">
        <v>1</v>
      </c>
      <c r="M359">
        <f ca="1"/>
        <v>51</v>
      </c>
      <c r="N359">
        <v>9</v>
      </c>
    </row>
    <row r="360" spans="2:16" x14ac:dyDescent="0.25">
      <c r="B360" s="15" t="str">
        <f ca="1"/>
        <v>17-Dec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 s="16">
        <v>1</v>
      </c>
      <c r="M360">
        <f ca="1"/>
        <v>51</v>
      </c>
      <c r="N360">
        <v>10</v>
      </c>
    </row>
    <row r="361" spans="2:16" x14ac:dyDescent="0.25">
      <c r="B361" s="15" t="str">
        <f ca="1"/>
        <v>18-Dec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 s="16">
        <v>1</v>
      </c>
      <c r="M361">
        <f ca="1"/>
        <v>51</v>
      </c>
      <c r="N361">
        <v>10</v>
      </c>
    </row>
    <row r="362" spans="2:16" x14ac:dyDescent="0.25">
      <c r="B362" s="15" t="str">
        <f ca="1"/>
        <v>19-Dec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 s="16">
        <v>1</v>
      </c>
      <c r="M362">
        <f ca="1"/>
        <v>51</v>
      </c>
      <c r="N362">
        <v>9</v>
      </c>
    </row>
    <row r="363" spans="2:16" x14ac:dyDescent="0.25">
      <c r="B363" s="15" t="str">
        <f ca="1"/>
        <v>20-Dec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 s="16">
        <v>1</v>
      </c>
      <c r="M363">
        <f ca="1"/>
        <v>51</v>
      </c>
      <c r="N363">
        <v>10</v>
      </c>
    </row>
    <row r="365" spans="2:16" x14ac:dyDescent="0.25">
      <c r="P365" t="s">
        <v>35</v>
      </c>
    </row>
    <row r="366" spans="2:16" x14ac:dyDescent="0.25">
      <c r="P366" t="s">
        <v>36</v>
      </c>
    </row>
    <row r="367" spans="2:16" x14ac:dyDescent="0.25">
      <c r="P367" t="s">
        <v>40</v>
      </c>
    </row>
    <row r="368" spans="2:16" x14ac:dyDescent="0.25">
      <c r="P368" t="s">
        <v>47</v>
      </c>
    </row>
  </sheetData>
  <sortState xmlns:xlrd2="http://schemas.microsoft.com/office/spreadsheetml/2017/richdata2" ref="R24:R60">
    <sortCondition ref="R24:R60"/>
  </sortState>
  <conditionalFormatting sqref="O9">
    <cfRule type="expression" dxfId="18" priority="25" stopIfTrue="1">
      <formula>MOD(ROW(O9)-ROW($B$9),2)</formula>
    </cfRule>
  </conditionalFormatting>
  <conditionalFormatting sqref="P10:Z58">
    <cfRule type="expression" dxfId="17" priority="64">
      <formula>MOD(ROW(P10)-ROW($P$258),2)</formula>
    </cfRule>
  </conditionalFormatting>
  <conditionalFormatting sqref="P45">
    <cfRule type="expression" dxfId="16" priority="20">
      <formula>MOD(ROW(P45)-ROW($P$258),2)</formula>
    </cfRule>
  </conditionalFormatting>
  <conditionalFormatting sqref="P46:P52">
    <cfRule type="expression" dxfId="15" priority="19">
      <formula>MOD(ROW(P46)-ROW($P$258),2)</formula>
    </cfRule>
  </conditionalFormatting>
  <conditionalFormatting sqref="Q46:Z46">
    <cfRule type="expression" dxfId="14" priority="18">
      <formula>MOD(ROW(Q46)-ROW($P$258),2)</formula>
    </cfRule>
  </conditionalFormatting>
  <conditionalFormatting sqref="P48:Z48">
    <cfRule type="expression" dxfId="13" priority="17">
      <formula>MOD(ROW(P48)-ROW($P$258),2)</formula>
    </cfRule>
  </conditionalFormatting>
  <conditionalFormatting sqref="Q48:Z48">
    <cfRule type="expression" dxfId="12" priority="16">
      <formula>MOD(ROW(Q48)-ROW($P$258),2)</formula>
    </cfRule>
  </conditionalFormatting>
  <conditionalFormatting sqref="P49:Z49">
    <cfRule type="expression" dxfId="11" priority="14">
      <formula>MOD(ROW(P49)-ROW($P$258),2)</formula>
    </cfRule>
  </conditionalFormatting>
  <conditionalFormatting sqref="P50:Z50">
    <cfRule type="expression" dxfId="10" priority="13">
      <formula>MOD(ROW(P50)-ROW($P$258),2)</formula>
    </cfRule>
  </conditionalFormatting>
  <conditionalFormatting sqref="Q50:Z50">
    <cfRule type="expression" dxfId="9" priority="12">
      <formula>MOD(ROW(Q50)-ROW($P$258),2)</formula>
    </cfRule>
  </conditionalFormatting>
  <conditionalFormatting sqref="P51:Z51">
    <cfRule type="expression" dxfId="8" priority="10">
      <formula>MOD(ROW(P51)-ROW($P$258),2)</formula>
    </cfRule>
  </conditionalFormatting>
  <conditionalFormatting sqref="P52:Z52">
    <cfRule type="expression" dxfId="7" priority="9">
      <formula>MOD(ROW(P52)-ROW($P$258),2)</formula>
    </cfRule>
  </conditionalFormatting>
  <conditionalFormatting sqref="P52:Z52">
    <cfRule type="expression" dxfId="6" priority="8">
      <formula>MOD(ROW(P52)-ROW($P$258),2)</formula>
    </cfRule>
  </conditionalFormatting>
  <conditionalFormatting sqref="Q52:Z52">
    <cfRule type="expression" dxfId="5" priority="7">
      <formula>MOD(ROW(Q52)-ROW($P$258),2)</formula>
    </cfRule>
  </conditionalFormatting>
  <conditionalFormatting sqref="Q54:Z54">
    <cfRule type="expression" dxfId="4" priority="2">
      <formula>MOD(ROW(Q54)-ROW($P$258),2)</formula>
    </cfRule>
  </conditionalFormatting>
  <conditionalFormatting sqref="Q53:Z53">
    <cfRule type="expression" dxfId="3" priority="1">
      <formula>MOD(ROW(Q53)-ROW($P$258),2)</formula>
    </cfRule>
  </conditionalFormatting>
  <conditionalFormatting sqref="B10:L363">
    <cfRule type="expression" dxfId="1" priority="65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AB362"/>
  <sheetViews>
    <sheetView topLeftCell="A4" workbookViewId="0">
      <pane ySplit="5" topLeftCell="A355" activePane="bottomLeft" state="frozen"/>
      <selection activeCell="A4" sqref="A4"/>
      <selection pane="bottomLeft" activeCell="X366" sqref="X366"/>
    </sheetView>
  </sheetViews>
  <sheetFormatPr defaultRowHeight="13.2" x14ac:dyDescent="0.25"/>
  <cols>
    <col min="5" max="24" width="3.33203125" style="5" customWidth="1"/>
    <col min="25" max="27" width="3.33203125" customWidth="1"/>
  </cols>
  <sheetData>
    <row r="7" spans="4:26" ht="13.8" thickBot="1" x14ac:dyDescent="0.3"/>
    <row r="8" spans="4:26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23" t="s">
        <v>46</v>
      </c>
      <c r="W8" s="23" t="s">
        <v>162</v>
      </c>
      <c r="X8" s="18" t="s">
        <v>19</v>
      </c>
    </row>
    <row r="9" spans="4:26" ht="13.8" thickTop="1" x14ac:dyDescent="0.25">
      <c r="D9" t="str" cm="1">
        <f t="array" aca="1" ref="D9:D362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Z9" cm="1">
        <f t="array" ref="Z9:Z362">_xlfn.BYROW(_xlfn.DROP(_xlnm.Print_Area,,1),_xleta.SUM)</f>
        <v>0</v>
      </c>
    </row>
    <row r="10" spans="4:26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Z10">
        <v>0</v>
      </c>
    </row>
    <row r="11" spans="4:26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Z11">
        <v>0</v>
      </c>
    </row>
    <row r="12" spans="4:26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Z12">
        <v>0</v>
      </c>
    </row>
    <row r="13" spans="4:26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Z13">
        <v>0</v>
      </c>
    </row>
    <row r="14" spans="4:26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Z14">
        <v>0</v>
      </c>
    </row>
    <row r="15" spans="4:26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Z15">
        <v>0</v>
      </c>
    </row>
    <row r="16" spans="4:26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Z16">
        <v>0</v>
      </c>
    </row>
    <row r="17" spans="4:26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Z17">
        <v>0</v>
      </c>
    </row>
    <row r="18" spans="4:26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Z18">
        <v>0</v>
      </c>
    </row>
    <row r="19" spans="4:26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Z19">
        <v>0</v>
      </c>
    </row>
    <row r="20" spans="4:26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Z20">
        <v>2</v>
      </c>
    </row>
    <row r="21" spans="4:26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Z21">
        <v>2</v>
      </c>
    </row>
    <row r="22" spans="4:26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Z22">
        <v>2</v>
      </c>
    </row>
    <row r="23" spans="4:26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Z23">
        <v>2</v>
      </c>
    </row>
    <row r="24" spans="4:26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Z24">
        <v>2</v>
      </c>
    </row>
    <row r="25" spans="4:26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Z25">
        <v>2</v>
      </c>
    </row>
    <row r="26" spans="4:26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Z26">
        <v>2</v>
      </c>
    </row>
    <row r="27" spans="4:26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Z27">
        <v>2</v>
      </c>
    </row>
    <row r="28" spans="4:26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Z28">
        <v>2</v>
      </c>
    </row>
    <row r="29" spans="4:26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Z29">
        <v>2</v>
      </c>
    </row>
    <row r="30" spans="4:26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Z30">
        <v>2</v>
      </c>
    </row>
    <row r="31" spans="4:26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Z31">
        <v>2</v>
      </c>
    </row>
    <row r="32" spans="4:26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Z32">
        <v>2</v>
      </c>
    </row>
    <row r="33" spans="4:26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Z33">
        <v>2</v>
      </c>
    </row>
    <row r="34" spans="4:26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Z34">
        <v>2</v>
      </c>
    </row>
    <row r="35" spans="4:26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Z35">
        <v>2</v>
      </c>
    </row>
    <row r="36" spans="4:26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Z36">
        <v>2</v>
      </c>
    </row>
    <row r="37" spans="4:26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Z37">
        <v>2</v>
      </c>
    </row>
    <row r="38" spans="4:26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Z38">
        <v>2</v>
      </c>
    </row>
    <row r="39" spans="4:26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Z39">
        <v>1</v>
      </c>
    </row>
    <row r="40" spans="4:26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Z40">
        <v>1</v>
      </c>
    </row>
    <row r="41" spans="4:26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Z41">
        <v>1</v>
      </c>
    </row>
    <row r="42" spans="4:26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Z42">
        <v>1</v>
      </c>
    </row>
    <row r="43" spans="4:26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Z43">
        <v>1</v>
      </c>
    </row>
    <row r="44" spans="4:26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Z44">
        <v>1</v>
      </c>
    </row>
    <row r="45" spans="4:26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Z45">
        <v>0</v>
      </c>
    </row>
    <row r="46" spans="4:26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Z46">
        <v>0</v>
      </c>
    </row>
    <row r="47" spans="4:26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Z47">
        <v>0</v>
      </c>
    </row>
    <row r="48" spans="4:26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Z48">
        <v>0</v>
      </c>
    </row>
    <row r="49" spans="4:26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Z49">
        <v>0</v>
      </c>
    </row>
    <row r="50" spans="4:26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Z50">
        <v>0</v>
      </c>
    </row>
    <row r="51" spans="4:26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Z51">
        <v>1</v>
      </c>
    </row>
    <row r="52" spans="4:26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Z52">
        <v>1</v>
      </c>
    </row>
    <row r="53" spans="4:26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Z53">
        <v>1</v>
      </c>
    </row>
    <row r="54" spans="4:26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Z54">
        <v>1</v>
      </c>
    </row>
    <row r="55" spans="4:26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Z55">
        <v>1</v>
      </c>
    </row>
    <row r="56" spans="4:26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Z56">
        <v>2</v>
      </c>
    </row>
    <row r="57" spans="4:26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Z57">
        <v>2</v>
      </c>
    </row>
    <row r="58" spans="4:26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Z58">
        <v>2</v>
      </c>
    </row>
    <row r="59" spans="4:26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Z59">
        <v>2</v>
      </c>
    </row>
    <row r="60" spans="4:26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Z60">
        <v>2</v>
      </c>
    </row>
    <row r="61" spans="4:26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Z61">
        <v>2</v>
      </c>
    </row>
    <row r="62" spans="4:26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Z62">
        <v>2</v>
      </c>
    </row>
    <row r="63" spans="4:26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Z63">
        <v>2</v>
      </c>
    </row>
    <row r="64" spans="4:26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Z64">
        <v>2</v>
      </c>
    </row>
    <row r="65" spans="4:26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Z65">
        <v>2</v>
      </c>
    </row>
    <row r="66" spans="4:26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Z66">
        <v>2</v>
      </c>
    </row>
    <row r="67" spans="4:26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Z67">
        <v>2</v>
      </c>
    </row>
    <row r="68" spans="4:26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Z68">
        <v>2</v>
      </c>
    </row>
    <row r="69" spans="4:26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Z69">
        <v>2</v>
      </c>
    </row>
    <row r="70" spans="4:26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Z70">
        <v>2</v>
      </c>
    </row>
    <row r="71" spans="4:26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Z71">
        <v>2</v>
      </c>
    </row>
    <row r="72" spans="4:26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Z72">
        <v>2</v>
      </c>
    </row>
    <row r="73" spans="4:26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Z73">
        <v>2</v>
      </c>
    </row>
    <row r="74" spans="4:26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Z74">
        <v>2</v>
      </c>
    </row>
    <row r="75" spans="4:26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Z75">
        <v>3</v>
      </c>
    </row>
    <row r="76" spans="4:26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Z76">
        <v>3</v>
      </c>
    </row>
    <row r="77" spans="4:26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1</v>
      </c>
      <c r="Z77">
        <v>4</v>
      </c>
    </row>
    <row r="78" spans="4:26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1</v>
      </c>
      <c r="Z78">
        <v>4</v>
      </c>
    </row>
    <row r="79" spans="4:26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1</v>
      </c>
      <c r="Z79">
        <v>3</v>
      </c>
    </row>
    <row r="80" spans="4:26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1</v>
      </c>
      <c r="Z80">
        <v>4</v>
      </c>
    </row>
    <row r="81" spans="4:26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1</v>
      </c>
      <c r="Z81">
        <v>3</v>
      </c>
    </row>
    <row r="82" spans="4:26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1</v>
      </c>
      <c r="Z82">
        <v>4</v>
      </c>
    </row>
    <row r="83" spans="4:26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1</v>
      </c>
      <c r="Z83">
        <v>4</v>
      </c>
    </row>
    <row r="84" spans="4:26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1</v>
      </c>
      <c r="Z84">
        <v>4</v>
      </c>
    </row>
    <row r="85" spans="4:26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1</v>
      </c>
      <c r="Z85">
        <v>3</v>
      </c>
    </row>
    <row r="86" spans="4:26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1</v>
      </c>
      <c r="Z86">
        <v>3</v>
      </c>
    </row>
    <row r="87" spans="4:26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1</v>
      </c>
      <c r="Z87">
        <v>3</v>
      </c>
    </row>
    <row r="88" spans="4:26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1</v>
      </c>
      <c r="Z88">
        <v>3</v>
      </c>
    </row>
    <row r="89" spans="4:26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1</v>
      </c>
      <c r="Z89">
        <v>3</v>
      </c>
    </row>
    <row r="90" spans="4:26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1</v>
      </c>
      <c r="Z90">
        <v>3</v>
      </c>
    </row>
    <row r="91" spans="4:26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Z91">
        <v>0</v>
      </c>
    </row>
    <row r="92" spans="4:26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Z92">
        <v>2</v>
      </c>
    </row>
    <row r="93" spans="4:26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Z93">
        <v>2</v>
      </c>
    </row>
    <row r="94" spans="4:26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Z94">
        <v>2</v>
      </c>
    </row>
    <row r="95" spans="4:26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Z95">
        <v>2</v>
      </c>
    </row>
    <row r="96" spans="4:26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Z96">
        <v>3</v>
      </c>
    </row>
    <row r="97" spans="4:26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Z97">
        <v>3</v>
      </c>
    </row>
    <row r="98" spans="4:26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Z98">
        <v>3</v>
      </c>
    </row>
    <row r="99" spans="4:26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Z99">
        <v>3</v>
      </c>
    </row>
    <row r="100" spans="4:26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Z100">
        <v>2</v>
      </c>
    </row>
    <row r="101" spans="4:26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Z101">
        <v>2</v>
      </c>
    </row>
    <row r="102" spans="4:26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Z102">
        <v>2</v>
      </c>
    </row>
    <row r="103" spans="4:26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Z103">
        <v>2</v>
      </c>
    </row>
    <row r="104" spans="4:26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Z104">
        <v>2</v>
      </c>
    </row>
    <row r="105" spans="4:26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Z105">
        <v>2</v>
      </c>
    </row>
    <row r="106" spans="4:26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Z106">
        <v>2</v>
      </c>
    </row>
    <row r="107" spans="4:26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Z107">
        <v>2</v>
      </c>
    </row>
    <row r="108" spans="4:26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Z108">
        <v>2</v>
      </c>
    </row>
    <row r="109" spans="4:26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Z109">
        <v>2</v>
      </c>
    </row>
    <row r="110" spans="4:26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Z110">
        <v>2</v>
      </c>
    </row>
    <row r="111" spans="4:26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Z111">
        <v>2</v>
      </c>
    </row>
    <row r="112" spans="4:26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Z112">
        <v>2</v>
      </c>
    </row>
    <row r="113" spans="4:26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Z113">
        <v>2</v>
      </c>
    </row>
    <row r="114" spans="4:26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Z114">
        <v>2</v>
      </c>
    </row>
    <row r="115" spans="4:26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Z115">
        <v>2</v>
      </c>
    </row>
    <row r="116" spans="4:26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Z116">
        <v>2</v>
      </c>
    </row>
    <row r="117" spans="4:26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Z117">
        <v>2</v>
      </c>
    </row>
    <row r="118" spans="4:26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Z118">
        <v>2</v>
      </c>
    </row>
    <row r="119" spans="4:26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Z119">
        <v>2</v>
      </c>
    </row>
    <row r="120" spans="4:26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Z120">
        <v>2</v>
      </c>
    </row>
    <row r="121" spans="4:26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Z121">
        <v>2</v>
      </c>
    </row>
    <row r="122" spans="4:26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Z122">
        <v>2</v>
      </c>
    </row>
    <row r="123" spans="4:26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Z123">
        <v>2</v>
      </c>
    </row>
    <row r="124" spans="4:26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Z124">
        <v>2</v>
      </c>
    </row>
    <row r="125" spans="4:26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Z125">
        <v>2</v>
      </c>
    </row>
    <row r="126" spans="4:26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Z126">
        <v>2</v>
      </c>
    </row>
    <row r="127" spans="4:26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Z127">
        <v>2</v>
      </c>
    </row>
    <row r="128" spans="4:26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Z128">
        <v>2</v>
      </c>
    </row>
    <row r="129" spans="4:26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Z129">
        <v>2</v>
      </c>
    </row>
    <row r="130" spans="4:26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Z130">
        <v>2</v>
      </c>
    </row>
    <row r="131" spans="4:26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Z131">
        <v>2</v>
      </c>
    </row>
    <row r="132" spans="4:26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Z132">
        <v>2</v>
      </c>
    </row>
    <row r="133" spans="4:26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Z133">
        <v>2</v>
      </c>
    </row>
    <row r="134" spans="4:26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Z134">
        <v>3</v>
      </c>
    </row>
    <row r="135" spans="4:26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Z135">
        <v>3</v>
      </c>
    </row>
    <row r="136" spans="4:26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Z136">
        <v>3</v>
      </c>
    </row>
    <row r="137" spans="4:26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Z137">
        <v>2</v>
      </c>
    </row>
    <row r="138" spans="4:26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Z138">
        <v>3</v>
      </c>
    </row>
    <row r="139" spans="4:26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Z139">
        <v>3</v>
      </c>
    </row>
    <row r="140" spans="4:26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Z140">
        <v>3</v>
      </c>
    </row>
    <row r="141" spans="4:26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Z141">
        <v>3</v>
      </c>
    </row>
    <row r="142" spans="4:26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Z142">
        <v>3</v>
      </c>
    </row>
    <row r="143" spans="4:26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Z143">
        <v>3</v>
      </c>
    </row>
    <row r="144" spans="4:26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Z144">
        <v>3</v>
      </c>
    </row>
    <row r="145" spans="4:26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Z145">
        <v>3</v>
      </c>
    </row>
    <row r="146" spans="4:26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Z146">
        <v>3</v>
      </c>
    </row>
    <row r="147" spans="4:26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Z147">
        <v>3</v>
      </c>
    </row>
    <row r="148" spans="4:26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Z148">
        <v>3</v>
      </c>
    </row>
    <row r="149" spans="4:26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Z149">
        <v>3</v>
      </c>
    </row>
    <row r="150" spans="4:26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Z150">
        <v>3</v>
      </c>
    </row>
    <row r="151" spans="4:26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Z151">
        <v>3</v>
      </c>
    </row>
    <row r="152" spans="4:26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Z152">
        <v>3</v>
      </c>
    </row>
    <row r="153" spans="4:26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Z153">
        <v>3</v>
      </c>
    </row>
    <row r="154" spans="4:26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Z154">
        <v>3</v>
      </c>
    </row>
    <row r="155" spans="4:26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Z155">
        <v>2</v>
      </c>
    </row>
    <row r="156" spans="4:26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Z156">
        <v>2</v>
      </c>
    </row>
    <row r="157" spans="4:26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Z157">
        <v>2</v>
      </c>
    </row>
    <row r="158" spans="4:26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Z158">
        <v>2</v>
      </c>
    </row>
    <row r="159" spans="4:26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Z159">
        <v>2</v>
      </c>
    </row>
    <row r="160" spans="4:26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Z160">
        <v>1</v>
      </c>
    </row>
    <row r="161" spans="4:28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Z161">
        <v>1</v>
      </c>
    </row>
    <row r="162" spans="4:28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Z162">
        <v>1</v>
      </c>
    </row>
    <row r="163" spans="4:28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Z163">
        <v>1</v>
      </c>
    </row>
    <row r="164" spans="4:28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Z164">
        <v>1</v>
      </c>
    </row>
    <row r="165" spans="4:28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Z165">
        <v>1</v>
      </c>
    </row>
    <row r="166" spans="4:28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Z166">
        <v>1</v>
      </c>
    </row>
    <row r="167" spans="4:28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Z167">
        <v>1</v>
      </c>
    </row>
    <row r="168" spans="4:28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Z168">
        <v>1</v>
      </c>
    </row>
    <row r="169" spans="4:28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Z169">
        <v>1</v>
      </c>
    </row>
    <row r="170" spans="4:28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Z170">
        <v>1</v>
      </c>
    </row>
    <row r="171" spans="4:28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Z171">
        <v>1</v>
      </c>
    </row>
    <row r="172" spans="4:28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Z172">
        <v>1</v>
      </c>
    </row>
    <row r="173" spans="4:28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Z173">
        <v>1</v>
      </c>
    </row>
    <row r="174" spans="4:28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Z174">
        <v>1</v>
      </c>
    </row>
    <row r="175" spans="4:28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Z175">
        <v>1</v>
      </c>
      <c r="AB175" t="s">
        <v>37</v>
      </c>
    </row>
    <row r="176" spans="4:28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Z176">
        <v>1</v>
      </c>
    </row>
    <row r="177" spans="4:26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Z177">
        <v>2</v>
      </c>
    </row>
    <row r="178" spans="4:26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Z178">
        <v>2</v>
      </c>
    </row>
    <row r="179" spans="4:26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Z179">
        <v>2</v>
      </c>
    </row>
    <row r="180" spans="4:26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Z180">
        <v>2</v>
      </c>
    </row>
    <row r="181" spans="4:26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Z181">
        <v>2</v>
      </c>
    </row>
    <row r="182" spans="4:26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Z182">
        <v>2</v>
      </c>
    </row>
    <row r="183" spans="4:26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Z183">
        <v>3</v>
      </c>
    </row>
    <row r="184" spans="4:26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Z184">
        <v>1</v>
      </c>
    </row>
    <row r="185" spans="4:26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Z185">
        <v>3</v>
      </c>
    </row>
    <row r="186" spans="4:26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Z186">
        <v>1</v>
      </c>
    </row>
    <row r="187" spans="4:26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Z187">
        <v>3</v>
      </c>
    </row>
    <row r="188" spans="4:26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Z188">
        <v>1</v>
      </c>
    </row>
    <row r="189" spans="4:26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Z189">
        <v>3</v>
      </c>
    </row>
    <row r="190" spans="4:26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Z190">
        <v>3</v>
      </c>
    </row>
    <row r="191" spans="4:26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Z191">
        <v>2</v>
      </c>
    </row>
    <row r="192" spans="4:26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Z192">
        <v>3</v>
      </c>
    </row>
    <row r="193" spans="4:26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Z193">
        <v>3</v>
      </c>
    </row>
    <row r="194" spans="4:26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Z194">
        <v>3</v>
      </c>
    </row>
    <row r="195" spans="4:26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Z195">
        <v>3</v>
      </c>
    </row>
    <row r="196" spans="4:26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Z196">
        <v>3</v>
      </c>
    </row>
    <row r="197" spans="4:26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Z197">
        <v>3</v>
      </c>
    </row>
    <row r="198" spans="4:26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Z198">
        <v>3</v>
      </c>
    </row>
    <row r="199" spans="4:26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Z199">
        <v>3</v>
      </c>
    </row>
    <row r="200" spans="4:26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Z200">
        <v>3</v>
      </c>
    </row>
    <row r="201" spans="4:26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Z201">
        <v>3</v>
      </c>
    </row>
    <row r="202" spans="4:26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Z202">
        <v>3</v>
      </c>
    </row>
    <row r="203" spans="4:26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Z203">
        <v>3</v>
      </c>
    </row>
    <row r="204" spans="4:26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Z204">
        <v>3</v>
      </c>
    </row>
    <row r="205" spans="4:26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Z205">
        <v>3</v>
      </c>
    </row>
    <row r="206" spans="4:26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Z206">
        <v>3</v>
      </c>
    </row>
    <row r="207" spans="4:26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Z207">
        <v>3</v>
      </c>
    </row>
    <row r="208" spans="4:26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Z208">
        <v>3</v>
      </c>
    </row>
    <row r="209" spans="4:26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Z209">
        <v>3</v>
      </c>
    </row>
    <row r="210" spans="4:26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Z210">
        <v>3</v>
      </c>
    </row>
    <row r="211" spans="4:26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Z211">
        <v>2</v>
      </c>
    </row>
    <row r="212" spans="4:26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Z212">
        <v>2</v>
      </c>
    </row>
    <row r="213" spans="4:26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Z213">
        <v>2</v>
      </c>
    </row>
    <row r="214" spans="4:26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Z214">
        <v>2</v>
      </c>
    </row>
    <row r="215" spans="4:26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Z215">
        <v>2</v>
      </c>
    </row>
    <row r="216" spans="4:26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Z216">
        <v>2</v>
      </c>
    </row>
    <row r="217" spans="4:26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Z217">
        <v>2</v>
      </c>
    </row>
    <row r="218" spans="4:26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Z218">
        <v>2</v>
      </c>
    </row>
    <row r="219" spans="4:26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Z219">
        <v>2</v>
      </c>
    </row>
    <row r="220" spans="4:26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Z220">
        <v>2</v>
      </c>
    </row>
    <row r="221" spans="4:26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Z221">
        <v>2</v>
      </c>
    </row>
    <row r="222" spans="4:26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Z222">
        <v>2</v>
      </c>
    </row>
    <row r="223" spans="4:26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Z223">
        <v>3</v>
      </c>
    </row>
    <row r="224" spans="4:26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Z224">
        <v>3</v>
      </c>
    </row>
    <row r="225" spans="4:26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Z225">
        <v>2</v>
      </c>
    </row>
    <row r="226" spans="4:26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Z226">
        <v>2</v>
      </c>
    </row>
    <row r="227" spans="4:26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Z227">
        <v>2</v>
      </c>
    </row>
    <row r="228" spans="4:26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Z228">
        <v>2</v>
      </c>
    </row>
    <row r="229" spans="4:26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Z229">
        <v>2</v>
      </c>
    </row>
    <row r="230" spans="4:26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Z230">
        <v>0</v>
      </c>
    </row>
    <row r="231" spans="4:26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Z231">
        <v>0</v>
      </c>
    </row>
    <row r="232" spans="4:26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Z232">
        <v>0</v>
      </c>
    </row>
    <row r="233" spans="4:26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Z233">
        <v>2</v>
      </c>
    </row>
    <row r="234" spans="4:26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Z234">
        <v>2</v>
      </c>
    </row>
    <row r="235" spans="4:26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Z235">
        <v>2</v>
      </c>
    </row>
    <row r="236" spans="4:26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Z236">
        <v>2</v>
      </c>
    </row>
    <row r="237" spans="4:26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Z237">
        <v>2</v>
      </c>
    </row>
    <row r="238" spans="4:26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Z238">
        <v>2</v>
      </c>
    </row>
    <row r="239" spans="4:26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Z239">
        <v>2</v>
      </c>
    </row>
    <row r="240" spans="4:26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Z240">
        <v>2</v>
      </c>
    </row>
    <row r="241" spans="4:26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Z241">
        <v>2</v>
      </c>
    </row>
    <row r="242" spans="4:26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Z242">
        <v>2</v>
      </c>
    </row>
    <row r="243" spans="4:26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Z243">
        <v>2</v>
      </c>
    </row>
    <row r="244" spans="4:26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Z244">
        <v>2</v>
      </c>
    </row>
    <row r="245" spans="4:26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Z245">
        <v>2</v>
      </c>
    </row>
    <row r="246" spans="4:26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Z246">
        <v>2</v>
      </c>
    </row>
    <row r="247" spans="4:26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Z247">
        <v>2</v>
      </c>
    </row>
    <row r="248" spans="4:26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Z248">
        <v>2</v>
      </c>
    </row>
    <row r="249" spans="4:26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Z249">
        <v>2</v>
      </c>
    </row>
    <row r="250" spans="4:26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Z250">
        <v>2</v>
      </c>
    </row>
    <row r="251" spans="4:26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Z251">
        <v>2</v>
      </c>
    </row>
    <row r="252" spans="4:26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Z252">
        <v>2</v>
      </c>
    </row>
    <row r="253" spans="4:26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Z253">
        <v>2</v>
      </c>
    </row>
    <row r="254" spans="4:26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Z254">
        <v>2</v>
      </c>
    </row>
    <row r="255" spans="4:26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Z255">
        <v>2</v>
      </c>
    </row>
    <row r="256" spans="4:26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Z256">
        <v>2</v>
      </c>
    </row>
    <row r="257" spans="4:26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Z257">
        <v>2</v>
      </c>
    </row>
    <row r="258" spans="4:26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Z258">
        <v>2</v>
      </c>
    </row>
    <row r="259" spans="4:26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Z259">
        <v>2</v>
      </c>
    </row>
    <row r="260" spans="4:26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Z260">
        <v>2</v>
      </c>
    </row>
    <row r="261" spans="4:26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Z261">
        <v>2</v>
      </c>
    </row>
    <row r="262" spans="4:26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Z262">
        <v>2</v>
      </c>
    </row>
    <row r="263" spans="4:26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Z263">
        <v>2</v>
      </c>
    </row>
    <row r="264" spans="4:26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Z264">
        <v>2</v>
      </c>
    </row>
    <row r="265" spans="4:26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Z265">
        <v>2</v>
      </c>
    </row>
    <row r="266" spans="4:26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Z266">
        <v>2</v>
      </c>
    </row>
    <row r="267" spans="4:26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Z267">
        <v>2</v>
      </c>
    </row>
    <row r="268" spans="4:26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Z268">
        <v>2</v>
      </c>
    </row>
    <row r="269" spans="4:26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Z269">
        <v>2</v>
      </c>
    </row>
    <row r="270" spans="4:26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Z270">
        <v>2</v>
      </c>
    </row>
    <row r="271" spans="4:26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Z271">
        <v>2</v>
      </c>
    </row>
    <row r="272" spans="4:26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Z272">
        <v>2</v>
      </c>
    </row>
    <row r="273" spans="4:26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Z273">
        <v>2</v>
      </c>
    </row>
    <row r="274" spans="4:26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Z274">
        <v>2</v>
      </c>
    </row>
    <row r="275" spans="4:26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Z275">
        <v>2</v>
      </c>
    </row>
    <row r="276" spans="4:26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Z276">
        <v>2</v>
      </c>
    </row>
    <row r="277" spans="4:26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Z277">
        <v>2</v>
      </c>
    </row>
    <row r="278" spans="4:26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Z278">
        <v>2</v>
      </c>
    </row>
    <row r="279" spans="4:26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Z279">
        <v>2</v>
      </c>
    </row>
    <row r="280" spans="4:26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Z280">
        <v>2</v>
      </c>
    </row>
    <row r="281" spans="4:26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Z281">
        <v>2</v>
      </c>
    </row>
    <row r="282" spans="4:26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Z282">
        <v>2</v>
      </c>
    </row>
    <row r="283" spans="4:26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Z283">
        <v>2</v>
      </c>
    </row>
    <row r="284" spans="4:26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Z284">
        <v>2</v>
      </c>
    </row>
    <row r="285" spans="4:26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Z285">
        <v>2</v>
      </c>
    </row>
    <row r="286" spans="4:26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Z286">
        <v>2</v>
      </c>
    </row>
    <row r="287" spans="4:26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Z287">
        <v>2</v>
      </c>
    </row>
    <row r="288" spans="4:26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Z288">
        <v>2</v>
      </c>
    </row>
    <row r="289" spans="4:26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Z289">
        <v>2</v>
      </c>
    </row>
    <row r="290" spans="4:26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Z290">
        <v>2</v>
      </c>
    </row>
    <row r="291" spans="4:26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Z291">
        <v>2</v>
      </c>
    </row>
    <row r="292" spans="4:26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Z292">
        <v>2</v>
      </c>
    </row>
    <row r="293" spans="4:26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Z293">
        <v>2</v>
      </c>
    </row>
    <row r="294" spans="4:26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Z294">
        <v>2</v>
      </c>
    </row>
    <row r="295" spans="4:26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Z295">
        <v>2</v>
      </c>
    </row>
    <row r="296" spans="4:26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Z296">
        <v>2</v>
      </c>
    </row>
    <row r="297" spans="4:26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Z297">
        <v>2</v>
      </c>
    </row>
    <row r="298" spans="4:26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Z298">
        <v>2</v>
      </c>
    </row>
    <row r="299" spans="4:26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Z299">
        <v>2</v>
      </c>
    </row>
    <row r="300" spans="4:26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Z300">
        <v>2</v>
      </c>
    </row>
    <row r="301" spans="4:26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Z301">
        <v>2</v>
      </c>
    </row>
    <row r="302" spans="4:26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Z302">
        <v>2</v>
      </c>
    </row>
    <row r="303" spans="4:26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Z303">
        <v>2</v>
      </c>
    </row>
    <row r="304" spans="4:26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Z304">
        <v>2</v>
      </c>
    </row>
    <row r="305" spans="4:26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Z305">
        <v>2</v>
      </c>
    </row>
    <row r="306" spans="4:26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Z306">
        <v>2</v>
      </c>
    </row>
    <row r="307" spans="4:26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Z307">
        <v>2</v>
      </c>
    </row>
    <row r="308" spans="4:26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Z308">
        <v>2</v>
      </c>
    </row>
    <row r="309" spans="4:26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Z309">
        <v>2</v>
      </c>
    </row>
    <row r="310" spans="4:26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Z310">
        <v>2</v>
      </c>
    </row>
    <row r="311" spans="4:26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Z311">
        <v>2</v>
      </c>
    </row>
    <row r="312" spans="4:26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Z312">
        <v>2</v>
      </c>
    </row>
    <row r="313" spans="4:26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Z313">
        <v>2</v>
      </c>
    </row>
    <row r="314" spans="4:26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Z314">
        <v>2</v>
      </c>
    </row>
    <row r="315" spans="4:26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Z315">
        <v>2</v>
      </c>
    </row>
    <row r="316" spans="4:26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Z316">
        <v>2</v>
      </c>
    </row>
    <row r="317" spans="4:26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Z317">
        <v>2</v>
      </c>
    </row>
    <row r="318" spans="4:26" x14ac:dyDescent="0.25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Z318">
        <v>2</v>
      </c>
    </row>
    <row r="319" spans="4:26" x14ac:dyDescent="0.25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Z319">
        <v>2</v>
      </c>
    </row>
    <row r="320" spans="4:26" x14ac:dyDescent="0.25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Z320">
        <v>2</v>
      </c>
    </row>
    <row r="321" spans="4:26" x14ac:dyDescent="0.25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Z321">
        <v>2</v>
      </c>
    </row>
    <row r="322" spans="4:26" x14ac:dyDescent="0.25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Z322">
        <v>2</v>
      </c>
    </row>
    <row r="323" spans="4:26" x14ac:dyDescent="0.25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Z323">
        <v>2</v>
      </c>
    </row>
    <row r="324" spans="4:26" x14ac:dyDescent="0.25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Z324">
        <v>2</v>
      </c>
    </row>
    <row r="325" spans="4:26" x14ac:dyDescent="0.25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Z325">
        <v>2</v>
      </c>
    </row>
    <row r="326" spans="4:26" x14ac:dyDescent="0.25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Z326">
        <v>2</v>
      </c>
    </row>
    <row r="327" spans="4:26" x14ac:dyDescent="0.25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Z327">
        <v>2</v>
      </c>
    </row>
    <row r="328" spans="4:26" x14ac:dyDescent="0.25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Z328">
        <v>2</v>
      </c>
    </row>
    <row r="329" spans="4:26" x14ac:dyDescent="0.25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Z329">
        <v>2</v>
      </c>
    </row>
    <row r="330" spans="4:26" x14ac:dyDescent="0.25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Z330">
        <v>2</v>
      </c>
    </row>
    <row r="331" spans="4:26" x14ac:dyDescent="0.25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Z331">
        <v>2</v>
      </c>
    </row>
    <row r="332" spans="4:26" x14ac:dyDescent="0.25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Z332">
        <v>2</v>
      </c>
    </row>
    <row r="333" spans="4:26" x14ac:dyDescent="0.25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Z333">
        <v>2</v>
      </c>
    </row>
    <row r="334" spans="4:26" x14ac:dyDescent="0.25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Z334">
        <v>3</v>
      </c>
    </row>
    <row r="335" spans="4:26" x14ac:dyDescent="0.25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Z335">
        <v>3</v>
      </c>
    </row>
    <row r="336" spans="4:26" x14ac:dyDescent="0.25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Z336">
        <v>3</v>
      </c>
    </row>
    <row r="337" spans="4:26" x14ac:dyDescent="0.25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Z337">
        <v>3</v>
      </c>
    </row>
    <row r="338" spans="4:26" x14ac:dyDescent="0.25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Z338">
        <v>3</v>
      </c>
    </row>
    <row r="339" spans="4:26" x14ac:dyDescent="0.25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Z339">
        <v>3</v>
      </c>
    </row>
    <row r="340" spans="4:26" x14ac:dyDescent="0.25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Z340">
        <v>3</v>
      </c>
    </row>
    <row r="341" spans="4:26" x14ac:dyDescent="0.25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Z341">
        <v>3</v>
      </c>
    </row>
    <row r="342" spans="4:26" x14ac:dyDescent="0.25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Z342">
        <v>3</v>
      </c>
    </row>
    <row r="343" spans="4:26" x14ac:dyDescent="0.25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Z343">
        <v>3</v>
      </c>
    </row>
    <row r="344" spans="4:26" x14ac:dyDescent="0.25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Z344">
        <v>3</v>
      </c>
    </row>
    <row r="345" spans="4:26" x14ac:dyDescent="0.25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Z345">
        <v>3</v>
      </c>
    </row>
    <row r="346" spans="4:26" x14ac:dyDescent="0.25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Z346">
        <v>3</v>
      </c>
    </row>
    <row r="347" spans="4:26" x14ac:dyDescent="0.25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Z347">
        <v>3</v>
      </c>
    </row>
    <row r="348" spans="4:26" x14ac:dyDescent="0.25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Z348">
        <v>3</v>
      </c>
    </row>
    <row r="349" spans="4:26" x14ac:dyDescent="0.25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Z349">
        <v>3</v>
      </c>
    </row>
    <row r="350" spans="4:26" x14ac:dyDescent="0.25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Z350">
        <v>3</v>
      </c>
    </row>
    <row r="351" spans="4:26" x14ac:dyDescent="0.25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Z351">
        <v>3</v>
      </c>
    </row>
    <row r="352" spans="4:26" x14ac:dyDescent="0.25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Z352">
        <v>3</v>
      </c>
    </row>
    <row r="353" spans="4:26" x14ac:dyDescent="0.25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Z353">
        <v>3</v>
      </c>
    </row>
    <row r="354" spans="4:26" x14ac:dyDescent="0.25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Z354">
        <v>3</v>
      </c>
    </row>
    <row r="355" spans="4:26" x14ac:dyDescent="0.25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Z355">
        <v>3</v>
      </c>
    </row>
    <row r="356" spans="4:26" x14ac:dyDescent="0.25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Z356">
        <v>3</v>
      </c>
    </row>
    <row r="357" spans="4:26" x14ac:dyDescent="0.25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Z357">
        <v>3</v>
      </c>
    </row>
    <row r="358" spans="4:26" x14ac:dyDescent="0.25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Z358">
        <v>3</v>
      </c>
    </row>
    <row r="359" spans="4:26" x14ac:dyDescent="0.25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Z359">
        <v>3</v>
      </c>
    </row>
    <row r="360" spans="4:26" x14ac:dyDescent="0.25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Z360">
        <v>3</v>
      </c>
    </row>
    <row r="361" spans="4:26" x14ac:dyDescent="0.25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Z361">
        <v>4</v>
      </c>
    </row>
    <row r="362" spans="4:26" x14ac:dyDescent="0.25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Z362">
        <v>4</v>
      </c>
    </row>
  </sheetData>
  <conditionalFormatting sqref="D9:X339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H13" sqref="H13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O216"/>
  <sheetViews>
    <sheetView topLeftCell="A10" zoomScale="115" zoomScaleNormal="115" workbookViewId="0">
      <selection activeCell="I25" sqref="I25"/>
    </sheetView>
  </sheetViews>
  <sheetFormatPr defaultRowHeight="13.2" x14ac:dyDescent="0.25"/>
  <cols>
    <col min="10" max="10" width="12" bestFit="1" customWidth="1"/>
  </cols>
  <sheetData>
    <row r="1" spans="2:6" x14ac:dyDescent="0.25">
      <c r="B1" t="s">
        <v>133</v>
      </c>
      <c r="C1">
        <v>30</v>
      </c>
      <c r="D1" t="s">
        <v>137</v>
      </c>
    </row>
    <row r="2" spans="2:6" x14ac:dyDescent="0.25">
      <c r="B2" t="s">
        <v>134</v>
      </c>
      <c r="C2">
        <v>30</v>
      </c>
      <c r="D2" t="s">
        <v>137</v>
      </c>
      <c r="F2">
        <f>SIN(120*PI()/180)</f>
        <v>0.86602540378443871</v>
      </c>
    </row>
    <row r="3" spans="2:6" x14ac:dyDescent="0.25">
      <c r="B3" t="s">
        <v>135</v>
      </c>
      <c r="C3">
        <v>2000</v>
      </c>
      <c r="D3" t="s">
        <v>140</v>
      </c>
      <c r="F3">
        <f>ASIN(0.5626/2)*180/PI()</f>
        <v>16.337808095148048</v>
      </c>
    </row>
    <row r="4" spans="2:6" x14ac:dyDescent="0.25">
      <c r="B4" t="s">
        <v>136</v>
      </c>
      <c r="C4">
        <v>100</v>
      </c>
      <c r="D4" t="s">
        <v>140</v>
      </c>
    </row>
    <row r="5" spans="2:6" x14ac:dyDescent="0.25">
      <c r="B5" t="s">
        <v>138</v>
      </c>
      <c r="C5">
        <v>2</v>
      </c>
      <c r="D5" t="s">
        <v>139</v>
      </c>
      <c r="F5">
        <f>2*SIN(14.47*PI()/180)</f>
        <v>0.49974609767390904</v>
      </c>
    </row>
    <row r="6" spans="2:6" x14ac:dyDescent="0.25">
      <c r="B6" t="s">
        <v>152</v>
      </c>
      <c r="C6">
        <v>1</v>
      </c>
      <c r="D6" t="s">
        <v>139</v>
      </c>
    </row>
    <row r="8" spans="2:6" x14ac:dyDescent="0.25">
      <c r="B8" t="s">
        <v>144</v>
      </c>
      <c r="C8" s="29">
        <f>_R*SIN(_B*PI()/180)</f>
        <v>999.99999999999989</v>
      </c>
      <c r="D8" t="s">
        <v>140</v>
      </c>
      <c r="F8">
        <f>ATAN2(_xShip,_yShip)*180/PI()</f>
        <v>60.000000000000007</v>
      </c>
    </row>
    <row r="9" spans="2:6" x14ac:dyDescent="0.25">
      <c r="B9" t="s">
        <v>145</v>
      </c>
      <c r="C9" s="29">
        <f>_R*COS(_B*PI()/180)</f>
        <v>1732.0508075688774</v>
      </c>
      <c r="D9" t="s">
        <v>140</v>
      </c>
    </row>
    <row r="10" spans="2:6" x14ac:dyDescent="0.25">
      <c r="B10" t="s">
        <v>148</v>
      </c>
      <c r="C10">
        <f>_B-_AOB-90</f>
        <v>-90</v>
      </c>
      <c r="D10" t="s">
        <v>149</v>
      </c>
      <c r="F10">
        <f>ASIN(0.5626/2)*180/PI()</f>
        <v>16.337808095148048</v>
      </c>
    </row>
    <row r="11" spans="2:6" x14ac:dyDescent="0.25">
      <c r="B11" t="s">
        <v>147</v>
      </c>
      <c r="C11">
        <f>-SIN(PI()/180*_Theta)*_L</f>
        <v>100</v>
      </c>
    </row>
    <row r="12" spans="2:6" x14ac:dyDescent="0.25">
      <c r="B12" t="s">
        <v>146</v>
      </c>
      <c r="C12">
        <f>-COS(PI()/180*C10)*_L</f>
        <v>-6.1257422745431001E-15</v>
      </c>
      <c r="F12">
        <f>ATAN(C11/C12)*180/PI()</f>
        <v>-90</v>
      </c>
    </row>
    <row r="13" spans="2:6" x14ac:dyDescent="0.25">
      <c r="B13" t="s">
        <v>150</v>
      </c>
      <c r="C13">
        <f>CONVERT(CONVERT(_v,"kn","m/sec"),"m","yd")</f>
        <v>1.1252065714007973</v>
      </c>
      <c r="D13" t="s">
        <v>151</v>
      </c>
    </row>
    <row r="16" spans="2:6" x14ac:dyDescent="0.25">
      <c r="B16" t="s">
        <v>141</v>
      </c>
      <c r="C16" t="s">
        <v>142</v>
      </c>
      <c r="D16" t="s">
        <v>143</v>
      </c>
      <c r="E16" t="s">
        <v>153</v>
      </c>
      <c r="F16" t="s">
        <v>154</v>
      </c>
    </row>
    <row r="17" spans="2:15" x14ac:dyDescent="0.25">
      <c r="B17" cm="1">
        <f t="array" ref="B17:B216">_xlfn.SEQUENCE(200,1,0,1)</f>
        <v>0</v>
      </c>
      <c r="C17">
        <f t="shared" ref="C17:C48" si="0">COS(PI()/180*_Theta)*_vyps*B17+_xShip+__xL</f>
        <v>999.99999999999989</v>
      </c>
      <c r="D17">
        <f t="shared" ref="D17:D48" si="1">SIN(PI()/180*_Theta)*_vyps*B17+_yShip+_yL</f>
        <v>1832.0508075688774</v>
      </c>
      <c r="E17">
        <f>B17*CONVERT(CONVERT(_vSub,"kn","m/sec"),"m","yd")</f>
        <v>0</v>
      </c>
      <c r="F17" s="30">
        <f>ATAN2(C17,D17-E17)*180/PI()</f>
        <v>61.372681568138695</v>
      </c>
    </row>
    <row r="18" spans="2:15" x14ac:dyDescent="0.25">
      <c r="B18">
        <v>1</v>
      </c>
      <c r="C18">
        <f t="shared" si="0"/>
        <v>999.99999999999989</v>
      </c>
      <c r="D18">
        <f t="shared" si="1"/>
        <v>1830.9256009974765</v>
      </c>
      <c r="E18">
        <f t="shared" ref="E17:E48" si="2">B18*CONVERT(CONVERT(_vSub,"kn","m/sec"),"m","yd")</f>
        <v>0.56260328570039864</v>
      </c>
      <c r="F18" s="30">
        <f t="shared" ref="F18:F81" si="3">ATAN2(C18,D18-E18)*180/PI()</f>
        <v>61.350467620890392</v>
      </c>
    </row>
    <row r="19" spans="2:15" x14ac:dyDescent="0.25">
      <c r="B19">
        <v>2</v>
      </c>
      <c r="C19">
        <f t="shared" si="0"/>
        <v>999.99999999999989</v>
      </c>
      <c r="D19">
        <f t="shared" si="1"/>
        <v>1829.8003944260759</v>
      </c>
      <c r="E19">
        <f t="shared" si="2"/>
        <v>1.1252065714007973</v>
      </c>
      <c r="F19" s="30">
        <f t="shared" si="3"/>
        <v>61.328222100858852</v>
      </c>
      <c r="H19">
        <f>_nYpSKnot</f>
        <v>0.56260299999999996</v>
      </c>
    </row>
    <row r="20" spans="2:15" x14ac:dyDescent="0.25">
      <c r="B20">
        <v>3</v>
      </c>
      <c r="C20">
        <f t="shared" si="0"/>
        <v>999.99999999999989</v>
      </c>
      <c r="D20">
        <f t="shared" si="1"/>
        <v>1828.675187854675</v>
      </c>
      <c r="E20">
        <f t="shared" si="2"/>
        <v>1.6878098571011959</v>
      </c>
      <c r="F20" s="30">
        <f t="shared" si="3"/>
        <v>61.305944947405486</v>
      </c>
      <c r="M20" t="s">
        <v>155</v>
      </c>
    </row>
    <row r="21" spans="2:15" x14ac:dyDescent="0.25">
      <c r="B21">
        <v>4</v>
      </c>
      <c r="C21">
        <f t="shared" si="0"/>
        <v>999.99999999999989</v>
      </c>
      <c r="D21">
        <f t="shared" si="1"/>
        <v>1827.5499812832743</v>
      </c>
      <c r="E21">
        <f t="shared" si="2"/>
        <v>2.2504131428015945</v>
      </c>
      <c r="F21" s="30">
        <f t="shared" si="3"/>
        <v>61.283636099757352</v>
      </c>
    </row>
    <row r="22" spans="2:15" x14ac:dyDescent="0.25">
      <c r="B22">
        <v>5</v>
      </c>
      <c r="C22">
        <f t="shared" si="0"/>
        <v>999.99999999999989</v>
      </c>
      <c r="D22">
        <f t="shared" si="1"/>
        <v>1826.4247747118734</v>
      </c>
      <c r="E22">
        <f t="shared" si="2"/>
        <v>2.8130164285019932</v>
      </c>
      <c r="F22" s="30">
        <f t="shared" si="3"/>
        <v>61.261295497006905</v>
      </c>
      <c r="I22" cm="1">
        <f t="array" ref="I22">_fInt(90-_B,F17:F216,_xlfn.ANCHORARRAY(B17))</f>
        <v>59.248243695941532</v>
      </c>
      <c r="M22">
        <f>_L*SIN(_AOB*PI()/180)/I22</f>
        <v>0.84390687184918123</v>
      </c>
      <c r="N22" t="s">
        <v>156</v>
      </c>
    </row>
    <row r="23" spans="2:15" x14ac:dyDescent="0.25">
      <c r="B23">
        <v>6</v>
      </c>
      <c r="C23">
        <f t="shared" si="0"/>
        <v>999.99999999999989</v>
      </c>
      <c r="D23">
        <f t="shared" si="1"/>
        <v>1825.2995681404727</v>
      </c>
      <c r="E23">
        <f t="shared" si="2"/>
        <v>3.3756197142023918</v>
      </c>
      <c r="F23" s="30">
        <f t="shared" si="3"/>
        <v>61.238923078111746</v>
      </c>
      <c r="G23">
        <v>65.51903600418477</v>
      </c>
      <c r="M23">
        <f>M22*1.777</f>
        <v>1.4996225112759949</v>
      </c>
      <c r="N23" t="s">
        <v>139</v>
      </c>
      <c r="O23" t="s">
        <v>157</v>
      </c>
    </row>
    <row r="24" spans="2:15" x14ac:dyDescent="0.25">
      <c r="B24">
        <v>7</v>
      </c>
      <c r="C24">
        <f t="shared" si="0"/>
        <v>999.99999999999989</v>
      </c>
      <c r="D24">
        <f t="shared" si="1"/>
        <v>1824.1743615690718</v>
      </c>
      <c r="E24">
        <f t="shared" si="2"/>
        <v>3.9382229999027905</v>
      </c>
      <c r="F24" s="30">
        <f t="shared" si="3"/>
        <v>61.216518781894237</v>
      </c>
      <c r="I24">
        <f>_L</f>
        <v>100</v>
      </c>
      <c r="M24">
        <f>M23/SIN(_AOB*PI()/180)</f>
        <v>2.9992450225519902</v>
      </c>
      <c r="N24" t="s">
        <v>139</v>
      </c>
      <c r="O24" t="s">
        <v>158</v>
      </c>
    </row>
    <row r="25" spans="2:15" x14ac:dyDescent="0.25">
      <c r="B25">
        <v>8</v>
      </c>
      <c r="C25">
        <f t="shared" si="0"/>
        <v>999.99999999999989</v>
      </c>
      <c r="D25">
        <f t="shared" si="1"/>
        <v>1823.0491549976709</v>
      </c>
      <c r="E25">
        <f t="shared" si="2"/>
        <v>4.5008262856031891</v>
      </c>
      <c r="F25" s="30">
        <f t="shared" si="3"/>
        <v>61.194082547041305</v>
      </c>
      <c r="I25">
        <f>(_v+_vSub*SIN(_B*PI()/180)/COS((_AOB-(90-_B))*PI()/180))*_nYpSKnot</f>
        <v>1.450024993496891</v>
      </c>
    </row>
    <row r="26" spans="2:15" x14ac:dyDescent="0.25">
      <c r="B26">
        <v>9</v>
      </c>
      <c r="C26">
        <f t="shared" si="0"/>
        <v>999.99999999999989</v>
      </c>
      <c r="D26">
        <f t="shared" si="1"/>
        <v>1821.9239484262703</v>
      </c>
      <c r="E26">
        <f t="shared" si="2"/>
        <v>5.0634295713035877</v>
      </c>
      <c r="F26" s="30">
        <f t="shared" si="3"/>
        <v>61.171614312104111</v>
      </c>
      <c r="I26">
        <f>I24/I25</f>
        <v>68.964328510530891</v>
      </c>
    </row>
    <row r="27" spans="2:15" x14ac:dyDescent="0.25">
      <c r="B27">
        <v>10</v>
      </c>
      <c r="C27">
        <f t="shared" si="0"/>
        <v>999.99999999999989</v>
      </c>
      <c r="D27">
        <f t="shared" si="1"/>
        <v>1820.7987418548694</v>
      </c>
      <c r="E27">
        <f t="shared" si="2"/>
        <v>5.6260328570039864</v>
      </c>
      <c r="F27" s="30">
        <f t="shared" si="3"/>
        <v>61.149114015497787</v>
      </c>
      <c r="J27">
        <v>1.6880493882943532</v>
      </c>
      <c r="K27">
        <f>I24/J27</f>
        <v>59.23997289027335</v>
      </c>
      <c r="M27" t="s">
        <v>159</v>
      </c>
    </row>
    <row r="28" spans="2:15" x14ac:dyDescent="0.25">
      <c r="B28">
        <v>11</v>
      </c>
      <c r="C28">
        <f t="shared" si="0"/>
        <v>999.99999999999989</v>
      </c>
      <c r="D28">
        <f t="shared" si="1"/>
        <v>1819.6735352834687</v>
      </c>
      <c r="E28">
        <f t="shared" si="2"/>
        <v>6.188636142704385</v>
      </c>
      <c r="F28" s="30">
        <f t="shared" si="3"/>
        <v>61.126581595501086</v>
      </c>
      <c r="M28" t="s">
        <v>160</v>
      </c>
    </row>
    <row r="29" spans="2:15" x14ac:dyDescent="0.25">
      <c r="B29">
        <v>12</v>
      </c>
      <c r="C29">
        <f t="shared" si="0"/>
        <v>999.99999999999989</v>
      </c>
      <c r="D29">
        <f t="shared" si="1"/>
        <v>1818.5483287120678</v>
      </c>
      <c r="E29">
        <f t="shared" si="2"/>
        <v>6.7512394284047836</v>
      </c>
      <c r="F29" s="30">
        <f t="shared" si="3"/>
        <v>61.104016990256213</v>
      </c>
    </row>
    <row r="30" spans="2:15" x14ac:dyDescent="0.25">
      <c r="B30">
        <v>13</v>
      </c>
      <c r="C30">
        <f t="shared" si="0"/>
        <v>999.99999999999989</v>
      </c>
      <c r="D30">
        <f t="shared" si="1"/>
        <v>1817.4231221406671</v>
      </c>
      <c r="E30">
        <f t="shared" si="2"/>
        <v>7.3138427141051823</v>
      </c>
      <c r="F30" s="30">
        <f t="shared" si="3"/>
        <v>61.081420137768426</v>
      </c>
    </row>
    <row r="31" spans="2:15" x14ac:dyDescent="0.25">
      <c r="B31">
        <v>14</v>
      </c>
      <c r="C31">
        <f t="shared" si="0"/>
        <v>999.99999999999989</v>
      </c>
      <c r="D31">
        <f t="shared" si="1"/>
        <v>1816.2979155692663</v>
      </c>
      <c r="E31">
        <f t="shared" si="2"/>
        <v>7.8764459998055809</v>
      </c>
      <c r="F31" s="30">
        <f t="shared" si="3"/>
        <v>61.058790975905801</v>
      </c>
    </row>
    <row r="32" spans="2:15" x14ac:dyDescent="0.25">
      <c r="B32">
        <v>15</v>
      </c>
      <c r="C32">
        <f t="shared" si="0"/>
        <v>999.99999999999989</v>
      </c>
      <c r="D32">
        <f t="shared" si="1"/>
        <v>1815.1727089978654</v>
      </c>
      <c r="E32">
        <f t="shared" si="2"/>
        <v>8.4390492855059804</v>
      </c>
      <c r="F32" s="30">
        <f t="shared" si="3"/>
        <v>61.036129442398931</v>
      </c>
    </row>
    <row r="33" spans="2:6" x14ac:dyDescent="0.25">
      <c r="B33">
        <v>16</v>
      </c>
      <c r="C33">
        <f t="shared" si="0"/>
        <v>999.99999999999989</v>
      </c>
      <c r="D33">
        <f t="shared" si="1"/>
        <v>1814.0475024264647</v>
      </c>
      <c r="E33">
        <f t="shared" si="2"/>
        <v>9.0016525712063782</v>
      </c>
      <c r="F33" s="30">
        <f t="shared" si="3"/>
        <v>61.013435474840612</v>
      </c>
    </row>
    <row r="34" spans="2:6" x14ac:dyDescent="0.25">
      <c r="B34">
        <v>17</v>
      </c>
      <c r="C34">
        <f t="shared" si="0"/>
        <v>999.99999999999989</v>
      </c>
      <c r="D34">
        <f t="shared" si="1"/>
        <v>1812.9222958550638</v>
      </c>
      <c r="E34">
        <f t="shared" si="2"/>
        <v>9.5642558569067759</v>
      </c>
      <c r="F34" s="30">
        <f t="shared" si="3"/>
        <v>60.990709010685613</v>
      </c>
    </row>
    <row r="35" spans="2:6" x14ac:dyDescent="0.25">
      <c r="B35">
        <v>18</v>
      </c>
      <c r="C35">
        <f t="shared" si="0"/>
        <v>999.99999999999989</v>
      </c>
      <c r="D35">
        <f t="shared" si="1"/>
        <v>1811.7970892836631</v>
      </c>
      <c r="E35">
        <f t="shared" si="2"/>
        <v>10.126859142607175</v>
      </c>
      <c r="F35" s="30">
        <f t="shared" si="3"/>
        <v>60.967949987250336</v>
      </c>
    </row>
    <row r="36" spans="2:6" x14ac:dyDescent="0.25">
      <c r="B36">
        <v>19</v>
      </c>
      <c r="C36">
        <f t="shared" si="0"/>
        <v>999.99999999999989</v>
      </c>
      <c r="D36">
        <f t="shared" si="1"/>
        <v>1810.6718827122622</v>
      </c>
      <c r="E36">
        <f t="shared" si="2"/>
        <v>10.689462428307575</v>
      </c>
      <c r="F36" s="30">
        <f t="shared" si="3"/>
        <v>60.94515834171257</v>
      </c>
    </row>
    <row r="37" spans="2:6" x14ac:dyDescent="0.25">
      <c r="B37">
        <v>20</v>
      </c>
      <c r="C37">
        <f t="shared" si="0"/>
        <v>999.99999999999989</v>
      </c>
      <c r="D37">
        <f t="shared" si="1"/>
        <v>1809.5466761408616</v>
      </c>
      <c r="E37">
        <f t="shared" si="2"/>
        <v>11.252065714007973</v>
      </c>
      <c r="F37" s="30">
        <f t="shared" si="3"/>
        <v>60.922334011111147</v>
      </c>
    </row>
    <row r="38" spans="2:6" x14ac:dyDescent="0.25">
      <c r="B38">
        <v>21</v>
      </c>
      <c r="C38">
        <f t="shared" si="0"/>
        <v>999.99999999999989</v>
      </c>
      <c r="D38">
        <f t="shared" si="1"/>
        <v>1808.4214695694607</v>
      </c>
      <c r="E38">
        <f t="shared" si="2"/>
        <v>11.81466899970837</v>
      </c>
      <c r="F38" s="30">
        <f t="shared" si="3"/>
        <v>60.899476932345685</v>
      </c>
    </row>
    <row r="39" spans="2:6" x14ac:dyDescent="0.25">
      <c r="B39">
        <v>22</v>
      </c>
      <c r="C39">
        <f t="shared" si="0"/>
        <v>999.99999999999989</v>
      </c>
      <c r="D39">
        <f t="shared" si="1"/>
        <v>1807.2962629980598</v>
      </c>
      <c r="E39">
        <f t="shared" si="2"/>
        <v>12.37727228540877</v>
      </c>
      <c r="F39" s="30">
        <f t="shared" si="3"/>
        <v>60.876587042176304</v>
      </c>
    </row>
    <row r="40" spans="2:6" x14ac:dyDescent="0.25">
      <c r="B40">
        <v>23</v>
      </c>
      <c r="C40">
        <f t="shared" si="0"/>
        <v>999.99999999999989</v>
      </c>
      <c r="D40">
        <f t="shared" si="1"/>
        <v>1806.1710564266591</v>
      </c>
      <c r="E40">
        <f t="shared" si="2"/>
        <v>12.93987557110917</v>
      </c>
      <c r="F40" s="30">
        <f t="shared" si="3"/>
        <v>60.853664277223324</v>
      </c>
    </row>
    <row r="41" spans="2:6" x14ac:dyDescent="0.25">
      <c r="B41">
        <v>24</v>
      </c>
      <c r="C41">
        <f t="shared" si="0"/>
        <v>999.99999999999989</v>
      </c>
      <c r="D41">
        <f t="shared" si="1"/>
        <v>1805.0458498552582</v>
      </c>
      <c r="E41">
        <f t="shared" si="2"/>
        <v>13.502478856809567</v>
      </c>
      <c r="F41" s="30">
        <f t="shared" si="3"/>
        <v>60.83070857396698</v>
      </c>
    </row>
    <row r="42" spans="2:6" x14ac:dyDescent="0.25">
      <c r="B42">
        <v>25</v>
      </c>
      <c r="C42">
        <f t="shared" si="0"/>
        <v>999.99999999999989</v>
      </c>
      <c r="D42">
        <f t="shared" si="1"/>
        <v>1803.9206432838575</v>
      </c>
      <c r="E42">
        <f t="shared" si="2"/>
        <v>14.065082142509965</v>
      </c>
      <c r="F42" s="30">
        <f t="shared" si="3"/>
        <v>60.807719868747121</v>
      </c>
    </row>
    <row r="43" spans="2:6" x14ac:dyDescent="0.25">
      <c r="B43">
        <v>26</v>
      </c>
      <c r="C43">
        <f t="shared" si="0"/>
        <v>999.99999999999989</v>
      </c>
      <c r="D43">
        <f t="shared" si="1"/>
        <v>1802.7954367124566</v>
      </c>
      <c r="E43">
        <f t="shared" si="2"/>
        <v>14.627685428210365</v>
      </c>
      <c r="F43" s="30">
        <f t="shared" si="3"/>
        <v>60.78469809776292</v>
      </c>
    </row>
    <row r="44" spans="2:6" x14ac:dyDescent="0.25">
      <c r="B44">
        <v>27</v>
      </c>
      <c r="C44">
        <f t="shared" si="0"/>
        <v>999.99999999999989</v>
      </c>
      <c r="D44">
        <f t="shared" si="1"/>
        <v>1801.670230141056</v>
      </c>
      <c r="E44">
        <f t="shared" si="2"/>
        <v>15.190288713910764</v>
      </c>
      <c r="F44" s="30">
        <f t="shared" si="3"/>
        <v>60.761643197072623</v>
      </c>
    </row>
    <row r="45" spans="2:6" x14ac:dyDescent="0.25">
      <c r="B45">
        <v>28</v>
      </c>
      <c r="C45">
        <f t="shared" si="0"/>
        <v>999.99999999999989</v>
      </c>
      <c r="D45">
        <f t="shared" si="1"/>
        <v>1800.5450235696551</v>
      </c>
      <c r="E45">
        <f t="shared" si="2"/>
        <v>15.752891999611162</v>
      </c>
      <c r="F45" s="30">
        <f t="shared" si="3"/>
        <v>60.73855510259316</v>
      </c>
    </row>
    <row r="46" spans="2:6" x14ac:dyDescent="0.25">
      <c r="B46">
        <v>29</v>
      </c>
      <c r="C46">
        <f t="shared" si="0"/>
        <v>999.99999999999989</v>
      </c>
      <c r="D46">
        <f t="shared" si="1"/>
        <v>1799.4198169982542</v>
      </c>
      <c r="E46">
        <f t="shared" si="2"/>
        <v>16.31549528531156</v>
      </c>
      <c r="F46" s="30">
        <f t="shared" si="3"/>
        <v>60.715433750100011</v>
      </c>
    </row>
    <row r="47" spans="2:6" x14ac:dyDescent="0.25">
      <c r="B47">
        <v>30</v>
      </c>
      <c r="C47">
        <f t="shared" si="0"/>
        <v>999.99999999999989</v>
      </c>
      <c r="D47">
        <f t="shared" si="1"/>
        <v>1798.2946104268535</v>
      </c>
      <c r="E47">
        <f t="shared" si="2"/>
        <v>16.878098571011961</v>
      </c>
      <c r="F47" s="30">
        <f t="shared" si="3"/>
        <v>60.692279075226736</v>
      </c>
    </row>
    <row r="48" spans="2:6" x14ac:dyDescent="0.25">
      <c r="B48">
        <v>31</v>
      </c>
      <c r="C48">
        <f t="shared" si="0"/>
        <v>999.99999999999989</v>
      </c>
      <c r="D48">
        <f t="shared" si="1"/>
        <v>1797.1694038554526</v>
      </c>
      <c r="E48">
        <f t="shared" si="2"/>
        <v>17.440701856712359</v>
      </c>
      <c r="F48" s="30">
        <f t="shared" si="3"/>
        <v>60.669091013464815</v>
      </c>
    </row>
    <row r="49" spans="2:6" x14ac:dyDescent="0.25">
      <c r="B49">
        <v>32</v>
      </c>
      <c r="C49">
        <f t="shared" ref="C49:C80" si="4">COS(PI()/180*_Theta)*_vyps*B49+_xShip+__xL</f>
        <v>999.99999999999989</v>
      </c>
      <c r="D49">
        <f t="shared" ref="D49:D80" si="5">SIN(PI()/180*_Theta)*_vyps*B49+_yShip+_yL</f>
        <v>1796.044197284052</v>
      </c>
      <c r="E49">
        <f t="shared" ref="E49:E80" si="6">B49*CONVERT(CONVERT(_vSub,"kn","m/sec"),"m","yd")</f>
        <v>18.003305142412756</v>
      </c>
      <c r="F49" s="30">
        <f t="shared" si="3"/>
        <v>60.645869500163286</v>
      </c>
    </row>
    <row r="50" spans="2:6" x14ac:dyDescent="0.25">
      <c r="B50">
        <v>33</v>
      </c>
      <c r="C50">
        <f t="shared" si="4"/>
        <v>999.99999999999989</v>
      </c>
      <c r="D50">
        <f t="shared" si="5"/>
        <v>1794.9189907126511</v>
      </c>
      <c r="E50">
        <f t="shared" si="6"/>
        <v>18.565908428113154</v>
      </c>
      <c r="F50" s="30">
        <f t="shared" si="3"/>
        <v>60.622614470528504</v>
      </c>
    </row>
    <row r="51" spans="2:6" x14ac:dyDescent="0.25">
      <c r="B51">
        <v>34</v>
      </c>
      <c r="C51">
        <f t="shared" si="4"/>
        <v>999.99999999999989</v>
      </c>
      <c r="D51">
        <f t="shared" si="5"/>
        <v>1793.7937841412504</v>
      </c>
      <c r="E51">
        <f t="shared" si="6"/>
        <v>19.128511713813552</v>
      </c>
      <c r="F51" s="30">
        <f t="shared" si="3"/>
        <v>60.599325859623804</v>
      </c>
    </row>
    <row r="52" spans="2:6" x14ac:dyDescent="0.25">
      <c r="B52">
        <v>35</v>
      </c>
      <c r="C52">
        <f t="shared" si="4"/>
        <v>999.99999999999989</v>
      </c>
      <c r="D52">
        <f t="shared" si="5"/>
        <v>1792.6685775698495</v>
      </c>
      <c r="E52">
        <f t="shared" si="6"/>
        <v>19.691114999513953</v>
      </c>
      <c r="F52" s="30">
        <f t="shared" si="3"/>
        <v>60.576003602369234</v>
      </c>
    </row>
    <row r="53" spans="2:6" x14ac:dyDescent="0.25">
      <c r="B53">
        <v>36</v>
      </c>
      <c r="C53">
        <f t="shared" si="4"/>
        <v>999.99999999999989</v>
      </c>
      <c r="D53">
        <f t="shared" si="5"/>
        <v>1791.5433709984486</v>
      </c>
      <c r="E53">
        <f t="shared" si="6"/>
        <v>20.253718285214351</v>
      </c>
      <c r="F53" s="30">
        <f t="shared" si="3"/>
        <v>60.552647633541234</v>
      </c>
    </row>
    <row r="54" spans="2:6" x14ac:dyDescent="0.25">
      <c r="B54">
        <v>37</v>
      </c>
      <c r="C54">
        <f t="shared" si="4"/>
        <v>999.99999999999989</v>
      </c>
      <c r="D54">
        <f t="shared" si="5"/>
        <v>1790.4181644270479</v>
      </c>
      <c r="E54">
        <f t="shared" si="6"/>
        <v>20.816321570914749</v>
      </c>
      <c r="F54" s="30">
        <f t="shared" si="3"/>
        <v>60.52925788777241</v>
      </c>
    </row>
    <row r="55" spans="2:6" x14ac:dyDescent="0.25">
      <c r="B55">
        <v>38</v>
      </c>
      <c r="C55">
        <f t="shared" si="4"/>
        <v>999.99999999999989</v>
      </c>
      <c r="D55">
        <f t="shared" si="5"/>
        <v>1789.292957855647</v>
      </c>
      <c r="E55">
        <f t="shared" si="6"/>
        <v>21.37892485661515</v>
      </c>
      <c r="F55" s="30">
        <f t="shared" si="3"/>
        <v>60.505834299551168</v>
      </c>
    </row>
    <row r="56" spans="2:6" x14ac:dyDescent="0.25">
      <c r="B56">
        <v>39</v>
      </c>
      <c r="C56">
        <f t="shared" si="4"/>
        <v>999.99999999999989</v>
      </c>
      <c r="D56">
        <f t="shared" si="5"/>
        <v>1788.1677512842464</v>
      </c>
      <c r="E56">
        <f t="shared" si="6"/>
        <v>21.941528142315548</v>
      </c>
      <c r="F56" s="30">
        <f t="shared" si="3"/>
        <v>60.482376803221456</v>
      </c>
    </row>
    <row r="57" spans="2:6" x14ac:dyDescent="0.25">
      <c r="B57">
        <v>40</v>
      </c>
      <c r="C57">
        <f t="shared" si="4"/>
        <v>999.99999999999989</v>
      </c>
      <c r="D57">
        <f t="shared" si="5"/>
        <v>1787.0425447128455</v>
      </c>
      <c r="E57">
        <f t="shared" si="6"/>
        <v>22.504131428015945</v>
      </c>
      <c r="F57" s="30">
        <f t="shared" si="3"/>
        <v>60.458885332982447</v>
      </c>
    </row>
    <row r="58" spans="2:6" x14ac:dyDescent="0.25">
      <c r="B58">
        <v>41</v>
      </c>
      <c r="C58">
        <f t="shared" si="4"/>
        <v>999.99999999999989</v>
      </c>
      <c r="D58">
        <f t="shared" si="5"/>
        <v>1785.9173381414448</v>
      </c>
      <c r="E58">
        <f t="shared" si="6"/>
        <v>23.066734713716343</v>
      </c>
      <c r="F58" s="30">
        <f t="shared" si="3"/>
        <v>60.435359822888294</v>
      </c>
    </row>
    <row r="59" spans="2:6" x14ac:dyDescent="0.25">
      <c r="B59">
        <v>42</v>
      </c>
      <c r="C59">
        <f t="shared" si="4"/>
        <v>999.99999999999989</v>
      </c>
      <c r="D59">
        <f t="shared" si="5"/>
        <v>1784.7921315700439</v>
      </c>
      <c r="E59">
        <f t="shared" si="6"/>
        <v>23.629337999416741</v>
      </c>
      <c r="F59" s="30">
        <f t="shared" si="3"/>
        <v>60.411800206847786</v>
      </c>
    </row>
    <row r="60" spans="2:6" x14ac:dyDescent="0.25">
      <c r="B60">
        <v>43</v>
      </c>
      <c r="C60">
        <f t="shared" si="4"/>
        <v>999.99999999999989</v>
      </c>
      <c r="D60">
        <f t="shared" si="5"/>
        <v>1783.666924998643</v>
      </c>
      <c r="E60">
        <f t="shared" si="6"/>
        <v>24.191941285117142</v>
      </c>
      <c r="F60" s="30">
        <f t="shared" si="3"/>
        <v>60.38820641862408</v>
      </c>
    </row>
    <row r="61" spans="2:6" x14ac:dyDescent="0.25">
      <c r="B61">
        <v>44</v>
      </c>
      <c r="C61">
        <f t="shared" si="4"/>
        <v>999.99999999999989</v>
      </c>
      <c r="D61">
        <f t="shared" si="5"/>
        <v>1782.5417184272424</v>
      </c>
      <c r="E61">
        <f t="shared" si="6"/>
        <v>24.75454457081754</v>
      </c>
      <c r="F61" s="30">
        <f t="shared" si="3"/>
        <v>60.364578391834407</v>
      </c>
    </row>
    <row r="62" spans="2:6" x14ac:dyDescent="0.25">
      <c r="B62">
        <v>45</v>
      </c>
      <c r="C62">
        <f t="shared" si="4"/>
        <v>999.99999999999989</v>
      </c>
      <c r="D62">
        <f t="shared" si="5"/>
        <v>1781.4165118558415</v>
      </c>
      <c r="E62">
        <f t="shared" si="6"/>
        <v>25.317147856517938</v>
      </c>
      <c r="F62" s="30">
        <f t="shared" si="3"/>
        <v>60.340916059949784</v>
      </c>
    </row>
    <row r="63" spans="2:6" x14ac:dyDescent="0.25">
      <c r="B63">
        <v>46</v>
      </c>
      <c r="C63">
        <f t="shared" si="4"/>
        <v>999.99999999999989</v>
      </c>
      <c r="D63">
        <f t="shared" si="5"/>
        <v>1780.2913052844408</v>
      </c>
      <c r="E63">
        <f t="shared" si="6"/>
        <v>25.879751142218339</v>
      </c>
      <c r="F63" s="30">
        <f t="shared" si="3"/>
        <v>60.317219356294686</v>
      </c>
    </row>
    <row r="64" spans="2:6" x14ac:dyDescent="0.25">
      <c r="B64">
        <v>47</v>
      </c>
      <c r="C64">
        <f t="shared" si="4"/>
        <v>999.99999999999989</v>
      </c>
      <c r="D64">
        <f t="shared" si="5"/>
        <v>1779.1660987130399</v>
      </c>
      <c r="E64">
        <f t="shared" si="6"/>
        <v>26.442354427918737</v>
      </c>
      <c r="F64" s="30">
        <f t="shared" si="3"/>
        <v>60.293488214046803</v>
      </c>
    </row>
    <row r="65" spans="2:6" x14ac:dyDescent="0.25">
      <c r="B65">
        <v>48</v>
      </c>
      <c r="C65">
        <f t="shared" si="4"/>
        <v>999.99999999999989</v>
      </c>
      <c r="D65">
        <f t="shared" si="5"/>
        <v>1778.0408921416392</v>
      </c>
      <c r="E65">
        <f t="shared" si="6"/>
        <v>27.004957713619135</v>
      </c>
      <c r="F65" s="30">
        <f t="shared" si="3"/>
        <v>60.269722566236695</v>
      </c>
    </row>
    <row r="66" spans="2:6" x14ac:dyDescent="0.25">
      <c r="B66">
        <v>49</v>
      </c>
      <c r="C66">
        <f t="shared" si="4"/>
        <v>999.99999999999989</v>
      </c>
      <c r="D66">
        <f t="shared" si="5"/>
        <v>1776.9156855702383</v>
      </c>
      <c r="E66">
        <f t="shared" si="6"/>
        <v>27.567560999319532</v>
      </c>
      <c r="F66" s="30">
        <f t="shared" si="3"/>
        <v>60.245922345747552</v>
      </c>
    </row>
    <row r="67" spans="2:6" x14ac:dyDescent="0.25">
      <c r="B67">
        <v>50</v>
      </c>
      <c r="C67">
        <f t="shared" si="4"/>
        <v>999.99999999999989</v>
      </c>
      <c r="D67">
        <f t="shared" si="5"/>
        <v>1775.7904789988374</v>
      </c>
      <c r="E67">
        <f t="shared" si="6"/>
        <v>28.13016428501993</v>
      </c>
      <c r="F67" s="30">
        <f t="shared" si="3"/>
        <v>60.222087485314866</v>
      </c>
    </row>
    <row r="68" spans="2:6" x14ac:dyDescent="0.25">
      <c r="B68">
        <v>51</v>
      </c>
      <c r="C68">
        <f t="shared" si="4"/>
        <v>999.99999999999989</v>
      </c>
      <c r="D68">
        <f t="shared" si="5"/>
        <v>1774.6652724274368</v>
      </c>
      <c r="E68">
        <f t="shared" si="6"/>
        <v>28.692767570720331</v>
      </c>
      <c r="F68" s="30">
        <f t="shared" si="3"/>
        <v>60.198217917526115</v>
      </c>
    </row>
    <row r="69" spans="2:6" x14ac:dyDescent="0.25">
      <c r="B69">
        <v>52</v>
      </c>
      <c r="C69">
        <f t="shared" si="4"/>
        <v>999.99999999999989</v>
      </c>
      <c r="D69">
        <f t="shared" si="5"/>
        <v>1773.5400658560359</v>
      </c>
      <c r="E69">
        <f t="shared" si="6"/>
        <v>29.255370856420729</v>
      </c>
      <c r="F69" s="30">
        <f t="shared" si="3"/>
        <v>60.17431357482053</v>
      </c>
    </row>
    <row r="70" spans="2:6" x14ac:dyDescent="0.25">
      <c r="B70">
        <v>53</v>
      </c>
      <c r="C70">
        <f t="shared" si="4"/>
        <v>999.99999999999989</v>
      </c>
      <c r="D70">
        <f t="shared" si="5"/>
        <v>1772.4148592846352</v>
      </c>
      <c r="E70">
        <f t="shared" si="6"/>
        <v>29.817974142121127</v>
      </c>
      <c r="F70" s="30">
        <f t="shared" si="3"/>
        <v>60.150374389488761</v>
      </c>
    </row>
    <row r="71" spans="2:6" x14ac:dyDescent="0.25">
      <c r="B71">
        <v>54</v>
      </c>
      <c r="C71">
        <f t="shared" si="4"/>
        <v>999.99999999999989</v>
      </c>
      <c r="D71">
        <f t="shared" si="5"/>
        <v>1771.2896527132343</v>
      </c>
      <c r="E71">
        <f t="shared" si="6"/>
        <v>30.380577427821528</v>
      </c>
      <c r="F71" s="30">
        <f t="shared" si="3"/>
        <v>60.126400293672575</v>
      </c>
    </row>
    <row r="72" spans="2:6" x14ac:dyDescent="0.25">
      <c r="B72">
        <v>55</v>
      </c>
      <c r="C72">
        <f t="shared" si="4"/>
        <v>999.99999999999989</v>
      </c>
      <c r="D72">
        <f t="shared" si="5"/>
        <v>1770.1644461418337</v>
      </c>
      <c r="E72">
        <f t="shared" si="6"/>
        <v>30.943180713521926</v>
      </c>
      <c r="F72" s="30">
        <f t="shared" si="3"/>
        <v>60.102391219364605</v>
      </c>
    </row>
    <row r="73" spans="2:6" x14ac:dyDescent="0.25">
      <c r="B73">
        <v>56</v>
      </c>
      <c r="C73">
        <f t="shared" si="4"/>
        <v>999.99999999999989</v>
      </c>
      <c r="D73">
        <f t="shared" si="5"/>
        <v>1769.0392395704328</v>
      </c>
      <c r="E73">
        <f t="shared" si="6"/>
        <v>31.505783999222324</v>
      </c>
      <c r="F73" s="30">
        <f t="shared" si="3"/>
        <v>60.078347098407981</v>
      </c>
    </row>
    <row r="74" spans="2:6" x14ac:dyDescent="0.25">
      <c r="B74">
        <v>57</v>
      </c>
      <c r="C74">
        <f t="shared" si="4"/>
        <v>999.99999999999989</v>
      </c>
      <c r="D74">
        <f t="shared" si="5"/>
        <v>1767.9140329990319</v>
      </c>
      <c r="E74">
        <f t="shared" si="6"/>
        <v>32.068387284922721</v>
      </c>
      <c r="F74" s="30">
        <f t="shared" si="3"/>
        <v>60.054267862496154</v>
      </c>
    </row>
    <row r="75" spans="2:6" x14ac:dyDescent="0.25">
      <c r="B75">
        <v>58</v>
      </c>
      <c r="C75">
        <f t="shared" si="4"/>
        <v>999.99999999999989</v>
      </c>
      <c r="D75">
        <f t="shared" si="5"/>
        <v>1766.7888264276312</v>
      </c>
      <c r="E75">
        <f t="shared" si="6"/>
        <v>32.630990570623119</v>
      </c>
      <c r="F75" s="30">
        <f t="shared" si="3"/>
        <v>60.030153443172459</v>
      </c>
    </row>
    <row r="76" spans="2:6" x14ac:dyDescent="0.25">
      <c r="B76">
        <v>59</v>
      </c>
      <c r="C76">
        <f t="shared" si="4"/>
        <v>999.99999999999989</v>
      </c>
      <c r="D76">
        <f t="shared" si="5"/>
        <v>1765.6636198562303</v>
      </c>
      <c r="E76">
        <f t="shared" si="6"/>
        <v>33.193593856323517</v>
      </c>
      <c r="F76" s="30">
        <f t="shared" si="3"/>
        <v>60.006003771829931</v>
      </c>
    </row>
    <row r="77" spans="2:6" x14ac:dyDescent="0.25">
      <c r="B77">
        <v>60</v>
      </c>
      <c r="C77">
        <f t="shared" si="4"/>
        <v>999.99999999999989</v>
      </c>
      <c r="D77">
        <f t="shared" si="5"/>
        <v>1764.5384132848296</v>
      </c>
      <c r="E77">
        <f t="shared" si="6"/>
        <v>33.756197142023922</v>
      </c>
      <c r="F77" s="30">
        <f t="shared" si="3"/>
        <v>59.981818779710956</v>
      </c>
    </row>
    <row r="78" spans="2:6" x14ac:dyDescent="0.25">
      <c r="B78">
        <v>61</v>
      </c>
      <c r="C78">
        <f t="shared" si="4"/>
        <v>999.99999999999989</v>
      </c>
      <c r="D78">
        <f t="shared" si="5"/>
        <v>1763.4132067134287</v>
      </c>
      <c r="E78">
        <f t="shared" si="6"/>
        <v>34.318800427724319</v>
      </c>
      <c r="F78" s="30">
        <f t="shared" si="3"/>
        <v>59.957598397907013</v>
      </c>
    </row>
    <row r="79" spans="2:6" x14ac:dyDescent="0.25">
      <c r="B79">
        <v>62</v>
      </c>
      <c r="C79">
        <f t="shared" si="4"/>
        <v>999.99999999999989</v>
      </c>
      <c r="D79">
        <f t="shared" si="5"/>
        <v>1762.2880001420281</v>
      </c>
      <c r="E79">
        <f t="shared" si="6"/>
        <v>34.881403713424717</v>
      </c>
      <c r="F79" s="30">
        <f t="shared" si="3"/>
        <v>59.933342557358323</v>
      </c>
    </row>
    <row r="80" spans="2:6" x14ac:dyDescent="0.25">
      <c r="B80">
        <v>63</v>
      </c>
      <c r="C80">
        <f t="shared" si="4"/>
        <v>999.99999999999989</v>
      </c>
      <c r="D80">
        <f t="shared" si="5"/>
        <v>1761.1627935706272</v>
      </c>
      <c r="E80">
        <f t="shared" si="6"/>
        <v>35.444006999125115</v>
      </c>
      <c r="F80" s="30">
        <f t="shared" si="3"/>
        <v>59.909051188853638</v>
      </c>
    </row>
    <row r="81" spans="2:6" x14ac:dyDescent="0.25">
      <c r="B81">
        <v>64</v>
      </c>
      <c r="C81">
        <f t="shared" ref="C81:C112" si="7">COS(PI()/180*_Theta)*_vyps*B81+_xShip+__xL</f>
        <v>999.99999999999989</v>
      </c>
      <c r="D81">
        <f t="shared" ref="D81:D112" si="8">SIN(PI()/180*_Theta)*_vyps*B81+_yShip+_yL</f>
        <v>1760.0375869992263</v>
      </c>
      <c r="E81">
        <f t="shared" ref="E81:E112" si="9">B81*CONVERT(CONVERT(_vSub,"kn","m/sec"),"m","yd")</f>
        <v>36.006610284825513</v>
      </c>
      <c r="F81" s="30">
        <f t="shared" si="3"/>
        <v>59.88472422302987</v>
      </c>
    </row>
    <row r="82" spans="2:6" x14ac:dyDescent="0.25">
      <c r="B82">
        <v>65</v>
      </c>
      <c r="C82">
        <f t="shared" si="7"/>
        <v>999.99999999999989</v>
      </c>
      <c r="D82">
        <f t="shared" si="8"/>
        <v>1758.9123804278256</v>
      </c>
      <c r="E82">
        <f t="shared" si="9"/>
        <v>36.56921357052591</v>
      </c>
      <c r="F82" s="30">
        <f t="shared" ref="F82:F145" si="10">ATAN2(C82,D82-E82)*180/PI()</f>
        <v>59.860361590371824</v>
      </c>
    </row>
    <row r="83" spans="2:6" x14ac:dyDescent="0.25">
      <c r="B83">
        <v>66</v>
      </c>
      <c r="C83">
        <f t="shared" si="7"/>
        <v>999.99999999999989</v>
      </c>
      <c r="D83">
        <f t="shared" si="8"/>
        <v>1757.7871738564247</v>
      </c>
      <c r="E83">
        <f t="shared" si="9"/>
        <v>37.131816856226308</v>
      </c>
      <c r="F83" s="30">
        <f t="shared" si="10"/>
        <v>59.835963221211898</v>
      </c>
    </row>
    <row r="84" spans="2:6" x14ac:dyDescent="0.25">
      <c r="B84">
        <v>67</v>
      </c>
      <c r="C84">
        <f t="shared" si="7"/>
        <v>999.99999999999989</v>
      </c>
      <c r="D84">
        <f t="shared" si="8"/>
        <v>1756.661967285024</v>
      </c>
      <c r="E84">
        <f t="shared" si="9"/>
        <v>37.694420141926706</v>
      </c>
      <c r="F84" s="30">
        <f t="shared" si="10"/>
        <v>59.811529045729856</v>
      </c>
    </row>
    <row r="85" spans="2:6" x14ac:dyDescent="0.25">
      <c r="B85">
        <v>68</v>
      </c>
      <c r="C85">
        <f t="shared" si="7"/>
        <v>999.99999999999989</v>
      </c>
      <c r="D85">
        <f t="shared" si="8"/>
        <v>1755.5367607136232</v>
      </c>
      <c r="E85">
        <f t="shared" si="9"/>
        <v>38.257023427627104</v>
      </c>
      <c r="F85" s="30">
        <f t="shared" si="10"/>
        <v>59.787058993952385</v>
      </c>
    </row>
    <row r="86" spans="2:6" x14ac:dyDescent="0.25">
      <c r="B86">
        <v>69</v>
      </c>
      <c r="C86">
        <f t="shared" si="7"/>
        <v>999.99999999999989</v>
      </c>
      <c r="D86">
        <f t="shared" si="8"/>
        <v>1754.4115541422225</v>
      </c>
      <c r="E86">
        <f t="shared" si="9"/>
        <v>38.819626713327509</v>
      </c>
      <c r="F86" s="30">
        <f t="shared" si="10"/>
        <v>59.762552995752976</v>
      </c>
    </row>
    <row r="87" spans="2:6" x14ac:dyDescent="0.25">
      <c r="B87">
        <v>70</v>
      </c>
      <c r="C87">
        <f t="shared" si="7"/>
        <v>999.99999999999989</v>
      </c>
      <c r="D87">
        <f t="shared" si="8"/>
        <v>1753.2863475708216</v>
      </c>
      <c r="E87">
        <f t="shared" si="9"/>
        <v>39.382229999027906</v>
      </c>
      <c r="F87" s="30">
        <f t="shared" si="10"/>
        <v>59.738010980851485</v>
      </c>
    </row>
    <row r="88" spans="2:6" x14ac:dyDescent="0.25">
      <c r="B88">
        <v>71</v>
      </c>
      <c r="C88">
        <f t="shared" si="7"/>
        <v>999.99999999999989</v>
      </c>
      <c r="D88">
        <f t="shared" si="8"/>
        <v>1752.1611409994207</v>
      </c>
      <c r="E88">
        <f t="shared" si="9"/>
        <v>39.944833284728304</v>
      </c>
      <c r="F88" s="30">
        <f t="shared" si="10"/>
        <v>59.713432878813911</v>
      </c>
    </row>
    <row r="89" spans="2:6" x14ac:dyDescent="0.25">
      <c r="B89">
        <v>72</v>
      </c>
      <c r="C89">
        <f t="shared" si="7"/>
        <v>999.99999999999989</v>
      </c>
      <c r="D89">
        <f t="shared" si="8"/>
        <v>1751.03593442802</v>
      </c>
      <c r="E89">
        <f t="shared" si="9"/>
        <v>40.507436570428702</v>
      </c>
      <c r="F89" s="30">
        <f t="shared" si="10"/>
        <v>59.688818619052114</v>
      </c>
    </row>
    <row r="90" spans="2:6" x14ac:dyDescent="0.25">
      <c r="B90">
        <v>73</v>
      </c>
      <c r="C90">
        <f t="shared" si="7"/>
        <v>999.99999999999989</v>
      </c>
      <c r="D90">
        <f t="shared" si="8"/>
        <v>1749.9107278566191</v>
      </c>
      <c r="E90">
        <f t="shared" si="9"/>
        <v>41.0700398561291</v>
      </c>
      <c r="F90" s="30">
        <f t="shared" si="10"/>
        <v>59.664168130823491</v>
      </c>
    </row>
    <row r="91" spans="2:6" x14ac:dyDescent="0.25">
      <c r="B91">
        <v>74</v>
      </c>
      <c r="C91">
        <f t="shared" si="7"/>
        <v>999.99999999999989</v>
      </c>
      <c r="D91">
        <f t="shared" si="8"/>
        <v>1748.7855212852185</v>
      </c>
      <c r="E91">
        <f t="shared" si="9"/>
        <v>41.632643141829497</v>
      </c>
      <c r="F91" s="30">
        <f t="shared" si="10"/>
        <v>59.639481343230649</v>
      </c>
    </row>
    <row r="92" spans="2:6" x14ac:dyDescent="0.25">
      <c r="B92">
        <v>75</v>
      </c>
      <c r="C92">
        <f t="shared" si="7"/>
        <v>999.99999999999989</v>
      </c>
      <c r="D92">
        <f t="shared" si="8"/>
        <v>1747.6603147138176</v>
      </c>
      <c r="E92">
        <f t="shared" si="9"/>
        <v>42.195246427529895</v>
      </c>
      <c r="F92" s="30">
        <f t="shared" si="10"/>
        <v>59.614758185221199</v>
      </c>
    </row>
    <row r="93" spans="2:6" x14ac:dyDescent="0.25">
      <c r="B93">
        <v>76</v>
      </c>
      <c r="C93">
        <f t="shared" si="7"/>
        <v>999.99999999999989</v>
      </c>
      <c r="D93">
        <f t="shared" si="8"/>
        <v>1746.5351081424169</v>
      </c>
      <c r="E93">
        <f t="shared" si="9"/>
        <v>42.7578497132303</v>
      </c>
      <c r="F93" s="30">
        <f t="shared" si="10"/>
        <v>59.589998585587388</v>
      </c>
    </row>
    <row r="94" spans="2:6" x14ac:dyDescent="0.25">
      <c r="B94">
        <v>77</v>
      </c>
      <c r="C94">
        <f t="shared" si="7"/>
        <v>999.99999999999989</v>
      </c>
      <c r="D94">
        <f t="shared" si="8"/>
        <v>1745.409901571016</v>
      </c>
      <c r="E94">
        <f t="shared" si="9"/>
        <v>43.320452998930698</v>
      </c>
      <c r="F94" s="30">
        <f t="shared" si="10"/>
        <v>59.565202472965844</v>
      </c>
    </row>
    <row r="95" spans="2:6" x14ac:dyDescent="0.25">
      <c r="B95">
        <v>78</v>
      </c>
      <c r="C95">
        <f t="shared" si="7"/>
        <v>999.99999999999989</v>
      </c>
      <c r="D95">
        <f t="shared" si="8"/>
        <v>1744.2846949996151</v>
      </c>
      <c r="E95">
        <f t="shared" si="9"/>
        <v>43.883056284631095</v>
      </c>
      <c r="F95" s="30">
        <f t="shared" si="10"/>
        <v>59.540369775837263</v>
      </c>
    </row>
    <row r="96" spans="2:6" x14ac:dyDescent="0.25">
      <c r="B96">
        <v>79</v>
      </c>
      <c r="C96">
        <f t="shared" si="7"/>
        <v>999.99999999999989</v>
      </c>
      <c r="D96">
        <f t="shared" si="8"/>
        <v>1743.1594884282144</v>
      </c>
      <c r="E96">
        <f t="shared" si="9"/>
        <v>44.445659570331493</v>
      </c>
      <c r="F96" s="30">
        <f t="shared" si="10"/>
        <v>59.51550042252611</v>
      </c>
    </row>
    <row r="97" spans="2:6" x14ac:dyDescent="0.25">
      <c r="B97">
        <v>80</v>
      </c>
      <c r="C97">
        <f t="shared" si="7"/>
        <v>999.99999999999989</v>
      </c>
      <c r="D97">
        <f t="shared" si="8"/>
        <v>1742.0342818568135</v>
      </c>
      <c r="E97">
        <f t="shared" si="9"/>
        <v>45.008262856031891</v>
      </c>
      <c r="F97" s="30">
        <f t="shared" si="10"/>
        <v>59.490594341200364</v>
      </c>
    </row>
    <row r="98" spans="2:6" x14ac:dyDescent="0.25">
      <c r="B98">
        <v>81</v>
      </c>
      <c r="C98">
        <f t="shared" si="7"/>
        <v>999.99999999999989</v>
      </c>
      <c r="D98">
        <f t="shared" si="8"/>
        <v>1740.9090752854129</v>
      </c>
      <c r="E98">
        <f t="shared" si="9"/>
        <v>45.570866141732289</v>
      </c>
      <c r="F98" s="30">
        <f t="shared" si="10"/>
        <v>59.465651459871175</v>
      </c>
    </row>
    <row r="99" spans="2:6" x14ac:dyDescent="0.25">
      <c r="B99">
        <v>82</v>
      </c>
      <c r="C99">
        <f t="shared" si="7"/>
        <v>999.99999999999989</v>
      </c>
      <c r="D99">
        <f t="shared" si="8"/>
        <v>1739.783868714012</v>
      </c>
      <c r="E99">
        <f t="shared" si="9"/>
        <v>46.133469427432686</v>
      </c>
      <c r="F99" s="30">
        <f t="shared" si="10"/>
        <v>59.440671706392614</v>
      </c>
    </row>
    <row r="100" spans="2:6" x14ac:dyDescent="0.25">
      <c r="B100">
        <v>83</v>
      </c>
      <c r="C100">
        <f t="shared" si="7"/>
        <v>999.99999999999989</v>
      </c>
      <c r="D100">
        <f t="shared" si="8"/>
        <v>1738.6586621426113</v>
      </c>
      <c r="E100">
        <f t="shared" si="9"/>
        <v>46.696072713133084</v>
      </c>
      <c r="F100" s="30">
        <f t="shared" si="10"/>
        <v>59.415655008461371</v>
      </c>
    </row>
    <row r="101" spans="2:6" x14ac:dyDescent="0.25">
      <c r="B101">
        <v>84</v>
      </c>
      <c r="C101">
        <f t="shared" si="7"/>
        <v>999.99999999999989</v>
      </c>
      <c r="D101">
        <f t="shared" si="8"/>
        <v>1737.5334555712104</v>
      </c>
      <c r="E101">
        <f t="shared" si="9"/>
        <v>47.258675998833482</v>
      </c>
      <c r="F101" s="30">
        <f t="shared" si="10"/>
        <v>59.390601293616406</v>
      </c>
    </row>
    <row r="102" spans="2:6" x14ac:dyDescent="0.25">
      <c r="B102">
        <v>85</v>
      </c>
      <c r="C102">
        <f t="shared" si="7"/>
        <v>999.99999999999989</v>
      </c>
      <c r="D102">
        <f t="shared" si="8"/>
        <v>1736.4082489998095</v>
      </c>
      <c r="E102">
        <f t="shared" si="9"/>
        <v>47.821279284533887</v>
      </c>
      <c r="F102" s="30">
        <f t="shared" si="10"/>
        <v>59.365510489238751</v>
      </c>
    </row>
    <row r="103" spans="2:6" x14ac:dyDescent="0.25">
      <c r="B103">
        <v>86</v>
      </c>
      <c r="C103">
        <f t="shared" si="7"/>
        <v>999.99999999999989</v>
      </c>
      <c r="D103">
        <f t="shared" si="8"/>
        <v>1735.2830424284089</v>
      </c>
      <c r="E103">
        <f t="shared" si="9"/>
        <v>48.383882570234285</v>
      </c>
      <c r="F103" s="30">
        <f t="shared" si="10"/>
        <v>59.340382522551145</v>
      </c>
    </row>
    <row r="104" spans="2:6" x14ac:dyDescent="0.25">
      <c r="B104">
        <v>87</v>
      </c>
      <c r="C104">
        <f t="shared" si="7"/>
        <v>999.99999999999989</v>
      </c>
      <c r="D104">
        <f>SIN(PI()/180*_Theta)*_vyps*B104+_yShip+_yL</f>
        <v>1734.157835857008</v>
      </c>
      <c r="E104">
        <f t="shared" si="9"/>
        <v>48.946485855934682</v>
      </c>
      <c r="F104" s="30">
        <f t="shared" si="10"/>
        <v>59.315217320617776</v>
      </c>
    </row>
    <row r="105" spans="2:6" x14ac:dyDescent="0.25">
      <c r="B105">
        <v>88</v>
      </c>
      <c r="C105">
        <f t="shared" si="7"/>
        <v>999.99999999999989</v>
      </c>
      <c r="D105">
        <f t="shared" si="8"/>
        <v>1733.0326292856073</v>
      </c>
      <c r="E105">
        <f t="shared" si="9"/>
        <v>49.50908914163508</v>
      </c>
      <c r="F105" s="30">
        <f t="shared" si="10"/>
        <v>59.29001481034399</v>
      </c>
    </row>
    <row r="106" spans="2:6" x14ac:dyDescent="0.25">
      <c r="B106">
        <v>89</v>
      </c>
      <c r="C106">
        <f t="shared" si="7"/>
        <v>999.99999999999989</v>
      </c>
      <c r="D106">
        <f t="shared" si="8"/>
        <v>1731.9074227142064</v>
      </c>
      <c r="E106">
        <f t="shared" si="9"/>
        <v>50.071692427335478</v>
      </c>
      <c r="F106" s="30">
        <f t="shared" si="10"/>
        <v>59.264774918475979</v>
      </c>
    </row>
    <row r="107" spans="2:6" x14ac:dyDescent="0.25">
      <c r="B107">
        <v>90</v>
      </c>
      <c r="C107">
        <f t="shared" si="7"/>
        <v>999.99999999999989</v>
      </c>
      <c r="D107">
        <f t="shared" si="8"/>
        <v>1730.7822161428057</v>
      </c>
      <c r="E107">
        <f t="shared" si="9"/>
        <v>50.634295713035876</v>
      </c>
      <c r="F107" s="30">
        <f t="shared" si="10"/>
        <v>59.239497571600488</v>
      </c>
    </row>
    <row r="108" spans="2:6" x14ac:dyDescent="0.25">
      <c r="B108">
        <v>91</v>
      </c>
      <c r="C108">
        <f t="shared" si="7"/>
        <v>999.99999999999989</v>
      </c>
      <c r="D108">
        <f t="shared" si="8"/>
        <v>1729.6570095714048</v>
      </c>
      <c r="E108">
        <f t="shared" si="9"/>
        <v>51.196898998736273</v>
      </c>
      <c r="F108" s="30">
        <f t="shared" si="10"/>
        <v>59.214182696144562</v>
      </c>
    </row>
    <row r="109" spans="2:6" x14ac:dyDescent="0.25">
      <c r="B109">
        <v>92</v>
      </c>
      <c r="C109">
        <f t="shared" si="7"/>
        <v>999.99999999999989</v>
      </c>
      <c r="D109">
        <f t="shared" si="8"/>
        <v>1728.5318030000039</v>
      </c>
      <c r="E109">
        <f t="shared" si="9"/>
        <v>51.759502284436678</v>
      </c>
      <c r="F109" s="30">
        <f t="shared" si="10"/>
        <v>59.188830218375188</v>
      </c>
    </row>
    <row r="110" spans="2:6" x14ac:dyDescent="0.25">
      <c r="B110">
        <v>93</v>
      </c>
      <c r="C110">
        <f t="shared" si="7"/>
        <v>999.99999999999989</v>
      </c>
      <c r="D110">
        <f t="shared" si="8"/>
        <v>1727.4065964286033</v>
      </c>
      <c r="E110">
        <f t="shared" si="9"/>
        <v>52.322105570137076</v>
      </c>
      <c r="F110" s="30">
        <f t="shared" si="10"/>
        <v>59.163440064399111</v>
      </c>
    </row>
    <row r="111" spans="2:6" x14ac:dyDescent="0.25">
      <c r="B111">
        <v>94</v>
      </c>
      <c r="C111">
        <f t="shared" si="7"/>
        <v>999.99999999999989</v>
      </c>
      <c r="D111">
        <f t="shared" si="8"/>
        <v>1726.2813898572024</v>
      </c>
      <c r="E111">
        <f t="shared" si="9"/>
        <v>52.884708855837474</v>
      </c>
      <c r="F111" s="30">
        <f t="shared" si="10"/>
        <v>59.138012160162404</v>
      </c>
    </row>
    <row r="112" spans="2:6" x14ac:dyDescent="0.25">
      <c r="B112">
        <v>95</v>
      </c>
      <c r="C112">
        <f t="shared" si="7"/>
        <v>999.99999999999989</v>
      </c>
      <c r="D112">
        <f t="shared" si="8"/>
        <v>1725.1561832858017</v>
      </c>
      <c r="E112">
        <f t="shared" si="9"/>
        <v>53.447312141537871</v>
      </c>
      <c r="F112" s="30">
        <f t="shared" si="10"/>
        <v>59.112546431450312</v>
      </c>
    </row>
    <row r="113" spans="2:6" x14ac:dyDescent="0.25">
      <c r="B113">
        <v>96</v>
      </c>
      <c r="C113">
        <f t="shared" ref="C113:C144" si="11">COS(PI()/180*_Theta)*_vyps*B113+_xShip+__xL</f>
        <v>999.99999999999989</v>
      </c>
      <c r="D113">
        <f t="shared" ref="D113:D144" si="12">SIN(PI()/180*_Theta)*_vyps*B113+_yShip+_yL</f>
        <v>1724.0309767144008</v>
      </c>
      <c r="E113">
        <f t="shared" ref="E113:E144" si="13">B113*CONVERT(CONVERT(_vSub,"kn","m/sec"),"m","yd")</f>
        <v>54.009915427238269</v>
      </c>
      <c r="F113" s="30">
        <f t="shared" si="10"/>
        <v>59.08704280388686</v>
      </c>
    </row>
    <row r="114" spans="2:6" x14ac:dyDescent="0.25">
      <c r="B114">
        <v>97</v>
      </c>
      <c r="C114">
        <f t="shared" si="11"/>
        <v>999.99999999999989</v>
      </c>
      <c r="D114">
        <f t="shared" si="12"/>
        <v>1722.9057701430002</v>
      </c>
      <c r="E114">
        <f t="shared" si="13"/>
        <v>54.572518712938667</v>
      </c>
      <c r="F114" s="30">
        <f t="shared" si="10"/>
        <v>59.0615012029346</v>
      </c>
    </row>
    <row r="115" spans="2:6" x14ac:dyDescent="0.25">
      <c r="B115">
        <v>98</v>
      </c>
      <c r="C115">
        <f t="shared" si="11"/>
        <v>999.99999999999989</v>
      </c>
      <c r="D115">
        <f t="shared" si="12"/>
        <v>1721.7805635715993</v>
      </c>
      <c r="E115">
        <f t="shared" si="13"/>
        <v>55.135121998639065</v>
      </c>
      <c r="F115" s="30">
        <f t="shared" si="10"/>
        <v>59.035921553894376</v>
      </c>
    </row>
    <row r="116" spans="2:6" x14ac:dyDescent="0.25">
      <c r="B116">
        <v>99</v>
      </c>
      <c r="C116">
        <f t="shared" si="11"/>
        <v>999.99999999999989</v>
      </c>
      <c r="D116">
        <f t="shared" si="12"/>
        <v>1720.6553570001986</v>
      </c>
      <c r="E116">
        <f t="shared" si="13"/>
        <v>55.697725284339462</v>
      </c>
      <c r="F116" s="30">
        <f t="shared" si="10"/>
        <v>59.010303781904916</v>
      </c>
    </row>
    <row r="117" spans="2:6" x14ac:dyDescent="0.25">
      <c r="B117">
        <v>100</v>
      </c>
      <c r="C117">
        <f t="shared" si="11"/>
        <v>999.99999999999989</v>
      </c>
      <c r="D117">
        <f t="shared" si="12"/>
        <v>1719.5301504287977</v>
      </c>
      <c r="E117">
        <f t="shared" si="13"/>
        <v>56.26032857003986</v>
      </c>
      <c r="F117" s="30">
        <f t="shared" si="10"/>
        <v>58.984647811942665</v>
      </c>
    </row>
    <row r="118" spans="2:6" x14ac:dyDescent="0.25">
      <c r="B118">
        <v>101</v>
      </c>
      <c r="C118">
        <f t="shared" si="11"/>
        <v>999.99999999999989</v>
      </c>
      <c r="D118">
        <f t="shared" si="12"/>
        <v>1718.4049438573968</v>
      </c>
      <c r="E118">
        <f t="shared" si="13"/>
        <v>56.822931855740265</v>
      </c>
      <c r="F118" s="30">
        <f t="shared" si="10"/>
        <v>58.958953568821407</v>
      </c>
    </row>
    <row r="119" spans="2:6" x14ac:dyDescent="0.25">
      <c r="B119">
        <v>102</v>
      </c>
      <c r="C119">
        <f t="shared" si="11"/>
        <v>999.99999999999989</v>
      </c>
      <c r="D119">
        <f t="shared" si="12"/>
        <v>1717.2797372859961</v>
      </c>
      <c r="E119">
        <f t="shared" si="13"/>
        <v>57.385535141440663</v>
      </c>
      <c r="F119" s="30">
        <f t="shared" si="10"/>
        <v>58.93322097719205</v>
      </c>
    </row>
    <row r="120" spans="2:6" x14ac:dyDescent="0.25">
      <c r="B120">
        <v>103</v>
      </c>
      <c r="C120">
        <f t="shared" si="11"/>
        <v>999.99999999999989</v>
      </c>
      <c r="D120">
        <f t="shared" si="12"/>
        <v>1716.1545307145952</v>
      </c>
      <c r="E120">
        <f t="shared" si="13"/>
        <v>57.94813842714106</v>
      </c>
      <c r="F120" s="30">
        <f t="shared" si="10"/>
        <v>58.907449961542255</v>
      </c>
    </row>
    <row r="121" spans="2:6" x14ac:dyDescent="0.25">
      <c r="B121">
        <v>104</v>
      </c>
      <c r="C121">
        <f t="shared" si="11"/>
        <v>999.99999999999989</v>
      </c>
      <c r="D121">
        <f t="shared" si="12"/>
        <v>1715.0293241431946</v>
      </c>
      <c r="E121">
        <f t="shared" si="13"/>
        <v>58.510741712841458</v>
      </c>
      <c r="F121" s="30">
        <f t="shared" si="10"/>
        <v>58.881640446196208</v>
      </c>
    </row>
    <row r="122" spans="2:6" x14ac:dyDescent="0.25">
      <c r="B122">
        <v>105</v>
      </c>
      <c r="C122">
        <f t="shared" si="11"/>
        <v>999.99999999999989</v>
      </c>
      <c r="D122">
        <f t="shared" si="12"/>
        <v>1713.9041175717937</v>
      </c>
      <c r="E122">
        <f t="shared" si="13"/>
        <v>59.073344998541856</v>
      </c>
      <c r="F122" s="30">
        <f t="shared" si="10"/>
        <v>58.85579235531435</v>
      </c>
    </row>
    <row r="123" spans="2:6" x14ac:dyDescent="0.25">
      <c r="B123">
        <v>106</v>
      </c>
      <c r="C123">
        <f t="shared" si="11"/>
        <v>999.99999999999989</v>
      </c>
      <c r="D123">
        <f t="shared" si="12"/>
        <v>1712.778911000393</v>
      </c>
      <c r="E123">
        <f t="shared" si="13"/>
        <v>59.635948284242254</v>
      </c>
      <c r="F123" s="30">
        <f t="shared" si="10"/>
        <v>58.829905612893015</v>
      </c>
    </row>
    <row r="124" spans="2:6" x14ac:dyDescent="0.25">
      <c r="B124">
        <v>107</v>
      </c>
      <c r="C124">
        <f t="shared" si="11"/>
        <v>999.99999999999989</v>
      </c>
      <c r="D124">
        <f t="shared" si="12"/>
        <v>1711.6537044289921</v>
      </c>
      <c r="E124">
        <f t="shared" si="13"/>
        <v>60.198551569942651</v>
      </c>
      <c r="F124" s="30">
        <f t="shared" si="10"/>
        <v>58.803980142764189</v>
      </c>
    </row>
    <row r="125" spans="2:6" x14ac:dyDescent="0.25">
      <c r="B125">
        <v>108</v>
      </c>
      <c r="C125">
        <f t="shared" si="11"/>
        <v>999.99999999999989</v>
      </c>
      <c r="D125">
        <f t="shared" si="12"/>
        <v>1710.5284978575912</v>
      </c>
      <c r="E125">
        <f t="shared" si="13"/>
        <v>60.761154855643056</v>
      </c>
      <c r="F125" s="30">
        <f t="shared" si="10"/>
        <v>58.778015868595233</v>
      </c>
    </row>
    <row r="126" spans="2:6" x14ac:dyDescent="0.25">
      <c r="B126">
        <v>109</v>
      </c>
      <c r="C126">
        <f t="shared" si="11"/>
        <v>999.99999999999989</v>
      </c>
      <c r="D126">
        <f t="shared" si="12"/>
        <v>1709.4032912861906</v>
      </c>
      <c r="E126">
        <f t="shared" si="13"/>
        <v>61.323758141343454</v>
      </c>
      <c r="F126" s="30">
        <f t="shared" si="10"/>
        <v>58.752012713888604</v>
      </c>
    </row>
    <row r="127" spans="2:6" x14ac:dyDescent="0.25">
      <c r="B127">
        <v>110</v>
      </c>
      <c r="C127">
        <f t="shared" si="11"/>
        <v>999.99999999999989</v>
      </c>
      <c r="D127">
        <f t="shared" si="12"/>
        <v>1708.2780847147897</v>
      </c>
      <c r="E127">
        <f t="shared" si="13"/>
        <v>61.886361427043852</v>
      </c>
      <c r="F127" s="30">
        <f t="shared" si="10"/>
        <v>58.725970601981501</v>
      </c>
    </row>
    <row r="128" spans="2:6" x14ac:dyDescent="0.25">
      <c r="B128">
        <v>111</v>
      </c>
      <c r="C128">
        <f t="shared" si="11"/>
        <v>999.99999999999989</v>
      </c>
      <c r="D128">
        <f t="shared" si="12"/>
        <v>1707.152878143389</v>
      </c>
      <c r="E128">
        <f t="shared" si="13"/>
        <v>62.44896471274425</v>
      </c>
      <c r="F128" s="30">
        <f t="shared" si="10"/>
        <v>58.699889456045675</v>
      </c>
    </row>
    <row r="129" spans="2:6" x14ac:dyDescent="0.25">
      <c r="B129">
        <v>112</v>
      </c>
      <c r="C129">
        <f t="shared" si="11"/>
        <v>999.99999999999989</v>
      </c>
      <c r="D129">
        <f t="shared" si="12"/>
        <v>1706.0276715719881</v>
      </c>
      <c r="E129">
        <f t="shared" si="13"/>
        <v>63.011567998444647</v>
      </c>
      <c r="F129" s="30">
        <f t="shared" si="10"/>
        <v>58.673769199087062</v>
      </c>
    </row>
    <row r="130" spans="2:6" x14ac:dyDescent="0.25">
      <c r="B130">
        <v>113</v>
      </c>
      <c r="C130">
        <f t="shared" si="11"/>
        <v>999.99999999999989</v>
      </c>
      <c r="D130">
        <f t="shared" si="12"/>
        <v>1704.9024650005874</v>
      </c>
      <c r="E130">
        <f t="shared" si="13"/>
        <v>63.574171284145045</v>
      </c>
      <c r="F130" s="30">
        <f t="shared" si="10"/>
        <v>58.647609753945559</v>
      </c>
    </row>
    <row r="131" spans="2:6" x14ac:dyDescent="0.25">
      <c r="B131">
        <v>114</v>
      </c>
      <c r="C131">
        <f t="shared" si="11"/>
        <v>999.99999999999989</v>
      </c>
      <c r="D131">
        <f t="shared" si="12"/>
        <v>1703.7772584291865</v>
      </c>
      <c r="E131">
        <f t="shared" si="13"/>
        <v>64.136774569845443</v>
      </c>
      <c r="F131" s="30">
        <f t="shared" si="10"/>
        <v>58.621411043294685</v>
      </c>
    </row>
    <row r="132" spans="2:6" x14ac:dyDescent="0.25">
      <c r="B132">
        <v>115</v>
      </c>
      <c r="C132">
        <f t="shared" si="11"/>
        <v>999.99999999999989</v>
      </c>
      <c r="D132">
        <f t="shared" si="12"/>
        <v>1702.6520518577856</v>
      </c>
      <c r="E132">
        <f t="shared" si="13"/>
        <v>64.699377855545848</v>
      </c>
      <c r="F132" s="30">
        <f t="shared" si="10"/>
        <v>58.595172989641355</v>
      </c>
    </row>
    <row r="133" spans="2:6" x14ac:dyDescent="0.25">
      <c r="B133">
        <v>116</v>
      </c>
      <c r="C133">
        <f t="shared" si="11"/>
        <v>999.99999999999989</v>
      </c>
      <c r="D133">
        <f t="shared" si="12"/>
        <v>1701.526845286385</v>
      </c>
      <c r="E133">
        <f t="shared" si="13"/>
        <v>65.261981141246238</v>
      </c>
      <c r="F133" s="30">
        <f t="shared" si="10"/>
        <v>58.568895515325586</v>
      </c>
    </row>
    <row r="134" spans="2:6" x14ac:dyDescent="0.25">
      <c r="B134">
        <v>117</v>
      </c>
      <c r="C134">
        <f t="shared" si="11"/>
        <v>999.99999999999989</v>
      </c>
      <c r="D134">
        <f t="shared" si="12"/>
        <v>1700.4016387149841</v>
      </c>
      <c r="E134">
        <f t="shared" si="13"/>
        <v>65.824584426946643</v>
      </c>
      <c r="F134" s="30">
        <f t="shared" si="10"/>
        <v>58.54257854252014</v>
      </c>
    </row>
    <row r="135" spans="2:6" x14ac:dyDescent="0.25">
      <c r="B135">
        <v>118</v>
      </c>
      <c r="C135">
        <f t="shared" si="11"/>
        <v>999.99999999999989</v>
      </c>
      <c r="D135">
        <f t="shared" si="12"/>
        <v>1699.2764321435834</v>
      </c>
      <c r="E135">
        <f t="shared" si="13"/>
        <v>66.387187712647034</v>
      </c>
      <c r="F135" s="30">
        <f t="shared" si="10"/>
        <v>58.516221993230332</v>
      </c>
    </row>
    <row r="136" spans="2:6" x14ac:dyDescent="0.25">
      <c r="B136">
        <v>119</v>
      </c>
      <c r="C136">
        <f t="shared" si="11"/>
        <v>999.99999999999989</v>
      </c>
      <c r="D136">
        <f t="shared" si="12"/>
        <v>1698.1512255721825</v>
      </c>
      <c r="E136">
        <f t="shared" si="13"/>
        <v>66.949790998347439</v>
      </c>
      <c r="F136" s="30">
        <f t="shared" si="10"/>
        <v>58.489825789293718</v>
      </c>
    </row>
    <row r="137" spans="2:6" x14ac:dyDescent="0.25">
      <c r="B137">
        <v>120</v>
      </c>
      <c r="C137">
        <f t="shared" si="11"/>
        <v>999.99999999999989</v>
      </c>
      <c r="D137">
        <f t="shared" si="12"/>
        <v>1697.0260190007816</v>
      </c>
      <c r="E137">
        <f t="shared" si="13"/>
        <v>67.512394284047843</v>
      </c>
      <c r="F137" s="30">
        <f t="shared" si="10"/>
        <v>58.463389852379834</v>
      </c>
    </row>
    <row r="138" spans="2:6" x14ac:dyDescent="0.25">
      <c r="B138">
        <v>121</v>
      </c>
      <c r="C138">
        <f t="shared" si="11"/>
        <v>999.99999999999989</v>
      </c>
      <c r="D138">
        <f t="shared" si="12"/>
        <v>1695.9008124293809</v>
      </c>
      <c r="E138">
        <f t="shared" si="13"/>
        <v>68.074997569748234</v>
      </c>
      <c r="F138" s="30">
        <f t="shared" si="10"/>
        <v>58.436914103989828</v>
      </c>
    </row>
    <row r="139" spans="2:6" x14ac:dyDescent="0.25">
      <c r="B139">
        <v>122</v>
      </c>
      <c r="C139">
        <f t="shared" si="11"/>
        <v>999.99999999999989</v>
      </c>
      <c r="D139">
        <f t="shared" si="12"/>
        <v>1694.7756058579801</v>
      </c>
      <c r="E139">
        <f t="shared" si="13"/>
        <v>68.637600855448639</v>
      </c>
      <c r="F139" s="30">
        <f t="shared" si="10"/>
        <v>58.410398465456289</v>
      </c>
    </row>
    <row r="140" spans="2:6" x14ac:dyDescent="0.25">
      <c r="B140">
        <v>123</v>
      </c>
      <c r="C140">
        <f t="shared" si="11"/>
        <v>999.99999999999989</v>
      </c>
      <c r="D140">
        <f t="shared" si="12"/>
        <v>1693.6503992865794</v>
      </c>
      <c r="E140">
        <f t="shared" si="13"/>
        <v>69.20020414114903</v>
      </c>
      <c r="F140" s="30">
        <f t="shared" si="10"/>
        <v>58.383842857942945</v>
      </c>
    </row>
    <row r="141" spans="2:6" x14ac:dyDescent="0.25">
      <c r="B141">
        <v>124</v>
      </c>
      <c r="C141">
        <f t="shared" si="11"/>
        <v>999.99999999999989</v>
      </c>
      <c r="D141">
        <f t="shared" si="12"/>
        <v>1692.5251927151785</v>
      </c>
      <c r="E141">
        <f t="shared" si="13"/>
        <v>69.762807426849434</v>
      </c>
      <c r="F141" s="30">
        <f t="shared" si="10"/>
        <v>58.357247202444292</v>
      </c>
    </row>
    <row r="142" spans="2:6" x14ac:dyDescent="0.25">
      <c r="B142">
        <v>125</v>
      </c>
      <c r="C142">
        <f t="shared" si="11"/>
        <v>999.99999999999989</v>
      </c>
      <c r="D142">
        <f t="shared" si="12"/>
        <v>1691.3999861437778</v>
      </c>
      <c r="E142">
        <f t="shared" si="13"/>
        <v>70.325410712549825</v>
      </c>
      <c r="F142" s="30">
        <f t="shared" si="10"/>
        <v>58.330611419785441</v>
      </c>
    </row>
    <row r="143" spans="2:6" x14ac:dyDescent="0.25">
      <c r="B143">
        <v>126</v>
      </c>
      <c r="C143">
        <f t="shared" si="11"/>
        <v>999.99999999999989</v>
      </c>
      <c r="D143">
        <f t="shared" si="12"/>
        <v>1690.2747795723769</v>
      </c>
      <c r="E143">
        <f t="shared" si="13"/>
        <v>70.88801399825023</v>
      </c>
      <c r="F143" s="30">
        <f t="shared" si="10"/>
        <v>58.303935430621785</v>
      </c>
    </row>
    <row r="144" spans="2:6" x14ac:dyDescent="0.25">
      <c r="B144">
        <v>127</v>
      </c>
      <c r="C144">
        <f t="shared" si="11"/>
        <v>999.99999999999989</v>
      </c>
      <c r="D144">
        <f t="shared" si="12"/>
        <v>1689.1495730009763</v>
      </c>
      <c r="E144">
        <f t="shared" si="13"/>
        <v>71.450617283950621</v>
      </c>
      <c r="F144" s="30">
        <f t="shared" si="10"/>
        <v>58.277219155438694</v>
      </c>
    </row>
    <row r="145" spans="2:6" x14ac:dyDescent="0.25">
      <c r="B145">
        <v>128</v>
      </c>
      <c r="C145">
        <f t="shared" ref="C145:C176" si="14">COS(PI()/180*_Theta)*_vyps*B145+_xShip+__xL</f>
        <v>999.99999999999989</v>
      </c>
      <c r="D145">
        <f t="shared" ref="D145:D176" si="15">SIN(PI()/180*_Theta)*_vyps*B145+_yShip+_yL</f>
        <v>1688.0243664295754</v>
      </c>
      <c r="E145">
        <f t="shared" ref="E145:E176" si="16">B145*CONVERT(CONVERT(_vSub,"kn","m/sec"),"m","yd")</f>
        <v>72.013220569651025</v>
      </c>
      <c r="F145" s="30">
        <f t="shared" si="10"/>
        <v>58.250462514551252</v>
      </c>
    </row>
    <row r="146" spans="2:6" x14ac:dyDescent="0.25">
      <c r="B146">
        <v>129</v>
      </c>
      <c r="C146">
        <f t="shared" si="14"/>
        <v>999.99999999999989</v>
      </c>
      <c r="D146">
        <f t="shared" si="15"/>
        <v>1686.8991598581745</v>
      </c>
      <c r="E146">
        <f t="shared" si="16"/>
        <v>72.57582385535143</v>
      </c>
      <c r="F146" s="30">
        <f t="shared" ref="F146:F209" si="17">ATAN2(C146,D146-E146)*180/PI()</f>
        <v>58.223665428104027</v>
      </c>
    </row>
    <row r="147" spans="2:6" x14ac:dyDescent="0.25">
      <c r="B147">
        <v>130</v>
      </c>
      <c r="C147">
        <f t="shared" si="14"/>
        <v>999.99999999999989</v>
      </c>
      <c r="D147">
        <f t="shared" si="15"/>
        <v>1685.7739532867738</v>
      </c>
      <c r="E147">
        <f t="shared" si="16"/>
        <v>73.138427141051821</v>
      </c>
      <c r="F147" s="30">
        <f t="shared" si="17"/>
        <v>58.196827816070751</v>
      </c>
    </row>
    <row r="148" spans="2:6" x14ac:dyDescent="0.25">
      <c r="B148">
        <v>131</v>
      </c>
      <c r="C148">
        <f t="shared" si="14"/>
        <v>999.99999999999989</v>
      </c>
      <c r="D148">
        <f t="shared" si="15"/>
        <v>1684.6487467153729</v>
      </c>
      <c r="E148">
        <f t="shared" si="16"/>
        <v>73.701030426752226</v>
      </c>
      <c r="F148" s="30">
        <f t="shared" si="17"/>
        <v>58.16994959825405</v>
      </c>
    </row>
    <row r="149" spans="2:6" x14ac:dyDescent="0.25">
      <c r="B149">
        <v>132</v>
      </c>
      <c r="C149">
        <f t="shared" si="14"/>
        <v>999.99999999999989</v>
      </c>
      <c r="D149">
        <f t="shared" si="15"/>
        <v>1683.5235401439722</v>
      </c>
      <c r="E149">
        <f t="shared" si="16"/>
        <v>74.263633712452616</v>
      </c>
      <c r="F149" s="30">
        <f t="shared" si="17"/>
        <v>58.143030694285187</v>
      </c>
    </row>
    <row r="150" spans="2:6" x14ac:dyDescent="0.25">
      <c r="B150">
        <v>133</v>
      </c>
      <c r="C150">
        <f t="shared" si="14"/>
        <v>999.99999999999989</v>
      </c>
      <c r="D150">
        <f t="shared" si="15"/>
        <v>1682.3983335725713</v>
      </c>
      <c r="E150">
        <f t="shared" si="16"/>
        <v>74.826236998153021</v>
      </c>
      <c r="F150" s="30">
        <f t="shared" si="17"/>
        <v>58.116071023623739</v>
      </c>
    </row>
    <row r="151" spans="2:6" x14ac:dyDescent="0.25">
      <c r="B151">
        <v>134</v>
      </c>
      <c r="C151">
        <f t="shared" si="14"/>
        <v>999.99999999999989</v>
      </c>
      <c r="D151">
        <f t="shared" si="15"/>
        <v>1681.2731270011707</v>
      </c>
      <c r="E151">
        <f t="shared" si="16"/>
        <v>75.388840283853412</v>
      </c>
      <c r="F151" s="30">
        <f t="shared" si="17"/>
        <v>58.08907050555743</v>
      </c>
    </row>
    <row r="152" spans="2:6" x14ac:dyDescent="0.25">
      <c r="B152">
        <v>135</v>
      </c>
      <c r="C152">
        <f t="shared" si="14"/>
        <v>999.99999999999989</v>
      </c>
      <c r="D152">
        <f t="shared" si="15"/>
        <v>1680.1479204297698</v>
      </c>
      <c r="E152">
        <f t="shared" si="16"/>
        <v>75.951443569553817</v>
      </c>
      <c r="F152" s="30">
        <f t="shared" si="17"/>
        <v>58.062029059201684</v>
      </c>
    </row>
    <row r="153" spans="2:6" x14ac:dyDescent="0.25">
      <c r="B153">
        <v>136</v>
      </c>
      <c r="C153">
        <f t="shared" si="14"/>
        <v>999.99999999999989</v>
      </c>
      <c r="D153">
        <f t="shared" si="15"/>
        <v>1679.0227138583691</v>
      </c>
      <c r="E153">
        <f t="shared" si="16"/>
        <v>76.514046855254207</v>
      </c>
      <c r="F153" s="30">
        <f t="shared" si="17"/>
        <v>58.03494660349957</v>
      </c>
    </row>
    <row r="154" spans="2:6" x14ac:dyDescent="0.25">
      <c r="B154">
        <v>137</v>
      </c>
      <c r="C154">
        <f t="shared" si="14"/>
        <v>999.99999999999989</v>
      </c>
      <c r="D154">
        <f t="shared" si="15"/>
        <v>1677.8975072869682</v>
      </c>
      <c r="E154">
        <f t="shared" si="16"/>
        <v>77.076650140954612</v>
      </c>
      <c r="F154" s="30">
        <f t="shared" si="17"/>
        <v>58.007823057221358</v>
      </c>
    </row>
    <row r="155" spans="2:6" x14ac:dyDescent="0.25">
      <c r="B155">
        <v>138</v>
      </c>
      <c r="C155">
        <f t="shared" si="14"/>
        <v>999.99999999999989</v>
      </c>
      <c r="D155">
        <f t="shared" si="15"/>
        <v>1676.7723007155673</v>
      </c>
      <c r="E155">
        <f t="shared" si="16"/>
        <v>77.639253426655017</v>
      </c>
      <c r="F155" s="30">
        <f t="shared" si="17"/>
        <v>57.980658338964311</v>
      </c>
    </row>
    <row r="156" spans="2:6" x14ac:dyDescent="0.25">
      <c r="B156">
        <v>139</v>
      </c>
      <c r="C156">
        <f t="shared" si="14"/>
        <v>999.99999999999989</v>
      </c>
      <c r="D156">
        <f t="shared" si="15"/>
        <v>1675.6470941441667</v>
      </c>
      <c r="E156">
        <f t="shared" si="16"/>
        <v>78.201856712355408</v>
      </c>
      <c r="F156" s="30">
        <f t="shared" si="17"/>
        <v>57.953452367152423</v>
      </c>
    </row>
    <row r="157" spans="2:6" x14ac:dyDescent="0.25">
      <c r="B157">
        <v>140</v>
      </c>
      <c r="C157">
        <f t="shared" si="14"/>
        <v>999.99999999999989</v>
      </c>
      <c r="D157">
        <f t="shared" si="15"/>
        <v>1674.5218875727658</v>
      </c>
      <c r="E157">
        <f t="shared" si="16"/>
        <v>78.764459998055813</v>
      </c>
      <c r="F157" s="30">
        <f t="shared" si="17"/>
        <v>57.926205060036139</v>
      </c>
    </row>
    <row r="158" spans="2:6" x14ac:dyDescent="0.25">
      <c r="B158">
        <v>141</v>
      </c>
      <c r="C158">
        <f t="shared" si="14"/>
        <v>999.99999999999989</v>
      </c>
      <c r="D158">
        <f t="shared" si="15"/>
        <v>1673.3966810013651</v>
      </c>
      <c r="E158">
        <f t="shared" si="16"/>
        <v>79.327063283756203</v>
      </c>
      <c r="F158" s="30">
        <f t="shared" si="17"/>
        <v>57.8989163356921</v>
      </c>
    </row>
    <row r="159" spans="2:6" x14ac:dyDescent="0.25">
      <c r="B159">
        <v>142</v>
      </c>
      <c r="C159">
        <f t="shared" si="14"/>
        <v>999.99999999999989</v>
      </c>
      <c r="D159">
        <f t="shared" si="15"/>
        <v>1672.2714744299642</v>
      </c>
      <c r="E159">
        <f t="shared" si="16"/>
        <v>79.889666569456608</v>
      </c>
      <c r="F159" s="30">
        <f t="shared" si="17"/>
        <v>57.871586112022868</v>
      </c>
    </row>
    <row r="160" spans="2:6" x14ac:dyDescent="0.25">
      <c r="B160">
        <v>143</v>
      </c>
      <c r="C160">
        <f t="shared" si="14"/>
        <v>999.99999999999989</v>
      </c>
      <c r="D160">
        <f t="shared" si="15"/>
        <v>1671.1462678585635</v>
      </c>
      <c r="E160">
        <f t="shared" si="16"/>
        <v>80.452269855156999</v>
      </c>
      <c r="F160" s="30">
        <f t="shared" si="17"/>
        <v>57.844214306756605</v>
      </c>
    </row>
    <row r="161" spans="2:6" x14ac:dyDescent="0.25">
      <c r="B161">
        <v>144</v>
      </c>
      <c r="C161">
        <f t="shared" si="14"/>
        <v>999.99999999999989</v>
      </c>
      <c r="D161">
        <f t="shared" si="15"/>
        <v>1670.0210612871626</v>
      </c>
      <c r="E161">
        <f t="shared" si="16"/>
        <v>81.014873140857404</v>
      </c>
      <c r="F161" s="30">
        <f t="shared" si="17"/>
        <v>57.816800837446891</v>
      </c>
    </row>
    <row r="162" spans="2:6" x14ac:dyDescent="0.25">
      <c r="B162">
        <v>145</v>
      </c>
      <c r="C162">
        <f t="shared" si="14"/>
        <v>999.99999999999989</v>
      </c>
      <c r="D162">
        <f t="shared" si="15"/>
        <v>1668.8958547157617</v>
      </c>
      <c r="E162">
        <f t="shared" si="16"/>
        <v>81.577476426557809</v>
      </c>
      <c r="F162" s="30">
        <f t="shared" si="17"/>
        <v>57.789345621472457</v>
      </c>
    </row>
    <row r="163" spans="2:6" x14ac:dyDescent="0.25">
      <c r="B163">
        <v>146</v>
      </c>
      <c r="C163">
        <f t="shared" si="14"/>
        <v>999.99999999999989</v>
      </c>
      <c r="D163">
        <f t="shared" si="15"/>
        <v>1667.7706481443611</v>
      </c>
      <c r="E163">
        <f t="shared" si="16"/>
        <v>82.140079712258199</v>
      </c>
      <c r="F163" s="30">
        <f t="shared" si="17"/>
        <v>57.761848576036861</v>
      </c>
    </row>
    <row r="164" spans="2:6" x14ac:dyDescent="0.25">
      <c r="B164">
        <v>147</v>
      </c>
      <c r="C164">
        <f t="shared" si="14"/>
        <v>999.99999999999989</v>
      </c>
      <c r="D164">
        <f t="shared" si="15"/>
        <v>1666.6454415729602</v>
      </c>
      <c r="E164">
        <f t="shared" si="16"/>
        <v>82.702682997958604</v>
      </c>
      <c r="F164" s="30">
        <f t="shared" si="17"/>
        <v>57.734309618168218</v>
      </c>
    </row>
    <row r="165" spans="2:6" x14ac:dyDescent="0.25">
      <c r="B165">
        <v>148</v>
      </c>
      <c r="C165">
        <f t="shared" si="14"/>
        <v>999.99999999999989</v>
      </c>
      <c r="D165">
        <f t="shared" si="15"/>
        <v>1665.5202350015595</v>
      </c>
      <c r="E165">
        <f t="shared" si="16"/>
        <v>83.265286283658995</v>
      </c>
      <c r="F165" s="30">
        <f t="shared" si="17"/>
        <v>57.70672866471903</v>
      </c>
    </row>
    <row r="166" spans="2:6" x14ac:dyDescent="0.25">
      <c r="B166">
        <v>149</v>
      </c>
      <c r="C166">
        <f t="shared" si="14"/>
        <v>999.99999999999989</v>
      </c>
      <c r="D166">
        <f t="shared" si="15"/>
        <v>1664.3950284301586</v>
      </c>
      <c r="E166">
        <f t="shared" si="16"/>
        <v>83.8278895693594</v>
      </c>
      <c r="F166" s="30">
        <f t="shared" si="17"/>
        <v>57.679105632365825</v>
      </c>
    </row>
    <row r="167" spans="2:6" x14ac:dyDescent="0.25">
      <c r="B167">
        <v>150</v>
      </c>
      <c r="C167">
        <f t="shared" si="14"/>
        <v>999.99999999999989</v>
      </c>
      <c r="D167">
        <f t="shared" si="15"/>
        <v>1663.269821858758</v>
      </c>
      <c r="E167">
        <f t="shared" si="16"/>
        <v>84.39049285505979</v>
      </c>
      <c r="F167" s="30">
        <f t="shared" si="17"/>
        <v>57.65144043760894</v>
      </c>
    </row>
    <row r="168" spans="2:6" x14ac:dyDescent="0.25">
      <c r="B168">
        <v>151</v>
      </c>
      <c r="C168">
        <f t="shared" si="14"/>
        <v>999.99999999999989</v>
      </c>
      <c r="D168">
        <f t="shared" si="15"/>
        <v>1662.1446152873571</v>
      </c>
      <c r="E168">
        <f t="shared" si="16"/>
        <v>84.953096140760195</v>
      </c>
      <c r="F168" s="30">
        <f t="shared" si="17"/>
        <v>57.62373299677229</v>
      </c>
    </row>
    <row r="169" spans="2:6" x14ac:dyDescent="0.25">
      <c r="B169">
        <v>152</v>
      </c>
      <c r="C169">
        <f t="shared" si="14"/>
        <v>999.99999999999989</v>
      </c>
      <c r="D169">
        <f t="shared" si="15"/>
        <v>1661.0194087159562</v>
      </c>
      <c r="E169">
        <f t="shared" si="16"/>
        <v>85.5156994264606</v>
      </c>
      <c r="F169" s="30">
        <f t="shared" si="17"/>
        <v>57.595983226003028</v>
      </c>
    </row>
    <row r="170" spans="2:6" x14ac:dyDescent="0.25">
      <c r="B170">
        <v>153</v>
      </c>
      <c r="C170">
        <f t="shared" si="14"/>
        <v>999.99999999999989</v>
      </c>
      <c r="D170">
        <f t="shared" si="15"/>
        <v>1659.8942021445555</v>
      </c>
      <c r="E170">
        <f t="shared" si="16"/>
        <v>86.07830271216099</v>
      </c>
      <c r="F170" s="30">
        <f t="shared" si="17"/>
        <v>57.568191041271376</v>
      </c>
    </row>
    <row r="171" spans="2:6" x14ac:dyDescent="0.25">
      <c r="B171">
        <v>154</v>
      </c>
      <c r="C171">
        <f t="shared" si="14"/>
        <v>999.99999999999989</v>
      </c>
      <c r="D171">
        <f t="shared" si="15"/>
        <v>1658.7689955731546</v>
      </c>
      <c r="E171">
        <f t="shared" si="16"/>
        <v>86.640905997861395</v>
      </c>
      <c r="F171" s="30">
        <f t="shared" si="17"/>
        <v>57.54035635837031</v>
      </c>
    </row>
    <row r="172" spans="2:6" x14ac:dyDescent="0.25">
      <c r="B172">
        <v>155</v>
      </c>
      <c r="C172">
        <f t="shared" si="14"/>
        <v>999.99999999999989</v>
      </c>
      <c r="D172">
        <f t="shared" si="15"/>
        <v>1657.6437890017539</v>
      </c>
      <c r="E172">
        <f t="shared" si="16"/>
        <v>87.203509283561786</v>
      </c>
      <c r="F172" s="30">
        <f t="shared" si="17"/>
        <v>57.512479092915328</v>
      </c>
    </row>
    <row r="173" spans="2:6" x14ac:dyDescent="0.25">
      <c r="B173">
        <v>156</v>
      </c>
      <c r="C173">
        <f t="shared" si="14"/>
        <v>999.99999999999989</v>
      </c>
      <c r="D173">
        <f t="shared" si="15"/>
        <v>1656.518582430353</v>
      </c>
      <c r="E173">
        <f t="shared" si="16"/>
        <v>87.766112569262191</v>
      </c>
      <c r="F173" s="30">
        <f t="shared" si="17"/>
        <v>57.484559160344141</v>
      </c>
    </row>
    <row r="174" spans="2:6" x14ac:dyDescent="0.25">
      <c r="B174">
        <v>157</v>
      </c>
      <c r="C174">
        <f t="shared" si="14"/>
        <v>999.99999999999989</v>
      </c>
      <c r="D174">
        <f t="shared" si="15"/>
        <v>1655.3933758589524</v>
      </c>
      <c r="E174">
        <f t="shared" si="16"/>
        <v>88.328715854962581</v>
      </c>
      <c r="F174" s="30">
        <f t="shared" si="17"/>
        <v>57.456596475916541</v>
      </c>
    </row>
    <row r="175" spans="2:6" x14ac:dyDescent="0.25">
      <c r="B175">
        <v>158</v>
      </c>
      <c r="C175">
        <f t="shared" si="14"/>
        <v>999.99999999999989</v>
      </c>
      <c r="D175">
        <f t="shared" si="15"/>
        <v>1654.2681692875515</v>
      </c>
      <c r="E175">
        <f t="shared" si="16"/>
        <v>88.891319140662986</v>
      </c>
      <c r="F175" s="30">
        <f t="shared" si="17"/>
        <v>57.428590954713997</v>
      </c>
    </row>
    <row r="176" spans="2:6" x14ac:dyDescent="0.25">
      <c r="B176">
        <v>159</v>
      </c>
      <c r="C176">
        <f t="shared" si="14"/>
        <v>999.99999999999989</v>
      </c>
      <c r="D176">
        <f t="shared" si="15"/>
        <v>1653.1429627161506</v>
      </c>
      <c r="E176">
        <f t="shared" si="16"/>
        <v>89.453922426363377</v>
      </c>
      <c r="F176" s="30">
        <f t="shared" si="17"/>
        <v>57.400542511639529</v>
      </c>
    </row>
    <row r="177" spans="2:6" x14ac:dyDescent="0.25">
      <c r="B177">
        <v>160</v>
      </c>
      <c r="C177">
        <f t="shared" ref="C177:C208" si="18">COS(PI()/180*_Theta)*_vyps*B177+_xShip+__xL</f>
        <v>999.99999999999989</v>
      </c>
      <c r="D177">
        <f t="shared" ref="D177:D208" si="19">SIN(PI()/180*_Theta)*_vyps*B177+_yShip+_yL</f>
        <v>1652.0177561447499</v>
      </c>
      <c r="E177">
        <f t="shared" ref="E177:E208" si="20">B177*CONVERT(CONVERT(_vSub,"kn","m/sec"),"m","yd")</f>
        <v>90.016525712063782</v>
      </c>
      <c r="F177" s="30">
        <f t="shared" si="17"/>
        <v>57.372451061417379</v>
      </c>
    </row>
    <row r="178" spans="2:6" x14ac:dyDescent="0.25">
      <c r="B178">
        <v>161</v>
      </c>
      <c r="C178">
        <f t="shared" si="18"/>
        <v>999.99999999999989</v>
      </c>
      <c r="D178">
        <f t="shared" si="19"/>
        <v>1650.892549573349</v>
      </c>
      <c r="E178">
        <f t="shared" si="20"/>
        <v>90.579128997764187</v>
      </c>
      <c r="F178" s="30">
        <f t="shared" si="17"/>
        <v>57.344316518592805</v>
      </c>
    </row>
    <row r="179" spans="2:6" x14ac:dyDescent="0.25">
      <c r="B179">
        <v>162</v>
      </c>
      <c r="C179">
        <f t="shared" si="18"/>
        <v>999.99999999999989</v>
      </c>
      <c r="D179">
        <f t="shared" si="19"/>
        <v>1649.7673430019483</v>
      </c>
      <c r="E179">
        <f t="shared" si="20"/>
        <v>91.141732283464577</v>
      </c>
      <c r="F179" s="30">
        <f t="shared" si="17"/>
        <v>57.316138797531757</v>
      </c>
    </row>
    <row r="180" spans="2:6" x14ac:dyDescent="0.25">
      <c r="B180">
        <v>163</v>
      </c>
      <c r="C180">
        <f t="shared" si="18"/>
        <v>999.99999999999989</v>
      </c>
      <c r="D180">
        <f t="shared" si="19"/>
        <v>1648.6421364305475</v>
      </c>
      <c r="E180">
        <f t="shared" si="20"/>
        <v>91.704335569164982</v>
      </c>
      <c r="F180" s="30">
        <f t="shared" si="17"/>
        <v>57.287917812420737</v>
      </c>
    </row>
    <row r="181" spans="2:6" x14ac:dyDescent="0.25">
      <c r="B181">
        <v>164</v>
      </c>
      <c r="C181">
        <f t="shared" si="18"/>
        <v>999.99999999999989</v>
      </c>
      <c r="D181">
        <f t="shared" si="19"/>
        <v>1647.5169298591468</v>
      </c>
      <c r="E181">
        <f t="shared" si="20"/>
        <v>92.266938854865373</v>
      </c>
      <c r="F181" s="30">
        <f t="shared" si="17"/>
        <v>57.25965347726649</v>
      </c>
    </row>
    <row r="182" spans="2:6" x14ac:dyDescent="0.25">
      <c r="B182">
        <v>165</v>
      </c>
      <c r="C182">
        <f t="shared" si="18"/>
        <v>999.99999999999989</v>
      </c>
      <c r="D182">
        <f t="shared" si="19"/>
        <v>1646.3917232877459</v>
      </c>
      <c r="E182">
        <f t="shared" si="20"/>
        <v>92.829542140565778</v>
      </c>
      <c r="F182" s="30">
        <f t="shared" si="17"/>
        <v>57.231345705895741</v>
      </c>
    </row>
    <row r="183" spans="2:6" x14ac:dyDescent="0.25">
      <c r="B183">
        <v>166</v>
      </c>
      <c r="C183">
        <f t="shared" si="18"/>
        <v>999.99999999999989</v>
      </c>
      <c r="D183">
        <f t="shared" si="19"/>
        <v>1645.266516716345</v>
      </c>
      <c r="E183">
        <f t="shared" si="20"/>
        <v>93.392145426266168</v>
      </c>
      <c r="F183" s="30">
        <f t="shared" si="17"/>
        <v>57.202994411955004</v>
      </c>
    </row>
    <row r="184" spans="2:6" x14ac:dyDescent="0.25">
      <c r="B184">
        <v>167</v>
      </c>
      <c r="C184">
        <f t="shared" si="18"/>
        <v>999.99999999999989</v>
      </c>
      <c r="D184">
        <f t="shared" si="19"/>
        <v>1644.1413101449443</v>
      </c>
      <c r="E184">
        <f t="shared" si="20"/>
        <v>93.954748711966573</v>
      </c>
      <c r="F184" s="30">
        <f t="shared" si="17"/>
        <v>57.174599508910269</v>
      </c>
    </row>
    <row r="185" spans="2:6" x14ac:dyDescent="0.25">
      <c r="B185">
        <v>168</v>
      </c>
      <c r="C185">
        <f t="shared" si="18"/>
        <v>999.99999999999989</v>
      </c>
      <c r="D185">
        <f t="shared" si="19"/>
        <v>1643.0161035735434</v>
      </c>
      <c r="E185">
        <f t="shared" si="20"/>
        <v>94.517351997666964</v>
      </c>
      <c r="F185" s="30">
        <f t="shared" si="17"/>
        <v>57.146160910046852</v>
      </c>
    </row>
    <row r="186" spans="2:6" x14ac:dyDescent="0.25">
      <c r="B186">
        <v>169</v>
      </c>
      <c r="C186">
        <f t="shared" si="18"/>
        <v>999.99999999999989</v>
      </c>
      <c r="D186">
        <f t="shared" si="19"/>
        <v>1641.8908970021428</v>
      </c>
      <c r="E186">
        <f t="shared" si="20"/>
        <v>95.079955283367369</v>
      </c>
      <c r="F186" s="30">
        <f t="shared" si="17"/>
        <v>57.11767852846905</v>
      </c>
    </row>
    <row r="187" spans="2:6" x14ac:dyDescent="0.25">
      <c r="B187">
        <v>170</v>
      </c>
      <c r="C187">
        <f t="shared" si="18"/>
        <v>999.99999999999989</v>
      </c>
      <c r="D187">
        <f t="shared" si="19"/>
        <v>1640.7656904307419</v>
      </c>
      <c r="E187">
        <f t="shared" si="20"/>
        <v>95.642558569067774</v>
      </c>
      <c r="F187" s="30">
        <f t="shared" si="17"/>
        <v>57.089152277099977</v>
      </c>
    </row>
    <row r="188" spans="2:6" x14ac:dyDescent="0.25">
      <c r="B188">
        <v>171</v>
      </c>
      <c r="C188">
        <f t="shared" si="18"/>
        <v>999.99999999999989</v>
      </c>
      <c r="D188">
        <f t="shared" si="19"/>
        <v>1639.6404838593412</v>
      </c>
      <c r="E188">
        <f t="shared" si="20"/>
        <v>96.205161854768164</v>
      </c>
      <c r="F188" s="30">
        <f t="shared" si="17"/>
        <v>57.060582068681271</v>
      </c>
    </row>
    <row r="189" spans="2:6" x14ac:dyDescent="0.25">
      <c r="B189">
        <v>172</v>
      </c>
      <c r="C189">
        <f t="shared" si="18"/>
        <v>999.99999999999989</v>
      </c>
      <c r="D189">
        <f t="shared" si="19"/>
        <v>1638.5152772879403</v>
      </c>
      <c r="E189">
        <f t="shared" si="20"/>
        <v>96.767765140468569</v>
      </c>
      <c r="F189" s="30">
        <f t="shared" si="17"/>
        <v>57.031967815772923</v>
      </c>
    </row>
    <row r="190" spans="2:6" x14ac:dyDescent="0.25">
      <c r="B190">
        <v>173</v>
      </c>
      <c r="C190">
        <f t="shared" si="18"/>
        <v>999.99999999999989</v>
      </c>
      <c r="D190">
        <f t="shared" si="19"/>
        <v>1637.3900707165394</v>
      </c>
      <c r="E190">
        <f t="shared" si="20"/>
        <v>97.33036842616896</v>
      </c>
      <c r="F190" s="30">
        <f t="shared" si="17"/>
        <v>57.003309430752964</v>
      </c>
    </row>
    <row r="191" spans="2:6" x14ac:dyDescent="0.25">
      <c r="B191">
        <v>174</v>
      </c>
      <c r="C191">
        <f t="shared" si="18"/>
        <v>999.99999999999989</v>
      </c>
      <c r="D191">
        <f t="shared" si="19"/>
        <v>1636.2648641451387</v>
      </c>
      <c r="E191">
        <f t="shared" si="20"/>
        <v>97.892971711869365</v>
      </c>
      <c r="F191" s="30">
        <f t="shared" si="17"/>
        <v>56.974606825817283</v>
      </c>
    </row>
    <row r="192" spans="2:6" x14ac:dyDescent="0.25">
      <c r="B192">
        <v>175</v>
      </c>
      <c r="C192">
        <f t="shared" si="18"/>
        <v>999.99999999999989</v>
      </c>
      <c r="D192">
        <f t="shared" si="19"/>
        <v>1635.1396575737378</v>
      </c>
      <c r="E192">
        <f t="shared" si="20"/>
        <v>98.455574997569755</v>
      </c>
      <c r="F192" s="30">
        <f t="shared" si="17"/>
        <v>56.945859912979373</v>
      </c>
    </row>
    <row r="193" spans="2:6" x14ac:dyDescent="0.25">
      <c r="B193">
        <v>176</v>
      </c>
      <c r="C193">
        <f t="shared" si="18"/>
        <v>999.99999999999989</v>
      </c>
      <c r="D193">
        <f t="shared" si="19"/>
        <v>1634.0144510023372</v>
      </c>
      <c r="E193">
        <f t="shared" si="20"/>
        <v>99.01817828327016</v>
      </c>
      <c r="F193" s="30">
        <f t="shared" si="17"/>
        <v>56.917068604070096</v>
      </c>
    </row>
    <row r="194" spans="2:6" x14ac:dyDescent="0.25">
      <c r="B194">
        <v>177</v>
      </c>
      <c r="C194">
        <f t="shared" si="18"/>
        <v>999.99999999999989</v>
      </c>
      <c r="D194">
        <f t="shared" si="19"/>
        <v>1632.8892444309363</v>
      </c>
      <c r="E194">
        <f t="shared" si="20"/>
        <v>99.580781568970565</v>
      </c>
      <c r="F194" s="30">
        <f t="shared" si="17"/>
        <v>56.888232810737449</v>
      </c>
    </row>
    <row r="195" spans="2:6" x14ac:dyDescent="0.25">
      <c r="B195">
        <v>178</v>
      </c>
      <c r="C195">
        <f t="shared" si="18"/>
        <v>999.99999999999989</v>
      </c>
      <c r="D195">
        <f t="shared" si="19"/>
        <v>1631.7640378595356</v>
      </c>
      <c r="E195">
        <f t="shared" si="20"/>
        <v>100.14338485467096</v>
      </c>
      <c r="F195" s="30">
        <f t="shared" si="17"/>
        <v>56.859352444446344</v>
      </c>
    </row>
    <row r="196" spans="2:6" x14ac:dyDescent="0.25">
      <c r="B196">
        <v>179</v>
      </c>
      <c r="C196">
        <f t="shared" si="18"/>
        <v>999.99999999999989</v>
      </c>
      <c r="D196">
        <f t="shared" si="19"/>
        <v>1630.6388312881347</v>
      </c>
      <c r="E196">
        <f t="shared" si="20"/>
        <v>100.70598814037136</v>
      </c>
      <c r="F196" s="30">
        <f t="shared" si="17"/>
        <v>56.830427416478379</v>
      </c>
    </row>
    <row r="197" spans="2:6" x14ac:dyDescent="0.25">
      <c r="B197">
        <v>180</v>
      </c>
      <c r="C197">
        <f t="shared" si="18"/>
        <v>999.99999999999989</v>
      </c>
      <c r="D197">
        <f t="shared" si="19"/>
        <v>1629.5136247167338</v>
      </c>
      <c r="E197">
        <f t="shared" si="20"/>
        <v>101.26859142607175</v>
      </c>
      <c r="F197" s="30">
        <f t="shared" si="17"/>
        <v>56.80145763793162</v>
      </c>
    </row>
    <row r="198" spans="2:6" x14ac:dyDescent="0.25">
      <c r="B198">
        <v>181</v>
      </c>
      <c r="C198">
        <f t="shared" si="18"/>
        <v>999.99999999999989</v>
      </c>
      <c r="D198">
        <f t="shared" si="19"/>
        <v>1628.3884181453332</v>
      </c>
      <c r="E198">
        <f t="shared" si="20"/>
        <v>101.83119471177216</v>
      </c>
      <c r="F198" s="30">
        <f t="shared" si="17"/>
        <v>56.772443019720292</v>
      </c>
    </row>
    <row r="199" spans="2:6" x14ac:dyDescent="0.25">
      <c r="B199">
        <v>182</v>
      </c>
      <c r="C199">
        <f t="shared" si="18"/>
        <v>999.99999999999989</v>
      </c>
      <c r="D199">
        <f t="shared" si="19"/>
        <v>1627.2632115739323</v>
      </c>
      <c r="E199">
        <f t="shared" si="20"/>
        <v>102.39379799747255</v>
      </c>
      <c r="F199" s="30">
        <f t="shared" si="17"/>
        <v>56.743383472574713</v>
      </c>
    </row>
    <row r="200" spans="2:6" x14ac:dyDescent="0.25">
      <c r="B200">
        <v>183</v>
      </c>
      <c r="C200">
        <f t="shared" si="18"/>
        <v>999.99999999999989</v>
      </c>
      <c r="D200">
        <f t="shared" si="19"/>
        <v>1626.1380050025316</v>
      </c>
      <c r="E200">
        <f t="shared" si="20"/>
        <v>102.95640128317295</v>
      </c>
      <c r="F200" s="30">
        <f t="shared" si="17"/>
        <v>56.714278907040921</v>
      </c>
    </row>
    <row r="201" spans="2:6" x14ac:dyDescent="0.25">
      <c r="B201">
        <v>184</v>
      </c>
      <c r="C201">
        <f t="shared" si="18"/>
        <v>999.99999999999989</v>
      </c>
      <c r="D201">
        <f t="shared" si="19"/>
        <v>1625.0127984311307</v>
      </c>
      <c r="E201">
        <f t="shared" si="20"/>
        <v>103.51900456887336</v>
      </c>
      <c r="F201" s="30">
        <f t="shared" si="17"/>
        <v>56.685129233480524</v>
      </c>
    </row>
    <row r="202" spans="2:6" x14ac:dyDescent="0.25">
      <c r="B202">
        <v>185</v>
      </c>
      <c r="C202">
        <f t="shared" si="18"/>
        <v>999.99999999999989</v>
      </c>
      <c r="D202">
        <f t="shared" si="19"/>
        <v>1623.88759185973</v>
      </c>
      <c r="E202">
        <f t="shared" si="20"/>
        <v>104.08160785457375</v>
      </c>
      <c r="F202" s="30">
        <f t="shared" si="17"/>
        <v>56.655934362070468</v>
      </c>
    </row>
    <row r="203" spans="2:6" x14ac:dyDescent="0.25">
      <c r="B203">
        <v>186</v>
      </c>
      <c r="C203">
        <f t="shared" si="18"/>
        <v>999.99999999999989</v>
      </c>
      <c r="D203">
        <f t="shared" si="19"/>
        <v>1622.7623852883291</v>
      </c>
      <c r="E203">
        <f t="shared" si="20"/>
        <v>104.64421114027415</v>
      </c>
      <c r="F203" s="30">
        <f t="shared" si="17"/>
        <v>56.62669420280281</v>
      </c>
    </row>
    <row r="204" spans="2:6" x14ac:dyDescent="0.25">
      <c r="B204">
        <v>187</v>
      </c>
      <c r="C204">
        <f t="shared" si="18"/>
        <v>999.99999999999989</v>
      </c>
      <c r="D204">
        <f t="shared" si="19"/>
        <v>1621.6371787169282</v>
      </c>
      <c r="E204">
        <f t="shared" si="20"/>
        <v>105.20681442597454</v>
      </c>
      <c r="F204" s="30">
        <f t="shared" si="17"/>
        <v>56.597408665484508</v>
      </c>
    </row>
    <row r="205" spans="2:6" x14ac:dyDescent="0.25">
      <c r="B205">
        <v>188</v>
      </c>
      <c r="C205">
        <f t="shared" si="18"/>
        <v>999.99999999999989</v>
      </c>
      <c r="D205">
        <f t="shared" si="19"/>
        <v>1620.5119721455276</v>
      </c>
      <c r="E205">
        <f t="shared" si="20"/>
        <v>105.76941771167495</v>
      </c>
      <c r="F205" s="30">
        <f t="shared" si="17"/>
        <v>56.568077659737192</v>
      </c>
    </row>
    <row r="206" spans="2:6" x14ac:dyDescent="0.25">
      <c r="B206">
        <v>189</v>
      </c>
      <c r="C206">
        <f t="shared" si="18"/>
        <v>999.99999999999989</v>
      </c>
      <c r="D206">
        <f t="shared" si="19"/>
        <v>1619.3867655741267</v>
      </c>
      <c r="E206">
        <f t="shared" si="20"/>
        <v>106.33202099737534</v>
      </c>
      <c r="F206" s="30">
        <f t="shared" si="17"/>
        <v>56.538701094996981</v>
      </c>
    </row>
    <row r="207" spans="2:6" x14ac:dyDescent="0.25">
      <c r="B207">
        <v>190</v>
      </c>
      <c r="C207">
        <f t="shared" si="18"/>
        <v>999.99999999999989</v>
      </c>
      <c r="D207">
        <f t="shared" si="19"/>
        <v>1618.261559002726</v>
      </c>
      <c r="E207">
        <f t="shared" si="20"/>
        <v>106.89462428307574</v>
      </c>
      <c r="F207" s="30">
        <f t="shared" si="17"/>
        <v>56.509278880514238</v>
      </c>
    </row>
    <row r="208" spans="2:6" x14ac:dyDescent="0.25">
      <c r="B208">
        <v>191</v>
      </c>
      <c r="C208">
        <f t="shared" si="18"/>
        <v>999.99999999999989</v>
      </c>
      <c r="D208">
        <f t="shared" si="19"/>
        <v>1617.1363524313251</v>
      </c>
      <c r="E208">
        <f t="shared" si="20"/>
        <v>107.45722756877613</v>
      </c>
      <c r="F208" s="30">
        <f t="shared" si="17"/>
        <v>56.479810925353341</v>
      </c>
    </row>
    <row r="209" spans="2:6" x14ac:dyDescent="0.25">
      <c r="B209">
        <v>192</v>
      </c>
      <c r="C209">
        <f t="shared" ref="C209:C216" si="21">COS(PI()/180*_Theta)*_vyps*B209+_xShip+__xL</f>
        <v>999.99999999999989</v>
      </c>
      <c r="D209">
        <f t="shared" ref="D209:D216" si="22">SIN(PI()/180*_Theta)*_vyps*B209+_yShip+_yL</f>
        <v>1616.0111458599245</v>
      </c>
      <c r="E209">
        <f t="shared" ref="E209:E216" si="23">B209*CONVERT(CONVERT(_vSub,"kn","m/sec"),"m","yd")</f>
        <v>108.01983085447654</v>
      </c>
      <c r="F209" s="30">
        <f t="shared" si="17"/>
        <v>56.450297138392543</v>
      </c>
    </row>
    <row r="210" spans="2:6" x14ac:dyDescent="0.25">
      <c r="B210">
        <v>193</v>
      </c>
      <c r="C210">
        <f t="shared" si="21"/>
        <v>999.99999999999989</v>
      </c>
      <c r="D210">
        <f t="shared" si="22"/>
        <v>1614.8859392885236</v>
      </c>
      <c r="E210">
        <f t="shared" si="23"/>
        <v>108.58243414017694</v>
      </c>
      <c r="F210" s="30">
        <f t="shared" ref="F210:F216" si="24">ATAN2(C210,D210-E210)*180/PI()</f>
        <v>56.420737428323697</v>
      </c>
    </row>
    <row r="211" spans="2:6" x14ac:dyDescent="0.25">
      <c r="B211">
        <v>194</v>
      </c>
      <c r="C211">
        <f t="shared" si="21"/>
        <v>999.99999999999989</v>
      </c>
      <c r="D211">
        <f t="shared" si="22"/>
        <v>1613.7607327171227</v>
      </c>
      <c r="E211">
        <f t="shared" si="23"/>
        <v>109.14503742587733</v>
      </c>
      <c r="F211" s="30">
        <f t="shared" si="24"/>
        <v>56.391131703652057</v>
      </c>
    </row>
    <row r="212" spans="2:6" x14ac:dyDescent="0.25">
      <c r="B212">
        <v>195</v>
      </c>
      <c r="C212">
        <f t="shared" si="21"/>
        <v>999.99999999999989</v>
      </c>
      <c r="D212">
        <f t="shared" si="22"/>
        <v>1612.635526145722</v>
      </c>
      <c r="E212">
        <f t="shared" si="23"/>
        <v>109.70764071157774</v>
      </c>
      <c r="F212" s="30">
        <f t="shared" si="24"/>
        <v>56.36147987269613</v>
      </c>
    </row>
    <row r="213" spans="2:6" x14ac:dyDescent="0.25">
      <c r="B213">
        <v>196</v>
      </c>
      <c r="C213">
        <f t="shared" si="21"/>
        <v>999.99999999999989</v>
      </c>
      <c r="D213">
        <f t="shared" si="22"/>
        <v>1611.5103195743211</v>
      </c>
      <c r="E213">
        <f t="shared" si="23"/>
        <v>110.27024399727813</v>
      </c>
      <c r="F213" s="30">
        <f t="shared" si="24"/>
        <v>56.331781843587386</v>
      </c>
    </row>
    <row r="214" spans="2:6" x14ac:dyDescent="0.25">
      <c r="B214">
        <v>197</v>
      </c>
      <c r="C214">
        <f t="shared" si="21"/>
        <v>999.99999999999989</v>
      </c>
      <c r="D214">
        <f t="shared" si="22"/>
        <v>1610.3851130029204</v>
      </c>
      <c r="E214">
        <f t="shared" si="23"/>
        <v>110.83284728297853</v>
      </c>
      <c r="F214" s="30">
        <f t="shared" si="24"/>
        <v>56.302037524270141</v>
      </c>
    </row>
    <row r="215" spans="2:6" x14ac:dyDescent="0.25">
      <c r="B215">
        <v>198</v>
      </c>
      <c r="C215">
        <f t="shared" si="21"/>
        <v>999.99999999999989</v>
      </c>
      <c r="D215">
        <f t="shared" si="22"/>
        <v>1609.2599064315195</v>
      </c>
      <c r="E215">
        <f t="shared" si="23"/>
        <v>111.39545056867892</v>
      </c>
      <c r="F215" s="30">
        <f t="shared" si="24"/>
        <v>56.27224682250128</v>
      </c>
    </row>
    <row r="216" spans="2:6" x14ac:dyDescent="0.25">
      <c r="B216">
        <v>199</v>
      </c>
      <c r="C216">
        <f t="shared" si="21"/>
        <v>999.99999999999989</v>
      </c>
      <c r="D216">
        <f t="shared" si="22"/>
        <v>1608.1346998601189</v>
      </c>
      <c r="E216">
        <f t="shared" si="23"/>
        <v>111.95805385437933</v>
      </c>
      <c r="F216" s="30">
        <f t="shared" si="24"/>
        <v>56.24240964585011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2:D6"/>
  <sheetViews>
    <sheetView workbookViewId="0">
      <selection activeCell="P27" sqref="P27"/>
    </sheetView>
  </sheetViews>
  <sheetFormatPr defaultRowHeight="13.2" x14ac:dyDescent="0.25"/>
  <cols>
    <col min="1" max="1" width="10" bestFit="1" customWidth="1"/>
  </cols>
  <sheetData>
    <row r="2" spans="1:4" x14ac:dyDescent="0.25">
      <c r="A2" s="31">
        <v>46009</v>
      </c>
    </row>
    <row r="3" spans="1:4" x14ac:dyDescent="0.25">
      <c r="A3" t="s">
        <v>161</v>
      </c>
      <c r="B3">
        <v>131</v>
      </c>
      <c r="C3">
        <v>74</v>
      </c>
      <c r="D3">
        <v>56</v>
      </c>
    </row>
    <row r="4" spans="1:4" x14ac:dyDescent="0.25">
      <c r="B4">
        <v>130</v>
      </c>
      <c r="C4">
        <v>82</v>
      </c>
      <c r="D4">
        <v>57</v>
      </c>
    </row>
    <row r="5" spans="1:4" x14ac:dyDescent="0.25">
      <c r="B5">
        <v>140</v>
      </c>
      <c r="C5">
        <v>77</v>
      </c>
      <c r="D5">
        <v>62</v>
      </c>
    </row>
    <row r="6" spans="1:4" x14ac:dyDescent="0.25">
      <c r="B6" s="29">
        <f>AVERAGE(B3:B5)</f>
        <v>133.66666666666666</v>
      </c>
      <c r="C6" s="29">
        <f>AVERAGE(C3:C5)</f>
        <v>77.666666666666671</v>
      </c>
      <c r="D6" s="29">
        <f>AVERAGE(D3:D5)</f>
        <v>58.333333333333336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3.2" x14ac:dyDescent="0.25"/>
  <sheetData>
    <row r="1" spans="1:3" x14ac:dyDescent="0.25">
      <c r="A1" s="27" t="s">
        <v>51</v>
      </c>
      <c r="B1" s="26" t="s">
        <v>50</v>
      </c>
      <c r="C1" s="26"/>
    </row>
    <row r="2" spans="1:3" x14ac:dyDescent="0.25">
      <c r="A2" s="27" t="s">
        <v>49</v>
      </c>
      <c r="B2" s="26"/>
      <c r="C2" s="26"/>
    </row>
    <row r="3" spans="1:3" x14ac:dyDescent="0.25">
      <c r="A3" s="27" t="s">
        <v>48</v>
      </c>
      <c r="B3" s="26" t="str" cm="1">
        <f t="array" aca="1" ref="B3" ca="1">HD_Date</f>
        <v>20-Dec-2025</v>
      </c>
      <c r="C3" s="26"/>
    </row>
    <row r="43" spans="4:12" x14ac:dyDescent="0.25">
      <c r="E43" t="s">
        <v>52</v>
      </c>
      <c r="F43" t="s">
        <v>52</v>
      </c>
      <c r="G43" t="s">
        <v>52</v>
      </c>
      <c r="H43" t="s">
        <v>53</v>
      </c>
    </row>
    <row r="44" spans="4:12" x14ac:dyDescent="0.25">
      <c r="D44" t="s">
        <v>52</v>
      </c>
      <c r="F44" t="s">
        <v>55</v>
      </c>
      <c r="G44" t="s">
        <v>55</v>
      </c>
      <c r="H44" t="s">
        <v>54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5">
      <c r="D45" t="s">
        <v>52</v>
      </c>
      <c r="E45" t="s">
        <v>55</v>
      </c>
      <c r="G45" t="s">
        <v>55</v>
      </c>
      <c r="H45" t="s">
        <v>54</v>
      </c>
      <c r="J45" t="str">
        <v>BB</v>
      </c>
      <c r="K45" t="str">
        <v>BR</v>
      </c>
      <c r="L45">
        <v>6</v>
      </c>
    </row>
    <row r="46" spans="4:12" x14ac:dyDescent="0.25">
      <c r="D46" t="s">
        <v>52</v>
      </c>
      <c r="E46" t="s">
        <v>55</v>
      </c>
      <c r="F46" t="s">
        <v>55</v>
      </c>
      <c r="H46" t="s">
        <v>54</v>
      </c>
      <c r="J46" t="str">
        <v>BB</v>
      </c>
      <c r="K46" t="str">
        <v>Total</v>
      </c>
      <c r="L46">
        <v>12</v>
      </c>
    </row>
    <row r="47" spans="4:12" x14ac:dyDescent="0.25">
      <c r="D47" t="s">
        <v>53</v>
      </c>
      <c r="E47" t="s">
        <v>54</v>
      </c>
      <c r="F47" t="s">
        <v>54</v>
      </c>
      <c r="G47" t="s">
        <v>54</v>
      </c>
      <c r="J47" t="str">
        <v>BB</v>
      </c>
    </row>
    <row r="48" spans="4:12" x14ac:dyDescent="0.25">
      <c r="J48" t="str">
        <v>BB</v>
      </c>
    </row>
    <row r="49" spans="4:18" x14ac:dyDescent="0.25">
      <c r="J49" t="str">
        <v>BB</v>
      </c>
    </row>
    <row r="50" spans="4:18" x14ac:dyDescent="0.25">
      <c r="J50" t="str">
        <v>BR</v>
      </c>
    </row>
    <row r="51" spans="4:18" x14ac:dyDescent="0.25">
      <c r="J51" t="str">
        <v>BR</v>
      </c>
    </row>
    <row r="52" spans="4:18" x14ac:dyDescent="0.25">
      <c r="J52" t="str">
        <v>BR</v>
      </c>
    </row>
    <row r="53" spans="4:18" x14ac:dyDescent="0.25">
      <c r="J53" t="str">
        <v>BR</v>
      </c>
    </row>
    <row r="54" spans="4:18" x14ac:dyDescent="0.25">
      <c r="J54" t="str">
        <v>BR</v>
      </c>
    </row>
    <row r="55" spans="4:18" x14ac:dyDescent="0.25">
      <c r="J55" t="str">
        <v>BR</v>
      </c>
    </row>
    <row r="58" spans="4:18" x14ac:dyDescent="0.25">
      <c r="E58" t="s">
        <v>52</v>
      </c>
      <c r="F58" t="s">
        <v>52</v>
      </c>
      <c r="G58" t="s">
        <v>53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57</v>
      </c>
    </row>
    <row r="59" spans="4:18" x14ac:dyDescent="0.25">
      <c r="D59" t="s">
        <v>52</v>
      </c>
      <c r="F59" t="s">
        <v>55</v>
      </c>
      <c r="G59" t="s">
        <v>54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58</v>
      </c>
    </row>
    <row r="60" spans="4:18" x14ac:dyDescent="0.25">
      <c r="D60" t="s">
        <v>52</v>
      </c>
      <c r="E60" t="s">
        <v>55</v>
      </c>
      <c r="G60" t="s">
        <v>54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56</v>
      </c>
    </row>
    <row r="61" spans="4:18" x14ac:dyDescent="0.25">
      <c r="D61" t="s">
        <v>52</v>
      </c>
      <c r="E61" t="s">
        <v>55</v>
      </c>
      <c r="F61" t="s">
        <v>55</v>
      </c>
      <c r="J61" t="str">
        <v>BB</v>
      </c>
      <c r="K61" t="str">
        <v>Total</v>
      </c>
      <c r="L61">
        <v>6</v>
      </c>
    </row>
    <row r="62" spans="4:18" x14ac:dyDescent="0.25">
      <c r="J62" t="str">
        <v>BB</v>
      </c>
    </row>
    <row r="63" spans="4:18" x14ac:dyDescent="0.25">
      <c r="J63" t="str">
        <v>BR</v>
      </c>
    </row>
    <row r="64" spans="4:18" x14ac:dyDescent="0.25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8"/>
  <sheetViews>
    <sheetView topLeftCell="A19" workbookViewId="0">
      <selection activeCell="J10" sqref="J10"/>
    </sheetView>
  </sheetViews>
  <sheetFormatPr defaultRowHeight="13.2" x14ac:dyDescent="0.25"/>
  <cols>
    <col min="2" max="2" width="7.88671875" customWidth="1"/>
    <col min="3" max="3" width="10.88671875" customWidth="1"/>
    <col min="4" max="4" width="8.88671875" customWidth="1"/>
    <col min="5" max="5" width="12.88671875" customWidth="1"/>
    <col min="6" max="6" width="5.88671875" customWidth="1"/>
  </cols>
  <sheetData>
    <row r="2" spans="2:17" x14ac:dyDescent="0.25">
      <c r="B2" t="s">
        <v>59</v>
      </c>
      <c r="C2" t="s">
        <v>60</v>
      </c>
      <c r="D2" t="s">
        <v>61</v>
      </c>
      <c r="E2" t="s">
        <v>62</v>
      </c>
      <c r="F2" t="s">
        <v>63</v>
      </c>
    </row>
    <row r="3" spans="2:17" x14ac:dyDescent="0.25">
      <c r="B3" t="s">
        <v>64</v>
      </c>
      <c r="C3" t="s">
        <v>70</v>
      </c>
      <c r="E3" t="s">
        <v>74</v>
      </c>
      <c r="H3">
        <f>Report!I3511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5">
      <c r="B4" t="s">
        <v>65</v>
      </c>
      <c r="C4" t="s">
        <v>71</v>
      </c>
      <c r="E4" t="s">
        <v>75</v>
      </c>
    </row>
    <row r="5" spans="2:17" x14ac:dyDescent="0.25">
      <c r="B5" t="s">
        <v>66</v>
      </c>
      <c r="E5" t="s">
        <v>76</v>
      </c>
    </row>
    <row r="6" spans="2:17" x14ac:dyDescent="0.25">
      <c r="B6" t="s">
        <v>67</v>
      </c>
      <c r="C6" t="s">
        <v>72</v>
      </c>
    </row>
    <row r="7" spans="2:17" x14ac:dyDescent="0.25">
      <c r="B7" t="s">
        <v>68</v>
      </c>
      <c r="E7" t="s">
        <v>74</v>
      </c>
    </row>
    <row r="8" spans="2:17" x14ac:dyDescent="0.25">
      <c r="B8" t="s">
        <v>69</v>
      </c>
      <c r="C8" t="s">
        <v>73</v>
      </c>
      <c r="E8" t="s">
        <v>77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Q3" sqref="Q3"/>
    </sheetView>
  </sheetViews>
  <sheetFormatPr defaultRowHeight="13.2" x14ac:dyDescent="0.25"/>
  <cols>
    <col min="11" max="11" width="11" bestFit="1" customWidth="1"/>
  </cols>
  <sheetData>
    <row r="1" spans="1:28" x14ac:dyDescent="0.25">
      <c r="A1" s="27" t="s">
        <v>51</v>
      </c>
      <c r="B1" s="26" t="s">
        <v>50</v>
      </c>
      <c r="C1" s="26"/>
      <c r="K1" t="s">
        <v>130</v>
      </c>
      <c r="L1" s="28" t="s">
        <v>131</v>
      </c>
    </row>
    <row r="2" spans="1:28" x14ac:dyDescent="0.25">
      <c r="A2" s="27" t="s">
        <v>49</v>
      </c>
      <c r="B2" s="26"/>
      <c r="C2" s="26"/>
      <c r="K2" t="s">
        <v>129</v>
      </c>
      <c r="L2" s="28" t="s">
        <v>131</v>
      </c>
      <c r="M2" t="s">
        <v>132</v>
      </c>
    </row>
    <row r="3" spans="1:28" x14ac:dyDescent="0.25">
      <c r="A3" s="27" t="s">
        <v>48</v>
      </c>
      <c r="B3" s="26" t="str" cm="1">
        <f t="array" aca="1" ref="B3" ca="1">HD_Date</f>
        <v>20-Dec-2025</v>
      </c>
      <c r="C3" s="26"/>
    </row>
    <row r="6" spans="1:28" x14ac:dyDescent="0.25">
      <c r="U6" t="s">
        <v>79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5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5">
      <c r="U8">
        <v>5</v>
      </c>
      <c r="V8" t="s">
        <v>80</v>
      </c>
      <c r="W8" t="s">
        <v>81</v>
      </c>
      <c r="X8" t="s">
        <v>82</v>
      </c>
      <c r="Y8" t="s">
        <v>83</v>
      </c>
      <c r="Z8" t="s">
        <v>84</v>
      </c>
      <c r="AA8" t="s">
        <v>85</v>
      </c>
      <c r="AB8" t="s">
        <v>86</v>
      </c>
    </row>
    <row r="9" spans="1:28" x14ac:dyDescent="0.25">
      <c r="U9">
        <v>10</v>
      </c>
      <c r="V9" t="s">
        <v>82</v>
      </c>
      <c r="W9" t="s">
        <v>87</v>
      </c>
      <c r="X9" t="s">
        <v>86</v>
      </c>
      <c r="Y9" t="s">
        <v>88</v>
      </c>
      <c r="Z9" t="s">
        <v>89</v>
      </c>
      <c r="AA9" t="s">
        <v>90</v>
      </c>
      <c r="AB9" t="s">
        <v>91</v>
      </c>
    </row>
    <row r="10" spans="1:28" x14ac:dyDescent="0.25">
      <c r="U10">
        <v>15</v>
      </c>
      <c r="V10" t="s">
        <v>92</v>
      </c>
      <c r="W10" t="s">
        <v>93</v>
      </c>
      <c r="X10" t="s">
        <v>94</v>
      </c>
      <c r="Y10" t="s">
        <v>95</v>
      </c>
      <c r="Z10" t="s">
        <v>96</v>
      </c>
      <c r="AA10" t="s">
        <v>97</v>
      </c>
      <c r="AB10" t="s">
        <v>98</v>
      </c>
    </row>
    <row r="11" spans="1:28" x14ac:dyDescent="0.25">
      <c r="U11">
        <v>20</v>
      </c>
      <c r="V11" t="s">
        <v>99</v>
      </c>
      <c r="W11" t="s">
        <v>100</v>
      </c>
      <c r="X11" t="s">
        <v>101</v>
      </c>
      <c r="Y11" t="s">
        <v>102</v>
      </c>
      <c r="Z11" t="s">
        <v>103</v>
      </c>
      <c r="AA11" t="s">
        <v>104</v>
      </c>
      <c r="AB11" t="s">
        <v>105</v>
      </c>
    </row>
    <row r="12" spans="1:28" x14ac:dyDescent="0.25">
      <c r="U12">
        <v>25</v>
      </c>
      <c r="V12" t="s">
        <v>106</v>
      </c>
      <c r="W12" t="s">
        <v>107</v>
      </c>
      <c r="X12" t="s">
        <v>108</v>
      </c>
      <c r="Y12" t="s">
        <v>109</v>
      </c>
      <c r="Z12" t="s">
        <v>110</v>
      </c>
      <c r="AA12" t="s">
        <v>111</v>
      </c>
      <c r="AB12" t="s">
        <v>112</v>
      </c>
    </row>
    <row r="13" spans="1:28" x14ac:dyDescent="0.25">
      <c r="U13">
        <v>30</v>
      </c>
      <c r="V13" t="s">
        <v>113</v>
      </c>
      <c r="W13" t="s">
        <v>114</v>
      </c>
      <c r="X13" t="s">
        <v>115</v>
      </c>
      <c r="Y13" t="s">
        <v>116</v>
      </c>
      <c r="Z13" t="s">
        <v>117</v>
      </c>
      <c r="AA13" t="s">
        <v>118</v>
      </c>
      <c r="AB13" t="s">
        <v>119</v>
      </c>
    </row>
    <row r="14" spans="1:28" x14ac:dyDescent="0.25">
      <c r="U14">
        <v>35</v>
      </c>
      <c r="V14" t="s">
        <v>107</v>
      </c>
      <c r="W14" t="s">
        <v>120</v>
      </c>
      <c r="X14" t="s">
        <v>110</v>
      </c>
      <c r="Y14">
        <v>3.5</v>
      </c>
      <c r="Z14" t="s">
        <v>121</v>
      </c>
      <c r="AA14" t="s">
        <v>122</v>
      </c>
      <c r="AB14">
        <v>5.6</v>
      </c>
    </row>
    <row r="15" spans="1:28" x14ac:dyDescent="0.25">
      <c r="U15">
        <v>40</v>
      </c>
      <c r="V15" t="s">
        <v>123</v>
      </c>
      <c r="W15" t="s">
        <v>124</v>
      </c>
      <c r="X15" t="s">
        <v>125</v>
      </c>
      <c r="Y15" t="s">
        <v>121</v>
      </c>
      <c r="Z15" t="s">
        <v>126</v>
      </c>
      <c r="AA15" t="s">
        <v>127</v>
      </c>
      <c r="AB15" t="s">
        <v>128</v>
      </c>
    </row>
    <row r="16" spans="1:28" x14ac:dyDescent="0.25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5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5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5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5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5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5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5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5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5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5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5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13</vt:i4>
      </vt:variant>
    </vt:vector>
  </HeadingPairs>
  <TitlesOfParts>
    <vt:vector size="21" baseType="lpstr">
      <vt:lpstr>Report</vt:lpstr>
      <vt:lpstr>LongTermTraining</vt:lpstr>
      <vt:lpstr>PointTraining</vt:lpstr>
      <vt:lpstr>RAOBF</vt:lpstr>
      <vt:lpstr>BP_Data</vt:lpstr>
      <vt:lpstr>Sheet1</vt:lpstr>
      <vt:lpstr>Sheet2</vt:lpstr>
      <vt:lpstr>SH3_Correction_Table</vt:lpstr>
      <vt:lpstr>__xL</vt:lpstr>
      <vt:lpstr>_AOB</vt:lpstr>
      <vt:lpstr>_B</vt:lpstr>
      <vt:lpstr>_L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2025-12-21T04:02:03Z</dcterms:modified>
</cp:coreProperties>
</file>