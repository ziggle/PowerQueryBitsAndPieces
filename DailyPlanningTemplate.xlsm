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507AE91-379E-45EC-84FB-785312153E29}" xr6:coauthVersionLast="47" xr6:coauthVersionMax="47" xr10:uidLastSave="{00000000-0000-0000-0000-000000000000}"/>
  <bookViews>
    <workbookView xWindow="-108" yWindow="-108" windowWidth="23256" windowHeight="12456" activeTab="3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0" hidden="1">Report!$P$24:$P$60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Report!$C$9:$L$9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S" hidden="1" xlm="1">#NAME?</definedName>
    <definedName name="_xleta.COUNTA" hidden="1" xlm="1">#NAME?</definedName>
    <definedName name="_xleta.SIN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1">_xlfn.DROP(_xlfn.TRIMRANGE(LongTermTraining!$D:$X),1)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8" l="1"/>
  <c r="I25" i="8"/>
  <c r="I26" i="8" s="1"/>
  <c r="K27" i="8"/>
  <c r="I24" i="8"/>
  <c r="E17" i="8"/>
  <c r="H19" i="8"/>
  <c r="F3" i="8"/>
  <c r="F10" i="8"/>
  <c r="F2" i="8"/>
  <c r="F5" i="8"/>
  <c r="D6" i="9"/>
  <c r="C6" i="9"/>
  <c r="B6" i="9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Z9" i="3" a="1"/>
  <c r="D9" i="3" a="1"/>
  <c r="N10" i="1" a="1"/>
  <c r="B10" i="1" a="1"/>
  <c r="F8" i="8" l="1"/>
  <c r="C12" i="8"/>
  <c r="C11" i="8"/>
  <c r="J59" i="5"/>
  <c r="K59" i="5" a="1"/>
  <c r="J44" i="5"/>
  <c r="K44" i="5" a="1"/>
  <c r="D9" i="3"/>
  <c r="Z9" i="3"/>
  <c r="N10" i="1"/>
  <c r="M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M21" i="1"/>
  <c r="P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P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<sst xmlns="http://schemas.openxmlformats.org/spreadsheetml/2006/main" count="210" uniqueCount="163">
  <si>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</si>
  <si>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</si>
  <si>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</si>
  <si>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</si>
  <si>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</si>
  <si>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</si>
  <si>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</si>
  <si>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</si>
  <si>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</si>
  <si>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</si>
  <si>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</si>
  <si>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</si>
  <si>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</si>
  <si>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</si>
  <si>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</si>
  <si>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</si>
  <si>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</si>
  <si>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</si>
  <si>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</si>
  <si>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</si>
  <si>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</si>
  <si>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</si>
  <si>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</si>
  <si>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</si>
  <si>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</si>
  <si>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</si>
  <si>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</si>
  <si>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</si>
  <si>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</si>
  <si>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</si>
  <si>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</si>
  <si>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</si>
  <si>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</si>
  <si>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</si>
  <si>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</si>
  <si>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</si>
  <si>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</si>
  <si>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</si>
  <si>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</si>
  <si>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</si>
  <si>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</si>
  <si>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</si>
  <si>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</si>
  <si>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</si>
  <si>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</si>
  <si>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</si>
  <si>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</si>
  <si>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</si>
  <si>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</si>
  <si>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</si>
  <si>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</si>
  <si>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</si>
  <si>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</si>
  <si>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</si>
  <si>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</si>
  <si>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</si>
  <si>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</si>
  <si>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</si>
  <si>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</si>
  <si>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</si>
  <si>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</si>
  <si>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</si>
  <si>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</si>
  <si>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</si>
  <si>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</si>
  <si>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</si>
  <si>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</si>
  <si>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</si>
  <si>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</si>
  <si>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</si>
  <si>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</si>
  <si>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</si>
  <si>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</si>
  <si>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</si>
  <si>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</si>
  <si>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</si>
  <si>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</si>
  <si>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</si>
  <si>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</si>
  <si>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</si>
  <si>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</si>
  <si>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</si>
  <si>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</si>
  <si>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</si>
  <si>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</si>
  <si>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</si>
  <si>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</si>
  <si>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</si>
  <si>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</si>
  <si>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</si>
  <si>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</si>
  <si>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</si>
  <si>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</si>
  <si>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</si>
  <si>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</si>
  <si>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</si>
  <si>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</si>
  <si>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</si>
  <si>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</si>
  <si>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</si>
  <si>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</si>
  <si>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</si>
  <si>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</si>
  <si>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</si>
  <si>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</si>
  <si>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</si>
  <si>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</si>
  <si>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</si>
  <si>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</si>
  <si>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</si>
  <si>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</si>
  <si>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</si>
  <si>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</si>
  <si>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</si>
  <si>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</si>
  <si>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</si>
  <si>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</si>
  <si>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</si>
  <si>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</si>
  <si>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</si>
  <si>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</si>
  <si>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</si>
  <si>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</si>
  <si>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</si>
  <si>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</si>
  <si>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</si>
  <si>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</si>
  <si>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</si>
  <si>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</si>
  <si>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</si>
  <si>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</si>
  <si>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</si>
  <si>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</si>
  <si>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</si>
  <si>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</si>
  <si>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</si>
  <si>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</si>
  <si>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</si>
  <si>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</si>
  <si>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</si>
  <si>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</si>
  <si>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</si>
  <si>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</si>
  <si>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</si>
  <si>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</si>
  <si>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</si>
  <si>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</si>
  <si>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</si>
  <si>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</si>
  <si>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</si>
  <si>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</si>
  <si>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</si>
  <si>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</si>
  <si>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</si>
  <si>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</si>
  <si>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</si>
  <si>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</si>
  <si>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</si>
  <si>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</si>
  <si>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</si>
  <si>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</si>
  <si>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BP</t>
  </si>
  <si>
    <t>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</si>
</sst>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15" fontId="0" fillId="0" borderId="0" xfId="0" applyNumberFormat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91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309</xdr:row>
          <xdr:rowOff>123190</xdr:rowOff>
        </xdr:from>
        <xdr:to>
          <xdr:col>25</xdr:col>
          <xdr:colOff>226060</xdr:colOff>
          <xdr:row>363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8" spid="_x0000_s915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2000" y="53059330"/>
              <a:ext cx="3594100" cy="89293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17</xdr:col>
      <xdr:colOff>601980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68"/>
  <sheetViews>
    <sheetView workbookViewId="0">
      <pane ySplit="9" topLeftCell="A358" activePane="bottomLeft" state="frozen"/>
      <selection pane="bottomLeft" activeCell="J367" sqref="J367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6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63">_xlfn.BYROW(_xlfn.DROP(Banded,,1),_xleta.SUM)</f>
        <v>0</v>
      </c>
      <c r="P10" s="7" cm="1">
        <f t="array" aca="1" ref="P10:Z5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63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7</v>
      </c>
      <c r="R57" s="5">
        <f ca="1"/>
        <v>7</v>
      </c>
      <c r="S57" s="5">
        <f ca="1"/>
        <v>4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  <c r="Y57" s="5">
        <f ca="1"/>
        <v>7</v>
      </c>
      <c r="Z57">
        <f ca="1"/>
        <v>7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  <c r="P58" s="7">
        <f ca="1"/>
        <v>51</v>
      </c>
      <c r="Q58" s="5">
        <f ca="1"/>
        <v>7</v>
      </c>
      <c r="R58" s="5">
        <f ca="1"/>
        <v>7</v>
      </c>
      <c r="S58" s="5">
        <f ca="1"/>
        <v>4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  <c r="Y58" s="5">
        <f ca="1"/>
        <v>7</v>
      </c>
      <c r="Z58">
        <f ca="1"/>
        <v>7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4" spans="2:16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 s="16">
        <v>1</v>
      </c>
      <c r="M354">
        <f ca="1"/>
        <v>50</v>
      </c>
      <c r="N354">
        <v>10</v>
      </c>
    </row>
    <row r="355" spans="2:16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 s="16">
        <v>1</v>
      </c>
      <c r="M355">
        <f ca="1"/>
        <v>50</v>
      </c>
      <c r="N355">
        <v>9</v>
      </c>
    </row>
    <row r="356" spans="2:16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 s="16">
        <v>1</v>
      </c>
      <c r="M356">
        <f ca="1"/>
        <v>50</v>
      </c>
      <c r="N356">
        <v>10</v>
      </c>
    </row>
    <row r="357" spans="2:16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 s="16">
        <v>1</v>
      </c>
      <c r="M357">
        <f ca="1"/>
        <v>51</v>
      </c>
      <c r="N357">
        <v>9</v>
      </c>
    </row>
    <row r="358" spans="2:16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 s="16">
        <v>1</v>
      </c>
      <c r="M358">
        <f ca="1"/>
        <v>51</v>
      </c>
      <c r="N358">
        <v>10</v>
      </c>
    </row>
    <row r="359" spans="2:16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 s="16">
        <v>1</v>
      </c>
      <c r="M359">
        <f ca="1"/>
        <v>51</v>
      </c>
      <c r="N359">
        <v>9</v>
      </c>
    </row>
    <row r="360" spans="2:16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 s="16">
        <v>1</v>
      </c>
      <c r="M360">
        <f ca="1"/>
        <v>51</v>
      </c>
      <c r="N360">
        <v>10</v>
      </c>
    </row>
    <row r="361" spans="2:16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 s="16">
        <v>1</v>
      </c>
      <c r="M361">
        <f ca="1"/>
        <v>51</v>
      </c>
      <c r="N361">
        <v>10</v>
      </c>
    </row>
    <row r="362" spans="2:16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 s="16">
        <v>1</v>
      </c>
      <c r="M362">
        <f ca="1"/>
        <v>51</v>
      </c>
      <c r="N362">
        <v>9</v>
      </c>
    </row>
    <row r="363" spans="2:16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 s="16">
        <v>1</v>
      </c>
      <c r="M363">
        <f ca="1"/>
        <v>51</v>
      </c>
      <c r="N363">
        <v>10</v>
      </c>
    </row>
    <row r="365" spans="2:16" x14ac:dyDescent="0.25">
      <c r="P365" t="s">
        <v>35</v>
      </c>
    </row>
    <row r="366" spans="2:16" x14ac:dyDescent="0.25">
      <c r="P366" t="s">
        <v>36</v>
      </c>
    </row>
    <row r="367" spans="2:16" x14ac:dyDescent="0.25">
      <c r="P367" t="s">
        <v>40</v>
      </c>
    </row>
    <row r="368" spans="2:16" x14ac:dyDescent="0.25">
      <c r="P368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8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63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62"/>
  <sheetViews>
    <sheetView topLeftCell="A4" workbookViewId="0">
      <pane ySplit="5" topLeftCell="A355" activePane="bottomLeft" state="frozen"/>
      <selection activeCell="A4" sqref="A4"/>
      <selection pane="bottomLeft" activeCell="X366" sqref="X366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23" t="s">
        <v>162</v>
      </c>
      <c r="X8" s="18" t="s">
        <v>19</v>
      </c>
    </row>
    <row r="9" spans="4:26" ht="13.8" thickTop="1" x14ac:dyDescent="0.25">
      <c r="D9" t="str" cm="1">
        <f t="array" aca="1" ref="D9:D36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62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37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O216"/>
  <sheetViews>
    <sheetView tabSelected="1" zoomScaleNormal="100" workbookViewId="0">
      <selection activeCell="G14" sqref="G14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133</v>
      </c>
      <c r="C1">
        <v>10</v>
      </c>
      <c r="D1" t="s">
        <v>137</v>
      </c>
    </row>
    <row r="2" spans="2:6" x14ac:dyDescent="0.25">
      <c r="B2" t="s">
        <v>134</v>
      </c>
      <c r="C2">
        <v>30</v>
      </c>
      <c r="D2" t="s">
        <v>137</v>
      </c>
      <c r="F2">
        <f>SIN(120*PI()/180)</f>
        <v>0.86602540378443871</v>
      </c>
    </row>
    <row r="3" spans="2:6" x14ac:dyDescent="0.25">
      <c r="B3" t="s">
        <v>135</v>
      </c>
      <c r="C3">
        <v>2000</v>
      </c>
      <c r="D3" t="s">
        <v>140</v>
      </c>
      <c r="F3">
        <f>ASIN(0.5626/2)*180/PI()</f>
        <v>16.337808095148048</v>
      </c>
    </row>
    <row r="4" spans="2:6" x14ac:dyDescent="0.25">
      <c r="B4" t="s">
        <v>136</v>
      </c>
      <c r="C4">
        <v>100</v>
      </c>
      <c r="D4" t="s">
        <v>140</v>
      </c>
    </row>
    <row r="5" spans="2:6" x14ac:dyDescent="0.25">
      <c r="B5" t="s">
        <v>138</v>
      </c>
      <c r="C5">
        <v>2</v>
      </c>
      <c r="D5" t="s">
        <v>139</v>
      </c>
      <c r="F5">
        <f>2*SIN(14.47*PI()/180)</f>
        <v>0.49974609767390904</v>
      </c>
    </row>
    <row r="6" spans="2:6" x14ac:dyDescent="0.25">
      <c r="B6" t="s">
        <v>152</v>
      </c>
      <c r="C6">
        <v>3</v>
      </c>
      <c r="D6" t="s">
        <v>139</v>
      </c>
    </row>
    <row r="8" spans="2:6" x14ac:dyDescent="0.25">
      <c r="B8" t="s">
        <v>144</v>
      </c>
      <c r="C8" s="29">
        <f>_R*SIN(_B*PI()/180)</f>
        <v>999.99999999999989</v>
      </c>
      <c r="D8" t="s">
        <v>140</v>
      </c>
      <c r="F8">
        <f>ATAN2(_xShip,_yShip)*180/PI()</f>
        <v>60.000000000000007</v>
      </c>
    </row>
    <row r="9" spans="2:6" x14ac:dyDescent="0.25">
      <c r="B9" t="s">
        <v>145</v>
      </c>
      <c r="C9" s="29">
        <f>_R*COS(_B*PI()/180)</f>
        <v>1732.0508075688774</v>
      </c>
      <c r="D9" t="s">
        <v>140</v>
      </c>
    </row>
    <row r="10" spans="2:6" x14ac:dyDescent="0.25">
      <c r="B10" t="s">
        <v>148</v>
      </c>
      <c r="C10">
        <f>(90-_B)-_AOB</f>
        <v>50</v>
      </c>
      <c r="D10" t="s">
        <v>149</v>
      </c>
      <c r="F10">
        <f>ASIN(0.5626/2)*180/PI()</f>
        <v>16.337808095148048</v>
      </c>
    </row>
    <row r="11" spans="2:6" x14ac:dyDescent="0.25">
      <c r="B11" t="s">
        <v>147</v>
      </c>
      <c r="C11">
        <f>-SIN(PI()/180*_Theta)*_L</f>
        <v>-76.604444311897808</v>
      </c>
    </row>
    <row r="12" spans="2:6" x14ac:dyDescent="0.25">
      <c r="B12" t="s">
        <v>146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150</v>
      </c>
      <c r="C13">
        <f>CONVERT(CONVERT(_v,"kn","m/sec"),"m","yd")</f>
        <v>1.1252065714007973</v>
      </c>
      <c r="D13" t="s">
        <v>151</v>
      </c>
    </row>
    <row r="16" spans="2:6" x14ac:dyDescent="0.25">
      <c r="B16" t="s">
        <v>141</v>
      </c>
      <c r="C16" t="s">
        <v>142</v>
      </c>
      <c r="D16" t="s">
        <v>143</v>
      </c>
      <c r="E16" t="s">
        <v>153</v>
      </c>
      <c r="F16" t="s">
        <v>154</v>
      </c>
    </row>
    <row r="17" spans="2:15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5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1.6878098571011957</v>
      </c>
      <c r="F18" s="30">
        <f t="shared" ref="F18:F81" si="3">ATAN2(C18,D18-E18)*180/PI()</f>
        <v>60.491993194999381</v>
      </c>
    </row>
    <row r="19" spans="2:15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3.3756197142023914</v>
      </c>
      <c r="F19" s="30">
        <f t="shared" si="3"/>
        <v>60.460759622883053</v>
      </c>
      <c r="H19">
        <f>_nYpSKnot</f>
        <v>0.56260299999999996</v>
      </c>
    </row>
    <row r="20" spans="2:15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5.0634295713035868</v>
      </c>
      <c r="F20" s="30">
        <f t="shared" si="3"/>
        <v>60.429514154957509</v>
      </c>
      <c r="M20" t="s">
        <v>155</v>
      </c>
    </row>
    <row r="21" spans="2:15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6.7512394284047827</v>
      </c>
      <c r="F21" s="30">
        <f t="shared" si="3"/>
        <v>60.398256803020281</v>
      </c>
    </row>
    <row r="22" spans="2:15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8.4390492855059787</v>
      </c>
      <c r="F22" s="30">
        <f t="shared" si="3"/>
        <v>60.366987578906183</v>
      </c>
      <c r="I22" cm="1">
        <f t="array" ref="I22">_fInt(90-_B,F17:F216,_xlfn.ANCHORARRAY(B17))</f>
        <v>16.708227901509808</v>
      </c>
      <c r="M22">
        <f>_L*SIN(_AOB*PI()/180)/I22</f>
        <v>1.0392973970102415</v>
      </c>
      <c r="N22" t="s">
        <v>156</v>
      </c>
    </row>
    <row r="23" spans="2:15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10.126859142607174</v>
      </c>
      <c r="F23" s="30">
        <f t="shared" si="3"/>
        <v>60.33570649448729</v>
      </c>
      <c r="G23">
        <v>65.51903600418477</v>
      </c>
      <c r="M23">
        <f>M22*1.777</f>
        <v>1.846831474487199</v>
      </c>
      <c r="N23" t="s">
        <v>139</v>
      </c>
      <c r="O23" t="s">
        <v>157</v>
      </c>
    </row>
    <row r="24" spans="2:15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11.81466899970837</v>
      </c>
      <c r="F24" s="30">
        <f t="shared" si="3"/>
        <v>60.304413561672987</v>
      </c>
      <c r="I24">
        <f>_L</f>
        <v>100</v>
      </c>
      <c r="M24">
        <f>M23/SIN(_AOB*PI()/180)</f>
        <v>10.635478582617518</v>
      </c>
      <c r="N24" t="s">
        <v>139</v>
      </c>
      <c r="O24" t="s">
        <v>158</v>
      </c>
    </row>
    <row r="25" spans="2:15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13.502478856809565</v>
      </c>
      <c r="F25" s="30">
        <f t="shared" si="3"/>
        <v>60.27310879240995</v>
      </c>
      <c r="I25">
        <f>(_v+_vSub*SIN(_B*PI()/180)/SIN((_AOB)*PI()/180))*_nYpSKnot</f>
        <v>5.9850583251920861</v>
      </c>
    </row>
    <row r="26" spans="2:15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15.190288713910761</v>
      </c>
      <c r="F26" s="30">
        <f t="shared" si="3"/>
        <v>60.241792198682148</v>
      </c>
      <c r="I26">
        <f>I24/I25</f>
        <v>16.708274935113614</v>
      </c>
    </row>
    <row r="27" spans="2:15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16.878098571011957</v>
      </c>
      <c r="F27" s="30">
        <f t="shared" si="3"/>
        <v>60.210463792510879</v>
      </c>
      <c r="J27">
        <v>1.6880493882943532</v>
      </c>
      <c r="K27">
        <f>I24/J27</f>
        <v>59.23997289027335</v>
      </c>
      <c r="M27" t="s">
        <v>159</v>
      </c>
    </row>
    <row r="28" spans="2:15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18.565908428113154</v>
      </c>
      <c r="F28" s="30">
        <f t="shared" si="3"/>
        <v>60.179123585954763</v>
      </c>
      <c r="M28" t="s">
        <v>160</v>
      </c>
    </row>
    <row r="29" spans="2:15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20.253718285214347</v>
      </c>
      <c r="F29" s="30">
        <f t="shared" si="3"/>
        <v>60.147771591109759</v>
      </c>
    </row>
    <row r="30" spans="2:15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21.941528142315544</v>
      </c>
      <c r="F30" s="30">
        <f t="shared" si="3"/>
        <v>60.116407820109139</v>
      </c>
    </row>
    <row r="31" spans="2:15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23.629337999416741</v>
      </c>
      <c r="F31" s="30">
        <f t="shared" si="3"/>
        <v>60.085032285123525</v>
      </c>
    </row>
    <row r="32" spans="2:15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25.317147856517934</v>
      </c>
      <c r="F32" s="30">
        <f t="shared" si="3"/>
        <v>60.053644998360937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27.004957713619131</v>
      </c>
      <c r="F33" s="30">
        <f t="shared" si="3"/>
        <v>60.022245972066706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28.692767570720328</v>
      </c>
      <c r="F34" s="30">
        <f t="shared" si="3"/>
        <v>59.990835218523557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30.380577427821521</v>
      </c>
      <c r="F35" s="30">
        <f t="shared" si="3"/>
        <v>59.95941275005157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32.068387284922721</v>
      </c>
      <c r="F36" s="30">
        <f t="shared" si="3"/>
        <v>59.927978579008204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33.756197142023915</v>
      </c>
      <c r="F37" s="30">
        <f t="shared" si="3"/>
        <v>59.896532717788325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35.444006999125108</v>
      </c>
      <c r="F38" s="30">
        <f t="shared" si="3"/>
        <v>59.865075178824164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37.131816856226308</v>
      </c>
      <c r="F39" s="30">
        <f t="shared" si="3"/>
        <v>59.833605974585375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38.819626713327501</v>
      </c>
      <c r="F40" s="30">
        <f t="shared" si="3"/>
        <v>59.802125117579003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40.507436570428695</v>
      </c>
      <c r="F41" s="30">
        <f t="shared" si="3"/>
        <v>59.770632620349474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42.195246427529895</v>
      </c>
      <c r="F42" s="30">
        <f t="shared" si="3"/>
        <v>59.739128495478681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43.883056284631088</v>
      </c>
      <c r="F43" s="30">
        <f t="shared" si="3"/>
        <v>59.707612755585863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45.570866141732282</v>
      </c>
      <c r="F44" s="30">
        <f t="shared" si="3"/>
        <v>59.676085413327755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47.258675998833482</v>
      </c>
      <c r="F45" s="30">
        <f t="shared" si="3"/>
        <v>59.644546481398464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48.946485855934675</v>
      </c>
      <c r="F46" s="30">
        <f t="shared" si="3"/>
        <v>59.612995972529539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50.634295713035868</v>
      </c>
      <c r="F47" s="30">
        <f t="shared" si="3"/>
        <v>59.581433899489966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52.322105570137069</v>
      </c>
      <c r="F48" s="30">
        <f t="shared" si="3"/>
        <v>59.549860275086168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54.009915427238262</v>
      </c>
      <c r="F49" s="30">
        <f t="shared" si="3"/>
        <v>59.518275112161987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55.697725284339455</v>
      </c>
      <c r="F50" s="30">
        <f t="shared" si="3"/>
        <v>59.486678423598725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57.385535141440656</v>
      </c>
      <c r="F51" s="30">
        <f t="shared" si="3"/>
        <v>59.455070222315136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59.073344998541849</v>
      </c>
      <c r="F52" s="30">
        <f t="shared" si="3"/>
        <v>59.423450521267391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60.761154855643042</v>
      </c>
      <c r="F53" s="30">
        <f t="shared" si="3"/>
        <v>59.391819333449121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62.448964712744242</v>
      </c>
      <c r="F54" s="30">
        <f t="shared" si="3"/>
        <v>59.360176671891438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64.136774569845443</v>
      </c>
      <c r="F55" s="30">
        <f t="shared" si="3"/>
        <v>59.32852254966285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65.824584426946629</v>
      </c>
      <c r="F56" s="30">
        <f t="shared" si="3"/>
        <v>59.296856979869382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67.512394284047829</v>
      </c>
      <c r="F57" s="30">
        <f t="shared" si="3"/>
        <v>59.265179975654426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69.20020414114903</v>
      </c>
      <c r="F58" s="30">
        <f t="shared" si="3"/>
        <v>59.233491550198892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70.888013998250216</v>
      </c>
      <c r="F59" s="30">
        <f t="shared" si="3"/>
        <v>59.201791716721168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72.575823855351416</v>
      </c>
      <c r="F60" s="30">
        <f t="shared" si="3"/>
        <v>59.170080488477012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74.263633712452616</v>
      </c>
      <c r="F61" s="30">
        <f t="shared" si="3"/>
        <v>59.138357878759734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75.951443569553803</v>
      </c>
      <c r="F62" s="30">
        <f t="shared" si="3"/>
        <v>59.106623900900004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77.639253426655003</v>
      </c>
      <c r="F63" s="30">
        <f t="shared" si="3"/>
        <v>59.074878568266037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79.327063283756203</v>
      </c>
      <c r="F64" s="30">
        <f t="shared" si="3"/>
        <v>59.043121894263436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81.014873140857389</v>
      </c>
      <c r="F65" s="30">
        <f t="shared" si="3"/>
        <v>59.011353892335279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82.70268299795859</v>
      </c>
      <c r="F66" s="30">
        <f t="shared" si="3"/>
        <v>58.979574575962111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84.39049285505979</v>
      </c>
      <c r="F67" s="30">
        <f t="shared" si="3"/>
        <v>58.947783958661894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86.078302712160976</v>
      </c>
      <c r="F68" s="30">
        <f t="shared" si="3"/>
        <v>58.915982053990092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87.766112569262177</v>
      </c>
      <c r="F69" s="30">
        <f t="shared" si="3"/>
        <v>58.884168875539551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89.453922426363377</v>
      </c>
      <c r="F70" s="30">
        <f t="shared" si="3"/>
        <v>58.852344436940605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91.141732283464563</v>
      </c>
      <c r="F71" s="30">
        <f t="shared" si="3"/>
        <v>58.82050875186102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92.829542140565763</v>
      </c>
      <c r="F72" s="30">
        <f t="shared" si="3"/>
        <v>58.788661834005985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94.517351997666964</v>
      </c>
      <c r="F73" s="30">
        <f t="shared" si="3"/>
        <v>58.75680369711813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96.20516185476815</v>
      </c>
      <c r="F74" s="30">
        <f t="shared" si="3"/>
        <v>58.724934354977563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97.89297171186935</v>
      </c>
      <c r="F75" s="30">
        <f t="shared" si="3"/>
        <v>58.693053821401769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99.580781568970551</v>
      </c>
      <c r="F76" s="30">
        <f t="shared" si="3"/>
        <v>58.661162110245677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101.26859142607174</v>
      </c>
      <c r="F77" s="30">
        <f t="shared" si="3"/>
        <v>58.629259235401605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102.95640128317294</v>
      </c>
      <c r="F78" s="30">
        <f t="shared" si="3"/>
        <v>58.597345210799361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104.64421114027414</v>
      </c>
      <c r="F79" s="30">
        <f t="shared" si="3"/>
        <v>58.565420050406082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106.33202099737532</v>
      </c>
      <c r="F80" s="30">
        <f t="shared" si="3"/>
        <v>58.533483768226382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108.01983085447652</v>
      </c>
      <c r="F81" s="30">
        <f t="shared" si="3"/>
        <v>58.501536378302227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109.70764071157772</v>
      </c>
      <c r="F82" s="30">
        <f t="shared" ref="F82:F145" si="10">ATAN2(C82,D82-E82)*180/PI()</f>
        <v>58.469577894713012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111.39545056867891</v>
      </c>
      <c r="F83" s="30">
        <f t="shared" si="10"/>
        <v>58.437608331575525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113.08326042578011</v>
      </c>
      <c r="F84" s="30">
        <f t="shared" si="10"/>
        <v>58.405627703043898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114.77107028288131</v>
      </c>
      <c r="F85" s="30">
        <f t="shared" si="10"/>
        <v>58.373636023309679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116.4588801399825</v>
      </c>
      <c r="F86" s="30">
        <f t="shared" si="10"/>
        <v>58.341633306601793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118.1466899970837</v>
      </c>
      <c r="F87" s="30">
        <f t="shared" si="10"/>
        <v>58.30961956718653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119.8344998541849</v>
      </c>
      <c r="F88" s="30">
        <f t="shared" si="10"/>
        <v>58.277594819367472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121.52230971128608</v>
      </c>
      <c r="F89" s="30">
        <f t="shared" si="10"/>
        <v>58.24555907748568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123.21011956838728</v>
      </c>
      <c r="F90" s="30">
        <f t="shared" si="10"/>
        <v>58.213512355919448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124.89792942548848</v>
      </c>
      <c r="F91" s="30">
        <f t="shared" si="10"/>
        <v>58.181454669084445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126.58573928258967</v>
      </c>
      <c r="F92" s="30">
        <f t="shared" si="10"/>
        <v>58.149386031433686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128.27354913969089</v>
      </c>
      <c r="F93" s="30">
        <f t="shared" si="10"/>
        <v>58.117306457457481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129.96135899679206</v>
      </c>
      <c r="F94" s="30">
        <f t="shared" si="10"/>
        <v>58.085215961683446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131.64916885389326</v>
      </c>
      <c r="F95" s="30">
        <f t="shared" si="10"/>
        <v>58.053114558676548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133.33697871099446</v>
      </c>
      <c r="F96" s="30">
        <f t="shared" si="10"/>
        <v>58.021002263039001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135.02478856809566</v>
      </c>
      <c r="F97" s="30">
        <f t="shared" si="10"/>
        <v>57.988879089410318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136.71259842519686</v>
      </c>
      <c r="F98" s="30">
        <f t="shared" si="10"/>
        <v>57.956745052467269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138.40040828229806</v>
      </c>
      <c r="F99" s="30">
        <f t="shared" si="10"/>
        <v>57.924600166923909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140.08821813939923</v>
      </c>
      <c r="F100" s="30">
        <f t="shared" si="10"/>
        <v>57.892444447531552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141.77602799650043</v>
      </c>
      <c r="F101" s="30">
        <f t="shared" si="10"/>
        <v>57.860277909078754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143.46383785360163</v>
      </c>
      <c r="F102" s="30">
        <f t="shared" si="10"/>
        <v>57.828100566391278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145.15164771070283</v>
      </c>
      <c r="F103" s="30">
        <f t="shared" si="10"/>
        <v>57.795912434332131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146.83945756780403</v>
      </c>
      <c r="F104" s="30">
        <f t="shared" si="10"/>
        <v>57.763713527801549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148.52726742490523</v>
      </c>
      <c r="F105" s="30">
        <f t="shared" si="10"/>
        <v>57.731503861736904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150.2150772820064</v>
      </c>
      <c r="F106" s="30">
        <f t="shared" si="10"/>
        <v>57.699283451112827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151.90288713910761</v>
      </c>
      <c r="F107" s="30">
        <f t="shared" si="10"/>
        <v>57.667052310941081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153.59069699620881</v>
      </c>
      <c r="F108" s="30">
        <f t="shared" si="10"/>
        <v>57.634810456270621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155.27850685331001</v>
      </c>
      <c r="F109" s="30">
        <f t="shared" si="10"/>
        <v>57.602557902187527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156.96631671041121</v>
      </c>
      <c r="F110" s="30">
        <f t="shared" si="10"/>
        <v>57.570294663815005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158.65412656751241</v>
      </c>
      <c r="F111" s="30">
        <f t="shared" si="10"/>
        <v>57.538020756313415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160.34193642461358</v>
      </c>
      <c r="F112" s="30">
        <f t="shared" si="10"/>
        <v>57.505736194880228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162.02974628171478</v>
      </c>
      <c r="F113" s="30">
        <f t="shared" si="10"/>
        <v>57.473440994749978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163.71755613881598</v>
      </c>
      <c r="F114" s="30">
        <f t="shared" si="10"/>
        <v>57.441135171194325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165.40536599591718</v>
      </c>
      <c r="F115" s="30">
        <f t="shared" si="10"/>
        <v>57.408818739521955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167.09317585301838</v>
      </c>
      <c r="F116" s="30">
        <f t="shared" si="10"/>
        <v>57.376491715078636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168.78098571011958</v>
      </c>
      <c r="F117" s="30">
        <f t="shared" si="10"/>
        <v>57.344154113247164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170.46879556722075</v>
      </c>
      <c r="F118" s="30">
        <f t="shared" si="10"/>
        <v>57.311805949447354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172.15660542432195</v>
      </c>
      <c r="F119" s="30">
        <f t="shared" si="10"/>
        <v>57.279447239136026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173.84441528142315</v>
      </c>
      <c r="F120" s="30">
        <f t="shared" si="10"/>
        <v>57.247077997807018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175.53222513852435</v>
      </c>
      <c r="F121" s="30">
        <f t="shared" si="10"/>
        <v>57.214698240991105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177.22003499562555</v>
      </c>
      <c r="F122" s="30">
        <f t="shared" si="10"/>
        <v>57.182307984256063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178.90784485272675</v>
      </c>
      <c r="F123" s="30">
        <f t="shared" si="10"/>
        <v>57.14990724320657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180.59565470982793</v>
      </c>
      <c r="F124" s="30">
        <f t="shared" si="10"/>
        <v>57.117496033484258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182.28346456692913</v>
      </c>
      <c r="F125" s="30">
        <f t="shared" si="10"/>
        <v>57.085074370767657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183.97127442403033</v>
      </c>
      <c r="F126" s="30">
        <f t="shared" si="10"/>
        <v>57.052642270772175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185.65908428113153</v>
      </c>
      <c r="F127" s="30">
        <f t="shared" si="10"/>
        <v>57.020199749250139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187.34689413823273</v>
      </c>
      <c r="F128" s="30">
        <f t="shared" si="10"/>
        <v>56.987746821990683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189.03470399533393</v>
      </c>
      <c r="F129" s="30">
        <f t="shared" si="10"/>
        <v>56.955283504819782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190.7225138524351</v>
      </c>
      <c r="F130" s="30">
        <f t="shared" si="10"/>
        <v>56.922809813600274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192.4103237095363</v>
      </c>
      <c r="F131" s="30">
        <f t="shared" si="10"/>
        <v>56.890325764231747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194.0981335666375</v>
      </c>
      <c r="F132" s="30">
        <f t="shared" si="10"/>
        <v>56.857831372650587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195.7859434237387</v>
      </c>
      <c r="F133" s="30">
        <f t="shared" si="10"/>
        <v>56.825326654829944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197.4737532808399</v>
      </c>
      <c r="F134" s="30">
        <f t="shared" si="10"/>
        <v>56.792811626779724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199.1615631379411</v>
      </c>
      <c r="F135" s="30">
        <f t="shared" si="10"/>
        <v>56.760286304546526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200.84937299504227</v>
      </c>
      <c r="F136" s="30">
        <f t="shared" si="10"/>
        <v>56.727750704213641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202.53718285214347</v>
      </c>
      <c r="F137" s="30">
        <f t="shared" si="10"/>
        <v>56.695204841901102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204.22499270924467</v>
      </c>
      <c r="F138" s="30">
        <f t="shared" si="10"/>
        <v>56.662648733765543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205.91280256634587</v>
      </c>
      <c r="F139" s="30">
        <f t="shared" si="10"/>
        <v>56.630082396000248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207.60061242344707</v>
      </c>
      <c r="F140" s="30">
        <f t="shared" si="10"/>
        <v>56.597505844835112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209.28842228054828</v>
      </c>
      <c r="F141" s="30">
        <f t="shared" si="10"/>
        <v>56.564919096536677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210.97623213764945</v>
      </c>
      <c r="F142" s="30">
        <f t="shared" si="10"/>
        <v>56.532322167407983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212.66404199475065</v>
      </c>
      <c r="F143" s="30">
        <f t="shared" si="10"/>
        <v>56.499715073788664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214.35185185185185</v>
      </c>
      <c r="F144" s="30">
        <f t="shared" si="10"/>
        <v>56.467097832054883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216.03966170895305</v>
      </c>
      <c r="F145" s="30">
        <f t="shared" si="10"/>
        <v>56.434470458619295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217.72747156605425</v>
      </c>
      <c r="F146" s="30">
        <f t="shared" ref="F146:F209" si="17">ATAN2(C146,D146-E146)*180/PI()</f>
        <v>56.401832969931029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219.41528142315545</v>
      </c>
      <c r="F147" s="30">
        <f t="shared" si="17"/>
        <v>56.369185382475699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221.10309128025665</v>
      </c>
      <c r="F148" s="30">
        <f t="shared" si="17"/>
        <v>56.336527712775322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222.79090113735782</v>
      </c>
      <c r="F149" s="30">
        <f t="shared" si="17"/>
        <v>56.303859977388363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224.47871099445902</v>
      </c>
      <c r="F150" s="30">
        <f t="shared" si="17"/>
        <v>56.271182192909627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226.16652085156022</v>
      </c>
      <c r="F151" s="30">
        <f t="shared" si="17"/>
        <v>56.238494375970333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227.85433070866142</v>
      </c>
      <c r="F152" s="30">
        <f t="shared" si="17"/>
        <v>56.205796543238002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229.54214056576262</v>
      </c>
      <c r="F153" s="30">
        <f t="shared" si="17"/>
        <v>56.173088711416447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231.22995042286382</v>
      </c>
      <c r="F154" s="30">
        <f t="shared" si="17"/>
        <v>56.140370897245816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232.91776027996499</v>
      </c>
      <c r="F155" s="30">
        <f t="shared" si="17"/>
        <v>56.107643117502505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234.6055701370662</v>
      </c>
      <c r="F156" s="30">
        <f t="shared" si="17"/>
        <v>56.07490538899912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236.2933799941674</v>
      </c>
      <c r="F157" s="30">
        <f t="shared" si="17"/>
        <v>56.042157728584471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237.9811898512686</v>
      </c>
      <c r="F158" s="30">
        <f t="shared" si="17"/>
        <v>56.009400153143588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239.6689997083698</v>
      </c>
      <c r="F159" s="30">
        <f t="shared" si="17"/>
        <v>55.976632679597635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241.356809565471</v>
      </c>
      <c r="F160" s="30">
        <f t="shared" si="17"/>
        <v>55.943855324903879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243.04461942257217</v>
      </c>
      <c r="F161" s="30">
        <f t="shared" si="17"/>
        <v>55.91106810605573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244.73242927967337</v>
      </c>
      <c r="F162" s="30">
        <f t="shared" si="17"/>
        <v>55.878271040082609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246.42023913677457</v>
      </c>
      <c r="F163" s="30">
        <f t="shared" si="17"/>
        <v>55.845464144050048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248.10804899387577</v>
      </c>
      <c r="F164" s="30">
        <f t="shared" si="17"/>
        <v>55.812647435059532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249.79585885097697</v>
      </c>
      <c r="F165" s="30">
        <f t="shared" si="17"/>
        <v>55.779820930248611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251.48366870807817</v>
      </c>
      <c r="F166" s="30">
        <f t="shared" si="17"/>
        <v>55.746984646790686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253.17147856517934</v>
      </c>
      <c r="F167" s="30">
        <f t="shared" si="17"/>
        <v>55.714138601895158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254.85928842228054</v>
      </c>
      <c r="F168" s="30">
        <f t="shared" si="17"/>
        <v>55.681282812807332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256.54709827938177</v>
      </c>
      <c r="F169" s="30">
        <f t="shared" si="17"/>
        <v>55.648417296808304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258.23490813648294</v>
      </c>
      <c r="F170" s="30">
        <f t="shared" si="17"/>
        <v>55.61554207121511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259.92271799358411</v>
      </c>
      <c r="F171" s="30">
        <f t="shared" si="17"/>
        <v>55.582657153380502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261.61052785068534</v>
      </c>
      <c r="F172" s="30">
        <f t="shared" si="17"/>
        <v>55.549762560693075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263.29833770778652</v>
      </c>
      <c r="F173" s="30">
        <f t="shared" si="17"/>
        <v>55.516858310577128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264.98614756488774</v>
      </c>
      <c r="F174" s="30">
        <f t="shared" si="17"/>
        <v>55.483944420492698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266.67395742198892</v>
      </c>
      <c r="F175" s="30">
        <f t="shared" si="17"/>
        <v>55.451020907935465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268.36176727909009</v>
      </c>
      <c r="F176" s="30">
        <f t="shared" si="17"/>
        <v>55.418087790436807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270.04957713619132</v>
      </c>
      <c r="F177" s="30">
        <f t="shared" si="17"/>
        <v>55.385145085563686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271.73738699329249</v>
      </c>
      <c r="F178" s="30">
        <f t="shared" si="17"/>
        <v>55.35219281091868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273.42519685039372</v>
      </c>
      <c r="F179" s="30">
        <f t="shared" si="17"/>
        <v>55.319230984139864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275.11300670749489</v>
      </c>
      <c r="F180" s="30">
        <f t="shared" si="17"/>
        <v>55.286259622900893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276.80081656459612</v>
      </c>
      <c r="F181" s="30">
        <f t="shared" si="17"/>
        <v>55.253278744910865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278.48862642169729</v>
      </c>
      <c r="F182" s="30">
        <f t="shared" si="17"/>
        <v>55.220288367914357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280.17643627879846</v>
      </c>
      <c r="F183" s="30">
        <f t="shared" si="17"/>
        <v>55.187288509691335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281.86424613589969</v>
      </c>
      <c r="F184" s="30">
        <f t="shared" si="17"/>
        <v>55.154279188057167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283.55205599300086</v>
      </c>
      <c r="F185" s="30">
        <f t="shared" si="17"/>
        <v>55.121260420862555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285.23986585010209</v>
      </c>
      <c r="F186" s="30">
        <f t="shared" si="17"/>
        <v>55.088232225993544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286.92767570720326</v>
      </c>
      <c r="F187" s="30">
        <f t="shared" si="17"/>
        <v>55.055194621371413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288.61548556430444</v>
      </c>
      <c r="F188" s="30">
        <f t="shared" si="17"/>
        <v>55.022147624952709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290.30329542140566</v>
      </c>
      <c r="F189" s="30">
        <f t="shared" si="17"/>
        <v>54.989091254729189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291.99110527850684</v>
      </c>
      <c r="F190" s="30">
        <f t="shared" si="17"/>
        <v>54.956025528727757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293.67891513560807</v>
      </c>
      <c r="F191" s="30">
        <f t="shared" si="17"/>
        <v>54.922950465010473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295.36672499270924</v>
      </c>
      <c r="F192" s="30">
        <f t="shared" si="17"/>
        <v>54.889866081674484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297.05453484981047</v>
      </c>
      <c r="F193" s="30">
        <f t="shared" si="17"/>
        <v>54.856772396851994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298.74234470691164</v>
      </c>
      <c r="F194" s="30">
        <f t="shared" si="17"/>
        <v>54.823669428710247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300.43015456401281</v>
      </c>
      <c r="F195" s="30">
        <f t="shared" si="17"/>
        <v>54.79055719545142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302.11796442111404</v>
      </c>
      <c r="F196" s="30">
        <f t="shared" si="17"/>
        <v>54.757435715312702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303.80577427821521</v>
      </c>
      <c r="F197" s="30">
        <f t="shared" si="17"/>
        <v>54.724305006566148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305.49358413531644</v>
      </c>
      <c r="F198" s="30">
        <f t="shared" si="17"/>
        <v>54.691165087518698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307.18139399241761</v>
      </c>
      <c r="F199" s="30">
        <f t="shared" si="17"/>
        <v>54.658015976512125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308.86920384951878</v>
      </c>
      <c r="F200" s="30">
        <f t="shared" si="17"/>
        <v>54.624857691922962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310.55701370662001</v>
      </c>
      <c r="F201" s="30">
        <f t="shared" si="17"/>
        <v>54.591690252162536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312.24482356372118</v>
      </c>
      <c r="F202" s="30">
        <f t="shared" si="17"/>
        <v>54.558513675676856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313.93263342082241</v>
      </c>
      <c r="F203" s="30">
        <f t="shared" si="17"/>
        <v>54.525327980946628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315.62044327792358</v>
      </c>
      <c r="F204" s="30">
        <f t="shared" si="17"/>
        <v>54.492133186487166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317.30825313502481</v>
      </c>
      <c r="F205" s="30">
        <f t="shared" si="17"/>
        <v>54.45892931084839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318.99606299212599</v>
      </c>
      <c r="F206" s="30">
        <f t="shared" si="17"/>
        <v>54.425716372614758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320.68387284922716</v>
      </c>
      <c r="F207" s="30">
        <f t="shared" si="17"/>
        <v>54.39249439040524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322.37168270632839</v>
      </c>
      <c r="F208" s="30">
        <f t="shared" si="17"/>
        <v>54.359263382873273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324.05949256342956</v>
      </c>
      <c r="F209" s="30">
        <f t="shared" si="17"/>
        <v>54.326023368706707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325.74730242053079</v>
      </c>
      <c r="F210" s="30">
        <f t="shared" ref="F210:F216" si="24">ATAN2(C210,D210-E210)*180/PI()</f>
        <v>54.29277436662781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327.43511227763196</v>
      </c>
      <c r="F211" s="30">
        <f t="shared" si="24"/>
        <v>54.259516395393149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329.12292213473319</v>
      </c>
      <c r="F212" s="30">
        <f t="shared" si="24"/>
        <v>54.226249473793622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330.81073199183436</v>
      </c>
      <c r="F213" s="30">
        <f t="shared" si="24"/>
        <v>54.19297362065435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332.49854184893553</v>
      </c>
      <c r="F214" s="30">
        <f t="shared" si="24"/>
        <v>54.159688854834677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334.18635170603676</v>
      </c>
      <c r="F215" s="30">
        <f t="shared" si="24"/>
        <v>54.126395195228113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335.87416156313793</v>
      </c>
      <c r="F216" s="30">
        <f t="shared" si="24"/>
        <v>54.093092660762302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2:D6"/>
  <sheetViews>
    <sheetView workbookViewId="0">
      <selection activeCell="P27" sqref="P27"/>
    </sheetView>
  </sheetViews>
  <sheetFormatPr defaultRowHeight="13.2" x14ac:dyDescent="0.25"/>
  <cols>
    <col min="1" max="1" width="10" bestFit="1" customWidth="1"/>
  </cols>
  <sheetData>
    <row r="2" spans="1:4" x14ac:dyDescent="0.25">
      <c r="A2" s="31">
        <v>46009</v>
      </c>
    </row>
    <row r="3" spans="1:4" x14ac:dyDescent="0.25">
      <c r="A3" t="s">
        <v>161</v>
      </c>
      <c r="B3">
        <v>131</v>
      </c>
      <c r="C3">
        <v>74</v>
      </c>
      <c r="D3">
        <v>56</v>
      </c>
    </row>
    <row r="4" spans="1:4" x14ac:dyDescent="0.25">
      <c r="B4">
        <v>130</v>
      </c>
      <c r="C4">
        <v>82</v>
      </c>
      <c r="D4">
        <v>57</v>
      </c>
    </row>
    <row r="5" spans="1:4" x14ac:dyDescent="0.25">
      <c r="B5">
        <v>140</v>
      </c>
      <c r="C5">
        <v>77</v>
      </c>
      <c r="D5">
        <v>62</v>
      </c>
    </row>
    <row r="6" spans="1:4" x14ac:dyDescent="0.25">
      <c r="B6" s="29">
        <f>AVERAGE(B3:B5)</f>
        <v>133.66666666666666</v>
      </c>
      <c r="C6" s="29">
        <f>AVERAGE(C3:C5)</f>
        <v>77.666666666666671</v>
      </c>
      <c r="D6" s="29">
        <f>AVERAGE(D3:D5)</f>
        <v>58.333333333333336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20-Dec-2025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Q3" sqref="Q3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51</v>
      </c>
      <c r="B1" s="26" t="s">
        <v>50</v>
      </c>
      <c r="C1" s="26"/>
      <c r="K1" t="s">
        <v>130</v>
      </c>
      <c r="L1" s="28" t="s">
        <v>131</v>
      </c>
    </row>
    <row r="2" spans="1:28" x14ac:dyDescent="0.25">
      <c r="A2" s="27" t="s">
        <v>49</v>
      </c>
      <c r="B2" s="26"/>
      <c r="C2" s="26"/>
      <c r="K2" t="s">
        <v>129</v>
      </c>
      <c r="L2" s="28" t="s">
        <v>131</v>
      </c>
      <c r="M2" t="s">
        <v>132</v>
      </c>
    </row>
    <row r="3" spans="1:28" x14ac:dyDescent="0.25">
      <c r="A3" s="27" t="s">
        <v>48</v>
      </c>
      <c r="B3" s="26" t="str" cm="1">
        <f t="array" aca="1" ref="B3" ca="1">HD_Date</f>
        <v>20-Dec-2025</v>
      </c>
      <c r="C3" s="26"/>
    </row>
    <row r="6" spans="1:28" x14ac:dyDescent="0.25">
      <c r="U6" t="s">
        <v>79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80</v>
      </c>
      <c r="W8" t="s">
        <v>81</v>
      </c>
      <c r="X8" t="s">
        <v>82</v>
      </c>
      <c r="Y8" t="s">
        <v>83</v>
      </c>
      <c r="Z8" t="s">
        <v>84</v>
      </c>
      <c r="AA8" t="s">
        <v>85</v>
      </c>
      <c r="AB8" t="s">
        <v>86</v>
      </c>
    </row>
    <row r="9" spans="1:28" x14ac:dyDescent="0.25">
      <c r="U9">
        <v>10</v>
      </c>
      <c r="V9" t="s">
        <v>82</v>
      </c>
      <c r="W9" t="s">
        <v>87</v>
      </c>
      <c r="X9" t="s">
        <v>86</v>
      </c>
      <c r="Y9" t="s">
        <v>88</v>
      </c>
      <c r="Z9" t="s">
        <v>89</v>
      </c>
      <c r="AA9" t="s">
        <v>90</v>
      </c>
      <c r="AB9" t="s">
        <v>91</v>
      </c>
    </row>
    <row r="10" spans="1:28" x14ac:dyDescent="0.25">
      <c r="U10">
        <v>15</v>
      </c>
      <c r="V10" t="s">
        <v>92</v>
      </c>
      <c r="W10" t="s">
        <v>93</v>
      </c>
      <c r="X10" t="s">
        <v>94</v>
      </c>
      <c r="Y10" t="s">
        <v>95</v>
      </c>
      <c r="Z10" t="s">
        <v>96</v>
      </c>
      <c r="AA10" t="s">
        <v>97</v>
      </c>
      <c r="AB10" t="s">
        <v>98</v>
      </c>
    </row>
    <row r="11" spans="1:28" x14ac:dyDescent="0.25">
      <c r="U11">
        <v>20</v>
      </c>
      <c r="V11" t="s">
        <v>99</v>
      </c>
      <c r="W11" t="s">
        <v>100</v>
      </c>
      <c r="X11" t="s">
        <v>101</v>
      </c>
      <c r="Y11" t="s">
        <v>102</v>
      </c>
      <c r="Z11" t="s">
        <v>103</v>
      </c>
      <c r="AA11" t="s">
        <v>104</v>
      </c>
      <c r="AB11" t="s">
        <v>105</v>
      </c>
    </row>
    <row r="12" spans="1:28" x14ac:dyDescent="0.25">
      <c r="U12">
        <v>25</v>
      </c>
      <c r="V12" t="s">
        <v>106</v>
      </c>
      <c r="W12" t="s">
        <v>107</v>
      </c>
      <c r="X12" t="s">
        <v>108</v>
      </c>
      <c r="Y12" t="s">
        <v>109</v>
      </c>
      <c r="Z12" t="s">
        <v>110</v>
      </c>
      <c r="AA12" t="s">
        <v>111</v>
      </c>
      <c r="AB12" t="s">
        <v>112</v>
      </c>
    </row>
    <row r="13" spans="1:28" x14ac:dyDescent="0.25">
      <c r="U13">
        <v>30</v>
      </c>
      <c r="V13" t="s">
        <v>113</v>
      </c>
      <c r="W13" t="s">
        <v>114</v>
      </c>
      <c r="X13" t="s">
        <v>115</v>
      </c>
      <c r="Y13" t="s">
        <v>116</v>
      </c>
      <c r="Z13" t="s">
        <v>117</v>
      </c>
      <c r="AA13" t="s">
        <v>118</v>
      </c>
      <c r="AB13" t="s">
        <v>119</v>
      </c>
    </row>
    <row r="14" spans="1:28" x14ac:dyDescent="0.25">
      <c r="U14">
        <v>35</v>
      </c>
      <c r="V14" t="s">
        <v>107</v>
      </c>
      <c r="W14" t="s">
        <v>120</v>
      </c>
      <c r="X14" t="s">
        <v>110</v>
      </c>
      <c r="Y14">
        <v>3.5</v>
      </c>
      <c r="Z14" t="s">
        <v>121</v>
      </c>
      <c r="AA14" t="s">
        <v>122</v>
      </c>
      <c r="AB14">
        <v>5.6</v>
      </c>
    </row>
    <row r="15" spans="1:28" x14ac:dyDescent="0.25">
      <c r="U15">
        <v>40</v>
      </c>
      <c r="V15" t="s">
        <v>123</v>
      </c>
      <c r="W15" t="s">
        <v>124</v>
      </c>
      <c r="X15" t="s">
        <v>125</v>
      </c>
      <c r="Y15" t="s">
        <v>121</v>
      </c>
      <c r="Z15" t="s">
        <v>126</v>
      </c>
      <c r="AA15" t="s">
        <v>127</v>
      </c>
      <c r="AB15" t="s">
        <v>128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2025-12-21T05:15:35Z</dcterms:modified>
</cp:coreProperties>
</file>