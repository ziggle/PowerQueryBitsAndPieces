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488B2EF-2C40-434A-8EFF-504820B65DB2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0" hidden="1">Report!$P$24:$P$60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Report!$C$9:$L$9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1">_xlfn.DROP(_xlfn.TRIMRANGE(LongTermTraining!$D:$X),1)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8" l="1"/>
  <c r="F10" i="8"/>
  <c r="F2" i="8"/>
  <c r="F5" i="8"/>
  <c r="D6" i="9"/>
  <c r="C6" i="9"/>
  <c r="B6" i="9"/>
  <c r="C8" i="8"/>
  <c r="C9" i="8"/>
  <c r="J20" i="8"/>
  <c r="C10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17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Z9" i="3" a="1"/>
  <c r="D9" i="3" a="1"/>
  <c r="N10" i="1" a="1"/>
  <c r="B10" i="1" a="1"/>
  <c r="F8" i="8" l="1"/>
  <c r="C12" i="8"/>
  <c r="C11" i="8"/>
  <c r="J59" i="5"/>
  <c r="K59" i="5" a="1"/>
  <c r="J44" i="5"/>
  <c r="K44" i="5" a="1"/>
  <c r="D9" i="3"/>
  <c r="Z9" i="3"/>
  <c r="N10" i="1"/>
  <c r="M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M21" i="1"/>
  <c r="P10" i="1" s="1" a="1"/>
  <c r="F68" i="8" l="1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F17" i="8"/>
  <c r="P10" i="1"/>
  <c r="J22" i="8" l="1" a="1"/>
  <c r="J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<sst xmlns="http://schemas.openxmlformats.org/spreadsheetml/2006/main" count="210" uniqueCount="163">
  <si>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</si>
  <si>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</si>
  <si>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</si>
  <si>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</si>
  <si>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</si>
  <si>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</si>
  <si>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</si>
  <si>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</si>
  <si>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</si>
  <si>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</si>
  <si>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</si>
  <si>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</si>
  <si>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</si>
  <si>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</si>
  <si>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</si>
  <si>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</si>
  <si>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</si>
  <si>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</si>
  <si>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</si>
  <si>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</si>
  <si>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</si>
  <si>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</si>
  <si>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</si>
  <si>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</si>
  <si>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</si>
  <si>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</si>
  <si>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</si>
  <si>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</si>
  <si>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</si>
  <si>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</si>
  <si>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</si>
  <si>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</si>
  <si>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</si>
  <si>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</si>
  <si>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</si>
  <si>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</si>
  <si>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</si>
  <si>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</si>
  <si>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</si>
  <si>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</si>
  <si>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</si>
  <si>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</si>
  <si>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</si>
  <si>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</si>
  <si>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</si>
  <si>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</si>
  <si>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</si>
  <si>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</si>
  <si>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</si>
  <si>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</si>
  <si>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</si>
  <si>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</si>
  <si>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</si>
  <si>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</si>
  <si>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</si>
  <si>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</si>
  <si>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</si>
  <si>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</si>
  <si>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</si>
  <si>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</si>
  <si>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</si>
  <si>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</si>
  <si>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</si>
  <si>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</si>
  <si>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</si>
  <si>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</si>
  <si>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</si>
  <si>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</si>
  <si>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</si>
  <si>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</si>
  <si>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</si>
  <si>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</si>
  <si>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</si>
  <si>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</si>
  <si>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</si>
  <si>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</si>
  <si>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</si>
  <si>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</si>
  <si>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</si>
  <si>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</si>
  <si>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</si>
  <si>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</si>
  <si>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</si>
  <si>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</si>
  <si>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</si>
  <si>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</si>
  <si>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</si>
  <si>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</si>
  <si>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</si>
  <si>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</si>
  <si>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</si>
  <si>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</si>
  <si>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</si>
  <si>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</si>
  <si>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</si>
  <si>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</si>
  <si>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</si>
  <si>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</si>
  <si>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</si>
  <si>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</si>
  <si>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</si>
  <si>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</si>
  <si>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</si>
  <si>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</si>
  <si>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</si>
  <si>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</si>
  <si>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</si>
  <si>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</si>
  <si>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</si>
  <si>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</si>
  <si>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</si>
  <si>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</si>
  <si>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</si>
  <si>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</si>
  <si>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</si>
  <si>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</si>
  <si>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</si>
  <si>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</si>
  <si>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</si>
  <si>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</si>
  <si>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</si>
  <si>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</si>
  <si>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</si>
  <si>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</si>
  <si>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</si>
  <si>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</si>
  <si>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</si>
  <si>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</si>
  <si>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</si>
  <si>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</si>
  <si>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</si>
  <si>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</si>
  <si>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</si>
  <si>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</si>
  <si>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</si>
  <si>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</si>
  <si>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</si>
  <si>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</si>
  <si>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</si>
  <si>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</si>
  <si>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</si>
  <si>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</si>
  <si>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</si>
  <si>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</si>
  <si>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</si>
  <si>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</si>
  <si>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</si>
  <si>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</si>
  <si>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</si>
  <si>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</si>
  <si>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</si>
  <si>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</si>
  <si>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</si>
  <si>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</si>
  <si>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</si>
  <si>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</si>
  <si>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</si>
  <si>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</si>
  <si>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</si>
  <si>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</si>
  <si>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</si>
  <si>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BP</t>
  </si>
  <si>
    <t>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</si>
</sst>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15" fontId="0" fillId="0" borderId="0" xfId="0" applyNumberFormat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927.66712080252091</c:v>
                </c:pt>
                <c:pt idx="1">
                  <c:v>928.48101511253435</c:v>
                </c:pt>
                <c:pt idx="2">
                  <c:v>929.29490942254779</c:v>
                </c:pt>
                <c:pt idx="3">
                  <c:v>930.10880373256123</c:v>
                </c:pt>
                <c:pt idx="4">
                  <c:v>930.92269804257467</c:v>
                </c:pt>
                <c:pt idx="5">
                  <c:v>931.7365923525881</c:v>
                </c:pt>
                <c:pt idx="6">
                  <c:v>932.55048666260154</c:v>
                </c:pt>
                <c:pt idx="7">
                  <c:v>933.36438097261498</c:v>
                </c:pt>
                <c:pt idx="8">
                  <c:v>934.17827528262842</c:v>
                </c:pt>
                <c:pt idx="9">
                  <c:v>934.99216959264186</c:v>
                </c:pt>
                <c:pt idx="10">
                  <c:v>935.8060639026553</c:v>
                </c:pt>
                <c:pt idx="11">
                  <c:v>936.61995821266873</c:v>
                </c:pt>
                <c:pt idx="12">
                  <c:v>937.43385252268206</c:v>
                </c:pt>
                <c:pt idx="13">
                  <c:v>938.2477468326955</c:v>
                </c:pt>
                <c:pt idx="14">
                  <c:v>939.06164114270894</c:v>
                </c:pt>
                <c:pt idx="15">
                  <c:v>939.87553545272237</c:v>
                </c:pt>
                <c:pt idx="16">
                  <c:v>940.68942976273581</c:v>
                </c:pt>
                <c:pt idx="17">
                  <c:v>941.50332407274925</c:v>
                </c:pt>
                <c:pt idx="18">
                  <c:v>942.31721838276269</c:v>
                </c:pt>
                <c:pt idx="19">
                  <c:v>943.13111269277613</c:v>
                </c:pt>
                <c:pt idx="20">
                  <c:v>943.94500700278957</c:v>
                </c:pt>
                <c:pt idx="21">
                  <c:v>944.758901312803</c:v>
                </c:pt>
                <c:pt idx="22">
                  <c:v>945.57279562281644</c:v>
                </c:pt>
                <c:pt idx="23">
                  <c:v>946.38668993282988</c:v>
                </c:pt>
                <c:pt idx="24">
                  <c:v>947.20058424284332</c:v>
                </c:pt>
                <c:pt idx="25">
                  <c:v>948.01447855285676</c:v>
                </c:pt>
                <c:pt idx="26">
                  <c:v>948.8283728628702</c:v>
                </c:pt>
                <c:pt idx="27">
                  <c:v>949.64226717288363</c:v>
                </c:pt>
                <c:pt idx="28">
                  <c:v>950.45616148289707</c:v>
                </c:pt>
                <c:pt idx="29">
                  <c:v>951.27005579291051</c:v>
                </c:pt>
                <c:pt idx="30">
                  <c:v>952.08395010292395</c:v>
                </c:pt>
                <c:pt idx="31">
                  <c:v>952.89784441293739</c:v>
                </c:pt>
                <c:pt idx="32">
                  <c:v>953.71173872295083</c:v>
                </c:pt>
                <c:pt idx="33">
                  <c:v>954.52563303296427</c:v>
                </c:pt>
                <c:pt idx="34">
                  <c:v>955.3395273429777</c:v>
                </c:pt>
                <c:pt idx="35">
                  <c:v>956.15342165299114</c:v>
                </c:pt>
                <c:pt idx="36">
                  <c:v>956.96731596300458</c:v>
                </c:pt>
                <c:pt idx="37">
                  <c:v>957.78121027301802</c:v>
                </c:pt>
                <c:pt idx="38">
                  <c:v>958.59510458303146</c:v>
                </c:pt>
                <c:pt idx="39">
                  <c:v>959.4089988930449</c:v>
                </c:pt>
                <c:pt idx="40">
                  <c:v>960.22289320305833</c:v>
                </c:pt>
                <c:pt idx="41">
                  <c:v>961.03678751307177</c:v>
                </c:pt>
                <c:pt idx="42">
                  <c:v>961.85068182308521</c:v>
                </c:pt>
                <c:pt idx="43">
                  <c:v>962.66457613309865</c:v>
                </c:pt>
                <c:pt idx="44">
                  <c:v>963.47847044311209</c:v>
                </c:pt>
                <c:pt idx="45">
                  <c:v>964.29236475312553</c:v>
                </c:pt>
                <c:pt idx="46">
                  <c:v>965.10625906313896</c:v>
                </c:pt>
                <c:pt idx="47">
                  <c:v>965.9201533731524</c:v>
                </c:pt>
                <c:pt idx="48">
                  <c:v>966.73404768316561</c:v>
                </c:pt>
                <c:pt idx="49">
                  <c:v>967.54794199317905</c:v>
                </c:pt>
                <c:pt idx="50">
                  <c:v>968.36183630319249</c:v>
                </c:pt>
                <c:pt idx="51">
                  <c:v>969.17573061320593</c:v>
                </c:pt>
                <c:pt idx="52">
                  <c:v>969.98962492321937</c:v>
                </c:pt>
                <c:pt idx="53">
                  <c:v>970.80351923323281</c:v>
                </c:pt>
                <c:pt idx="54">
                  <c:v>971.61741354324624</c:v>
                </c:pt>
                <c:pt idx="55">
                  <c:v>972.43130785325968</c:v>
                </c:pt>
                <c:pt idx="56">
                  <c:v>973.24520216327312</c:v>
                </c:pt>
                <c:pt idx="57">
                  <c:v>974.05909647328656</c:v>
                </c:pt>
                <c:pt idx="58">
                  <c:v>974.8729907833</c:v>
                </c:pt>
                <c:pt idx="59">
                  <c:v>975.68688509331344</c:v>
                </c:pt>
                <c:pt idx="60">
                  <c:v>976.50077940332687</c:v>
                </c:pt>
                <c:pt idx="61">
                  <c:v>977.31467371334031</c:v>
                </c:pt>
                <c:pt idx="62">
                  <c:v>978.12856802335375</c:v>
                </c:pt>
                <c:pt idx="63">
                  <c:v>978.94246233336719</c:v>
                </c:pt>
                <c:pt idx="64">
                  <c:v>979.75635664338063</c:v>
                </c:pt>
                <c:pt idx="65">
                  <c:v>980.57025095339407</c:v>
                </c:pt>
                <c:pt idx="66">
                  <c:v>981.3841452634075</c:v>
                </c:pt>
                <c:pt idx="67">
                  <c:v>982.19803957342094</c:v>
                </c:pt>
                <c:pt idx="68">
                  <c:v>983.01193388343438</c:v>
                </c:pt>
                <c:pt idx="69">
                  <c:v>983.82582819344782</c:v>
                </c:pt>
                <c:pt idx="70">
                  <c:v>984.63972250346126</c:v>
                </c:pt>
                <c:pt idx="71">
                  <c:v>985.4536168134747</c:v>
                </c:pt>
                <c:pt idx="72">
                  <c:v>986.26751112348813</c:v>
                </c:pt>
                <c:pt idx="73">
                  <c:v>987.08140543350157</c:v>
                </c:pt>
                <c:pt idx="74">
                  <c:v>987.89529974351501</c:v>
                </c:pt>
                <c:pt idx="75">
                  <c:v>988.70919405352845</c:v>
                </c:pt>
                <c:pt idx="76">
                  <c:v>989.52308836354189</c:v>
                </c:pt>
                <c:pt idx="77">
                  <c:v>990.33698267355533</c:v>
                </c:pt>
                <c:pt idx="78">
                  <c:v>991.15087698356876</c:v>
                </c:pt>
                <c:pt idx="79">
                  <c:v>991.9647712935822</c:v>
                </c:pt>
                <c:pt idx="80">
                  <c:v>992.77866560359564</c:v>
                </c:pt>
                <c:pt idx="81">
                  <c:v>993.59255991360908</c:v>
                </c:pt>
                <c:pt idx="82">
                  <c:v>994.40645422362252</c:v>
                </c:pt>
                <c:pt idx="83">
                  <c:v>995.22034853363596</c:v>
                </c:pt>
                <c:pt idx="84">
                  <c:v>996.03424284364939</c:v>
                </c:pt>
                <c:pt idx="85">
                  <c:v>996.84813715366283</c:v>
                </c:pt>
                <c:pt idx="86">
                  <c:v>997.66203146367627</c:v>
                </c:pt>
                <c:pt idx="87">
                  <c:v>998.47592577368971</c:v>
                </c:pt>
                <c:pt idx="88">
                  <c:v>999.28982008370315</c:v>
                </c:pt>
                <c:pt idx="89">
                  <c:v>1000.1037143937166</c:v>
                </c:pt>
                <c:pt idx="90">
                  <c:v>1000.91760870373</c:v>
                </c:pt>
                <c:pt idx="91">
                  <c:v>1001.7315030137435</c:v>
                </c:pt>
                <c:pt idx="92">
                  <c:v>1002.5453973237569</c:v>
                </c:pt>
                <c:pt idx="93">
                  <c:v>1003.3592916337703</c:v>
                </c:pt>
                <c:pt idx="94">
                  <c:v>1004.1731859437838</c:v>
                </c:pt>
                <c:pt idx="95">
                  <c:v>1004.9870802537972</c:v>
                </c:pt>
                <c:pt idx="96">
                  <c:v>1005.8009745638107</c:v>
                </c:pt>
                <c:pt idx="97">
                  <c:v>1006.6148688738241</c:v>
                </c:pt>
                <c:pt idx="98">
                  <c:v>1007.4287631838375</c:v>
                </c:pt>
                <c:pt idx="99">
                  <c:v>1008.242657493851</c:v>
                </c:pt>
                <c:pt idx="100">
                  <c:v>1009.0565518038642</c:v>
                </c:pt>
                <c:pt idx="101">
                  <c:v>1009.8704461138776</c:v>
                </c:pt>
                <c:pt idx="102">
                  <c:v>1010.6843404238911</c:v>
                </c:pt>
                <c:pt idx="103">
                  <c:v>1011.4982347339045</c:v>
                </c:pt>
                <c:pt idx="104">
                  <c:v>1012.3121290439179</c:v>
                </c:pt>
                <c:pt idx="105">
                  <c:v>1013.1260233539314</c:v>
                </c:pt>
                <c:pt idx="106">
                  <c:v>1013.9399176639448</c:v>
                </c:pt>
                <c:pt idx="107">
                  <c:v>1014.7538119739582</c:v>
                </c:pt>
                <c:pt idx="108">
                  <c:v>1015.5677062839717</c:v>
                </c:pt>
                <c:pt idx="109">
                  <c:v>1016.3816005939851</c:v>
                </c:pt>
                <c:pt idx="110">
                  <c:v>1017.1954949039986</c:v>
                </c:pt>
                <c:pt idx="111">
                  <c:v>1018.009389214012</c:v>
                </c:pt>
                <c:pt idx="112">
                  <c:v>1018.8232835240254</c:v>
                </c:pt>
                <c:pt idx="113">
                  <c:v>1019.6371778340389</c:v>
                </c:pt>
                <c:pt idx="114">
                  <c:v>1020.4510721440523</c:v>
                </c:pt>
                <c:pt idx="115">
                  <c:v>1021.2649664540658</c:v>
                </c:pt>
                <c:pt idx="116">
                  <c:v>1022.0788607640792</c:v>
                </c:pt>
                <c:pt idx="117">
                  <c:v>1022.8927550740926</c:v>
                </c:pt>
                <c:pt idx="118">
                  <c:v>1023.7066493841061</c:v>
                </c:pt>
                <c:pt idx="119">
                  <c:v>1024.5205436941196</c:v>
                </c:pt>
                <c:pt idx="120">
                  <c:v>1025.3344380041331</c:v>
                </c:pt>
                <c:pt idx="121">
                  <c:v>1026.1483323141465</c:v>
                </c:pt>
                <c:pt idx="122">
                  <c:v>1026.9622266241599</c:v>
                </c:pt>
                <c:pt idx="123">
                  <c:v>1027.7761209341734</c:v>
                </c:pt>
                <c:pt idx="124">
                  <c:v>1028.5900152441868</c:v>
                </c:pt>
                <c:pt idx="125">
                  <c:v>1029.4039095542003</c:v>
                </c:pt>
                <c:pt idx="126">
                  <c:v>1030.2178038642137</c:v>
                </c:pt>
                <c:pt idx="127">
                  <c:v>1031.0316981742271</c:v>
                </c:pt>
                <c:pt idx="128">
                  <c:v>1031.8455924842406</c:v>
                </c:pt>
                <c:pt idx="129">
                  <c:v>1032.659486794254</c:v>
                </c:pt>
                <c:pt idx="130">
                  <c:v>1033.4733811042674</c:v>
                </c:pt>
                <c:pt idx="131">
                  <c:v>1034.2872754142809</c:v>
                </c:pt>
                <c:pt idx="132">
                  <c:v>1035.1011697242943</c:v>
                </c:pt>
                <c:pt idx="133">
                  <c:v>1035.9150640343078</c:v>
                </c:pt>
                <c:pt idx="134">
                  <c:v>1036.7289583443212</c:v>
                </c:pt>
                <c:pt idx="135">
                  <c:v>1037.5428526543346</c:v>
                </c:pt>
                <c:pt idx="136">
                  <c:v>1038.3567469643481</c:v>
                </c:pt>
                <c:pt idx="137">
                  <c:v>1039.1706412743615</c:v>
                </c:pt>
                <c:pt idx="138">
                  <c:v>1039.984535584375</c:v>
                </c:pt>
                <c:pt idx="139">
                  <c:v>1040.7984298943884</c:v>
                </c:pt>
                <c:pt idx="140">
                  <c:v>1041.6123242044018</c:v>
                </c:pt>
                <c:pt idx="141">
                  <c:v>1042.4262185144153</c:v>
                </c:pt>
                <c:pt idx="142">
                  <c:v>1043.2401128244287</c:v>
                </c:pt>
                <c:pt idx="143">
                  <c:v>1044.0540071344421</c:v>
                </c:pt>
                <c:pt idx="144">
                  <c:v>1044.8679014444556</c:v>
                </c:pt>
                <c:pt idx="145">
                  <c:v>1045.6817957544686</c:v>
                </c:pt>
                <c:pt idx="146">
                  <c:v>1046.495690064482</c:v>
                </c:pt>
                <c:pt idx="147">
                  <c:v>1047.3095843744954</c:v>
                </c:pt>
                <c:pt idx="148">
                  <c:v>1048.1234786845089</c:v>
                </c:pt>
                <c:pt idx="149">
                  <c:v>1048.9373729945223</c:v>
                </c:pt>
                <c:pt idx="150">
                  <c:v>1049.7512673045358</c:v>
                </c:pt>
                <c:pt idx="151">
                  <c:v>1050.5651616145492</c:v>
                </c:pt>
                <c:pt idx="152">
                  <c:v>1051.3790559245626</c:v>
                </c:pt>
                <c:pt idx="153">
                  <c:v>1052.1929502345761</c:v>
                </c:pt>
                <c:pt idx="154">
                  <c:v>1053.0068445445895</c:v>
                </c:pt>
                <c:pt idx="155">
                  <c:v>1053.820738854603</c:v>
                </c:pt>
                <c:pt idx="156">
                  <c:v>1054.6346331646164</c:v>
                </c:pt>
                <c:pt idx="157">
                  <c:v>1055.4485274746298</c:v>
                </c:pt>
                <c:pt idx="158">
                  <c:v>1056.2624217846433</c:v>
                </c:pt>
                <c:pt idx="159">
                  <c:v>1057.0763160946567</c:v>
                </c:pt>
                <c:pt idx="160">
                  <c:v>1057.8902104046701</c:v>
                </c:pt>
                <c:pt idx="161">
                  <c:v>1058.7041047146836</c:v>
                </c:pt>
                <c:pt idx="162">
                  <c:v>1059.517999024697</c:v>
                </c:pt>
                <c:pt idx="163">
                  <c:v>1060.3318933347105</c:v>
                </c:pt>
                <c:pt idx="164">
                  <c:v>1061.1457876447239</c:v>
                </c:pt>
                <c:pt idx="165">
                  <c:v>1061.9596819547373</c:v>
                </c:pt>
                <c:pt idx="166">
                  <c:v>1062.7735762647508</c:v>
                </c:pt>
                <c:pt idx="167">
                  <c:v>1063.5874705747642</c:v>
                </c:pt>
                <c:pt idx="168">
                  <c:v>1064.4013648847776</c:v>
                </c:pt>
                <c:pt idx="169">
                  <c:v>1065.2152591947911</c:v>
                </c:pt>
                <c:pt idx="170">
                  <c:v>1066.0291535048045</c:v>
                </c:pt>
                <c:pt idx="171">
                  <c:v>1066.843047814818</c:v>
                </c:pt>
                <c:pt idx="172">
                  <c:v>1067.6569421248314</c:v>
                </c:pt>
                <c:pt idx="173">
                  <c:v>1068.4708364348448</c:v>
                </c:pt>
                <c:pt idx="174">
                  <c:v>1069.2847307448583</c:v>
                </c:pt>
                <c:pt idx="175">
                  <c:v>1070.0986250548717</c:v>
                </c:pt>
                <c:pt idx="176">
                  <c:v>1070.9125193648852</c:v>
                </c:pt>
                <c:pt idx="177">
                  <c:v>1071.7264136748986</c:v>
                </c:pt>
                <c:pt idx="178">
                  <c:v>1072.540307984912</c:v>
                </c:pt>
                <c:pt idx="179">
                  <c:v>1073.3542022949255</c:v>
                </c:pt>
                <c:pt idx="180">
                  <c:v>1074.1680966049389</c:v>
                </c:pt>
                <c:pt idx="181">
                  <c:v>1074.9819909149523</c:v>
                </c:pt>
                <c:pt idx="182">
                  <c:v>1075.7958852249658</c:v>
                </c:pt>
                <c:pt idx="183">
                  <c:v>1076.6097795349792</c:v>
                </c:pt>
                <c:pt idx="184">
                  <c:v>1077.4236738449927</c:v>
                </c:pt>
                <c:pt idx="185">
                  <c:v>1078.2375681550061</c:v>
                </c:pt>
                <c:pt idx="186">
                  <c:v>1079.0514624650195</c:v>
                </c:pt>
                <c:pt idx="187">
                  <c:v>1079.865356775033</c:v>
                </c:pt>
                <c:pt idx="188">
                  <c:v>1080.6792510850464</c:v>
                </c:pt>
                <c:pt idx="189">
                  <c:v>1081.4931453950599</c:v>
                </c:pt>
                <c:pt idx="190">
                  <c:v>1082.3070397050733</c:v>
                </c:pt>
                <c:pt idx="191">
                  <c:v>1083.1209340150867</c:v>
                </c:pt>
                <c:pt idx="192">
                  <c:v>1083.9348283251002</c:v>
                </c:pt>
                <c:pt idx="193">
                  <c:v>1084.7487226351136</c:v>
                </c:pt>
                <c:pt idx="194">
                  <c:v>1085.562616945127</c:v>
                </c:pt>
                <c:pt idx="195">
                  <c:v>1086.3765112551405</c:v>
                </c:pt>
                <c:pt idx="196">
                  <c:v>1087.1904055651539</c:v>
                </c:pt>
                <c:pt idx="197">
                  <c:v>1088.0042998751674</c:v>
                </c:pt>
                <c:pt idx="198">
                  <c:v>1088.8181941851808</c:v>
                </c:pt>
                <c:pt idx="199">
                  <c:v>1089.6320884951942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1801.1011847365867</c:v>
                </c:pt>
                <c:pt idx="1">
                  <c:v>1800.3242253551186</c:v>
                </c:pt>
                <c:pt idx="2">
                  <c:v>1799.5472659736504</c:v>
                </c:pt>
                <c:pt idx="3">
                  <c:v>1798.7703065921824</c:v>
                </c:pt>
                <c:pt idx="4">
                  <c:v>1797.9933472107143</c:v>
                </c:pt>
                <c:pt idx="5">
                  <c:v>1797.2163878292461</c:v>
                </c:pt>
                <c:pt idx="6">
                  <c:v>1796.439428447778</c:v>
                </c:pt>
                <c:pt idx="7">
                  <c:v>1795.66246906631</c:v>
                </c:pt>
                <c:pt idx="8">
                  <c:v>1794.885509684842</c:v>
                </c:pt>
                <c:pt idx="9">
                  <c:v>1794.1085503033737</c:v>
                </c:pt>
                <c:pt idx="10">
                  <c:v>1793.3315909219057</c:v>
                </c:pt>
                <c:pt idx="11">
                  <c:v>1792.5546315404376</c:v>
                </c:pt>
                <c:pt idx="12">
                  <c:v>1791.7776721589694</c:v>
                </c:pt>
                <c:pt idx="13">
                  <c:v>1791.0007127775013</c:v>
                </c:pt>
                <c:pt idx="14">
                  <c:v>1790.2237533960333</c:v>
                </c:pt>
                <c:pt idx="15">
                  <c:v>1789.4467940145651</c:v>
                </c:pt>
                <c:pt idx="16">
                  <c:v>1788.669834633097</c:v>
                </c:pt>
                <c:pt idx="17">
                  <c:v>1787.892875251629</c:v>
                </c:pt>
                <c:pt idx="18">
                  <c:v>1787.115915870161</c:v>
                </c:pt>
                <c:pt idx="19">
                  <c:v>1786.3389564886927</c:v>
                </c:pt>
                <c:pt idx="20">
                  <c:v>1785.5619971072247</c:v>
                </c:pt>
                <c:pt idx="21">
                  <c:v>1784.7850377257566</c:v>
                </c:pt>
                <c:pt idx="22">
                  <c:v>1784.0080783442884</c:v>
                </c:pt>
                <c:pt idx="23">
                  <c:v>1783.2311189628203</c:v>
                </c:pt>
                <c:pt idx="24">
                  <c:v>1782.4541595813523</c:v>
                </c:pt>
                <c:pt idx="25">
                  <c:v>1781.6772001998841</c:v>
                </c:pt>
                <c:pt idx="26">
                  <c:v>1780.900240818416</c:v>
                </c:pt>
                <c:pt idx="27">
                  <c:v>1780.123281436948</c:v>
                </c:pt>
                <c:pt idx="28">
                  <c:v>1779.3463220554797</c:v>
                </c:pt>
                <c:pt idx="29">
                  <c:v>1778.5693626740117</c:v>
                </c:pt>
                <c:pt idx="30">
                  <c:v>1777.7924032925437</c:v>
                </c:pt>
                <c:pt idx="31">
                  <c:v>1777.0154439110756</c:v>
                </c:pt>
                <c:pt idx="32">
                  <c:v>1776.2384845296074</c:v>
                </c:pt>
                <c:pt idx="33">
                  <c:v>1775.4615251481393</c:v>
                </c:pt>
                <c:pt idx="34">
                  <c:v>1774.6845657666713</c:v>
                </c:pt>
                <c:pt idx="35">
                  <c:v>1773.9076063852031</c:v>
                </c:pt>
                <c:pt idx="36">
                  <c:v>1773.130647003735</c:v>
                </c:pt>
                <c:pt idx="37">
                  <c:v>1772.353687622267</c:v>
                </c:pt>
                <c:pt idx="38">
                  <c:v>1771.5767282407987</c:v>
                </c:pt>
                <c:pt idx="39">
                  <c:v>1770.7997688593307</c:v>
                </c:pt>
                <c:pt idx="40">
                  <c:v>1770.0228094778627</c:v>
                </c:pt>
                <c:pt idx="41">
                  <c:v>1769.2458500963946</c:v>
                </c:pt>
                <c:pt idx="42">
                  <c:v>1768.4688907149264</c:v>
                </c:pt>
                <c:pt idx="43">
                  <c:v>1767.6919313334583</c:v>
                </c:pt>
                <c:pt idx="44">
                  <c:v>1766.9149719519903</c:v>
                </c:pt>
                <c:pt idx="45">
                  <c:v>1766.1380125705221</c:v>
                </c:pt>
                <c:pt idx="46">
                  <c:v>1765.361053189054</c:v>
                </c:pt>
                <c:pt idx="47">
                  <c:v>1764.584093807586</c:v>
                </c:pt>
                <c:pt idx="48">
                  <c:v>1763.8071344261177</c:v>
                </c:pt>
                <c:pt idx="49">
                  <c:v>1763.0301750446497</c:v>
                </c:pt>
                <c:pt idx="50">
                  <c:v>1762.2532156631817</c:v>
                </c:pt>
                <c:pt idx="51">
                  <c:v>1761.4762562817134</c:v>
                </c:pt>
                <c:pt idx="52">
                  <c:v>1760.6992969002454</c:v>
                </c:pt>
                <c:pt idx="53">
                  <c:v>1759.9223375187773</c:v>
                </c:pt>
                <c:pt idx="54">
                  <c:v>1759.1453781373093</c:v>
                </c:pt>
                <c:pt idx="55">
                  <c:v>1758.368418755841</c:v>
                </c:pt>
                <c:pt idx="56">
                  <c:v>1757.591459374373</c:v>
                </c:pt>
                <c:pt idx="57">
                  <c:v>1756.814499992905</c:v>
                </c:pt>
                <c:pt idx="58">
                  <c:v>1756.0375406114367</c:v>
                </c:pt>
                <c:pt idx="59">
                  <c:v>1755.2605812299687</c:v>
                </c:pt>
                <c:pt idx="60">
                  <c:v>1754.4836218485007</c:v>
                </c:pt>
                <c:pt idx="61">
                  <c:v>1753.7066624670324</c:v>
                </c:pt>
                <c:pt idx="62">
                  <c:v>1752.9297030855644</c:v>
                </c:pt>
                <c:pt idx="63">
                  <c:v>1752.1527437040963</c:v>
                </c:pt>
                <c:pt idx="64">
                  <c:v>1751.3757843226283</c:v>
                </c:pt>
                <c:pt idx="65">
                  <c:v>1750.59882494116</c:v>
                </c:pt>
                <c:pt idx="66">
                  <c:v>1749.821865559692</c:v>
                </c:pt>
                <c:pt idx="67">
                  <c:v>1749.044906178224</c:v>
                </c:pt>
                <c:pt idx="68">
                  <c:v>1748.2679467967557</c:v>
                </c:pt>
                <c:pt idx="69">
                  <c:v>1747.4909874152877</c:v>
                </c:pt>
                <c:pt idx="70">
                  <c:v>1746.7140280338197</c:v>
                </c:pt>
                <c:pt idx="71">
                  <c:v>1745.9370686523514</c:v>
                </c:pt>
                <c:pt idx="72">
                  <c:v>1745.1601092708834</c:v>
                </c:pt>
                <c:pt idx="73">
                  <c:v>1744.3831498894153</c:v>
                </c:pt>
                <c:pt idx="74">
                  <c:v>1743.6061905079473</c:v>
                </c:pt>
                <c:pt idx="75">
                  <c:v>1742.829231126479</c:v>
                </c:pt>
                <c:pt idx="76">
                  <c:v>1742.052271745011</c:v>
                </c:pt>
                <c:pt idx="77">
                  <c:v>1741.275312363543</c:v>
                </c:pt>
                <c:pt idx="78">
                  <c:v>1740.4983529820747</c:v>
                </c:pt>
                <c:pt idx="79">
                  <c:v>1739.7213936006067</c:v>
                </c:pt>
                <c:pt idx="80">
                  <c:v>1738.9444342191387</c:v>
                </c:pt>
                <c:pt idx="81">
                  <c:v>1738.1674748376704</c:v>
                </c:pt>
                <c:pt idx="82">
                  <c:v>1737.3905154562024</c:v>
                </c:pt>
                <c:pt idx="83">
                  <c:v>1736.6135560747343</c:v>
                </c:pt>
                <c:pt idx="84">
                  <c:v>1735.8365966932663</c:v>
                </c:pt>
                <c:pt idx="85">
                  <c:v>1735.059637311798</c:v>
                </c:pt>
                <c:pt idx="86">
                  <c:v>1734.28267793033</c:v>
                </c:pt>
                <c:pt idx="87">
                  <c:v>1733.505718548862</c:v>
                </c:pt>
                <c:pt idx="88">
                  <c:v>1732.7287591673937</c:v>
                </c:pt>
                <c:pt idx="89">
                  <c:v>1731.9517997859257</c:v>
                </c:pt>
                <c:pt idx="90">
                  <c:v>1731.1748404044577</c:v>
                </c:pt>
                <c:pt idx="91">
                  <c:v>1730.3978810229894</c:v>
                </c:pt>
                <c:pt idx="92">
                  <c:v>1729.6209216415214</c:v>
                </c:pt>
                <c:pt idx="93">
                  <c:v>1728.8439622600533</c:v>
                </c:pt>
                <c:pt idx="94">
                  <c:v>1728.0670028785851</c:v>
                </c:pt>
                <c:pt idx="95">
                  <c:v>1727.290043497117</c:v>
                </c:pt>
                <c:pt idx="96">
                  <c:v>1726.513084115649</c:v>
                </c:pt>
                <c:pt idx="97">
                  <c:v>1725.736124734181</c:v>
                </c:pt>
                <c:pt idx="98">
                  <c:v>1724.9591653527127</c:v>
                </c:pt>
                <c:pt idx="99">
                  <c:v>1724.1822059712447</c:v>
                </c:pt>
                <c:pt idx="100">
                  <c:v>1723.4052465897767</c:v>
                </c:pt>
                <c:pt idx="101">
                  <c:v>1722.6282872083084</c:v>
                </c:pt>
                <c:pt idx="102">
                  <c:v>1721.8513278268404</c:v>
                </c:pt>
                <c:pt idx="103">
                  <c:v>1721.0743684453723</c:v>
                </c:pt>
                <c:pt idx="104">
                  <c:v>1720.2974090639041</c:v>
                </c:pt>
                <c:pt idx="105">
                  <c:v>1719.520449682436</c:v>
                </c:pt>
                <c:pt idx="106">
                  <c:v>1718.743490300968</c:v>
                </c:pt>
                <c:pt idx="107">
                  <c:v>1717.9665309195</c:v>
                </c:pt>
                <c:pt idx="108">
                  <c:v>1717.1895715380317</c:v>
                </c:pt>
                <c:pt idx="109">
                  <c:v>1716.4126121565637</c:v>
                </c:pt>
                <c:pt idx="110">
                  <c:v>1715.6356527750957</c:v>
                </c:pt>
                <c:pt idx="111">
                  <c:v>1714.8586933936274</c:v>
                </c:pt>
                <c:pt idx="112">
                  <c:v>1714.0817340121594</c:v>
                </c:pt>
                <c:pt idx="113">
                  <c:v>1713.3047746306913</c:v>
                </c:pt>
                <c:pt idx="114">
                  <c:v>1712.5278152492231</c:v>
                </c:pt>
                <c:pt idx="115">
                  <c:v>1711.750855867755</c:v>
                </c:pt>
                <c:pt idx="116">
                  <c:v>1710.973896486287</c:v>
                </c:pt>
                <c:pt idx="117">
                  <c:v>1710.1969371048187</c:v>
                </c:pt>
                <c:pt idx="118">
                  <c:v>1709.4199777233507</c:v>
                </c:pt>
                <c:pt idx="119">
                  <c:v>1708.6430183418827</c:v>
                </c:pt>
                <c:pt idx="120">
                  <c:v>1707.8660589604146</c:v>
                </c:pt>
                <c:pt idx="121">
                  <c:v>1707.0890995789464</c:v>
                </c:pt>
                <c:pt idx="122">
                  <c:v>1706.3121401974784</c:v>
                </c:pt>
                <c:pt idx="123">
                  <c:v>1705.5351808160103</c:v>
                </c:pt>
                <c:pt idx="124">
                  <c:v>1704.7582214345421</c:v>
                </c:pt>
                <c:pt idx="125">
                  <c:v>1703.981262053074</c:v>
                </c:pt>
                <c:pt idx="126">
                  <c:v>1703.204302671606</c:v>
                </c:pt>
                <c:pt idx="127">
                  <c:v>1702.4273432901377</c:v>
                </c:pt>
                <c:pt idx="128">
                  <c:v>1701.6503839086697</c:v>
                </c:pt>
                <c:pt idx="129">
                  <c:v>1700.8734245272017</c:v>
                </c:pt>
                <c:pt idx="130">
                  <c:v>1700.0964651457336</c:v>
                </c:pt>
                <c:pt idx="131">
                  <c:v>1699.3195057642654</c:v>
                </c:pt>
                <c:pt idx="132">
                  <c:v>1698.5425463827974</c:v>
                </c:pt>
                <c:pt idx="133">
                  <c:v>1697.7655870013293</c:v>
                </c:pt>
                <c:pt idx="134">
                  <c:v>1696.9886276198611</c:v>
                </c:pt>
                <c:pt idx="135">
                  <c:v>1696.211668238393</c:v>
                </c:pt>
                <c:pt idx="136">
                  <c:v>1695.434708856925</c:v>
                </c:pt>
                <c:pt idx="137">
                  <c:v>1694.6577494754567</c:v>
                </c:pt>
                <c:pt idx="138">
                  <c:v>1693.8807900939887</c:v>
                </c:pt>
                <c:pt idx="139">
                  <c:v>1693.1038307125207</c:v>
                </c:pt>
                <c:pt idx="140">
                  <c:v>1692.3268713310524</c:v>
                </c:pt>
                <c:pt idx="141">
                  <c:v>1691.5499119495844</c:v>
                </c:pt>
                <c:pt idx="142">
                  <c:v>1690.7729525681164</c:v>
                </c:pt>
                <c:pt idx="143">
                  <c:v>1689.9959931866483</c:v>
                </c:pt>
                <c:pt idx="144">
                  <c:v>1689.2190338051801</c:v>
                </c:pt>
                <c:pt idx="145">
                  <c:v>1688.442074423712</c:v>
                </c:pt>
                <c:pt idx="146">
                  <c:v>1687.665115042244</c:v>
                </c:pt>
                <c:pt idx="147">
                  <c:v>1686.8881556607757</c:v>
                </c:pt>
                <c:pt idx="148">
                  <c:v>1686.1111962793077</c:v>
                </c:pt>
                <c:pt idx="149">
                  <c:v>1685.3342368978397</c:v>
                </c:pt>
                <c:pt idx="150">
                  <c:v>1684.5572775163714</c:v>
                </c:pt>
                <c:pt idx="151">
                  <c:v>1683.7803181349034</c:v>
                </c:pt>
                <c:pt idx="152">
                  <c:v>1683.0033587534354</c:v>
                </c:pt>
                <c:pt idx="153">
                  <c:v>1682.2263993719673</c:v>
                </c:pt>
                <c:pt idx="154">
                  <c:v>1681.4494399904991</c:v>
                </c:pt>
                <c:pt idx="155">
                  <c:v>1680.672480609031</c:v>
                </c:pt>
                <c:pt idx="156">
                  <c:v>1679.895521227563</c:v>
                </c:pt>
                <c:pt idx="157">
                  <c:v>1679.1185618460947</c:v>
                </c:pt>
                <c:pt idx="158">
                  <c:v>1678.3416024646267</c:v>
                </c:pt>
                <c:pt idx="159">
                  <c:v>1677.5646430831587</c:v>
                </c:pt>
                <c:pt idx="160">
                  <c:v>1676.7876837016904</c:v>
                </c:pt>
                <c:pt idx="161">
                  <c:v>1676.0107243202224</c:v>
                </c:pt>
                <c:pt idx="162">
                  <c:v>1675.2337649387543</c:v>
                </c:pt>
                <c:pt idx="163">
                  <c:v>1674.4568055572861</c:v>
                </c:pt>
                <c:pt idx="164">
                  <c:v>1673.6798461758181</c:v>
                </c:pt>
                <c:pt idx="165">
                  <c:v>1672.90288679435</c:v>
                </c:pt>
                <c:pt idx="166">
                  <c:v>1672.125927412882</c:v>
                </c:pt>
                <c:pt idx="167">
                  <c:v>1671.3489680314137</c:v>
                </c:pt>
                <c:pt idx="168">
                  <c:v>1670.5720086499457</c:v>
                </c:pt>
                <c:pt idx="169">
                  <c:v>1669.7950492684777</c:v>
                </c:pt>
                <c:pt idx="170">
                  <c:v>1669.0180898870094</c:v>
                </c:pt>
                <c:pt idx="171">
                  <c:v>1668.2411305055414</c:v>
                </c:pt>
                <c:pt idx="172">
                  <c:v>1667.4641711240733</c:v>
                </c:pt>
                <c:pt idx="173">
                  <c:v>1666.6872117426053</c:v>
                </c:pt>
                <c:pt idx="174">
                  <c:v>1665.9102523611371</c:v>
                </c:pt>
                <c:pt idx="175">
                  <c:v>1665.133292979669</c:v>
                </c:pt>
                <c:pt idx="176">
                  <c:v>1664.356333598201</c:v>
                </c:pt>
                <c:pt idx="177">
                  <c:v>1663.5793742167327</c:v>
                </c:pt>
                <c:pt idx="178">
                  <c:v>1662.8024148352647</c:v>
                </c:pt>
                <c:pt idx="179">
                  <c:v>1662.0254554537967</c:v>
                </c:pt>
                <c:pt idx="180">
                  <c:v>1661.2484960723284</c:v>
                </c:pt>
                <c:pt idx="181">
                  <c:v>1660.4715366908604</c:v>
                </c:pt>
                <c:pt idx="182">
                  <c:v>1659.6945773093923</c:v>
                </c:pt>
                <c:pt idx="183">
                  <c:v>1658.9176179279241</c:v>
                </c:pt>
                <c:pt idx="184">
                  <c:v>1658.1406585464561</c:v>
                </c:pt>
                <c:pt idx="185">
                  <c:v>1657.363699164988</c:v>
                </c:pt>
                <c:pt idx="186">
                  <c:v>1656.5867397835198</c:v>
                </c:pt>
                <c:pt idx="187">
                  <c:v>1655.8097804020517</c:v>
                </c:pt>
                <c:pt idx="188">
                  <c:v>1655.0328210205837</c:v>
                </c:pt>
                <c:pt idx="189">
                  <c:v>1654.2558616391157</c:v>
                </c:pt>
                <c:pt idx="190">
                  <c:v>1653.4789022576474</c:v>
                </c:pt>
                <c:pt idx="191">
                  <c:v>1652.7019428761794</c:v>
                </c:pt>
                <c:pt idx="192">
                  <c:v>1651.9249834947113</c:v>
                </c:pt>
                <c:pt idx="193">
                  <c:v>1651.1480241132431</c:v>
                </c:pt>
                <c:pt idx="194">
                  <c:v>1650.371064731775</c:v>
                </c:pt>
                <c:pt idx="195">
                  <c:v>1649.594105350307</c:v>
                </c:pt>
                <c:pt idx="196">
                  <c:v>1648.817145968839</c:v>
                </c:pt>
                <c:pt idx="197">
                  <c:v>1648.0401865873707</c:v>
                </c:pt>
                <c:pt idx="198">
                  <c:v>1647.2632272059027</c:v>
                </c:pt>
                <c:pt idx="199">
                  <c:v>1646.4862678244347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in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91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309</xdr:row>
          <xdr:rowOff>123190</xdr:rowOff>
        </xdr:from>
        <xdr:to>
          <xdr:col>25</xdr:col>
          <xdr:colOff>226060</xdr:colOff>
          <xdr:row>363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8" spid="_x0000_s911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2000" y="53059330"/>
              <a:ext cx="3594100" cy="89293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17</xdr:col>
      <xdr:colOff>601980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E368"/>
  <sheetViews>
    <sheetView tabSelected="1" workbookViewId="0">
      <pane ySplit="9" topLeftCell="A358" activePane="bottomLeft" state="frozen"/>
      <selection pane="bottomLeft" activeCell="AG9" sqref="AG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6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63">_xlfn.BYROW(_xlfn.DROP(Banded,,1),_xleta.SUM)</f>
        <v>0</v>
      </c>
      <c r="P10" s="7" cm="1">
        <f t="array" aca="1" ref="P10:Z5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63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7</v>
      </c>
      <c r="R57" s="5">
        <f ca="1"/>
        <v>7</v>
      </c>
      <c r="S57" s="5">
        <f ca="1"/>
        <v>4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  <c r="Y57" s="5">
        <f ca="1"/>
        <v>7</v>
      </c>
      <c r="Z57">
        <f ca="1"/>
        <v>7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  <c r="P58" s="7">
        <f ca="1"/>
        <v>51</v>
      </c>
      <c r="Q58" s="5">
        <f ca="1"/>
        <v>7</v>
      </c>
      <c r="R58" s="5">
        <f ca="1"/>
        <v>7</v>
      </c>
      <c r="S58" s="5">
        <f ca="1"/>
        <v>4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6</v>
      </c>
      <c r="X58" s="5">
        <f ca="1"/>
        <v>6</v>
      </c>
      <c r="Y58" s="5">
        <f ca="1"/>
        <v>7</v>
      </c>
      <c r="Z58">
        <f ca="1"/>
        <v>7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31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31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31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31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31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31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31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31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31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31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31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31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31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31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31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  <c r="AE351" t="s">
        <v>78</v>
      </c>
    </row>
    <row r="352" spans="2:31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 s="16">
        <v>1</v>
      </c>
      <c r="M353">
        <f ca="1"/>
        <v>50</v>
      </c>
      <c r="N353">
        <v>9</v>
      </c>
    </row>
    <row r="354" spans="2:16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 s="16">
        <v>1</v>
      </c>
      <c r="M354">
        <f ca="1"/>
        <v>50</v>
      </c>
      <c r="N354">
        <v>10</v>
      </c>
    </row>
    <row r="355" spans="2:16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 s="16">
        <v>1</v>
      </c>
      <c r="M355">
        <f ca="1"/>
        <v>50</v>
      </c>
      <c r="N355">
        <v>9</v>
      </c>
    </row>
    <row r="356" spans="2:16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 s="16">
        <v>1</v>
      </c>
      <c r="M356">
        <f ca="1"/>
        <v>50</v>
      </c>
      <c r="N356">
        <v>10</v>
      </c>
    </row>
    <row r="357" spans="2:16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 s="16">
        <v>1</v>
      </c>
      <c r="M357">
        <f ca="1"/>
        <v>51</v>
      </c>
      <c r="N357">
        <v>9</v>
      </c>
    </row>
    <row r="358" spans="2:16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 s="16">
        <v>1</v>
      </c>
      <c r="M358">
        <f ca="1"/>
        <v>51</v>
      </c>
      <c r="N358">
        <v>10</v>
      </c>
    </row>
    <row r="359" spans="2:16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 s="16">
        <v>1</v>
      </c>
      <c r="M359">
        <f ca="1"/>
        <v>51</v>
      </c>
      <c r="N359">
        <v>9</v>
      </c>
    </row>
    <row r="360" spans="2:16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 s="16">
        <v>1</v>
      </c>
      <c r="M360">
        <f ca="1"/>
        <v>51</v>
      </c>
      <c r="N360">
        <v>10</v>
      </c>
    </row>
    <row r="361" spans="2:16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 s="16">
        <v>1</v>
      </c>
      <c r="M361">
        <f ca="1"/>
        <v>51</v>
      </c>
      <c r="N361">
        <v>10</v>
      </c>
    </row>
    <row r="362" spans="2:16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 s="16">
        <v>1</v>
      </c>
      <c r="M362">
        <f ca="1"/>
        <v>51</v>
      </c>
      <c r="N362">
        <v>9</v>
      </c>
    </row>
    <row r="363" spans="2:16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0</v>
      </c>
      <c r="J363" s="16">
        <v>0</v>
      </c>
      <c r="K363" s="16">
        <v>1</v>
      </c>
      <c r="L363" s="16">
        <v>1</v>
      </c>
      <c r="M363">
        <f ca="1"/>
        <v>51</v>
      </c>
      <c r="N363">
        <v>8</v>
      </c>
    </row>
    <row r="365" spans="2:16" x14ac:dyDescent="0.25">
      <c r="P365" t="s">
        <v>35</v>
      </c>
    </row>
    <row r="366" spans="2:16" x14ac:dyDescent="0.25">
      <c r="P366" t="s">
        <v>36</v>
      </c>
    </row>
    <row r="367" spans="2:16" x14ac:dyDescent="0.25">
      <c r="P367" t="s">
        <v>40</v>
      </c>
    </row>
    <row r="368" spans="2:16" x14ac:dyDescent="0.25">
      <c r="P368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8" priority="25" stopIfTrue="1">
      <formula>MOD(ROW(O9)-ROW($B$9),2)</formula>
    </cfRule>
  </conditionalFormatting>
  <conditionalFormatting sqref="P10:Z58">
    <cfRule type="expression" dxfId="17" priority="64">
      <formula>MOD(ROW(P10)-ROW($P$258),2)</formula>
    </cfRule>
  </conditionalFormatting>
  <conditionalFormatting sqref="P45">
    <cfRule type="expression" dxfId="16" priority="20">
      <formula>MOD(ROW(P45)-ROW($P$258),2)</formula>
    </cfRule>
  </conditionalFormatting>
  <conditionalFormatting sqref="P46:P52">
    <cfRule type="expression" dxfId="15" priority="19">
      <formula>MOD(ROW(P46)-ROW($P$258),2)</formula>
    </cfRule>
  </conditionalFormatting>
  <conditionalFormatting sqref="Q46:Z46">
    <cfRule type="expression" dxfId="14" priority="18">
      <formula>MOD(ROW(Q46)-ROW($P$258),2)</formula>
    </cfRule>
  </conditionalFormatting>
  <conditionalFormatting sqref="P48:Z48">
    <cfRule type="expression" dxfId="13" priority="17">
      <formula>MOD(ROW(P48)-ROW($P$258),2)</formula>
    </cfRule>
  </conditionalFormatting>
  <conditionalFormatting sqref="Q48:Z48">
    <cfRule type="expression" dxfId="12" priority="16">
      <formula>MOD(ROW(Q48)-ROW($P$258),2)</formula>
    </cfRule>
  </conditionalFormatting>
  <conditionalFormatting sqref="P49:Z49">
    <cfRule type="expression" dxfId="11" priority="14">
      <formula>MOD(ROW(P49)-ROW($P$258),2)</formula>
    </cfRule>
  </conditionalFormatting>
  <conditionalFormatting sqref="P50:Z50">
    <cfRule type="expression" dxfId="10" priority="13">
      <formula>MOD(ROW(P50)-ROW($P$258),2)</formula>
    </cfRule>
  </conditionalFormatting>
  <conditionalFormatting sqref="Q50:Z50">
    <cfRule type="expression" dxfId="9" priority="12">
      <formula>MOD(ROW(Q50)-ROW($P$258),2)</formula>
    </cfRule>
  </conditionalFormatting>
  <conditionalFormatting sqref="P51:Z51">
    <cfRule type="expression" dxfId="8" priority="10">
      <formula>MOD(ROW(P51)-ROW($P$258),2)</formula>
    </cfRule>
  </conditionalFormatting>
  <conditionalFormatting sqref="P52:Z52">
    <cfRule type="expression" dxfId="7" priority="9">
      <formula>MOD(ROW(P52)-ROW($P$258),2)</formula>
    </cfRule>
  </conditionalFormatting>
  <conditionalFormatting sqref="P52:Z52">
    <cfRule type="expression" dxfId="6" priority="8">
      <formula>MOD(ROW(P52)-ROW($P$258),2)</formula>
    </cfRule>
  </conditionalFormatting>
  <conditionalFormatting sqref="Q52:Z52">
    <cfRule type="expression" dxfId="5" priority="7">
      <formula>MOD(ROW(Q52)-ROW($P$258),2)</formula>
    </cfRule>
  </conditionalFormatting>
  <conditionalFormatting sqref="Q54:Z54">
    <cfRule type="expression" dxfId="4" priority="2">
      <formula>MOD(ROW(Q54)-ROW($P$258),2)</formula>
    </cfRule>
  </conditionalFormatting>
  <conditionalFormatting sqref="Q53:Z53">
    <cfRule type="expression" dxfId="3" priority="1">
      <formula>MOD(ROW(Q53)-ROW($P$258),2)</formula>
    </cfRule>
  </conditionalFormatting>
  <conditionalFormatting sqref="B10:L363">
    <cfRule type="expression" dxfId="0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62"/>
  <sheetViews>
    <sheetView topLeftCell="A4" workbookViewId="0">
      <pane ySplit="5" topLeftCell="A355" activePane="bottomLeft" state="frozen"/>
      <selection activeCell="A4" sqref="A4"/>
      <selection pane="bottomLeft" activeCell="X366" sqref="X366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23" t="s">
        <v>162</v>
      </c>
      <c r="X8" s="18" t="s">
        <v>19</v>
      </c>
    </row>
    <row r="9" spans="4:26" ht="13.8" thickTop="1" x14ac:dyDescent="0.25">
      <c r="D9" t="str" cm="1">
        <f t="array" aca="1" ref="D9:D36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62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37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</sheetData>
  <conditionalFormatting sqref="D9:X339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O216"/>
  <sheetViews>
    <sheetView topLeftCell="A7" zoomScale="115" zoomScaleNormal="115" workbookViewId="0">
      <selection activeCell="H19" sqref="H19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133</v>
      </c>
      <c r="C1">
        <v>16.329999999999998</v>
      </c>
      <c r="D1" t="s">
        <v>137</v>
      </c>
    </row>
    <row r="2" spans="2:6" x14ac:dyDescent="0.25">
      <c r="B2" t="s">
        <v>134</v>
      </c>
      <c r="C2">
        <v>30</v>
      </c>
      <c r="D2" t="s">
        <v>137</v>
      </c>
      <c r="F2">
        <f>SIN(120*PI()/180)</f>
        <v>0.86602540378443871</v>
      </c>
    </row>
    <row r="3" spans="2:6" x14ac:dyDescent="0.25">
      <c r="B3" t="s">
        <v>135</v>
      </c>
      <c r="C3">
        <v>2000</v>
      </c>
      <c r="D3" t="s">
        <v>140</v>
      </c>
      <c r="F3">
        <f>ASIN(0.5626/2)*180/PI()</f>
        <v>16.337808095148048</v>
      </c>
    </row>
    <row r="4" spans="2:6" x14ac:dyDescent="0.25">
      <c r="B4" t="s">
        <v>136</v>
      </c>
      <c r="C4">
        <v>100</v>
      </c>
      <c r="D4" t="s">
        <v>140</v>
      </c>
    </row>
    <row r="5" spans="2:6" x14ac:dyDescent="0.25">
      <c r="B5" t="s">
        <v>138</v>
      </c>
      <c r="C5">
        <v>2</v>
      </c>
      <c r="D5" t="s">
        <v>139</v>
      </c>
      <c r="F5">
        <f>2*SIN(14.47*PI()/180)</f>
        <v>0.49974609767390904</v>
      </c>
    </row>
    <row r="6" spans="2:6" x14ac:dyDescent="0.25">
      <c r="B6" t="s">
        <v>152</v>
      </c>
      <c r="C6">
        <v>1</v>
      </c>
      <c r="D6" t="s">
        <v>139</v>
      </c>
    </row>
    <row r="8" spans="2:6" x14ac:dyDescent="0.25">
      <c r="B8" t="s">
        <v>144</v>
      </c>
      <c r="C8" s="29">
        <f>_R*SIN(_B*PI()/180)</f>
        <v>999.99999999999989</v>
      </c>
      <c r="D8" t="s">
        <v>140</v>
      </c>
      <c r="F8">
        <f>ATAN2(_xShip,_yShip)*180/PI()</f>
        <v>60.000000000000007</v>
      </c>
    </row>
    <row r="9" spans="2:6" x14ac:dyDescent="0.25">
      <c r="B9" t="s">
        <v>145</v>
      </c>
      <c r="C9" s="29">
        <f>_R*COS(_B*PI()/180)</f>
        <v>1732.0508075688774</v>
      </c>
      <c r="D9" t="s">
        <v>140</v>
      </c>
    </row>
    <row r="10" spans="2:6" x14ac:dyDescent="0.25">
      <c r="B10" t="s">
        <v>148</v>
      </c>
      <c r="C10">
        <f>(_B+_AOB)-90</f>
        <v>-43.67</v>
      </c>
      <c r="D10" t="s">
        <v>149</v>
      </c>
      <c r="F10">
        <f>ASIN(0.5626/2)*180/PI()</f>
        <v>16.337808095148048</v>
      </c>
    </row>
    <row r="11" spans="2:6" x14ac:dyDescent="0.25">
      <c r="B11" t="s">
        <v>147</v>
      </c>
      <c r="C11">
        <f>-SIN(PI()/180*_Theta)*_L</f>
        <v>69.050377167709328</v>
      </c>
    </row>
    <row r="12" spans="2:6" x14ac:dyDescent="0.25">
      <c r="B12" t="s">
        <v>146</v>
      </c>
      <c r="C12">
        <f>-COS(PI()/180*C10)*_L</f>
        <v>-72.332879197478974</v>
      </c>
      <c r="F12">
        <f>ATAN(C11/C12)*180/PI()</f>
        <v>-43.669999999999995</v>
      </c>
    </row>
    <row r="13" spans="2:6" x14ac:dyDescent="0.25">
      <c r="B13" t="s">
        <v>150</v>
      </c>
      <c r="C13">
        <f>CONVERT(CONVERT(_v,"kn","m/sec"),"m","yd")</f>
        <v>1.1252065714007973</v>
      </c>
      <c r="D13" t="s">
        <v>151</v>
      </c>
    </row>
    <row r="16" spans="2:6" x14ac:dyDescent="0.25">
      <c r="B16" t="s">
        <v>141</v>
      </c>
      <c r="C16" t="s">
        <v>142</v>
      </c>
      <c r="D16" t="s">
        <v>143</v>
      </c>
      <c r="E16" t="s">
        <v>153</v>
      </c>
      <c r="F16" t="s">
        <v>154</v>
      </c>
    </row>
    <row r="17" spans="2:15" x14ac:dyDescent="0.25">
      <c r="B17" cm="1">
        <f t="array" ref="B17:B216">_xlfn.SEQUENCE(200,1,0,1)</f>
        <v>0</v>
      </c>
      <c r="C17">
        <f t="shared" ref="C17:C48" si="0">COS(PI()/180*_Theta)*_vyps*B17+_xShip+__xL</f>
        <v>927.66712080252091</v>
      </c>
      <c r="D17">
        <f t="shared" ref="D17:D48" si="1">SIN(PI()/180*_Theta)*_vyps*B17+_yShip+_yL</f>
        <v>1801.1011847365867</v>
      </c>
      <c r="E17">
        <f t="shared" ref="E17:E48" si="2">B17*CONVERT(CONVERT(_vSub,"kn","m/sec"),"m","yd")</f>
        <v>0</v>
      </c>
      <c r="F17" s="30">
        <f>ATAN2(C17,D17-E17)*180/PI()</f>
        <v>62.749018064051654</v>
      </c>
    </row>
    <row r="18" spans="2:15" x14ac:dyDescent="0.25">
      <c r="B18">
        <v>1</v>
      </c>
      <c r="C18">
        <f t="shared" si="0"/>
        <v>928.48101511253435</v>
      </c>
      <c r="D18">
        <f t="shared" si="1"/>
        <v>1800.3242253551186</v>
      </c>
      <c r="E18">
        <f t="shared" si="2"/>
        <v>0.56260328570039864</v>
      </c>
      <c r="F18" s="30">
        <f t="shared" ref="F18:F81" si="3">ATAN2(C18,D18-E18)*180/PI()</f>
        <v>62.711193396117807</v>
      </c>
    </row>
    <row r="19" spans="2:15" x14ac:dyDescent="0.25">
      <c r="B19">
        <v>2</v>
      </c>
      <c r="C19">
        <f t="shared" si="0"/>
        <v>929.29490942254779</v>
      </c>
      <c r="D19">
        <f t="shared" si="1"/>
        <v>1799.5472659736504</v>
      </c>
      <c r="E19">
        <f t="shared" si="2"/>
        <v>1.1252065714007973</v>
      </c>
      <c r="F19" s="30">
        <f t="shared" si="3"/>
        <v>62.673338184603224</v>
      </c>
    </row>
    <row r="20" spans="2:15" x14ac:dyDescent="0.25">
      <c r="B20">
        <v>3</v>
      </c>
      <c r="C20">
        <f t="shared" si="0"/>
        <v>930.10880373256123</v>
      </c>
      <c r="D20">
        <f t="shared" si="1"/>
        <v>1798.7703065921824</v>
      </c>
      <c r="E20">
        <f t="shared" si="2"/>
        <v>1.6878098571011959</v>
      </c>
      <c r="F20" s="30">
        <f t="shared" si="3"/>
        <v>62.63545242558618</v>
      </c>
      <c r="J20">
        <f>100/1.125</f>
        <v>88.888888888888886</v>
      </c>
      <c r="M20" t="s">
        <v>155</v>
      </c>
    </row>
    <row r="21" spans="2:15" x14ac:dyDescent="0.25">
      <c r="B21">
        <v>4</v>
      </c>
      <c r="C21">
        <f t="shared" si="0"/>
        <v>930.92269804257467</v>
      </c>
      <c r="D21">
        <f t="shared" si="1"/>
        <v>1797.9933472107143</v>
      </c>
      <c r="E21">
        <f t="shared" si="2"/>
        <v>2.2504131428015945</v>
      </c>
      <c r="F21" s="30">
        <f t="shared" si="3"/>
        <v>62.597536115245425</v>
      </c>
    </row>
    <row r="22" spans="2:15" x14ac:dyDescent="0.25">
      <c r="B22">
        <v>5</v>
      </c>
      <c r="C22">
        <f t="shared" si="0"/>
        <v>931.7365923525881</v>
      </c>
      <c r="D22">
        <f t="shared" si="1"/>
        <v>1797.2163878292461</v>
      </c>
      <c r="E22">
        <f t="shared" si="2"/>
        <v>2.8130164285019932</v>
      </c>
      <c r="F22" s="30">
        <f t="shared" si="3"/>
        <v>62.559589249860601</v>
      </c>
      <c r="J22" cm="1">
        <f t="array" ref="J22">_fInt(90-_B,F17:F216,_xlfn.ANCHORARRAY(B17))</f>
        <v>70.685835073196372</v>
      </c>
      <c r="M22">
        <f>_L*SIN(_AOB*PI()/180)/J22</f>
        <v>0.39777308000842787</v>
      </c>
      <c r="N22" t="s">
        <v>156</v>
      </c>
    </row>
    <row r="23" spans="2:15" x14ac:dyDescent="0.25">
      <c r="B23">
        <v>6</v>
      </c>
      <c r="C23">
        <f t="shared" si="0"/>
        <v>932.55048666260154</v>
      </c>
      <c r="D23">
        <f t="shared" si="1"/>
        <v>1796.439428447778</v>
      </c>
      <c r="E23">
        <f t="shared" si="2"/>
        <v>3.3756197142023918</v>
      </c>
      <c r="F23" s="30">
        <f t="shared" si="3"/>
        <v>62.521611825812563</v>
      </c>
      <c r="M23">
        <f>M22*1.777</f>
        <v>0.7068427631749763</v>
      </c>
      <c r="N23" t="s">
        <v>139</v>
      </c>
      <c r="O23" t="s">
        <v>157</v>
      </c>
    </row>
    <row r="24" spans="2:15" x14ac:dyDescent="0.25">
      <c r="B24">
        <v>7</v>
      </c>
      <c r="C24">
        <f t="shared" si="0"/>
        <v>933.36438097261498</v>
      </c>
      <c r="D24">
        <f t="shared" si="1"/>
        <v>1795.66246906631</v>
      </c>
      <c r="E24">
        <f t="shared" si="2"/>
        <v>3.9382229999027905</v>
      </c>
      <c r="F24" s="30">
        <f t="shared" si="3"/>
        <v>62.483603839583765</v>
      </c>
      <c r="M24">
        <f>M23/SIN(_AOB*PI()/180)</f>
        <v>2.5139407324818142</v>
      </c>
      <c r="N24" t="s">
        <v>139</v>
      </c>
      <c r="O24" t="s">
        <v>158</v>
      </c>
    </row>
    <row r="25" spans="2:15" x14ac:dyDescent="0.25">
      <c r="B25">
        <v>8</v>
      </c>
      <c r="C25">
        <f t="shared" si="0"/>
        <v>934.17827528262842</v>
      </c>
      <c r="D25">
        <f t="shared" si="1"/>
        <v>1794.885509684842</v>
      </c>
      <c r="E25">
        <f t="shared" si="2"/>
        <v>4.5008262856031891</v>
      </c>
      <c r="F25" s="30">
        <f t="shared" si="3"/>
        <v>62.445565287758562</v>
      </c>
    </row>
    <row r="26" spans="2:15" x14ac:dyDescent="0.25">
      <c r="B26">
        <v>9</v>
      </c>
      <c r="C26">
        <f t="shared" si="0"/>
        <v>934.99216959264186</v>
      </c>
      <c r="D26">
        <f t="shared" si="1"/>
        <v>1794.1085503033737</v>
      </c>
      <c r="E26">
        <f t="shared" si="2"/>
        <v>5.0634295713035877</v>
      </c>
      <c r="F26" s="30">
        <f t="shared" si="3"/>
        <v>62.407496167023581</v>
      </c>
    </row>
    <row r="27" spans="2:15" x14ac:dyDescent="0.25">
      <c r="B27">
        <v>10</v>
      </c>
      <c r="C27">
        <f t="shared" si="0"/>
        <v>935.8060639026553</v>
      </c>
      <c r="D27">
        <f t="shared" si="1"/>
        <v>1793.3315909219057</v>
      </c>
      <c r="E27">
        <f t="shared" si="2"/>
        <v>5.6260328570039864</v>
      </c>
      <c r="F27" s="30">
        <f t="shared" si="3"/>
        <v>62.369396474168127</v>
      </c>
      <c r="M27" t="s">
        <v>159</v>
      </c>
    </row>
    <row r="28" spans="2:15" x14ac:dyDescent="0.25">
      <c r="B28">
        <v>11</v>
      </c>
      <c r="C28">
        <f t="shared" si="0"/>
        <v>936.61995821266873</v>
      </c>
      <c r="D28">
        <f t="shared" si="1"/>
        <v>1792.5546315404376</v>
      </c>
      <c r="E28">
        <f t="shared" si="2"/>
        <v>6.188636142704385</v>
      </c>
      <c r="F28" s="30">
        <f t="shared" si="3"/>
        <v>62.331266206084443</v>
      </c>
      <c r="M28" t="s">
        <v>160</v>
      </c>
    </row>
    <row r="29" spans="2:15" x14ac:dyDescent="0.25">
      <c r="B29">
        <v>12</v>
      </c>
      <c r="C29">
        <f t="shared" si="0"/>
        <v>937.43385252268206</v>
      </c>
      <c r="D29">
        <f t="shared" si="1"/>
        <v>1791.7776721589694</v>
      </c>
      <c r="E29">
        <f t="shared" si="2"/>
        <v>6.7512394284047836</v>
      </c>
      <c r="F29" s="30">
        <f t="shared" si="3"/>
        <v>62.293105359768155</v>
      </c>
    </row>
    <row r="30" spans="2:15" x14ac:dyDescent="0.25">
      <c r="B30">
        <v>13</v>
      </c>
      <c r="C30">
        <f t="shared" si="0"/>
        <v>938.2477468326955</v>
      </c>
      <c r="D30">
        <f t="shared" si="1"/>
        <v>1791.0007127775013</v>
      </c>
      <c r="E30">
        <f t="shared" si="2"/>
        <v>7.3138427141051823</v>
      </c>
      <c r="F30" s="30">
        <f t="shared" si="3"/>
        <v>62.254913932318566</v>
      </c>
    </row>
    <row r="31" spans="2:15" x14ac:dyDescent="0.25">
      <c r="B31">
        <v>14</v>
      </c>
      <c r="C31">
        <f t="shared" si="0"/>
        <v>939.06164114270894</v>
      </c>
      <c r="D31">
        <f t="shared" si="1"/>
        <v>1790.2237533960333</v>
      </c>
      <c r="E31">
        <f t="shared" si="2"/>
        <v>7.8764459998055809</v>
      </c>
      <c r="F31" s="30">
        <f t="shared" si="3"/>
        <v>62.216691920938999</v>
      </c>
    </row>
    <row r="32" spans="2:15" x14ac:dyDescent="0.25">
      <c r="B32">
        <v>15</v>
      </c>
      <c r="C32">
        <f t="shared" si="0"/>
        <v>939.87553545272237</v>
      </c>
      <c r="D32">
        <f t="shared" si="1"/>
        <v>1789.4467940145651</v>
      </c>
      <c r="E32">
        <f t="shared" si="2"/>
        <v>8.4390492855059804</v>
      </c>
      <c r="F32" s="30">
        <f t="shared" si="3"/>
        <v>62.178439322937251</v>
      </c>
    </row>
    <row r="33" spans="2:6" x14ac:dyDescent="0.25">
      <c r="B33">
        <v>16</v>
      </c>
      <c r="C33">
        <f t="shared" si="0"/>
        <v>940.68942976273581</v>
      </c>
      <c r="D33">
        <f t="shared" si="1"/>
        <v>1788.669834633097</v>
      </c>
      <c r="E33">
        <f t="shared" si="2"/>
        <v>9.0016525712063782</v>
      </c>
      <c r="F33" s="30">
        <f t="shared" si="3"/>
        <v>62.140156135725803</v>
      </c>
    </row>
    <row r="34" spans="2:6" x14ac:dyDescent="0.25">
      <c r="B34">
        <v>17</v>
      </c>
      <c r="C34">
        <f t="shared" si="0"/>
        <v>941.50332407274925</v>
      </c>
      <c r="D34">
        <f t="shared" si="1"/>
        <v>1787.892875251629</v>
      </c>
      <c r="E34">
        <f t="shared" si="2"/>
        <v>9.5642558569067759</v>
      </c>
      <c r="F34" s="30">
        <f t="shared" si="3"/>
        <v>62.101842356822296</v>
      </c>
    </row>
    <row r="35" spans="2:6" x14ac:dyDescent="0.25">
      <c r="B35">
        <v>18</v>
      </c>
      <c r="C35">
        <f t="shared" si="0"/>
        <v>942.31721838276269</v>
      </c>
      <c r="D35">
        <f t="shared" si="1"/>
        <v>1787.115915870161</v>
      </c>
      <c r="E35">
        <f t="shared" si="2"/>
        <v>10.126859142607175</v>
      </c>
      <c r="F35" s="30">
        <f t="shared" si="3"/>
        <v>62.063497983849814</v>
      </c>
    </row>
    <row r="36" spans="2:6" x14ac:dyDescent="0.25">
      <c r="B36">
        <v>19</v>
      </c>
      <c r="C36">
        <f t="shared" si="0"/>
        <v>943.13111269277613</v>
      </c>
      <c r="D36">
        <f t="shared" si="1"/>
        <v>1786.3389564886927</v>
      </c>
      <c r="E36">
        <f t="shared" si="2"/>
        <v>10.689462428307575</v>
      </c>
      <c r="F36" s="30">
        <f t="shared" si="3"/>
        <v>62.025123014537272</v>
      </c>
    </row>
    <row r="37" spans="2:6" x14ac:dyDescent="0.25">
      <c r="B37">
        <v>20</v>
      </c>
      <c r="C37">
        <f t="shared" si="0"/>
        <v>943.94500700278957</v>
      </c>
      <c r="D37">
        <f t="shared" si="1"/>
        <v>1785.5619971072247</v>
      </c>
      <c r="E37">
        <f t="shared" si="2"/>
        <v>11.252065714007973</v>
      </c>
      <c r="F37" s="30">
        <f t="shared" si="3"/>
        <v>61.986717446719766</v>
      </c>
    </row>
    <row r="38" spans="2:6" x14ac:dyDescent="0.25">
      <c r="B38">
        <v>21</v>
      </c>
      <c r="C38">
        <f t="shared" si="0"/>
        <v>944.758901312803</v>
      </c>
      <c r="D38">
        <f t="shared" si="1"/>
        <v>1784.7850377257566</v>
      </c>
      <c r="E38">
        <f t="shared" si="2"/>
        <v>11.81466899970837</v>
      </c>
      <c r="F38" s="30">
        <f t="shared" si="3"/>
        <v>61.948281278338904</v>
      </c>
    </row>
    <row r="39" spans="2:6" x14ac:dyDescent="0.25">
      <c r="B39">
        <v>22</v>
      </c>
      <c r="C39">
        <f t="shared" si="0"/>
        <v>945.57279562281644</v>
      </c>
      <c r="D39">
        <f t="shared" si="1"/>
        <v>1784.0080783442884</v>
      </c>
      <c r="E39">
        <f t="shared" si="2"/>
        <v>12.37727228540877</v>
      </c>
      <c r="F39" s="30">
        <f t="shared" si="3"/>
        <v>61.909814507443194</v>
      </c>
    </row>
    <row r="40" spans="2:6" x14ac:dyDescent="0.25">
      <c r="B40">
        <v>23</v>
      </c>
      <c r="C40">
        <f t="shared" si="0"/>
        <v>946.38668993282988</v>
      </c>
      <c r="D40">
        <f t="shared" si="1"/>
        <v>1783.2311189628203</v>
      </c>
      <c r="E40">
        <f t="shared" si="2"/>
        <v>12.93987557110917</v>
      </c>
      <c r="F40" s="30">
        <f t="shared" si="3"/>
        <v>61.871317132188373</v>
      </c>
    </row>
    <row r="41" spans="2:6" x14ac:dyDescent="0.25">
      <c r="B41">
        <v>24</v>
      </c>
      <c r="C41">
        <f t="shared" si="0"/>
        <v>947.20058424284332</v>
      </c>
      <c r="D41">
        <f t="shared" si="1"/>
        <v>1782.4541595813523</v>
      </c>
      <c r="E41">
        <f t="shared" si="2"/>
        <v>13.502478856809567</v>
      </c>
      <c r="F41" s="30">
        <f t="shared" si="3"/>
        <v>61.832789150837833</v>
      </c>
    </row>
    <row r="42" spans="2:6" x14ac:dyDescent="0.25">
      <c r="B42">
        <v>25</v>
      </c>
      <c r="C42">
        <f t="shared" si="0"/>
        <v>948.01447855285676</v>
      </c>
      <c r="D42">
        <f t="shared" si="1"/>
        <v>1781.6772001998841</v>
      </c>
      <c r="E42">
        <f t="shared" si="2"/>
        <v>14.065082142509965</v>
      </c>
      <c r="F42" s="30">
        <f t="shared" si="3"/>
        <v>61.794230561762824</v>
      </c>
    </row>
    <row r="43" spans="2:6" x14ac:dyDescent="0.25">
      <c r="B43">
        <v>26</v>
      </c>
      <c r="C43">
        <f t="shared" si="0"/>
        <v>948.8283728628702</v>
      </c>
      <c r="D43">
        <f t="shared" si="1"/>
        <v>1780.900240818416</v>
      </c>
      <c r="E43">
        <f t="shared" si="2"/>
        <v>14.627685428210365</v>
      </c>
      <c r="F43" s="30">
        <f t="shared" si="3"/>
        <v>61.755641363442955</v>
      </c>
    </row>
    <row r="44" spans="2:6" x14ac:dyDescent="0.25">
      <c r="B44">
        <v>27</v>
      </c>
      <c r="C44">
        <f t="shared" si="0"/>
        <v>949.64226717288363</v>
      </c>
      <c r="D44">
        <f t="shared" si="1"/>
        <v>1780.123281436948</v>
      </c>
      <c r="E44">
        <f t="shared" si="2"/>
        <v>15.190288713910764</v>
      </c>
      <c r="F44" s="30">
        <f t="shared" si="3"/>
        <v>61.717021554466513</v>
      </c>
    </row>
    <row r="45" spans="2:6" x14ac:dyDescent="0.25">
      <c r="B45">
        <v>28</v>
      </c>
      <c r="C45">
        <f t="shared" si="0"/>
        <v>950.45616148289707</v>
      </c>
      <c r="D45">
        <f t="shared" si="1"/>
        <v>1779.3463220554797</v>
      </c>
      <c r="E45">
        <f t="shared" si="2"/>
        <v>15.752891999611162</v>
      </c>
      <c r="F45" s="30">
        <f t="shared" si="3"/>
        <v>61.678371133530767</v>
      </c>
    </row>
    <row r="46" spans="2:6" x14ac:dyDescent="0.25">
      <c r="B46">
        <v>29</v>
      </c>
      <c r="C46">
        <f t="shared" si="0"/>
        <v>951.27005579291051</v>
      </c>
      <c r="D46">
        <f t="shared" si="1"/>
        <v>1778.5693626740117</v>
      </c>
      <c r="E46">
        <f t="shared" si="2"/>
        <v>16.31549528531156</v>
      </c>
      <c r="F46" s="30">
        <f t="shared" si="3"/>
        <v>61.639690099442397</v>
      </c>
    </row>
    <row r="47" spans="2:6" x14ac:dyDescent="0.25">
      <c r="B47">
        <v>30</v>
      </c>
      <c r="C47">
        <f t="shared" si="0"/>
        <v>952.08395010292395</v>
      </c>
      <c r="D47">
        <f t="shared" si="1"/>
        <v>1777.7924032925437</v>
      </c>
      <c r="E47">
        <f t="shared" si="2"/>
        <v>16.878098571011961</v>
      </c>
      <c r="F47" s="30">
        <f t="shared" si="3"/>
        <v>61.600978451117776</v>
      </c>
    </row>
    <row r="48" spans="2:6" x14ac:dyDescent="0.25">
      <c r="B48">
        <v>31</v>
      </c>
      <c r="C48">
        <f t="shared" si="0"/>
        <v>952.89784441293739</v>
      </c>
      <c r="D48">
        <f t="shared" si="1"/>
        <v>1777.0154439110756</v>
      </c>
      <c r="E48">
        <f t="shared" si="2"/>
        <v>17.440701856712359</v>
      </c>
      <c r="F48" s="30">
        <f t="shared" si="3"/>
        <v>61.562236187583395</v>
      </c>
    </row>
    <row r="49" spans="2:6" x14ac:dyDescent="0.25">
      <c r="B49">
        <v>32</v>
      </c>
      <c r="C49">
        <f t="shared" ref="C49:C80" si="4">COS(PI()/180*_Theta)*_vyps*B49+_xShip+__xL</f>
        <v>953.71173872295083</v>
      </c>
      <c r="D49">
        <f t="shared" ref="D49:D80" si="5">SIN(PI()/180*_Theta)*_vyps*B49+_yShip+_yL</f>
        <v>1776.2384845296074</v>
      </c>
      <c r="E49">
        <f t="shared" ref="E49:E80" si="6">B49*CONVERT(CONVERT(_vSub,"kn","m/sec"),"m","yd")</f>
        <v>18.003305142412756</v>
      </c>
      <c r="F49" s="30">
        <f t="shared" si="3"/>
        <v>61.523463307976151</v>
      </c>
    </row>
    <row r="50" spans="2:6" x14ac:dyDescent="0.25">
      <c r="B50">
        <v>33</v>
      </c>
      <c r="C50">
        <f t="shared" si="4"/>
        <v>954.52563303296427</v>
      </c>
      <c r="D50">
        <f t="shared" si="5"/>
        <v>1775.4615251481393</v>
      </c>
      <c r="E50">
        <f t="shared" si="6"/>
        <v>18.565908428113154</v>
      </c>
      <c r="F50" s="30">
        <f t="shared" si="3"/>
        <v>61.484659811543814</v>
      </c>
    </row>
    <row r="51" spans="2:6" x14ac:dyDescent="0.25">
      <c r="B51">
        <v>34</v>
      </c>
      <c r="C51">
        <f t="shared" si="4"/>
        <v>955.3395273429777</v>
      </c>
      <c r="D51">
        <f t="shared" si="5"/>
        <v>1774.6845657666713</v>
      </c>
      <c r="E51">
        <f t="shared" si="6"/>
        <v>19.128511713813552</v>
      </c>
      <c r="F51" s="30">
        <f t="shared" si="3"/>
        <v>61.445825697645205</v>
      </c>
    </row>
    <row r="52" spans="2:6" x14ac:dyDescent="0.25">
      <c r="B52">
        <v>35</v>
      </c>
      <c r="C52">
        <f t="shared" si="4"/>
        <v>956.15342165299114</v>
      </c>
      <c r="D52">
        <f t="shared" si="5"/>
        <v>1773.9076063852031</v>
      </c>
      <c r="E52">
        <f t="shared" si="6"/>
        <v>19.691114999513953</v>
      </c>
      <c r="F52" s="30">
        <f t="shared" si="3"/>
        <v>61.406960965750734</v>
      </c>
    </row>
    <row r="53" spans="2:6" x14ac:dyDescent="0.25">
      <c r="B53">
        <v>36</v>
      </c>
      <c r="C53">
        <f t="shared" si="4"/>
        <v>956.96731596300458</v>
      </c>
      <c r="D53">
        <f t="shared" si="5"/>
        <v>1773.130647003735</v>
      </c>
      <c r="E53">
        <f t="shared" si="6"/>
        <v>20.253718285214351</v>
      </c>
      <c r="F53" s="30">
        <f t="shared" si="3"/>
        <v>61.36806561544266</v>
      </c>
    </row>
    <row r="54" spans="2:6" x14ac:dyDescent="0.25">
      <c r="B54">
        <v>37</v>
      </c>
      <c r="C54">
        <f t="shared" si="4"/>
        <v>957.78121027301802</v>
      </c>
      <c r="D54">
        <f t="shared" si="5"/>
        <v>1772.353687622267</v>
      </c>
      <c r="E54">
        <f t="shared" si="6"/>
        <v>20.816321570914749</v>
      </c>
      <c r="F54" s="30">
        <f t="shared" si="3"/>
        <v>61.329139646415435</v>
      </c>
    </row>
    <row r="55" spans="2:6" x14ac:dyDescent="0.25">
      <c r="B55">
        <v>38</v>
      </c>
      <c r="C55">
        <f t="shared" si="4"/>
        <v>958.59510458303146</v>
      </c>
      <c r="D55">
        <f t="shared" si="5"/>
        <v>1771.5767282407987</v>
      </c>
      <c r="E55">
        <f t="shared" si="6"/>
        <v>21.37892485661515</v>
      </c>
      <c r="F55" s="30">
        <f t="shared" si="3"/>
        <v>61.29018305847611</v>
      </c>
    </row>
    <row r="56" spans="2:6" x14ac:dyDescent="0.25">
      <c r="B56">
        <v>39</v>
      </c>
      <c r="C56">
        <f t="shared" si="4"/>
        <v>959.4089988930449</v>
      </c>
      <c r="D56">
        <f t="shared" si="5"/>
        <v>1770.7997688593307</v>
      </c>
      <c r="E56">
        <f t="shared" si="6"/>
        <v>21.941528142315548</v>
      </c>
      <c r="F56" s="30">
        <f t="shared" si="3"/>
        <v>61.251195851544715</v>
      </c>
    </row>
    <row r="57" spans="2:6" x14ac:dyDescent="0.25">
      <c r="B57">
        <v>40</v>
      </c>
      <c r="C57">
        <f t="shared" si="4"/>
        <v>960.22289320305833</v>
      </c>
      <c r="D57">
        <f t="shared" si="5"/>
        <v>1770.0228094778627</v>
      </c>
      <c r="E57">
        <f t="shared" si="6"/>
        <v>22.504131428015945</v>
      </c>
      <c r="F57" s="30">
        <f t="shared" si="3"/>
        <v>61.212178025654495</v>
      </c>
    </row>
    <row r="58" spans="2:6" x14ac:dyDescent="0.25">
      <c r="B58">
        <v>41</v>
      </c>
      <c r="C58">
        <f t="shared" si="4"/>
        <v>961.03678751307177</v>
      </c>
      <c r="D58">
        <f t="shared" si="5"/>
        <v>1769.2458500963946</v>
      </c>
      <c r="E58">
        <f t="shared" si="6"/>
        <v>23.066734713716343</v>
      </c>
      <c r="F58" s="30">
        <f t="shared" si="3"/>
        <v>61.173129580952391</v>
      </c>
    </row>
    <row r="59" spans="2:6" x14ac:dyDescent="0.25">
      <c r="B59">
        <v>42</v>
      </c>
      <c r="C59">
        <f t="shared" si="4"/>
        <v>961.85068182308521</v>
      </c>
      <c r="D59">
        <f t="shared" si="5"/>
        <v>1768.4688907149264</v>
      </c>
      <c r="E59">
        <f t="shared" si="6"/>
        <v>23.629337999416741</v>
      </c>
      <c r="F59" s="30">
        <f t="shared" si="3"/>
        <v>61.134050517699329</v>
      </c>
    </row>
    <row r="60" spans="2:6" x14ac:dyDescent="0.25">
      <c r="B60">
        <v>43</v>
      </c>
      <c r="C60">
        <f t="shared" si="4"/>
        <v>962.66457613309865</v>
      </c>
      <c r="D60">
        <f t="shared" si="5"/>
        <v>1767.6919313334583</v>
      </c>
      <c r="E60">
        <f t="shared" si="6"/>
        <v>24.191941285117142</v>
      </c>
      <c r="F60" s="30">
        <f t="shared" si="3"/>
        <v>61.094940836270602</v>
      </c>
    </row>
    <row r="61" spans="2:6" x14ac:dyDescent="0.25">
      <c r="B61">
        <v>44</v>
      </c>
      <c r="C61">
        <f t="shared" si="4"/>
        <v>963.47847044311209</v>
      </c>
      <c r="D61">
        <f t="shared" si="5"/>
        <v>1766.9149719519903</v>
      </c>
      <c r="E61">
        <f t="shared" si="6"/>
        <v>24.75454457081754</v>
      </c>
      <c r="F61" s="30">
        <f t="shared" si="3"/>
        <v>61.055800537156223</v>
      </c>
    </row>
    <row r="62" spans="2:6" x14ac:dyDescent="0.25">
      <c r="B62">
        <v>45</v>
      </c>
      <c r="C62">
        <f t="shared" si="4"/>
        <v>964.29236475312553</v>
      </c>
      <c r="D62">
        <f t="shared" si="5"/>
        <v>1766.1380125705221</v>
      </c>
      <c r="E62">
        <f t="shared" si="6"/>
        <v>25.317147856517938</v>
      </c>
      <c r="F62" s="30">
        <f t="shared" si="3"/>
        <v>61.016629620961261</v>
      </c>
    </row>
    <row r="63" spans="2:6" x14ac:dyDescent="0.25">
      <c r="B63">
        <v>46</v>
      </c>
      <c r="C63">
        <f t="shared" si="4"/>
        <v>965.10625906313896</v>
      </c>
      <c r="D63">
        <f t="shared" si="5"/>
        <v>1765.361053189054</v>
      </c>
      <c r="E63">
        <f t="shared" si="6"/>
        <v>25.879751142218339</v>
      </c>
      <c r="F63" s="30">
        <f t="shared" si="3"/>
        <v>60.977428088406256</v>
      </c>
    </row>
    <row r="64" spans="2:6" x14ac:dyDescent="0.25">
      <c r="B64">
        <v>47</v>
      </c>
      <c r="C64">
        <f t="shared" si="4"/>
        <v>965.9201533731524</v>
      </c>
      <c r="D64">
        <f t="shared" si="5"/>
        <v>1764.584093807586</v>
      </c>
      <c r="E64">
        <f t="shared" si="6"/>
        <v>26.442354427918737</v>
      </c>
      <c r="F64" s="30">
        <f t="shared" si="3"/>
        <v>60.938195940327482</v>
      </c>
    </row>
    <row r="65" spans="2:6" x14ac:dyDescent="0.25">
      <c r="B65">
        <v>48</v>
      </c>
      <c r="C65">
        <f t="shared" si="4"/>
        <v>966.73404768316561</v>
      </c>
      <c r="D65">
        <f t="shared" si="5"/>
        <v>1763.8071344261177</v>
      </c>
      <c r="E65">
        <f t="shared" si="6"/>
        <v>27.004957713619135</v>
      </c>
      <c r="F65" s="30">
        <f t="shared" si="3"/>
        <v>60.898933177677371</v>
      </c>
    </row>
    <row r="66" spans="2:6" x14ac:dyDescent="0.25">
      <c r="B66">
        <v>49</v>
      </c>
      <c r="C66">
        <f t="shared" si="4"/>
        <v>967.54794199317905</v>
      </c>
      <c r="D66">
        <f t="shared" si="5"/>
        <v>1763.0301750446497</v>
      </c>
      <c r="E66">
        <f t="shared" si="6"/>
        <v>27.567560999319532</v>
      </c>
      <c r="F66" s="30">
        <f t="shared" si="3"/>
        <v>60.859639801524864</v>
      </c>
    </row>
    <row r="67" spans="2:6" x14ac:dyDescent="0.25">
      <c r="B67">
        <v>50</v>
      </c>
      <c r="C67">
        <f t="shared" si="4"/>
        <v>968.36183630319249</v>
      </c>
      <c r="D67">
        <f t="shared" si="5"/>
        <v>1762.2532156631817</v>
      </c>
      <c r="E67">
        <f t="shared" si="6"/>
        <v>28.13016428501993</v>
      </c>
      <c r="F67" s="30">
        <f t="shared" si="3"/>
        <v>60.820315813055736</v>
      </c>
    </row>
    <row r="68" spans="2:6" x14ac:dyDescent="0.25">
      <c r="B68">
        <v>51</v>
      </c>
      <c r="C68">
        <f t="shared" si="4"/>
        <v>969.17573061320593</v>
      </c>
      <c r="D68">
        <f t="shared" si="5"/>
        <v>1761.4762562817134</v>
      </c>
      <c r="E68">
        <f t="shared" si="6"/>
        <v>28.692767570720331</v>
      </c>
      <c r="F68" s="30">
        <f t="shared" si="3"/>
        <v>60.780961213572979</v>
      </c>
    </row>
    <row r="69" spans="2:6" x14ac:dyDescent="0.25">
      <c r="B69">
        <v>52</v>
      </c>
      <c r="C69">
        <f t="shared" si="4"/>
        <v>969.98962492321937</v>
      </c>
      <c r="D69">
        <f t="shared" si="5"/>
        <v>1760.6992969002454</v>
      </c>
      <c r="E69">
        <f t="shared" si="6"/>
        <v>29.255370856420729</v>
      </c>
      <c r="F69" s="30">
        <f t="shared" si="3"/>
        <v>60.741576004497176</v>
      </c>
    </row>
    <row r="70" spans="2:6" x14ac:dyDescent="0.25">
      <c r="B70">
        <v>53</v>
      </c>
      <c r="C70">
        <f t="shared" si="4"/>
        <v>970.80351923323281</v>
      </c>
      <c r="D70">
        <f t="shared" si="5"/>
        <v>1759.9223375187773</v>
      </c>
      <c r="E70">
        <f t="shared" si="6"/>
        <v>29.817974142121127</v>
      </c>
      <c r="F70" s="30">
        <f t="shared" si="3"/>
        <v>60.702160187366786</v>
      </c>
    </row>
    <row r="71" spans="2:6" x14ac:dyDescent="0.25">
      <c r="B71">
        <v>54</v>
      </c>
      <c r="C71">
        <f t="shared" si="4"/>
        <v>971.61741354324624</v>
      </c>
      <c r="D71">
        <f t="shared" si="5"/>
        <v>1759.1453781373093</v>
      </c>
      <c r="E71">
        <f t="shared" si="6"/>
        <v>30.380577427821528</v>
      </c>
      <c r="F71" s="30">
        <f t="shared" si="3"/>
        <v>60.662713763838561</v>
      </c>
    </row>
    <row r="72" spans="2:6" x14ac:dyDescent="0.25">
      <c r="B72">
        <v>55</v>
      </c>
      <c r="C72">
        <f t="shared" si="4"/>
        <v>972.43130785325968</v>
      </c>
      <c r="D72">
        <f t="shared" si="5"/>
        <v>1758.368418755841</v>
      </c>
      <c r="E72">
        <f t="shared" si="6"/>
        <v>30.943180713521926</v>
      </c>
      <c r="F72" s="30">
        <f t="shared" si="3"/>
        <v>60.623236735687868</v>
      </c>
    </row>
    <row r="73" spans="2:6" x14ac:dyDescent="0.25">
      <c r="B73">
        <v>56</v>
      </c>
      <c r="C73">
        <f t="shared" si="4"/>
        <v>973.24520216327312</v>
      </c>
      <c r="D73">
        <f t="shared" si="5"/>
        <v>1757.591459374373</v>
      </c>
      <c r="E73">
        <f t="shared" si="6"/>
        <v>31.505783999222324</v>
      </c>
      <c r="F73" s="30">
        <f t="shared" si="3"/>
        <v>60.583729104809109</v>
      </c>
    </row>
    <row r="74" spans="2:6" x14ac:dyDescent="0.25">
      <c r="B74">
        <v>57</v>
      </c>
      <c r="C74">
        <f t="shared" si="4"/>
        <v>974.05909647328656</v>
      </c>
      <c r="D74">
        <f t="shared" si="5"/>
        <v>1756.814499992905</v>
      </c>
      <c r="E74">
        <f t="shared" si="6"/>
        <v>32.068387284922721</v>
      </c>
      <c r="F74" s="30">
        <f t="shared" si="3"/>
        <v>60.544190873215996</v>
      </c>
    </row>
    <row r="75" spans="2:6" x14ac:dyDescent="0.25">
      <c r="B75">
        <v>58</v>
      </c>
      <c r="C75">
        <f t="shared" si="4"/>
        <v>974.8729907833</v>
      </c>
      <c r="D75">
        <f t="shared" si="5"/>
        <v>1756.0375406114367</v>
      </c>
      <c r="E75">
        <f t="shared" si="6"/>
        <v>32.630990570623119</v>
      </c>
      <c r="F75" s="30">
        <f t="shared" si="3"/>
        <v>60.504622043041913</v>
      </c>
    </row>
    <row r="76" spans="2:6" x14ac:dyDescent="0.25">
      <c r="B76">
        <v>59</v>
      </c>
      <c r="C76">
        <f t="shared" si="4"/>
        <v>975.68688509331344</v>
      </c>
      <c r="D76">
        <f t="shared" si="5"/>
        <v>1755.2605812299687</v>
      </c>
      <c r="E76">
        <f t="shared" si="6"/>
        <v>33.193593856323517</v>
      </c>
      <c r="F76" s="30">
        <f t="shared" si="3"/>
        <v>60.465022616540338</v>
      </c>
    </row>
    <row r="77" spans="2:6" x14ac:dyDescent="0.25">
      <c r="B77">
        <v>60</v>
      </c>
      <c r="C77">
        <f t="shared" si="4"/>
        <v>976.50077940332687</v>
      </c>
      <c r="D77">
        <f t="shared" si="5"/>
        <v>1754.4836218485007</v>
      </c>
      <c r="E77">
        <f t="shared" si="6"/>
        <v>33.756197142023922</v>
      </c>
      <c r="F77" s="30">
        <f t="shared" si="3"/>
        <v>60.425392596085153</v>
      </c>
    </row>
    <row r="78" spans="2:6" x14ac:dyDescent="0.25">
      <c r="B78">
        <v>61</v>
      </c>
      <c r="C78">
        <f t="shared" si="4"/>
        <v>977.31467371334031</v>
      </c>
      <c r="D78">
        <f t="shared" si="5"/>
        <v>1753.7066624670324</v>
      </c>
      <c r="E78">
        <f t="shared" si="6"/>
        <v>34.318800427724319</v>
      </c>
      <c r="F78" s="30">
        <f t="shared" si="3"/>
        <v>60.38573198417096</v>
      </c>
    </row>
    <row r="79" spans="2:6" x14ac:dyDescent="0.25">
      <c r="B79">
        <v>62</v>
      </c>
      <c r="C79">
        <f t="shared" si="4"/>
        <v>978.12856802335375</v>
      </c>
      <c r="D79">
        <f t="shared" si="5"/>
        <v>1752.9297030855644</v>
      </c>
      <c r="E79">
        <f t="shared" si="6"/>
        <v>34.881403713424717</v>
      </c>
      <c r="F79" s="30">
        <f t="shared" si="3"/>
        <v>60.346040783413521</v>
      </c>
    </row>
    <row r="80" spans="2:6" x14ac:dyDescent="0.25">
      <c r="B80">
        <v>63</v>
      </c>
      <c r="C80">
        <f t="shared" si="4"/>
        <v>978.94246233336719</v>
      </c>
      <c r="D80">
        <f t="shared" si="5"/>
        <v>1752.1527437040963</v>
      </c>
      <c r="E80">
        <f t="shared" si="6"/>
        <v>35.444006999125115</v>
      </c>
      <c r="F80" s="30">
        <f t="shared" si="3"/>
        <v>60.306318996550054</v>
      </c>
    </row>
    <row r="81" spans="2:6" x14ac:dyDescent="0.25">
      <c r="B81">
        <v>64</v>
      </c>
      <c r="C81">
        <f t="shared" ref="C81:C112" si="7">COS(PI()/180*_Theta)*_vyps*B81+_xShip+__xL</f>
        <v>979.75635664338063</v>
      </c>
      <c r="D81">
        <f t="shared" ref="D81:D112" si="8">SIN(PI()/180*_Theta)*_vyps*B81+_yShip+_yL</f>
        <v>1751.3757843226283</v>
      </c>
      <c r="E81">
        <f t="shared" ref="E81:E112" si="9">B81*CONVERT(CONVERT(_vSub,"kn","m/sec"),"m","yd")</f>
        <v>36.006610284825513</v>
      </c>
      <c r="F81" s="30">
        <f t="shared" si="3"/>
        <v>60.266566626439598</v>
      </c>
    </row>
    <row r="82" spans="2:6" x14ac:dyDescent="0.25">
      <c r="B82">
        <v>65</v>
      </c>
      <c r="C82">
        <f t="shared" si="7"/>
        <v>980.57025095339407</v>
      </c>
      <c r="D82">
        <f t="shared" si="8"/>
        <v>1750.59882494116</v>
      </c>
      <c r="E82">
        <f t="shared" si="9"/>
        <v>36.56921357052591</v>
      </c>
      <c r="F82" s="30">
        <f t="shared" ref="F82:F145" si="10">ATAN2(C82,D82-E82)*180/PI()</f>
        <v>60.22678367606337</v>
      </c>
    </row>
    <row r="83" spans="2:6" x14ac:dyDescent="0.25">
      <c r="B83">
        <v>66</v>
      </c>
      <c r="C83">
        <f t="shared" si="7"/>
        <v>981.3841452634075</v>
      </c>
      <c r="D83">
        <f t="shared" si="8"/>
        <v>1749.821865559692</v>
      </c>
      <c r="E83">
        <f t="shared" si="9"/>
        <v>37.131816856226308</v>
      </c>
      <c r="F83" s="30">
        <f t="shared" si="10"/>
        <v>60.186970148525148</v>
      </c>
    </row>
    <row r="84" spans="2:6" x14ac:dyDescent="0.25">
      <c r="B84">
        <v>67</v>
      </c>
      <c r="C84">
        <f t="shared" si="7"/>
        <v>982.19803957342094</v>
      </c>
      <c r="D84">
        <f t="shared" si="8"/>
        <v>1749.044906178224</v>
      </c>
      <c r="E84">
        <f t="shared" si="9"/>
        <v>37.694420141926706</v>
      </c>
      <c r="F84" s="30">
        <f t="shared" si="10"/>
        <v>60.147126047051572</v>
      </c>
    </row>
    <row r="85" spans="2:6" x14ac:dyDescent="0.25">
      <c r="B85">
        <v>68</v>
      </c>
      <c r="C85">
        <f t="shared" si="7"/>
        <v>983.01193388343438</v>
      </c>
      <c r="D85">
        <f t="shared" si="8"/>
        <v>1748.2679467967557</v>
      </c>
      <c r="E85">
        <f t="shared" si="9"/>
        <v>38.257023427627104</v>
      </c>
      <c r="F85" s="30">
        <f t="shared" si="10"/>
        <v>60.107251374992501</v>
      </c>
    </row>
    <row r="86" spans="2:6" x14ac:dyDescent="0.25">
      <c r="B86">
        <v>69</v>
      </c>
      <c r="C86">
        <f t="shared" si="7"/>
        <v>983.82582819344782</v>
      </c>
      <c r="D86">
        <f t="shared" si="8"/>
        <v>1747.4909874152877</v>
      </c>
      <c r="E86">
        <f t="shared" si="9"/>
        <v>38.819626713327509</v>
      </c>
      <c r="F86" s="30">
        <f t="shared" si="10"/>
        <v>60.067346135821445</v>
      </c>
    </row>
    <row r="87" spans="2:6" x14ac:dyDescent="0.25">
      <c r="B87">
        <v>70</v>
      </c>
      <c r="C87">
        <f t="shared" si="7"/>
        <v>984.63972250346126</v>
      </c>
      <c r="D87">
        <f t="shared" si="8"/>
        <v>1746.7140280338197</v>
      </c>
      <c r="E87">
        <f t="shared" si="9"/>
        <v>39.382229999027906</v>
      </c>
      <c r="F87" s="30">
        <f t="shared" si="10"/>
        <v>60.027410333135826</v>
      </c>
    </row>
    <row r="88" spans="2:6" x14ac:dyDescent="0.25">
      <c r="B88">
        <v>71</v>
      </c>
      <c r="C88">
        <f t="shared" si="7"/>
        <v>985.4536168134747</v>
      </c>
      <c r="D88">
        <f t="shared" si="8"/>
        <v>1745.9370686523514</v>
      </c>
      <c r="E88">
        <f t="shared" si="9"/>
        <v>39.944833284728304</v>
      </c>
      <c r="F88" s="30">
        <f t="shared" si="10"/>
        <v>59.987443970657338</v>
      </c>
    </row>
    <row r="89" spans="2:6" x14ac:dyDescent="0.25">
      <c r="B89">
        <v>72</v>
      </c>
      <c r="C89">
        <f t="shared" si="7"/>
        <v>986.26751112348813</v>
      </c>
      <c r="D89">
        <f t="shared" si="8"/>
        <v>1745.1601092708834</v>
      </c>
      <c r="E89">
        <f t="shared" si="9"/>
        <v>40.507436570428702</v>
      </c>
      <c r="F89" s="30">
        <f t="shared" si="10"/>
        <v>59.947447052232405</v>
      </c>
    </row>
    <row r="90" spans="2:6" x14ac:dyDescent="0.25">
      <c r="B90">
        <v>73</v>
      </c>
      <c r="C90">
        <f t="shared" si="7"/>
        <v>987.08140543350157</v>
      </c>
      <c r="D90">
        <f t="shared" si="8"/>
        <v>1744.3831498894153</v>
      </c>
      <c r="E90">
        <f t="shared" si="9"/>
        <v>41.0700398561291</v>
      </c>
      <c r="F90" s="30">
        <f t="shared" si="10"/>
        <v>59.907419581832393</v>
      </c>
    </row>
    <row r="91" spans="2:6" x14ac:dyDescent="0.25">
      <c r="B91">
        <v>74</v>
      </c>
      <c r="C91">
        <f t="shared" si="7"/>
        <v>987.89529974351501</v>
      </c>
      <c r="D91">
        <f t="shared" si="8"/>
        <v>1743.6061905079473</v>
      </c>
      <c r="E91">
        <f t="shared" si="9"/>
        <v>41.632643141829497</v>
      </c>
      <c r="F91" s="30">
        <f t="shared" si="10"/>
        <v>59.867361563554056</v>
      </c>
    </row>
    <row r="92" spans="2:6" x14ac:dyDescent="0.25">
      <c r="B92">
        <v>75</v>
      </c>
      <c r="C92">
        <f t="shared" si="7"/>
        <v>988.70919405352845</v>
      </c>
      <c r="D92">
        <f t="shared" si="8"/>
        <v>1742.829231126479</v>
      </c>
      <c r="E92">
        <f t="shared" si="9"/>
        <v>42.195246427529895</v>
      </c>
      <c r="F92" s="30">
        <f t="shared" si="10"/>
        <v>59.827273001619844</v>
      </c>
    </row>
    <row r="93" spans="2:6" x14ac:dyDescent="0.25">
      <c r="B93">
        <v>76</v>
      </c>
      <c r="C93">
        <f t="shared" si="7"/>
        <v>989.52308836354189</v>
      </c>
      <c r="D93">
        <f t="shared" si="8"/>
        <v>1742.052271745011</v>
      </c>
      <c r="E93">
        <f t="shared" si="9"/>
        <v>42.7578497132303</v>
      </c>
      <c r="F93" s="30">
        <f t="shared" si="10"/>
        <v>59.787153900378257</v>
      </c>
    </row>
    <row r="94" spans="2:6" x14ac:dyDescent="0.25">
      <c r="B94">
        <v>77</v>
      </c>
      <c r="C94">
        <f t="shared" si="7"/>
        <v>990.33698267355533</v>
      </c>
      <c r="D94">
        <f t="shared" si="8"/>
        <v>1741.275312363543</v>
      </c>
      <c r="E94">
        <f t="shared" si="9"/>
        <v>43.320452998930698</v>
      </c>
      <c r="F94" s="30">
        <f t="shared" si="10"/>
        <v>59.74700426430428</v>
      </c>
    </row>
    <row r="95" spans="2:6" x14ac:dyDescent="0.25">
      <c r="B95">
        <v>78</v>
      </c>
      <c r="C95">
        <f t="shared" si="7"/>
        <v>991.15087698356876</v>
      </c>
      <c r="D95">
        <f t="shared" si="8"/>
        <v>1740.4983529820747</v>
      </c>
      <c r="E95">
        <f t="shared" si="9"/>
        <v>43.883056284631095</v>
      </c>
      <c r="F95" s="30">
        <f t="shared" si="10"/>
        <v>59.706824097999558</v>
      </c>
    </row>
    <row r="96" spans="2:6" x14ac:dyDescent="0.25">
      <c r="B96">
        <v>79</v>
      </c>
      <c r="C96">
        <f t="shared" si="7"/>
        <v>991.9647712935822</v>
      </c>
      <c r="D96">
        <f t="shared" si="8"/>
        <v>1739.7213936006067</v>
      </c>
      <c r="E96">
        <f t="shared" si="9"/>
        <v>44.445659570331493</v>
      </c>
      <c r="F96" s="30">
        <f t="shared" si="10"/>
        <v>59.666613406192923</v>
      </c>
    </row>
    <row r="97" spans="2:6" x14ac:dyDescent="0.25">
      <c r="B97">
        <v>80</v>
      </c>
      <c r="C97">
        <f t="shared" si="7"/>
        <v>992.77866560359564</v>
      </c>
      <c r="D97">
        <f t="shared" si="8"/>
        <v>1738.9444342191387</v>
      </c>
      <c r="E97">
        <f t="shared" si="9"/>
        <v>45.008262856031891</v>
      </c>
      <c r="F97" s="30">
        <f t="shared" si="10"/>
        <v>59.626372193740657</v>
      </c>
    </row>
    <row r="98" spans="2:6" x14ac:dyDescent="0.25">
      <c r="B98">
        <v>81</v>
      </c>
      <c r="C98">
        <f t="shared" si="7"/>
        <v>993.59255991360908</v>
      </c>
      <c r="D98">
        <f t="shared" si="8"/>
        <v>1738.1674748376704</v>
      </c>
      <c r="E98">
        <f t="shared" si="9"/>
        <v>45.570866141732289</v>
      </c>
      <c r="F98" s="30">
        <f t="shared" si="10"/>
        <v>59.586100465626863</v>
      </c>
    </row>
    <row r="99" spans="2:6" x14ac:dyDescent="0.25">
      <c r="B99">
        <v>82</v>
      </c>
      <c r="C99">
        <f t="shared" si="7"/>
        <v>994.40645422362252</v>
      </c>
      <c r="D99">
        <f t="shared" si="8"/>
        <v>1737.3905154562024</v>
      </c>
      <c r="E99">
        <f t="shared" si="9"/>
        <v>46.133469427432686</v>
      </c>
      <c r="F99" s="30">
        <f t="shared" si="10"/>
        <v>59.545798226963804</v>
      </c>
    </row>
    <row r="100" spans="2:6" x14ac:dyDescent="0.25">
      <c r="B100">
        <v>83</v>
      </c>
      <c r="C100">
        <f t="shared" si="7"/>
        <v>995.22034853363596</v>
      </c>
      <c r="D100">
        <f t="shared" si="8"/>
        <v>1736.6135560747343</v>
      </c>
      <c r="E100">
        <f t="shared" si="9"/>
        <v>46.696072713133084</v>
      </c>
      <c r="F100" s="30">
        <f t="shared" si="10"/>
        <v>59.50546548299225</v>
      </c>
    </row>
    <row r="101" spans="2:6" x14ac:dyDescent="0.25">
      <c r="B101">
        <v>84</v>
      </c>
      <c r="C101">
        <f t="shared" si="7"/>
        <v>996.03424284364939</v>
      </c>
      <c r="D101">
        <f t="shared" si="8"/>
        <v>1735.8365966932663</v>
      </c>
      <c r="E101">
        <f t="shared" si="9"/>
        <v>47.258675998833482</v>
      </c>
      <c r="F101" s="30">
        <f t="shared" si="10"/>
        <v>59.46510223908188</v>
      </c>
    </row>
    <row r="102" spans="2:6" x14ac:dyDescent="0.25">
      <c r="B102">
        <v>85</v>
      </c>
      <c r="C102">
        <f t="shared" si="7"/>
        <v>996.84813715366283</v>
      </c>
      <c r="D102">
        <f t="shared" si="8"/>
        <v>1735.059637311798</v>
      </c>
      <c r="E102">
        <f t="shared" si="9"/>
        <v>47.821279284533887</v>
      </c>
      <c r="F102" s="30">
        <f t="shared" si="10"/>
        <v>59.424708500731526</v>
      </c>
    </row>
    <row r="103" spans="2:6" x14ac:dyDescent="0.25">
      <c r="B103">
        <v>86</v>
      </c>
      <c r="C103">
        <f t="shared" si="7"/>
        <v>997.66203146367627</v>
      </c>
      <c r="D103">
        <f t="shared" si="8"/>
        <v>1734.28267793033</v>
      </c>
      <c r="E103">
        <f t="shared" si="9"/>
        <v>48.383882570234285</v>
      </c>
      <c r="F103" s="30">
        <f t="shared" si="10"/>
        <v>59.384284273569619</v>
      </c>
    </row>
    <row r="104" spans="2:6" x14ac:dyDescent="0.25">
      <c r="B104">
        <v>87</v>
      </c>
      <c r="C104">
        <f t="shared" si="7"/>
        <v>998.47592577368971</v>
      </c>
      <c r="D104">
        <f>SIN(PI()/180*_Theta)*_vyps*B104+_yShip+_yL</f>
        <v>1733.505718548862</v>
      </c>
      <c r="E104">
        <f t="shared" si="9"/>
        <v>48.946485855934682</v>
      </c>
      <c r="F104" s="30">
        <f t="shared" si="10"/>
        <v>59.343829563354554</v>
      </c>
    </row>
    <row r="105" spans="2:6" x14ac:dyDescent="0.25">
      <c r="B105">
        <v>88</v>
      </c>
      <c r="C105">
        <f t="shared" si="7"/>
        <v>999.28982008370315</v>
      </c>
      <c r="D105">
        <f t="shared" si="8"/>
        <v>1732.7287591673937</v>
      </c>
      <c r="E105">
        <f t="shared" si="9"/>
        <v>49.50908914163508</v>
      </c>
      <c r="F105" s="30">
        <f t="shared" si="10"/>
        <v>59.303344375974881</v>
      </c>
    </row>
    <row r="106" spans="2:6" x14ac:dyDescent="0.25">
      <c r="B106">
        <v>89</v>
      </c>
      <c r="C106">
        <f t="shared" si="7"/>
        <v>1000.1037143937166</v>
      </c>
      <c r="D106">
        <f t="shared" si="8"/>
        <v>1731.9517997859257</v>
      </c>
      <c r="E106">
        <f t="shared" si="9"/>
        <v>50.071692427335478</v>
      </c>
      <c r="F106" s="30">
        <f t="shared" si="10"/>
        <v>59.26282871744985</v>
      </c>
    </row>
    <row r="107" spans="2:6" x14ac:dyDescent="0.25">
      <c r="B107">
        <v>90</v>
      </c>
      <c r="C107">
        <f t="shared" si="7"/>
        <v>1000.91760870373</v>
      </c>
      <c r="D107">
        <f t="shared" si="8"/>
        <v>1731.1748404044577</v>
      </c>
      <c r="E107">
        <f t="shared" si="9"/>
        <v>50.634295713035876</v>
      </c>
      <c r="F107" s="30">
        <f t="shared" si="10"/>
        <v>59.22228259392962</v>
      </c>
    </row>
    <row r="108" spans="2:6" x14ac:dyDescent="0.25">
      <c r="B108">
        <v>91</v>
      </c>
      <c r="C108">
        <f t="shared" si="7"/>
        <v>1001.7315030137435</v>
      </c>
      <c r="D108">
        <f t="shared" si="8"/>
        <v>1730.3978810229894</v>
      </c>
      <c r="E108">
        <f t="shared" si="9"/>
        <v>51.196898998736273</v>
      </c>
      <c r="F108" s="30">
        <f t="shared" si="10"/>
        <v>59.181706011695681</v>
      </c>
    </row>
    <row r="109" spans="2:6" x14ac:dyDescent="0.25">
      <c r="B109">
        <v>92</v>
      </c>
      <c r="C109">
        <f t="shared" si="7"/>
        <v>1002.5453973237569</v>
      </c>
      <c r="D109">
        <f t="shared" si="8"/>
        <v>1729.6209216415214</v>
      </c>
      <c r="E109">
        <f t="shared" si="9"/>
        <v>51.759502284436678</v>
      </c>
      <c r="F109" s="30">
        <f t="shared" si="10"/>
        <v>59.141098977161143</v>
      </c>
    </row>
    <row r="110" spans="2:6" x14ac:dyDescent="0.25">
      <c r="B110">
        <v>93</v>
      </c>
      <c r="C110">
        <f t="shared" si="7"/>
        <v>1003.3592916337703</v>
      </c>
      <c r="D110">
        <f t="shared" si="8"/>
        <v>1728.8439622600533</v>
      </c>
      <c r="E110">
        <f t="shared" si="9"/>
        <v>52.322105570137076</v>
      </c>
      <c r="F110" s="30">
        <f t="shared" si="10"/>
        <v>59.100461496871155</v>
      </c>
    </row>
    <row r="111" spans="2:6" x14ac:dyDescent="0.25">
      <c r="B111">
        <v>94</v>
      </c>
      <c r="C111">
        <f t="shared" si="7"/>
        <v>1004.1731859437838</v>
      </c>
      <c r="D111">
        <f t="shared" si="8"/>
        <v>1728.0670028785851</v>
      </c>
      <c r="E111">
        <f t="shared" si="9"/>
        <v>52.884708855837474</v>
      </c>
      <c r="F111" s="30">
        <f t="shared" si="10"/>
        <v>59.059793577503171</v>
      </c>
    </row>
    <row r="112" spans="2:6" x14ac:dyDescent="0.25">
      <c r="B112">
        <v>95</v>
      </c>
      <c r="C112">
        <f t="shared" si="7"/>
        <v>1004.9870802537972</v>
      </c>
      <c r="D112">
        <f t="shared" si="8"/>
        <v>1727.290043497117</v>
      </c>
      <c r="E112">
        <f t="shared" si="9"/>
        <v>53.447312141537871</v>
      </c>
      <c r="F112" s="30">
        <f t="shared" si="10"/>
        <v>59.019095225867353</v>
      </c>
    </row>
    <row r="113" spans="2:6" x14ac:dyDescent="0.25">
      <c r="B113">
        <v>96</v>
      </c>
      <c r="C113">
        <f t="shared" ref="C113:C144" si="11">COS(PI()/180*_Theta)*_vyps*B113+_xShip+__xL</f>
        <v>1005.8009745638107</v>
      </c>
      <c r="D113">
        <f t="shared" ref="D113:D144" si="12">SIN(PI()/180*_Theta)*_vyps*B113+_yShip+_yL</f>
        <v>1726.513084115649</v>
      </c>
      <c r="E113">
        <f t="shared" ref="E113:E144" si="13">B113*CONVERT(CONVERT(_vSub,"kn","m/sec"),"m","yd")</f>
        <v>54.009915427238269</v>
      </c>
      <c r="F113" s="30">
        <f t="shared" si="10"/>
        <v>58.978366448906904</v>
      </c>
    </row>
    <row r="114" spans="2:6" x14ac:dyDescent="0.25">
      <c r="B114">
        <v>97</v>
      </c>
      <c r="C114">
        <f t="shared" si="11"/>
        <v>1006.6148688738241</v>
      </c>
      <c r="D114">
        <f t="shared" si="12"/>
        <v>1725.736124734181</v>
      </c>
      <c r="E114">
        <f t="shared" si="13"/>
        <v>54.572518712938667</v>
      </c>
      <c r="F114" s="30">
        <f t="shared" si="10"/>
        <v>58.937607253698381</v>
      </c>
    </row>
    <row r="115" spans="2:6" x14ac:dyDescent="0.25">
      <c r="B115">
        <v>98</v>
      </c>
      <c r="C115">
        <f t="shared" si="11"/>
        <v>1007.4287631838375</v>
      </c>
      <c r="D115">
        <f t="shared" si="12"/>
        <v>1724.9591653527127</v>
      </c>
      <c r="E115">
        <f t="shared" si="13"/>
        <v>55.135121998639065</v>
      </c>
      <c r="F115" s="30">
        <f t="shared" si="10"/>
        <v>58.896817647452089</v>
      </c>
    </row>
    <row r="116" spans="2:6" x14ac:dyDescent="0.25">
      <c r="B116">
        <v>99</v>
      </c>
      <c r="C116">
        <f t="shared" si="11"/>
        <v>1008.242657493851</v>
      </c>
      <c r="D116">
        <f t="shared" si="12"/>
        <v>1724.1822059712447</v>
      </c>
      <c r="E116">
        <f t="shared" si="13"/>
        <v>55.697725284339462</v>
      </c>
      <c r="F116" s="30">
        <f t="shared" si="10"/>
        <v>58.855997637512381</v>
      </c>
    </row>
    <row r="117" spans="2:6" x14ac:dyDescent="0.25">
      <c r="B117">
        <v>100</v>
      </c>
      <c r="C117">
        <f t="shared" si="11"/>
        <v>1009.0565518038642</v>
      </c>
      <c r="D117">
        <f t="shared" si="12"/>
        <v>1723.4052465897767</v>
      </c>
      <c r="E117">
        <f t="shared" si="13"/>
        <v>56.26032857003986</v>
      </c>
      <c r="F117" s="30">
        <f t="shared" si="10"/>
        <v>58.815147231358033</v>
      </c>
    </row>
    <row r="118" spans="2:6" x14ac:dyDescent="0.25">
      <c r="B118">
        <v>101</v>
      </c>
      <c r="C118">
        <f t="shared" si="11"/>
        <v>1009.8704461138776</v>
      </c>
      <c r="D118">
        <f t="shared" si="12"/>
        <v>1722.6282872083084</v>
      </c>
      <c r="E118">
        <f t="shared" si="13"/>
        <v>56.822931855740265</v>
      </c>
      <c r="F118" s="30">
        <f t="shared" si="10"/>
        <v>58.774266436602574</v>
      </c>
    </row>
    <row r="119" spans="2:6" x14ac:dyDescent="0.25">
      <c r="B119">
        <v>102</v>
      </c>
      <c r="C119">
        <f t="shared" si="11"/>
        <v>1010.6843404238911</v>
      </c>
      <c r="D119">
        <f t="shared" si="12"/>
        <v>1721.8513278268404</v>
      </c>
      <c r="E119">
        <f t="shared" si="13"/>
        <v>57.385535141440663</v>
      </c>
      <c r="F119" s="30">
        <f t="shared" si="10"/>
        <v>58.733355260994607</v>
      </c>
    </row>
    <row r="120" spans="2:6" x14ac:dyDescent="0.25">
      <c r="B120">
        <v>103</v>
      </c>
      <c r="C120">
        <f t="shared" si="11"/>
        <v>1011.4982347339045</v>
      </c>
      <c r="D120">
        <f t="shared" si="12"/>
        <v>1721.0743684453723</v>
      </c>
      <c r="E120">
        <f t="shared" si="13"/>
        <v>57.94813842714106</v>
      </c>
      <c r="F120" s="30">
        <f t="shared" si="10"/>
        <v>58.692413712418194</v>
      </c>
    </row>
    <row r="121" spans="2:6" x14ac:dyDescent="0.25">
      <c r="B121">
        <v>104</v>
      </c>
      <c r="C121">
        <f t="shared" si="11"/>
        <v>1012.3121290439179</v>
      </c>
      <c r="D121">
        <f t="shared" si="12"/>
        <v>1720.2974090639041</v>
      </c>
      <c r="E121">
        <f t="shared" si="13"/>
        <v>58.510741712841458</v>
      </c>
      <c r="F121" s="30">
        <f t="shared" si="10"/>
        <v>58.651441798893174</v>
      </c>
    </row>
    <row r="122" spans="2:6" x14ac:dyDescent="0.25">
      <c r="B122">
        <v>105</v>
      </c>
      <c r="C122">
        <f t="shared" si="11"/>
        <v>1013.1260233539314</v>
      </c>
      <c r="D122">
        <f t="shared" si="12"/>
        <v>1719.520449682436</v>
      </c>
      <c r="E122">
        <f t="shared" si="13"/>
        <v>59.073344998541856</v>
      </c>
      <c r="F122" s="30">
        <f t="shared" si="10"/>
        <v>58.610439528575512</v>
      </c>
    </row>
    <row r="123" spans="2:6" x14ac:dyDescent="0.25">
      <c r="B123">
        <v>106</v>
      </c>
      <c r="C123">
        <f t="shared" si="11"/>
        <v>1013.9399176639448</v>
      </c>
      <c r="D123">
        <f t="shared" si="12"/>
        <v>1718.743490300968</v>
      </c>
      <c r="E123">
        <f t="shared" si="13"/>
        <v>59.635948284242254</v>
      </c>
      <c r="F123" s="30">
        <f t="shared" si="10"/>
        <v>58.569406909757632</v>
      </c>
    </row>
    <row r="124" spans="2:6" x14ac:dyDescent="0.25">
      <c r="B124">
        <v>107</v>
      </c>
      <c r="C124">
        <f t="shared" si="11"/>
        <v>1014.7538119739582</v>
      </c>
      <c r="D124">
        <f t="shared" si="12"/>
        <v>1717.9665309195</v>
      </c>
      <c r="E124">
        <f t="shared" si="13"/>
        <v>60.198551569942651</v>
      </c>
      <c r="F124" s="30">
        <f t="shared" si="10"/>
        <v>58.528343950868717</v>
      </c>
    </row>
    <row r="125" spans="2:6" x14ac:dyDescent="0.25">
      <c r="B125">
        <v>108</v>
      </c>
      <c r="C125">
        <f t="shared" si="11"/>
        <v>1015.5677062839717</v>
      </c>
      <c r="D125">
        <f t="shared" si="12"/>
        <v>1717.1895715380317</v>
      </c>
      <c r="E125">
        <f t="shared" si="13"/>
        <v>60.761154855643056</v>
      </c>
      <c r="F125" s="30">
        <f t="shared" si="10"/>
        <v>58.487250660475134</v>
      </c>
    </row>
    <row r="126" spans="2:6" x14ac:dyDescent="0.25">
      <c r="B126">
        <v>109</v>
      </c>
      <c r="C126">
        <f t="shared" si="11"/>
        <v>1016.3816005939851</v>
      </c>
      <c r="D126">
        <f t="shared" si="12"/>
        <v>1716.4126121565637</v>
      </c>
      <c r="E126">
        <f t="shared" si="13"/>
        <v>61.323758141343454</v>
      </c>
      <c r="F126" s="30">
        <f t="shared" si="10"/>
        <v>58.446127047280733</v>
      </c>
    </row>
    <row r="127" spans="2:6" x14ac:dyDescent="0.25">
      <c r="B127">
        <v>110</v>
      </c>
      <c r="C127">
        <f t="shared" si="11"/>
        <v>1017.1954949039986</v>
      </c>
      <c r="D127">
        <f t="shared" si="12"/>
        <v>1715.6356527750957</v>
      </c>
      <c r="E127">
        <f t="shared" si="13"/>
        <v>61.886361427043852</v>
      </c>
      <c r="F127" s="30">
        <f t="shared" si="10"/>
        <v>58.404973120127153</v>
      </c>
    </row>
    <row r="128" spans="2:6" x14ac:dyDescent="0.25">
      <c r="B128">
        <v>111</v>
      </c>
      <c r="C128">
        <f t="shared" si="11"/>
        <v>1018.009389214012</v>
      </c>
      <c r="D128">
        <f t="shared" si="12"/>
        <v>1714.8586933936274</v>
      </c>
      <c r="E128">
        <f t="shared" si="13"/>
        <v>62.44896471274425</v>
      </c>
      <c r="F128" s="30">
        <f t="shared" si="10"/>
        <v>58.363788887994204</v>
      </c>
    </row>
    <row r="129" spans="2:6" x14ac:dyDescent="0.25">
      <c r="B129">
        <v>112</v>
      </c>
      <c r="C129">
        <f t="shared" si="11"/>
        <v>1018.8232835240254</v>
      </c>
      <c r="D129">
        <f t="shared" si="12"/>
        <v>1714.0817340121594</v>
      </c>
      <c r="E129">
        <f t="shared" si="13"/>
        <v>63.011567998444647</v>
      </c>
      <c r="F129" s="30">
        <f t="shared" si="10"/>
        <v>58.322574360000196</v>
      </c>
    </row>
    <row r="130" spans="2:6" x14ac:dyDescent="0.25">
      <c r="B130">
        <v>113</v>
      </c>
      <c r="C130">
        <f t="shared" si="11"/>
        <v>1019.6371778340389</v>
      </c>
      <c r="D130">
        <f t="shared" si="12"/>
        <v>1713.3047746306913</v>
      </c>
      <c r="E130">
        <f t="shared" si="13"/>
        <v>63.574171284145045</v>
      </c>
      <c r="F130" s="30">
        <f t="shared" si="10"/>
        <v>58.281329545402237</v>
      </c>
    </row>
    <row r="131" spans="2:6" x14ac:dyDescent="0.25">
      <c r="B131">
        <v>114</v>
      </c>
      <c r="C131">
        <f t="shared" si="11"/>
        <v>1020.4510721440523</v>
      </c>
      <c r="D131">
        <f t="shared" si="12"/>
        <v>1712.5278152492231</v>
      </c>
      <c r="E131">
        <f t="shared" si="13"/>
        <v>64.136774569845443</v>
      </c>
      <c r="F131" s="30">
        <f t="shared" si="10"/>
        <v>58.240054453596635</v>
      </c>
    </row>
    <row r="132" spans="2:6" x14ac:dyDescent="0.25">
      <c r="B132">
        <v>115</v>
      </c>
      <c r="C132">
        <f t="shared" si="11"/>
        <v>1021.2649664540658</v>
      </c>
      <c r="D132">
        <f t="shared" si="12"/>
        <v>1711.750855867755</v>
      </c>
      <c r="E132">
        <f t="shared" si="13"/>
        <v>64.699377855545848</v>
      </c>
      <c r="F132" s="30">
        <f t="shared" si="10"/>
        <v>58.198749094119179</v>
      </c>
    </row>
    <row r="133" spans="2:6" x14ac:dyDescent="0.25">
      <c r="B133">
        <v>116</v>
      </c>
      <c r="C133">
        <f t="shared" si="11"/>
        <v>1022.0788607640792</v>
      </c>
      <c r="D133">
        <f t="shared" si="12"/>
        <v>1710.973896486287</v>
      </c>
      <c r="E133">
        <f t="shared" si="13"/>
        <v>65.261981141246238</v>
      </c>
      <c r="F133" s="30">
        <f t="shared" si="10"/>
        <v>58.157413476645502</v>
      </c>
    </row>
    <row r="134" spans="2:6" x14ac:dyDescent="0.25">
      <c r="B134">
        <v>117</v>
      </c>
      <c r="C134">
        <f t="shared" si="11"/>
        <v>1022.8927550740926</v>
      </c>
      <c r="D134">
        <f t="shared" si="12"/>
        <v>1710.1969371048187</v>
      </c>
      <c r="E134">
        <f t="shared" si="13"/>
        <v>65.824584426946643</v>
      </c>
      <c r="F134" s="30">
        <f t="shared" si="10"/>
        <v>58.116047610991409</v>
      </c>
    </row>
    <row r="135" spans="2:6" x14ac:dyDescent="0.25">
      <c r="B135">
        <v>118</v>
      </c>
      <c r="C135">
        <f t="shared" si="11"/>
        <v>1023.7066493841061</v>
      </c>
      <c r="D135">
        <f t="shared" si="12"/>
        <v>1709.4199777233507</v>
      </c>
      <c r="E135">
        <f t="shared" si="13"/>
        <v>66.387187712647034</v>
      </c>
      <c r="F135" s="30">
        <f t="shared" si="10"/>
        <v>58.074651507113181</v>
      </c>
    </row>
    <row r="136" spans="2:6" x14ac:dyDescent="0.25">
      <c r="B136">
        <v>119</v>
      </c>
      <c r="C136">
        <f t="shared" si="11"/>
        <v>1024.5205436941196</v>
      </c>
      <c r="D136">
        <f t="shared" si="12"/>
        <v>1708.6430183418827</v>
      </c>
      <c r="E136">
        <f t="shared" si="13"/>
        <v>66.949790998347439</v>
      </c>
      <c r="F136" s="30">
        <f t="shared" si="10"/>
        <v>58.033225175107994</v>
      </c>
    </row>
    <row r="137" spans="2:6" x14ac:dyDescent="0.25">
      <c r="B137">
        <v>120</v>
      </c>
      <c r="C137">
        <f t="shared" si="11"/>
        <v>1025.3344380041331</v>
      </c>
      <c r="D137">
        <f t="shared" si="12"/>
        <v>1707.8660589604146</v>
      </c>
      <c r="E137">
        <f t="shared" si="13"/>
        <v>67.512394284047843</v>
      </c>
      <c r="F137" s="30">
        <f t="shared" si="10"/>
        <v>57.991768625214128</v>
      </c>
    </row>
    <row r="138" spans="2:6" x14ac:dyDescent="0.25">
      <c r="B138">
        <v>121</v>
      </c>
      <c r="C138">
        <f t="shared" si="11"/>
        <v>1026.1483323141465</v>
      </c>
      <c r="D138">
        <f t="shared" si="12"/>
        <v>1707.0890995789464</v>
      </c>
      <c r="E138">
        <f t="shared" si="13"/>
        <v>68.074997569748234</v>
      </c>
      <c r="F138" s="30">
        <f t="shared" si="10"/>
        <v>57.950281867811391</v>
      </c>
    </row>
    <row r="139" spans="2:6" x14ac:dyDescent="0.25">
      <c r="B139">
        <v>122</v>
      </c>
      <c r="C139">
        <f t="shared" si="11"/>
        <v>1026.9622266241599</v>
      </c>
      <c r="D139">
        <f t="shared" si="12"/>
        <v>1706.3121401974784</v>
      </c>
      <c r="E139">
        <f t="shared" si="13"/>
        <v>68.637600855448639</v>
      </c>
      <c r="F139" s="30">
        <f t="shared" si="10"/>
        <v>57.908764913421464</v>
      </c>
    </row>
    <row r="140" spans="2:6" x14ac:dyDescent="0.25">
      <c r="B140">
        <v>123</v>
      </c>
      <c r="C140">
        <f t="shared" si="11"/>
        <v>1027.7761209341734</v>
      </c>
      <c r="D140">
        <f t="shared" si="12"/>
        <v>1705.5351808160103</v>
      </c>
      <c r="E140">
        <f t="shared" si="13"/>
        <v>69.20020414114903</v>
      </c>
      <c r="F140" s="30">
        <f t="shared" si="10"/>
        <v>57.867217772708116</v>
      </c>
    </row>
    <row r="141" spans="2:6" x14ac:dyDescent="0.25">
      <c r="B141">
        <v>124</v>
      </c>
      <c r="C141">
        <f t="shared" si="11"/>
        <v>1028.5900152441868</v>
      </c>
      <c r="D141">
        <f t="shared" si="12"/>
        <v>1704.7582214345421</v>
      </c>
      <c r="E141">
        <f t="shared" si="13"/>
        <v>69.762807426849434</v>
      </c>
      <c r="F141" s="30">
        <f t="shared" si="10"/>
        <v>57.825640456477664</v>
      </c>
    </row>
    <row r="142" spans="2:6" x14ac:dyDescent="0.25">
      <c r="B142">
        <v>125</v>
      </c>
      <c r="C142">
        <f t="shared" si="11"/>
        <v>1029.4039095542003</v>
      </c>
      <c r="D142">
        <f t="shared" si="12"/>
        <v>1703.981262053074</v>
      </c>
      <c r="E142">
        <f t="shared" si="13"/>
        <v>70.325410712549825</v>
      </c>
      <c r="F142" s="30">
        <f t="shared" si="10"/>
        <v>57.784032975679239</v>
      </c>
    </row>
    <row r="143" spans="2:6" x14ac:dyDescent="0.25">
      <c r="B143">
        <v>126</v>
      </c>
      <c r="C143">
        <f t="shared" si="11"/>
        <v>1030.2178038642137</v>
      </c>
      <c r="D143">
        <f t="shared" si="12"/>
        <v>1703.204302671606</v>
      </c>
      <c r="E143">
        <f t="shared" si="13"/>
        <v>70.88801399825023</v>
      </c>
      <c r="F143" s="30">
        <f t="shared" si="10"/>
        <v>57.7423953414051</v>
      </c>
    </row>
    <row r="144" spans="2:6" x14ac:dyDescent="0.25">
      <c r="B144">
        <v>127</v>
      </c>
      <c r="C144">
        <f t="shared" si="11"/>
        <v>1031.0316981742271</v>
      </c>
      <c r="D144">
        <f t="shared" si="12"/>
        <v>1702.4273432901377</v>
      </c>
      <c r="E144">
        <f t="shared" si="13"/>
        <v>71.450617283950621</v>
      </c>
      <c r="F144" s="30">
        <f t="shared" si="10"/>
        <v>57.700727564891004</v>
      </c>
    </row>
    <row r="145" spans="2:6" x14ac:dyDescent="0.25">
      <c r="B145">
        <v>128</v>
      </c>
      <c r="C145">
        <f t="shared" ref="C145:C176" si="14">COS(PI()/180*_Theta)*_vyps*B145+_xShip+__xL</f>
        <v>1031.8455924842406</v>
      </c>
      <c r="D145">
        <f t="shared" ref="D145:D176" si="15">SIN(PI()/180*_Theta)*_vyps*B145+_yShip+_yL</f>
        <v>1701.6503839086697</v>
      </c>
      <c r="E145">
        <f t="shared" ref="E145:E176" si="16">B145*CONVERT(CONVERT(_vSub,"kn","m/sec"),"m","yd")</f>
        <v>72.013220569651025</v>
      </c>
      <c r="F145" s="30">
        <f t="shared" si="10"/>
        <v>57.659029657516498</v>
      </c>
    </row>
    <row r="146" spans="2:6" x14ac:dyDescent="0.25">
      <c r="B146">
        <v>129</v>
      </c>
      <c r="C146">
        <f t="shared" si="14"/>
        <v>1032.659486794254</v>
      </c>
      <c r="D146">
        <f t="shared" si="15"/>
        <v>1700.8734245272017</v>
      </c>
      <c r="E146">
        <f t="shared" si="16"/>
        <v>72.57582385535143</v>
      </c>
      <c r="F146" s="30">
        <f t="shared" ref="F146:F209" si="17">ATAN2(C146,D146-E146)*180/PI()</f>
        <v>57.617301630805294</v>
      </c>
    </row>
    <row r="147" spans="2:6" x14ac:dyDescent="0.25">
      <c r="B147">
        <v>130</v>
      </c>
      <c r="C147">
        <f t="shared" si="14"/>
        <v>1033.4733811042674</v>
      </c>
      <c r="D147">
        <f t="shared" si="15"/>
        <v>1700.0964651457336</v>
      </c>
      <c r="E147">
        <f t="shared" si="16"/>
        <v>73.138427141051821</v>
      </c>
      <c r="F147" s="30">
        <f t="shared" si="17"/>
        <v>57.575543496425531</v>
      </c>
    </row>
    <row r="148" spans="2:6" x14ac:dyDescent="0.25">
      <c r="B148">
        <v>131</v>
      </c>
      <c r="C148">
        <f t="shared" si="14"/>
        <v>1034.2872754142809</v>
      </c>
      <c r="D148">
        <f t="shared" si="15"/>
        <v>1699.3195057642654</v>
      </c>
      <c r="E148">
        <f t="shared" si="16"/>
        <v>73.701030426752226</v>
      </c>
      <c r="F148" s="30">
        <f t="shared" si="17"/>
        <v>57.533755266190134</v>
      </c>
    </row>
    <row r="149" spans="2:6" x14ac:dyDescent="0.25">
      <c r="B149">
        <v>132</v>
      </c>
      <c r="C149">
        <f t="shared" si="14"/>
        <v>1035.1011697242943</v>
      </c>
      <c r="D149">
        <f t="shared" si="15"/>
        <v>1698.5425463827974</v>
      </c>
      <c r="E149">
        <f t="shared" si="16"/>
        <v>74.263633712452616</v>
      </c>
      <c r="F149" s="30">
        <f t="shared" si="17"/>
        <v>57.491936952057138</v>
      </c>
    </row>
    <row r="150" spans="2:6" x14ac:dyDescent="0.25">
      <c r="B150">
        <v>133</v>
      </c>
      <c r="C150">
        <f t="shared" si="14"/>
        <v>1035.9150640343078</v>
      </c>
      <c r="D150">
        <f t="shared" si="15"/>
        <v>1697.7655870013293</v>
      </c>
      <c r="E150">
        <f t="shared" si="16"/>
        <v>74.826236998153021</v>
      </c>
      <c r="F150" s="30">
        <f t="shared" si="17"/>
        <v>57.450088566130027</v>
      </c>
    </row>
    <row r="151" spans="2:6" x14ac:dyDescent="0.25">
      <c r="B151">
        <v>134</v>
      </c>
      <c r="C151">
        <f t="shared" si="14"/>
        <v>1036.7289583443212</v>
      </c>
      <c r="D151">
        <f t="shared" si="15"/>
        <v>1696.9886276198611</v>
      </c>
      <c r="E151">
        <f t="shared" si="16"/>
        <v>75.388840283853412</v>
      </c>
      <c r="F151" s="30">
        <f t="shared" si="17"/>
        <v>57.408210120658005</v>
      </c>
    </row>
    <row r="152" spans="2:6" x14ac:dyDescent="0.25">
      <c r="B152">
        <v>135</v>
      </c>
      <c r="C152">
        <f t="shared" si="14"/>
        <v>1037.5428526543346</v>
      </c>
      <c r="D152">
        <f t="shared" si="15"/>
        <v>1696.211668238393</v>
      </c>
      <c r="E152">
        <f t="shared" si="16"/>
        <v>75.951443569553817</v>
      </c>
      <c r="F152" s="30">
        <f t="shared" si="17"/>
        <v>57.366301628036382</v>
      </c>
    </row>
    <row r="153" spans="2:6" x14ac:dyDescent="0.25">
      <c r="B153">
        <v>136</v>
      </c>
      <c r="C153">
        <f t="shared" si="14"/>
        <v>1038.3567469643481</v>
      </c>
      <c r="D153">
        <f t="shared" si="15"/>
        <v>1695.434708856925</v>
      </c>
      <c r="E153">
        <f t="shared" si="16"/>
        <v>76.514046855254207</v>
      </c>
      <c r="F153" s="30">
        <f t="shared" si="17"/>
        <v>57.324363100806849</v>
      </c>
    </row>
    <row r="154" spans="2:6" x14ac:dyDescent="0.25">
      <c r="B154">
        <v>137</v>
      </c>
      <c r="C154">
        <f t="shared" si="14"/>
        <v>1039.1706412743615</v>
      </c>
      <c r="D154">
        <f t="shared" si="15"/>
        <v>1694.6577494754567</v>
      </c>
      <c r="E154">
        <f t="shared" si="16"/>
        <v>77.076650140954612</v>
      </c>
      <c r="F154" s="30">
        <f t="shared" si="17"/>
        <v>57.282394551657816</v>
      </c>
    </row>
    <row r="155" spans="2:6" x14ac:dyDescent="0.25">
      <c r="B155">
        <v>138</v>
      </c>
      <c r="C155">
        <f t="shared" si="14"/>
        <v>1039.984535584375</v>
      </c>
      <c r="D155">
        <f t="shared" si="15"/>
        <v>1693.8807900939887</v>
      </c>
      <c r="E155">
        <f t="shared" si="16"/>
        <v>77.639253426655017</v>
      </c>
      <c r="F155" s="30">
        <f t="shared" si="17"/>
        <v>57.240395993424727</v>
      </c>
    </row>
    <row r="156" spans="2:6" x14ac:dyDescent="0.25">
      <c r="B156">
        <v>139</v>
      </c>
      <c r="C156">
        <f t="shared" si="14"/>
        <v>1040.7984298943884</v>
      </c>
      <c r="D156">
        <f t="shared" si="15"/>
        <v>1693.1038307125207</v>
      </c>
      <c r="E156">
        <f t="shared" si="16"/>
        <v>78.201856712355408</v>
      </c>
      <c r="F156" s="30">
        <f t="shared" si="17"/>
        <v>57.198367439090383</v>
      </c>
    </row>
    <row r="157" spans="2:6" x14ac:dyDescent="0.25">
      <c r="B157">
        <v>140</v>
      </c>
      <c r="C157">
        <f t="shared" si="14"/>
        <v>1041.6123242044018</v>
      </c>
      <c r="D157">
        <f t="shared" si="15"/>
        <v>1692.3268713310524</v>
      </c>
      <c r="E157">
        <f t="shared" si="16"/>
        <v>78.764459998055813</v>
      </c>
      <c r="F157" s="30">
        <f t="shared" si="17"/>
        <v>57.156308901785266</v>
      </c>
    </row>
    <row r="158" spans="2:6" x14ac:dyDescent="0.25">
      <c r="B158">
        <v>141</v>
      </c>
      <c r="C158">
        <f t="shared" si="14"/>
        <v>1042.4262185144153</v>
      </c>
      <c r="D158">
        <f t="shared" si="15"/>
        <v>1691.5499119495844</v>
      </c>
      <c r="E158">
        <f t="shared" si="16"/>
        <v>79.327063283756203</v>
      </c>
      <c r="F158" s="30">
        <f t="shared" si="17"/>
        <v>57.114220394787843</v>
      </c>
    </row>
    <row r="159" spans="2:6" x14ac:dyDescent="0.25">
      <c r="B159">
        <v>142</v>
      </c>
      <c r="C159">
        <f t="shared" si="14"/>
        <v>1043.2401128244287</v>
      </c>
      <c r="D159">
        <f t="shared" si="15"/>
        <v>1690.7729525681164</v>
      </c>
      <c r="E159">
        <f t="shared" si="16"/>
        <v>79.889666569456608</v>
      </c>
      <c r="F159" s="30">
        <f t="shared" si="17"/>
        <v>57.072101931524877</v>
      </c>
    </row>
    <row r="160" spans="2:6" x14ac:dyDescent="0.25">
      <c r="B160">
        <v>143</v>
      </c>
      <c r="C160">
        <f t="shared" si="14"/>
        <v>1044.0540071344421</v>
      </c>
      <c r="D160">
        <f t="shared" si="15"/>
        <v>1689.9959931866483</v>
      </c>
      <c r="E160">
        <f t="shared" si="16"/>
        <v>80.452269855156999</v>
      </c>
      <c r="F160" s="30">
        <f t="shared" si="17"/>
        <v>57.029953525571763</v>
      </c>
    </row>
    <row r="161" spans="2:6" x14ac:dyDescent="0.25">
      <c r="B161">
        <v>144</v>
      </c>
      <c r="C161">
        <f t="shared" si="14"/>
        <v>1044.8679014444556</v>
      </c>
      <c r="D161">
        <f t="shared" si="15"/>
        <v>1689.2190338051801</v>
      </c>
      <c r="E161">
        <f t="shared" si="16"/>
        <v>81.014873140857404</v>
      </c>
      <c r="F161" s="30">
        <f t="shared" si="17"/>
        <v>56.987775190652833</v>
      </c>
    </row>
    <row r="162" spans="2:6" x14ac:dyDescent="0.25">
      <c r="B162">
        <v>145</v>
      </c>
      <c r="C162">
        <f t="shared" si="14"/>
        <v>1045.6817957544686</v>
      </c>
      <c r="D162">
        <f t="shared" si="15"/>
        <v>1688.442074423712</v>
      </c>
      <c r="E162">
        <f t="shared" si="16"/>
        <v>81.577476426557809</v>
      </c>
      <c r="F162" s="30">
        <f t="shared" si="17"/>
        <v>56.945566940641676</v>
      </c>
    </row>
    <row r="163" spans="2:6" x14ac:dyDescent="0.25">
      <c r="B163">
        <v>146</v>
      </c>
      <c r="C163">
        <f t="shared" si="14"/>
        <v>1046.495690064482</v>
      </c>
      <c r="D163">
        <f t="shared" si="15"/>
        <v>1687.665115042244</v>
      </c>
      <c r="E163">
        <f t="shared" si="16"/>
        <v>82.140079712258199</v>
      </c>
      <c r="F163" s="30">
        <f t="shared" si="17"/>
        <v>56.903328789561407</v>
      </c>
    </row>
    <row r="164" spans="2:6" x14ac:dyDescent="0.25">
      <c r="B164">
        <v>147</v>
      </c>
      <c r="C164">
        <f t="shared" si="14"/>
        <v>1047.3095843744954</v>
      </c>
      <c r="D164">
        <f t="shared" si="15"/>
        <v>1686.8881556607757</v>
      </c>
      <c r="E164">
        <f t="shared" si="16"/>
        <v>82.702682997958604</v>
      </c>
      <c r="F164" s="30">
        <f t="shared" si="17"/>
        <v>56.861060751585065</v>
      </c>
    </row>
    <row r="165" spans="2:6" x14ac:dyDescent="0.25">
      <c r="B165">
        <v>148</v>
      </c>
      <c r="C165">
        <f t="shared" si="14"/>
        <v>1048.1234786845089</v>
      </c>
      <c r="D165">
        <f t="shared" si="15"/>
        <v>1686.1111962793077</v>
      </c>
      <c r="E165">
        <f t="shared" si="16"/>
        <v>83.265286283658995</v>
      </c>
      <c r="F165" s="30">
        <f t="shared" si="17"/>
        <v>56.818762841035856</v>
      </c>
    </row>
    <row r="166" spans="2:6" x14ac:dyDescent="0.25">
      <c r="B166">
        <v>149</v>
      </c>
      <c r="C166">
        <f t="shared" si="14"/>
        <v>1048.9373729945223</v>
      </c>
      <c r="D166">
        <f t="shared" si="15"/>
        <v>1685.3342368978397</v>
      </c>
      <c r="E166">
        <f t="shared" si="16"/>
        <v>83.8278895693594</v>
      </c>
      <c r="F166" s="30">
        <f t="shared" si="17"/>
        <v>56.776435072387457</v>
      </c>
    </row>
    <row r="167" spans="2:6" x14ac:dyDescent="0.25">
      <c r="B167">
        <v>150</v>
      </c>
      <c r="C167">
        <f t="shared" si="14"/>
        <v>1049.7512673045358</v>
      </c>
      <c r="D167">
        <f t="shared" si="15"/>
        <v>1684.5572775163714</v>
      </c>
      <c r="E167">
        <f t="shared" si="16"/>
        <v>84.39049285505979</v>
      </c>
      <c r="F167" s="30">
        <f t="shared" si="17"/>
        <v>56.734077460264402</v>
      </c>
    </row>
    <row r="168" spans="2:6" x14ac:dyDescent="0.25">
      <c r="B168">
        <v>151</v>
      </c>
      <c r="C168">
        <f t="shared" si="14"/>
        <v>1050.5651616145492</v>
      </c>
      <c r="D168">
        <f t="shared" si="15"/>
        <v>1683.7803181349034</v>
      </c>
      <c r="E168">
        <f t="shared" si="16"/>
        <v>84.953096140760195</v>
      </c>
      <c r="F168" s="30">
        <f t="shared" si="17"/>
        <v>56.691690019442291</v>
      </c>
    </row>
    <row r="169" spans="2:6" x14ac:dyDescent="0.25">
      <c r="B169">
        <v>152</v>
      </c>
      <c r="C169">
        <f t="shared" si="14"/>
        <v>1051.3790559245626</v>
      </c>
      <c r="D169">
        <f t="shared" si="15"/>
        <v>1683.0033587534354</v>
      </c>
      <c r="E169">
        <f t="shared" si="16"/>
        <v>85.5156994264606</v>
      </c>
      <c r="F169" s="30">
        <f t="shared" si="17"/>
        <v>56.649272764848163</v>
      </c>
    </row>
    <row r="170" spans="2:6" x14ac:dyDescent="0.25">
      <c r="B170">
        <v>153</v>
      </c>
      <c r="C170">
        <f t="shared" si="14"/>
        <v>1052.1929502345761</v>
      </c>
      <c r="D170">
        <f t="shared" si="15"/>
        <v>1682.2263993719673</v>
      </c>
      <c r="E170">
        <f t="shared" si="16"/>
        <v>86.07830271216099</v>
      </c>
      <c r="F170" s="30">
        <f t="shared" si="17"/>
        <v>56.606825711560774</v>
      </c>
    </row>
    <row r="171" spans="2:6" x14ac:dyDescent="0.25">
      <c r="B171">
        <v>154</v>
      </c>
      <c r="C171">
        <f t="shared" si="14"/>
        <v>1053.0068445445895</v>
      </c>
      <c r="D171">
        <f t="shared" si="15"/>
        <v>1681.4494399904991</v>
      </c>
      <c r="E171">
        <f t="shared" si="16"/>
        <v>86.640905997861395</v>
      </c>
      <c r="F171" s="30">
        <f t="shared" si="17"/>
        <v>56.564348874810939</v>
      </c>
    </row>
    <row r="172" spans="2:6" x14ac:dyDescent="0.25">
      <c r="B172">
        <v>155</v>
      </c>
      <c r="C172">
        <f t="shared" si="14"/>
        <v>1053.820738854603</v>
      </c>
      <c r="D172">
        <f t="shared" si="15"/>
        <v>1680.672480609031</v>
      </c>
      <c r="E172">
        <f t="shared" si="16"/>
        <v>87.203509283561786</v>
      </c>
      <c r="F172" s="30">
        <f t="shared" si="17"/>
        <v>56.521842269981789</v>
      </c>
    </row>
    <row r="173" spans="2:6" x14ac:dyDescent="0.25">
      <c r="B173">
        <v>156</v>
      </c>
      <c r="C173">
        <f t="shared" si="14"/>
        <v>1054.6346331646164</v>
      </c>
      <c r="D173">
        <f t="shared" si="15"/>
        <v>1679.895521227563</v>
      </c>
      <c r="E173">
        <f t="shared" si="16"/>
        <v>87.766112569262191</v>
      </c>
      <c r="F173" s="30">
        <f t="shared" si="17"/>
        <v>56.479305912609085</v>
      </c>
    </row>
    <row r="174" spans="2:6" x14ac:dyDescent="0.25">
      <c r="B174">
        <v>157</v>
      </c>
      <c r="C174">
        <f t="shared" si="14"/>
        <v>1055.4485274746298</v>
      </c>
      <c r="D174">
        <f t="shared" si="15"/>
        <v>1679.1185618460947</v>
      </c>
      <c r="E174">
        <f t="shared" si="16"/>
        <v>88.328715854962581</v>
      </c>
      <c r="F174" s="30">
        <f t="shared" si="17"/>
        <v>56.436739818381554</v>
      </c>
    </row>
    <row r="175" spans="2:6" x14ac:dyDescent="0.25">
      <c r="B175">
        <v>158</v>
      </c>
      <c r="C175">
        <f t="shared" si="14"/>
        <v>1056.2624217846433</v>
      </c>
      <c r="D175">
        <f t="shared" si="15"/>
        <v>1678.3416024646267</v>
      </c>
      <c r="E175">
        <f t="shared" si="16"/>
        <v>88.891319140662986</v>
      </c>
      <c r="F175" s="30">
        <f t="shared" si="17"/>
        <v>56.394144003141157</v>
      </c>
    </row>
    <row r="176" spans="2:6" x14ac:dyDescent="0.25">
      <c r="B176">
        <v>159</v>
      </c>
      <c r="C176">
        <f t="shared" si="14"/>
        <v>1057.0763160946567</v>
      </c>
      <c r="D176">
        <f t="shared" si="15"/>
        <v>1677.5646430831587</v>
      </c>
      <c r="E176">
        <f t="shared" si="16"/>
        <v>89.453922426363377</v>
      </c>
      <c r="F176" s="30">
        <f t="shared" si="17"/>
        <v>56.351518482883399</v>
      </c>
    </row>
    <row r="177" spans="2:6" x14ac:dyDescent="0.25">
      <c r="B177">
        <v>160</v>
      </c>
      <c r="C177">
        <f t="shared" ref="C177:C208" si="18">COS(PI()/180*_Theta)*_vyps*B177+_xShip+__xL</f>
        <v>1057.8902104046701</v>
      </c>
      <c r="D177">
        <f t="shared" ref="D177:D208" si="19">SIN(PI()/180*_Theta)*_vyps*B177+_yShip+_yL</f>
        <v>1676.7876837016904</v>
      </c>
      <c r="E177">
        <f t="shared" ref="E177:E208" si="20">B177*CONVERT(CONVERT(_vSub,"kn","m/sec"),"m","yd")</f>
        <v>90.016525712063782</v>
      </c>
      <c r="F177" s="30">
        <f t="shared" si="17"/>
        <v>56.308863273757609</v>
      </c>
    </row>
    <row r="178" spans="2:6" x14ac:dyDescent="0.25">
      <c r="B178">
        <v>161</v>
      </c>
      <c r="C178">
        <f t="shared" si="18"/>
        <v>1058.7041047146836</v>
      </c>
      <c r="D178">
        <f t="shared" si="19"/>
        <v>1676.0107243202224</v>
      </c>
      <c r="E178">
        <f t="shared" si="20"/>
        <v>90.579128997764187</v>
      </c>
      <c r="F178" s="30">
        <f t="shared" si="17"/>
        <v>56.266178392067317</v>
      </c>
    </row>
    <row r="179" spans="2:6" x14ac:dyDescent="0.25">
      <c r="B179">
        <v>162</v>
      </c>
      <c r="C179">
        <f t="shared" si="18"/>
        <v>1059.517999024697</v>
      </c>
      <c r="D179">
        <f t="shared" si="19"/>
        <v>1675.2337649387543</v>
      </c>
      <c r="E179">
        <f t="shared" si="20"/>
        <v>91.141732283464577</v>
      </c>
      <c r="F179" s="30">
        <f t="shared" si="17"/>
        <v>56.223463854270427</v>
      </c>
    </row>
    <row r="180" spans="2:6" x14ac:dyDescent="0.25">
      <c r="B180">
        <v>163</v>
      </c>
      <c r="C180">
        <f t="shared" si="18"/>
        <v>1060.3318933347105</v>
      </c>
      <c r="D180">
        <f t="shared" si="19"/>
        <v>1674.4568055572861</v>
      </c>
      <c r="E180">
        <f t="shared" si="20"/>
        <v>91.704335569164982</v>
      </c>
      <c r="F180" s="30">
        <f t="shared" si="17"/>
        <v>56.180719676979599</v>
      </c>
    </row>
    <row r="181" spans="2:6" x14ac:dyDescent="0.25">
      <c r="B181">
        <v>164</v>
      </c>
      <c r="C181">
        <f t="shared" si="18"/>
        <v>1061.1457876447239</v>
      </c>
      <c r="D181">
        <f t="shared" si="19"/>
        <v>1673.6798461758181</v>
      </c>
      <c r="E181">
        <f t="shared" si="20"/>
        <v>92.266938854865373</v>
      </c>
      <c r="F181" s="30">
        <f t="shared" si="17"/>
        <v>56.137945876962561</v>
      </c>
    </row>
    <row r="182" spans="2:6" x14ac:dyDescent="0.25">
      <c r="B182">
        <v>165</v>
      </c>
      <c r="C182">
        <f t="shared" si="18"/>
        <v>1061.9596819547373</v>
      </c>
      <c r="D182">
        <f t="shared" si="19"/>
        <v>1672.90288679435</v>
      </c>
      <c r="E182">
        <f t="shared" si="20"/>
        <v>92.829542140565778</v>
      </c>
      <c r="F182" s="30">
        <f t="shared" si="17"/>
        <v>56.095142471142317</v>
      </c>
    </row>
    <row r="183" spans="2:6" x14ac:dyDescent="0.25">
      <c r="B183">
        <v>166</v>
      </c>
      <c r="C183">
        <f t="shared" si="18"/>
        <v>1062.7735762647508</v>
      </c>
      <c r="D183">
        <f t="shared" si="19"/>
        <v>1672.125927412882</v>
      </c>
      <c r="E183">
        <f t="shared" si="20"/>
        <v>93.392145426266168</v>
      </c>
      <c r="F183" s="30">
        <f t="shared" si="17"/>
        <v>56.052309476597507</v>
      </c>
    </row>
    <row r="184" spans="2:6" x14ac:dyDescent="0.25">
      <c r="B184">
        <v>167</v>
      </c>
      <c r="C184">
        <f t="shared" si="18"/>
        <v>1063.5874705747642</v>
      </c>
      <c r="D184">
        <f t="shared" si="19"/>
        <v>1671.3489680314137</v>
      </c>
      <c r="E184">
        <f t="shared" si="20"/>
        <v>93.954748711966573</v>
      </c>
      <c r="F184" s="30">
        <f t="shared" si="17"/>
        <v>56.009446910562666</v>
      </c>
    </row>
    <row r="185" spans="2:6" x14ac:dyDescent="0.25">
      <c r="B185">
        <v>168</v>
      </c>
      <c r="C185">
        <f t="shared" si="18"/>
        <v>1064.4013648847776</v>
      </c>
      <c r="D185">
        <f t="shared" si="19"/>
        <v>1670.5720086499457</v>
      </c>
      <c r="E185">
        <f t="shared" si="20"/>
        <v>94.517351997666964</v>
      </c>
      <c r="F185" s="30">
        <f t="shared" si="17"/>
        <v>55.966554790428596</v>
      </c>
    </row>
    <row r="186" spans="2:6" x14ac:dyDescent="0.25">
      <c r="B186">
        <v>169</v>
      </c>
      <c r="C186">
        <f t="shared" si="18"/>
        <v>1065.2152591947911</v>
      </c>
      <c r="D186">
        <f t="shared" si="19"/>
        <v>1669.7950492684777</v>
      </c>
      <c r="E186">
        <f t="shared" si="20"/>
        <v>95.079955283367369</v>
      </c>
      <c r="F186" s="30">
        <f t="shared" si="17"/>
        <v>55.923633133742499</v>
      </c>
    </row>
    <row r="187" spans="2:6" x14ac:dyDescent="0.25">
      <c r="B187">
        <v>170</v>
      </c>
      <c r="C187">
        <f t="shared" si="18"/>
        <v>1066.0291535048045</v>
      </c>
      <c r="D187">
        <f t="shared" si="19"/>
        <v>1669.0180898870094</v>
      </c>
      <c r="E187">
        <f t="shared" si="20"/>
        <v>95.642558569067774</v>
      </c>
      <c r="F187" s="30">
        <f t="shared" si="17"/>
        <v>55.880681958208406</v>
      </c>
    </row>
    <row r="188" spans="2:6" x14ac:dyDescent="0.25">
      <c r="B188">
        <v>171</v>
      </c>
      <c r="C188">
        <f t="shared" si="18"/>
        <v>1066.843047814818</v>
      </c>
      <c r="D188">
        <f t="shared" si="19"/>
        <v>1668.2411305055414</v>
      </c>
      <c r="E188">
        <f t="shared" si="20"/>
        <v>96.205161854768164</v>
      </c>
      <c r="F188" s="30">
        <f t="shared" si="17"/>
        <v>55.837701281687401</v>
      </c>
    </row>
    <row r="189" spans="2:6" x14ac:dyDescent="0.25">
      <c r="B189">
        <v>172</v>
      </c>
      <c r="C189">
        <f t="shared" si="18"/>
        <v>1067.6569421248314</v>
      </c>
      <c r="D189">
        <f t="shared" si="19"/>
        <v>1667.4641711240733</v>
      </c>
      <c r="E189">
        <f t="shared" si="20"/>
        <v>96.767765140468569</v>
      </c>
      <c r="F189" s="30">
        <f t="shared" si="17"/>
        <v>55.794691122197939</v>
      </c>
    </row>
    <row r="190" spans="2:6" x14ac:dyDescent="0.25">
      <c r="B190">
        <v>173</v>
      </c>
      <c r="C190">
        <f t="shared" si="18"/>
        <v>1068.4708364348448</v>
      </c>
      <c r="D190">
        <f t="shared" si="19"/>
        <v>1666.6872117426053</v>
      </c>
      <c r="E190">
        <f t="shared" si="20"/>
        <v>97.33036842616896</v>
      </c>
      <c r="F190" s="30">
        <f t="shared" si="17"/>
        <v>55.7516514979161</v>
      </c>
    </row>
    <row r="191" spans="2:6" x14ac:dyDescent="0.25">
      <c r="B191">
        <v>174</v>
      </c>
      <c r="C191">
        <f t="shared" si="18"/>
        <v>1069.2847307448583</v>
      </c>
      <c r="D191">
        <f t="shared" si="19"/>
        <v>1665.9102523611371</v>
      </c>
      <c r="E191">
        <f t="shared" si="20"/>
        <v>97.892971711869365</v>
      </c>
      <c r="F191" s="30">
        <f t="shared" si="17"/>
        <v>55.708582427175877</v>
      </c>
    </row>
    <row r="192" spans="2:6" x14ac:dyDescent="0.25">
      <c r="B192">
        <v>175</v>
      </c>
      <c r="C192">
        <f t="shared" si="18"/>
        <v>1070.0986250548717</v>
      </c>
      <c r="D192">
        <f t="shared" si="19"/>
        <v>1665.133292979669</v>
      </c>
      <c r="E192">
        <f t="shared" si="20"/>
        <v>98.455574997569755</v>
      </c>
      <c r="F192" s="30">
        <f t="shared" si="17"/>
        <v>55.665483928469484</v>
      </c>
    </row>
    <row r="193" spans="2:6" x14ac:dyDescent="0.25">
      <c r="B193">
        <v>176</v>
      </c>
      <c r="C193">
        <f t="shared" si="18"/>
        <v>1070.9125193648852</v>
      </c>
      <c r="D193">
        <f t="shared" si="19"/>
        <v>1664.356333598201</v>
      </c>
      <c r="E193">
        <f t="shared" si="20"/>
        <v>99.01817828327016</v>
      </c>
      <c r="F193" s="30">
        <f t="shared" si="17"/>
        <v>55.622356020447612</v>
      </c>
    </row>
    <row r="194" spans="2:6" x14ac:dyDescent="0.25">
      <c r="B194">
        <v>177</v>
      </c>
      <c r="C194">
        <f t="shared" si="18"/>
        <v>1071.7264136748986</v>
      </c>
      <c r="D194">
        <f t="shared" si="19"/>
        <v>1663.5793742167327</v>
      </c>
      <c r="E194">
        <f t="shared" si="20"/>
        <v>99.580781568970565</v>
      </c>
      <c r="F194" s="30">
        <f t="shared" si="17"/>
        <v>55.579198721919731</v>
      </c>
    </row>
    <row r="195" spans="2:6" x14ac:dyDescent="0.25">
      <c r="B195">
        <v>178</v>
      </c>
      <c r="C195">
        <f t="shared" si="18"/>
        <v>1072.540307984912</v>
      </c>
      <c r="D195">
        <f t="shared" si="19"/>
        <v>1662.8024148352647</v>
      </c>
      <c r="E195">
        <f t="shared" si="20"/>
        <v>100.14338485467096</v>
      </c>
      <c r="F195" s="30">
        <f t="shared" si="17"/>
        <v>55.53601205185435</v>
      </c>
    </row>
    <row r="196" spans="2:6" x14ac:dyDescent="0.25">
      <c r="B196">
        <v>179</v>
      </c>
      <c r="C196">
        <f t="shared" si="18"/>
        <v>1073.3542022949255</v>
      </c>
      <c r="D196">
        <f t="shared" si="19"/>
        <v>1662.0254554537967</v>
      </c>
      <c r="E196">
        <f t="shared" si="20"/>
        <v>100.70598814037136</v>
      </c>
      <c r="F196" s="30">
        <f t="shared" si="17"/>
        <v>55.492796029379292</v>
      </c>
    </row>
    <row r="197" spans="2:6" x14ac:dyDescent="0.25">
      <c r="B197">
        <v>180</v>
      </c>
      <c r="C197">
        <f t="shared" si="18"/>
        <v>1074.1680966049389</v>
      </c>
      <c r="D197">
        <f t="shared" si="19"/>
        <v>1661.2484960723284</v>
      </c>
      <c r="E197">
        <f t="shared" si="20"/>
        <v>101.26859142607175</v>
      </c>
      <c r="F197" s="30">
        <f t="shared" si="17"/>
        <v>55.449550673781978</v>
      </c>
    </row>
    <row r="198" spans="2:6" x14ac:dyDescent="0.25">
      <c r="B198">
        <v>181</v>
      </c>
      <c r="C198">
        <f t="shared" si="18"/>
        <v>1074.9819909149523</v>
      </c>
      <c r="D198">
        <f t="shared" si="19"/>
        <v>1660.4715366908604</v>
      </c>
      <c r="E198">
        <f t="shared" si="20"/>
        <v>101.83119471177216</v>
      </c>
      <c r="F198" s="30">
        <f t="shared" si="17"/>
        <v>55.406276004509742</v>
      </c>
    </row>
    <row r="199" spans="2:6" x14ac:dyDescent="0.25">
      <c r="B199">
        <v>182</v>
      </c>
      <c r="C199">
        <f t="shared" si="18"/>
        <v>1075.7958852249658</v>
      </c>
      <c r="D199">
        <f t="shared" si="19"/>
        <v>1659.6945773093923</v>
      </c>
      <c r="E199">
        <f t="shared" si="20"/>
        <v>102.39379799747255</v>
      </c>
      <c r="F199" s="30">
        <f t="shared" si="17"/>
        <v>55.362972041170039</v>
      </c>
    </row>
    <row r="200" spans="2:6" x14ac:dyDescent="0.25">
      <c r="B200">
        <v>183</v>
      </c>
      <c r="C200">
        <f t="shared" si="18"/>
        <v>1076.6097795349792</v>
      </c>
      <c r="D200">
        <f t="shared" si="19"/>
        <v>1658.9176179279241</v>
      </c>
      <c r="E200">
        <f t="shared" si="20"/>
        <v>102.95640128317295</v>
      </c>
      <c r="F200" s="30">
        <f t="shared" si="17"/>
        <v>55.319638803530736</v>
      </c>
    </row>
    <row r="201" spans="2:6" x14ac:dyDescent="0.25">
      <c r="B201">
        <v>184</v>
      </c>
      <c r="C201">
        <f t="shared" si="18"/>
        <v>1077.4236738449927</v>
      </c>
      <c r="D201">
        <f t="shared" si="19"/>
        <v>1658.1406585464561</v>
      </c>
      <c r="E201">
        <f t="shared" si="20"/>
        <v>103.51900456887336</v>
      </c>
      <c r="F201" s="30">
        <f t="shared" si="17"/>
        <v>55.276276311520434</v>
      </c>
    </row>
    <row r="202" spans="2:6" x14ac:dyDescent="0.25">
      <c r="B202">
        <v>185</v>
      </c>
      <c r="C202">
        <f t="shared" si="18"/>
        <v>1078.2375681550061</v>
      </c>
      <c r="D202">
        <f t="shared" si="19"/>
        <v>1657.363699164988</v>
      </c>
      <c r="E202">
        <f t="shared" si="20"/>
        <v>104.08160785457375</v>
      </c>
      <c r="F202" s="30">
        <f t="shared" si="17"/>
        <v>55.232884585228653</v>
      </c>
    </row>
    <row r="203" spans="2:6" x14ac:dyDescent="0.25">
      <c r="B203">
        <v>186</v>
      </c>
      <c r="C203">
        <f t="shared" si="18"/>
        <v>1079.0514624650195</v>
      </c>
      <c r="D203">
        <f t="shared" si="19"/>
        <v>1656.5867397835198</v>
      </c>
      <c r="E203">
        <f t="shared" si="20"/>
        <v>104.64421114027415</v>
      </c>
      <c r="F203" s="30">
        <f t="shared" si="17"/>
        <v>55.189463644906191</v>
      </c>
    </row>
    <row r="204" spans="2:6" x14ac:dyDescent="0.25">
      <c r="B204">
        <v>187</v>
      </c>
      <c r="C204">
        <f t="shared" si="18"/>
        <v>1079.865356775033</v>
      </c>
      <c r="D204">
        <f t="shared" si="19"/>
        <v>1655.8097804020517</v>
      </c>
      <c r="E204">
        <f t="shared" si="20"/>
        <v>105.20681442597454</v>
      </c>
      <c r="F204" s="30">
        <f t="shared" si="17"/>
        <v>55.146013510965332</v>
      </c>
    </row>
    <row r="205" spans="2:6" x14ac:dyDescent="0.25">
      <c r="B205">
        <v>188</v>
      </c>
      <c r="C205">
        <f t="shared" si="18"/>
        <v>1080.6792510850464</v>
      </c>
      <c r="D205">
        <f t="shared" si="19"/>
        <v>1655.0328210205837</v>
      </c>
      <c r="E205">
        <f t="shared" si="20"/>
        <v>105.76941771167495</v>
      </c>
      <c r="F205" s="30">
        <f t="shared" si="17"/>
        <v>55.10253420398012</v>
      </c>
    </row>
    <row r="206" spans="2:6" x14ac:dyDescent="0.25">
      <c r="B206">
        <v>189</v>
      </c>
      <c r="C206">
        <f t="shared" si="18"/>
        <v>1081.4931453950599</v>
      </c>
      <c r="D206">
        <f t="shared" si="19"/>
        <v>1654.2558616391157</v>
      </c>
      <c r="E206">
        <f t="shared" si="20"/>
        <v>106.33202099737534</v>
      </c>
      <c r="F206" s="30">
        <f t="shared" si="17"/>
        <v>55.059025744686636</v>
      </c>
    </row>
    <row r="207" spans="2:6" x14ac:dyDescent="0.25">
      <c r="B207">
        <v>190</v>
      </c>
      <c r="C207">
        <f t="shared" si="18"/>
        <v>1082.3070397050733</v>
      </c>
      <c r="D207">
        <f t="shared" si="19"/>
        <v>1653.4789022576474</v>
      </c>
      <c r="E207">
        <f t="shared" si="20"/>
        <v>106.89462428307574</v>
      </c>
      <c r="F207" s="30">
        <f t="shared" si="17"/>
        <v>55.015488153983263</v>
      </c>
    </row>
    <row r="208" spans="2:6" x14ac:dyDescent="0.25">
      <c r="B208">
        <v>191</v>
      </c>
      <c r="C208">
        <f t="shared" si="18"/>
        <v>1083.1209340150867</v>
      </c>
      <c r="D208">
        <f t="shared" si="19"/>
        <v>1652.7019428761794</v>
      </c>
      <c r="E208">
        <f t="shared" si="20"/>
        <v>107.45722756877613</v>
      </c>
      <c r="F208" s="30">
        <f t="shared" si="17"/>
        <v>54.971921452930964</v>
      </c>
    </row>
    <row r="209" spans="2:6" x14ac:dyDescent="0.25">
      <c r="B209">
        <v>192</v>
      </c>
      <c r="C209">
        <f t="shared" ref="C209:C216" si="21">COS(PI()/180*_Theta)*_vyps*B209+_xShip+__xL</f>
        <v>1083.9348283251002</v>
      </c>
      <c r="D209">
        <f t="shared" ref="D209:D216" si="22">SIN(PI()/180*_Theta)*_vyps*B209+_yShip+_yL</f>
        <v>1651.9249834947113</v>
      </c>
      <c r="E209">
        <f t="shared" ref="E209:E216" si="23">B209*CONVERT(CONVERT(_vSub,"kn","m/sec"),"m","yd")</f>
        <v>108.01983085447654</v>
      </c>
      <c r="F209" s="30">
        <f t="shared" si="17"/>
        <v>54.928325662753466</v>
      </c>
    </row>
    <row r="210" spans="2:6" x14ac:dyDescent="0.25">
      <c r="B210">
        <v>193</v>
      </c>
      <c r="C210">
        <f t="shared" si="21"/>
        <v>1084.7487226351136</v>
      </c>
      <c r="D210">
        <f t="shared" si="22"/>
        <v>1651.1480241132431</v>
      </c>
      <c r="E210">
        <f t="shared" si="23"/>
        <v>108.58243414017694</v>
      </c>
      <c r="F210" s="30">
        <f t="shared" ref="F210:F216" si="24">ATAN2(C210,D210-E210)*180/PI()</f>
        <v>54.884700804837657</v>
      </c>
    </row>
    <row r="211" spans="2:6" x14ac:dyDescent="0.25">
      <c r="B211">
        <v>194</v>
      </c>
      <c r="C211">
        <f t="shared" si="21"/>
        <v>1085.562616945127</v>
      </c>
      <c r="D211">
        <f t="shared" si="22"/>
        <v>1650.371064731775</v>
      </c>
      <c r="E211">
        <f t="shared" si="23"/>
        <v>109.14503742587733</v>
      </c>
      <c r="F211" s="30">
        <f t="shared" si="24"/>
        <v>54.841046900733701</v>
      </c>
    </row>
    <row r="212" spans="2:6" x14ac:dyDescent="0.25">
      <c r="B212">
        <v>195</v>
      </c>
      <c r="C212">
        <f t="shared" si="21"/>
        <v>1086.3765112551405</v>
      </c>
      <c r="D212">
        <f t="shared" si="22"/>
        <v>1649.594105350307</v>
      </c>
      <c r="E212">
        <f t="shared" si="23"/>
        <v>109.70764071157774</v>
      </c>
      <c r="F212" s="30">
        <f t="shared" si="24"/>
        <v>54.797363972155374</v>
      </c>
    </row>
    <row r="213" spans="2:6" x14ac:dyDescent="0.25">
      <c r="B213">
        <v>196</v>
      </c>
      <c r="C213">
        <f t="shared" si="21"/>
        <v>1087.1904055651539</v>
      </c>
      <c r="D213">
        <f t="shared" si="22"/>
        <v>1648.817145968839</v>
      </c>
      <c r="E213">
        <f t="shared" si="23"/>
        <v>110.27024399727813</v>
      </c>
      <c r="F213" s="30">
        <f t="shared" si="24"/>
        <v>54.753652040980327</v>
      </c>
    </row>
    <row r="214" spans="2:6" x14ac:dyDescent="0.25">
      <c r="B214">
        <v>197</v>
      </c>
      <c r="C214">
        <f t="shared" si="21"/>
        <v>1088.0042998751674</v>
      </c>
      <c r="D214">
        <f t="shared" si="22"/>
        <v>1648.0401865873707</v>
      </c>
      <c r="E214">
        <f t="shared" si="23"/>
        <v>110.83284728297853</v>
      </c>
      <c r="F214" s="30">
        <f t="shared" si="24"/>
        <v>54.709911129250301</v>
      </c>
    </row>
    <row r="215" spans="2:6" x14ac:dyDescent="0.25">
      <c r="B215">
        <v>198</v>
      </c>
      <c r="C215">
        <f t="shared" si="21"/>
        <v>1088.8181941851808</v>
      </c>
      <c r="D215">
        <f t="shared" si="22"/>
        <v>1647.2632272059027</v>
      </c>
      <c r="E215">
        <f t="shared" si="23"/>
        <v>111.39545056867892</v>
      </c>
      <c r="F215" s="30">
        <f t="shared" si="24"/>
        <v>54.666141259171383</v>
      </c>
    </row>
    <row r="216" spans="2:6" x14ac:dyDescent="0.25">
      <c r="B216">
        <v>199</v>
      </c>
      <c r="C216">
        <f t="shared" si="21"/>
        <v>1089.6320884951942</v>
      </c>
      <c r="D216">
        <f t="shared" si="22"/>
        <v>1646.4862678244347</v>
      </c>
      <c r="E216">
        <f t="shared" si="23"/>
        <v>111.95805385437933</v>
      </c>
      <c r="F216" s="30">
        <f t="shared" si="24"/>
        <v>54.622342453114278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2:D6"/>
  <sheetViews>
    <sheetView workbookViewId="0">
      <selection activeCell="P27" sqref="P27"/>
    </sheetView>
  </sheetViews>
  <sheetFormatPr defaultRowHeight="13.2" x14ac:dyDescent="0.25"/>
  <cols>
    <col min="1" max="1" width="10" bestFit="1" customWidth="1"/>
  </cols>
  <sheetData>
    <row r="2" spans="1:4" x14ac:dyDescent="0.25">
      <c r="A2" s="31">
        <v>46009</v>
      </c>
    </row>
    <row r="3" spans="1:4" x14ac:dyDescent="0.25">
      <c r="A3" t="s">
        <v>161</v>
      </c>
      <c r="B3">
        <v>131</v>
      </c>
      <c r="C3">
        <v>74</v>
      </c>
      <c r="D3">
        <v>56</v>
      </c>
    </row>
    <row r="4" spans="1:4" x14ac:dyDescent="0.25">
      <c r="B4">
        <v>130</v>
      </c>
      <c r="C4">
        <v>82</v>
      </c>
      <c r="D4">
        <v>57</v>
      </c>
    </row>
    <row r="5" spans="1:4" x14ac:dyDescent="0.25">
      <c r="B5">
        <v>140</v>
      </c>
      <c r="C5">
        <v>77</v>
      </c>
      <c r="D5">
        <v>62</v>
      </c>
    </row>
    <row r="6" spans="1:4" x14ac:dyDescent="0.25">
      <c r="B6" s="29">
        <f>AVERAGE(B3:B5)</f>
        <v>133.66666666666666</v>
      </c>
      <c r="C6" s="29">
        <f>AVERAGE(C3:C5)</f>
        <v>77.666666666666671</v>
      </c>
      <c r="D6" s="29">
        <f>AVERAGE(D3:D5)</f>
        <v>58.333333333333336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20-Dec-2025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Q3" sqref="Q3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51</v>
      </c>
      <c r="B1" s="26" t="s">
        <v>50</v>
      </c>
      <c r="C1" s="26"/>
      <c r="K1" t="s">
        <v>130</v>
      </c>
      <c r="L1" s="28" t="s">
        <v>131</v>
      </c>
    </row>
    <row r="2" spans="1:28" x14ac:dyDescent="0.25">
      <c r="A2" s="27" t="s">
        <v>49</v>
      </c>
      <c r="B2" s="26"/>
      <c r="C2" s="26"/>
      <c r="K2" t="s">
        <v>129</v>
      </c>
      <c r="L2" s="28" t="s">
        <v>131</v>
      </c>
      <c r="M2" t="s">
        <v>132</v>
      </c>
    </row>
    <row r="3" spans="1:28" x14ac:dyDescent="0.25">
      <c r="A3" s="27" t="s">
        <v>48</v>
      </c>
      <c r="B3" s="26" t="str" cm="1">
        <f t="array" aca="1" ref="B3" ca="1">HD_Date</f>
        <v>20-Dec-2025</v>
      </c>
      <c r="C3" s="26"/>
    </row>
    <row r="6" spans="1:28" x14ac:dyDescent="0.25">
      <c r="U6" t="s">
        <v>79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80</v>
      </c>
      <c r="W8" t="s">
        <v>81</v>
      </c>
      <c r="X8" t="s">
        <v>82</v>
      </c>
      <c r="Y8" t="s">
        <v>83</v>
      </c>
      <c r="Z8" t="s">
        <v>84</v>
      </c>
      <c r="AA8" t="s">
        <v>85</v>
      </c>
      <c r="AB8" t="s">
        <v>86</v>
      </c>
    </row>
    <row r="9" spans="1:28" x14ac:dyDescent="0.25">
      <c r="U9">
        <v>10</v>
      </c>
      <c r="V9" t="s">
        <v>82</v>
      </c>
      <c r="W9" t="s">
        <v>87</v>
      </c>
      <c r="X9" t="s">
        <v>86</v>
      </c>
      <c r="Y9" t="s">
        <v>88</v>
      </c>
      <c r="Z9" t="s">
        <v>89</v>
      </c>
      <c r="AA9" t="s">
        <v>90</v>
      </c>
      <c r="AB9" t="s">
        <v>91</v>
      </c>
    </row>
    <row r="10" spans="1:28" x14ac:dyDescent="0.25">
      <c r="U10">
        <v>15</v>
      </c>
      <c r="V10" t="s">
        <v>92</v>
      </c>
      <c r="W10" t="s">
        <v>93</v>
      </c>
      <c r="X10" t="s">
        <v>94</v>
      </c>
      <c r="Y10" t="s">
        <v>95</v>
      </c>
      <c r="Z10" t="s">
        <v>96</v>
      </c>
      <c r="AA10" t="s">
        <v>97</v>
      </c>
      <c r="AB10" t="s">
        <v>98</v>
      </c>
    </row>
    <row r="11" spans="1:28" x14ac:dyDescent="0.25">
      <c r="U11">
        <v>20</v>
      </c>
      <c r="V11" t="s">
        <v>99</v>
      </c>
      <c r="W11" t="s">
        <v>100</v>
      </c>
      <c r="X11" t="s">
        <v>101</v>
      </c>
      <c r="Y11" t="s">
        <v>102</v>
      </c>
      <c r="Z11" t="s">
        <v>103</v>
      </c>
      <c r="AA11" t="s">
        <v>104</v>
      </c>
      <c r="AB11" t="s">
        <v>105</v>
      </c>
    </row>
    <row r="12" spans="1:28" x14ac:dyDescent="0.25">
      <c r="U12">
        <v>25</v>
      </c>
      <c r="V12" t="s">
        <v>106</v>
      </c>
      <c r="W12" t="s">
        <v>107</v>
      </c>
      <c r="X12" t="s">
        <v>108</v>
      </c>
      <c r="Y12" t="s">
        <v>109</v>
      </c>
      <c r="Z12" t="s">
        <v>110</v>
      </c>
      <c r="AA12" t="s">
        <v>111</v>
      </c>
      <c r="AB12" t="s">
        <v>112</v>
      </c>
    </row>
    <row r="13" spans="1:28" x14ac:dyDescent="0.25">
      <c r="U13">
        <v>30</v>
      </c>
      <c r="V13" t="s">
        <v>113</v>
      </c>
      <c r="W13" t="s">
        <v>114</v>
      </c>
      <c r="X13" t="s">
        <v>115</v>
      </c>
      <c r="Y13" t="s">
        <v>116</v>
      </c>
      <c r="Z13" t="s">
        <v>117</v>
      </c>
      <c r="AA13" t="s">
        <v>118</v>
      </c>
      <c r="AB13" t="s">
        <v>119</v>
      </c>
    </row>
    <row r="14" spans="1:28" x14ac:dyDescent="0.25">
      <c r="U14">
        <v>35</v>
      </c>
      <c r="V14" t="s">
        <v>107</v>
      </c>
      <c r="W14" t="s">
        <v>120</v>
      </c>
      <c r="X14" t="s">
        <v>110</v>
      </c>
      <c r="Y14">
        <v>3.5</v>
      </c>
      <c r="Z14" t="s">
        <v>121</v>
      </c>
      <c r="AA14" t="s">
        <v>122</v>
      </c>
      <c r="AB14">
        <v>5.6</v>
      </c>
    </row>
    <row r="15" spans="1:28" x14ac:dyDescent="0.25">
      <c r="U15">
        <v>40</v>
      </c>
      <c r="V15" t="s">
        <v>123</v>
      </c>
      <c r="W15" t="s">
        <v>124</v>
      </c>
      <c r="X15" t="s">
        <v>125</v>
      </c>
      <c r="Y15" t="s">
        <v>121</v>
      </c>
      <c r="Z15" t="s">
        <v>126</v>
      </c>
      <c r="AA15" t="s">
        <v>127</v>
      </c>
      <c r="AB15" t="s">
        <v>128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2025-12-21T00:53:35Z</dcterms:modified>
</cp:coreProperties>
</file>