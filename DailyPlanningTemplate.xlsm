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drawings/drawing6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2001_{BDF89C4A-9F34-47FB-A30B-8712C999EA5D}" xr6:coauthVersionLast="47" xr6:coauthVersionMax="47" xr10:uidLastSave="{00000000-0000-0000-0000-000000000000}"/>
  <bookViews>
    <workbookView xWindow="22944" yWindow="12600" windowWidth="23232" windowHeight="12696" activeTab="1" xr2:uid="{AD5FE48E-9CE6-4EDE-8F69-E8FD3B4EAF42}"/>
  </bookViews>
  <sheets>
    <sheet name="2025" sheetId="1" r:id="rId1"/>
    <sheet name="2026" sheetId="11" r:id="rId2"/>
    <sheet name="LongTermTraining" sheetId="3" r:id="rId3"/>
    <sheet name="PointTraining" sheetId="4" r:id="rId4"/>
    <sheet name="RAOBF" sheetId="8" r:id="rId5"/>
    <sheet name="BP_Data" sheetId="9" r:id="rId6"/>
    <sheet name="Sheet1" sheetId="5" r:id="rId7"/>
    <sheet name="Sheet2" sheetId="6" r:id="rId8"/>
    <sheet name="Sheet3" sheetId="10" r:id="rId9"/>
    <sheet name="SH3_Correction_Table" sheetId="7" r:id="rId10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'2026'!$O$24:$O$60</definedName>
    <definedName name="_xlnm._FilterDatabase" localSheetId="5" hidden="1">BP_Data!$A$3:$M$3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'2026'!$C$9:$K$9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Theta">RAOBF!$C$10</definedName>
    <definedName name="_v">RAOBF!$C$5</definedName>
    <definedName name="_vSub">RAOBF!$C$6</definedName>
    <definedName name="_vyps">RAOBF!$C$13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ata" localSheetId="1">'2026'!$L$10</definedName>
    <definedName name="data">_xlfn.DROP(Banded,11,1)</definedName>
    <definedName name="Dynamic" localSheetId="1">_xlfn.VSTACK('2026'!$O$9:$X$9,'2026'!Banded2)</definedName>
    <definedName name="Dynamic">_xlfn.VSTACK('2025'!$O$9:$X$9,Banded2)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2">_xlfn.DROP(_xlfn.TRIMRANGE(LongTermTraining!$D:$X),1)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0" i="11" l="1" a="1"/>
  <c r="M10" i="11" a="1"/>
  <c r="P9" i="11" a="1"/>
  <c r="P9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E17" i="8"/>
  <c r="H19" i="8"/>
  <c r="F3" i="8"/>
  <c r="F10" i="8"/>
  <c r="F2" i="8"/>
  <c r="F5" i="8"/>
  <c r="C8" i="8"/>
  <c r="C9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8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1" i="8"/>
  <c r="E162" i="8"/>
  <c r="E163" i="8"/>
  <c r="E164" i="8"/>
  <c r="E165" i="8"/>
  <c r="E16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79" i="8"/>
  <c r="E180" i="8"/>
  <c r="E181" i="8"/>
  <c r="E182" i="8"/>
  <c r="E183" i="8"/>
  <c r="E184" i="8"/>
  <c r="E185" i="8"/>
  <c r="E186" i="8"/>
  <c r="E187" i="8"/>
  <c r="E188" i="8"/>
  <c r="E189" i="8"/>
  <c r="E190" i="8"/>
  <c r="E191" i="8"/>
  <c r="E192" i="8"/>
  <c r="E193" i="8"/>
  <c r="E194" i="8"/>
  <c r="E195" i="8"/>
  <c r="E196" i="8"/>
  <c r="E197" i="8"/>
  <c r="E198" i="8"/>
  <c r="E199" i="8"/>
  <c r="E200" i="8"/>
  <c r="E201" i="8"/>
  <c r="E202" i="8"/>
  <c r="E203" i="8"/>
  <c r="E204" i="8"/>
  <c r="E205" i="8"/>
  <c r="E206" i="8"/>
  <c r="E207" i="8"/>
  <c r="E208" i="8"/>
  <c r="E209" i="8"/>
  <c r="E210" i="8"/>
  <c r="E211" i="8"/>
  <c r="E212" i="8"/>
  <c r="E213" i="8"/>
  <c r="E214" i="8"/>
  <c r="E215" i="8"/>
  <c r="E216" i="8"/>
  <c r="C13" i="8"/>
  <c r="B17" i="8" a="1"/>
  <c r="B17" i="8" s="1"/>
  <c r="W22" i="7"/>
  <c r="X22" i="7"/>
  <c r="Y22" i="7"/>
  <c r="Z22" i="7"/>
  <c r="AA22" i="7"/>
  <c r="AB22" i="7"/>
  <c r="W23" i="7"/>
  <c r="X23" i="7"/>
  <c r="Y23" i="7"/>
  <c r="Z23" i="7"/>
  <c r="AA23" i="7"/>
  <c r="AB23" i="7"/>
  <c r="W24" i="7"/>
  <c r="X24" i="7"/>
  <c r="Y24" i="7"/>
  <c r="Z24" i="7"/>
  <c r="AA24" i="7"/>
  <c r="AB24" i="7"/>
  <c r="W25" i="7"/>
  <c r="X25" i="7"/>
  <c r="Y25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X29" i="7"/>
  <c r="Y29" i="7"/>
  <c r="Z29" i="7"/>
  <c r="AA29" i="7"/>
  <c r="AB29" i="7"/>
  <c r="W30" i="7"/>
  <c r="X30" i="7"/>
  <c r="Y30" i="7"/>
  <c r="Z30" i="7"/>
  <c r="AA30" i="7"/>
  <c r="AB30" i="7"/>
  <c r="W31" i="7"/>
  <c r="X31" i="7"/>
  <c r="Y31" i="7"/>
  <c r="Z31" i="7"/>
  <c r="AA31" i="7"/>
  <c r="AB31" i="7"/>
  <c r="V23" i="7"/>
  <c r="V24" i="7"/>
  <c r="V25" i="7"/>
  <c r="V26" i="7"/>
  <c r="V27" i="7"/>
  <c r="V28" i="7"/>
  <c r="V29" i="7"/>
  <c r="V30" i="7"/>
  <c r="V31" i="7"/>
  <c r="V22" i="7"/>
  <c r="U22" i="7" a="1"/>
  <c r="U22" i="7" s="1"/>
  <c r="U21" i="7" a="1"/>
  <c r="U21" i="7" s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Z9" i="3" a="1"/>
  <c r="D9" i="3" a="1"/>
  <c r="M10" i="1" a="1"/>
  <c r="B10" i="11" l="1"/>
  <c r="L10" i="11" a="1"/>
  <c r="M10" i="11"/>
  <c r="I26" i="8"/>
  <c r="I30" i="8" s="1"/>
  <c r="P9" i="1"/>
  <c r="F8" i="8"/>
  <c r="C12" i="8"/>
  <c r="C11" i="8"/>
  <c r="J59" i="5"/>
  <c r="K59" i="5" a="1"/>
  <c r="J44" i="5"/>
  <c r="K44" i="5" a="1"/>
  <c r="D9" i="3"/>
  <c r="Z9" i="3"/>
  <c r="M10" i="1"/>
  <c r="L10" i="11" l="1"/>
  <c r="O10" i="11" s="1" a="1"/>
  <c r="C191" i="8"/>
  <c r="C210" i="8"/>
  <c r="C211" i="8"/>
  <c r="C149" i="8"/>
  <c r="C208" i="8"/>
  <c r="C212" i="8"/>
  <c r="D104" i="8"/>
  <c r="F12" i="8"/>
  <c r="C216" i="8"/>
  <c r="C194" i="8"/>
  <c r="C88" i="8"/>
  <c r="C140" i="8"/>
  <c r="C213" i="8"/>
  <c r="C61" i="8"/>
  <c r="C94" i="8"/>
  <c r="C105" i="8"/>
  <c r="C84" i="8"/>
  <c r="C179" i="8"/>
  <c r="C142" i="8"/>
  <c r="C101" i="8"/>
  <c r="C193" i="8"/>
  <c r="C181" i="8"/>
  <c r="C99" i="8"/>
  <c r="C148" i="8"/>
  <c r="C204" i="8"/>
  <c r="C90" i="8"/>
  <c r="C189" i="8"/>
  <c r="C93" i="8"/>
  <c r="C150" i="8"/>
  <c r="C177" i="8"/>
  <c r="C180" i="8"/>
  <c r="C186" i="8"/>
  <c r="C206" i="8"/>
  <c r="C95" i="8"/>
  <c r="C97" i="8"/>
  <c r="C92" i="8"/>
  <c r="C100" i="8"/>
  <c r="C102" i="8"/>
  <c r="C104" i="8"/>
  <c r="C106" i="8"/>
  <c r="C139" i="8"/>
  <c r="C207" i="8"/>
  <c r="D182" i="8"/>
  <c r="D191" i="8"/>
  <c r="D200" i="8"/>
  <c r="D210" i="8"/>
  <c r="D214" i="8"/>
  <c r="D206" i="8"/>
  <c r="D215" i="8"/>
  <c r="D216" i="8"/>
  <c r="D202" i="8"/>
  <c r="D203" i="8"/>
  <c r="D188" i="8"/>
  <c r="C83" i="8"/>
  <c r="C85" i="8"/>
  <c r="C87" i="8"/>
  <c r="C89" i="8"/>
  <c r="C91" i="8"/>
  <c r="C143" i="8"/>
  <c r="C145" i="8"/>
  <c r="C64" i="8"/>
  <c r="C65" i="8"/>
  <c r="C66" i="8"/>
  <c r="C103" i="8"/>
  <c r="C55" i="8"/>
  <c r="C56" i="8"/>
  <c r="C57" i="8"/>
  <c r="C59" i="8"/>
  <c r="D135" i="8"/>
  <c r="D140" i="8"/>
  <c r="D147" i="8"/>
  <c r="D212" i="8"/>
  <c r="D17" i="8"/>
  <c r="C50" i="8"/>
  <c r="C51" i="8"/>
  <c r="C52" i="8"/>
  <c r="C53" i="8"/>
  <c r="C58" i="8"/>
  <c r="C60" i="8"/>
  <c r="C215" i="8"/>
  <c r="C62" i="8"/>
  <c r="C63" i="8"/>
  <c r="C152" i="8"/>
  <c r="C185" i="8"/>
  <c r="D60" i="8"/>
  <c r="D94" i="8"/>
  <c r="D96" i="8"/>
  <c r="D99" i="8"/>
  <c r="D102" i="8"/>
  <c r="D105" i="8"/>
  <c r="D62" i="8"/>
  <c r="D63" i="8"/>
  <c r="D64" i="8"/>
  <c r="D65" i="8"/>
  <c r="D207" i="8"/>
  <c r="D66" i="8"/>
  <c r="C18" i="8"/>
  <c r="C40" i="8"/>
  <c r="C19" i="8"/>
  <c r="C116" i="8"/>
  <c r="C20" i="8"/>
  <c r="C41" i="8"/>
  <c r="C21" i="8"/>
  <c r="C117" i="8"/>
  <c r="C22" i="8"/>
  <c r="C42" i="8"/>
  <c r="C23" i="8"/>
  <c r="C118" i="8"/>
  <c r="C24" i="8"/>
  <c r="C46" i="8"/>
  <c r="C25" i="8"/>
  <c r="C119" i="8"/>
  <c r="C26" i="8"/>
  <c r="C47" i="8"/>
  <c r="C27" i="8"/>
  <c r="C28" i="8"/>
  <c r="C120" i="8"/>
  <c r="C29" i="8"/>
  <c r="C48" i="8"/>
  <c r="C30" i="8"/>
  <c r="C121" i="8"/>
  <c r="C49" i="8"/>
  <c r="C122" i="8"/>
  <c r="C34" i="8"/>
  <c r="C35" i="8"/>
  <c r="C36" i="8"/>
  <c r="C37" i="8"/>
  <c r="C38" i="8"/>
  <c r="C54" i="8"/>
  <c r="C123" i="8"/>
  <c r="C43" i="8"/>
  <c r="C124" i="8"/>
  <c r="C153" i="8"/>
  <c r="C44" i="8"/>
  <c r="C45" i="8"/>
  <c r="C154" i="8"/>
  <c r="C156" i="8"/>
  <c r="C161" i="8"/>
  <c r="C125" i="8"/>
  <c r="C126" i="8"/>
  <c r="C127" i="8"/>
  <c r="C128" i="8"/>
  <c r="C129" i="8"/>
  <c r="C67" i="8"/>
  <c r="C130" i="8"/>
  <c r="C68" i="8"/>
  <c r="C131" i="8"/>
  <c r="C69" i="8"/>
  <c r="C132" i="8"/>
  <c r="C70" i="8"/>
  <c r="C133" i="8"/>
  <c r="C71" i="8"/>
  <c r="C134" i="8"/>
  <c r="C72" i="8"/>
  <c r="C136" i="8"/>
  <c r="C73" i="8"/>
  <c r="C138" i="8"/>
  <c r="C74" i="8"/>
  <c r="C141" i="8"/>
  <c r="C75" i="8"/>
  <c r="C178" i="8"/>
  <c r="C76" i="8"/>
  <c r="C182" i="8"/>
  <c r="C77" i="8"/>
  <c r="C155" i="8"/>
  <c r="C78" i="8"/>
  <c r="C158" i="8"/>
  <c r="C79" i="8"/>
  <c r="C174" i="8"/>
  <c r="C80" i="8"/>
  <c r="C190" i="8"/>
  <c r="C17" i="8"/>
  <c r="C151" i="8"/>
  <c r="C163" i="8"/>
  <c r="C147" i="8"/>
  <c r="C164" i="8"/>
  <c r="C184" i="8"/>
  <c r="C187" i="8"/>
  <c r="C165" i="8"/>
  <c r="C107" i="8"/>
  <c r="C108" i="8"/>
  <c r="C109" i="8"/>
  <c r="C166" i="8"/>
  <c r="C167" i="8"/>
  <c r="C168" i="8"/>
  <c r="C169" i="8"/>
  <c r="C160" i="8"/>
  <c r="C162" i="8"/>
  <c r="C175" i="8"/>
  <c r="C170" i="8"/>
  <c r="C171" i="8"/>
  <c r="C172" i="8"/>
  <c r="C173" i="8"/>
  <c r="C81" i="8"/>
  <c r="C192" i="8"/>
  <c r="C82" i="8"/>
  <c r="C205" i="8"/>
  <c r="C86" i="8"/>
  <c r="C214" i="8"/>
  <c r="C195" i="8"/>
  <c r="C96" i="8"/>
  <c r="C98" i="8"/>
  <c r="C196" i="8"/>
  <c r="C197" i="8"/>
  <c r="C176" i="8"/>
  <c r="C198" i="8"/>
  <c r="C201" i="8"/>
  <c r="C199" i="8"/>
  <c r="C200" i="8"/>
  <c r="C135" i="8"/>
  <c r="C137" i="8"/>
  <c r="C157" i="8"/>
  <c r="C159" i="8"/>
  <c r="C144" i="8"/>
  <c r="C146" i="8"/>
  <c r="C183" i="8"/>
  <c r="C188" i="8"/>
  <c r="C202" i="8"/>
  <c r="C203" i="8"/>
  <c r="C110" i="8"/>
  <c r="C209" i="8"/>
  <c r="C111" i="8"/>
  <c r="C31" i="8"/>
  <c r="C112" i="8"/>
  <c r="C32" i="8"/>
  <c r="C113" i="8"/>
  <c r="C33" i="8"/>
  <c r="C114" i="8"/>
  <c r="C39" i="8"/>
  <c r="C115" i="8"/>
  <c r="D18" i="8"/>
  <c r="D19" i="8"/>
  <c r="D20" i="8"/>
  <c r="D21" i="8"/>
  <c r="D22" i="8"/>
  <c r="D23" i="8"/>
  <c r="D24" i="8"/>
  <c r="D25" i="8"/>
  <c r="D26" i="8"/>
  <c r="D28" i="8"/>
  <c r="D29" i="8"/>
  <c r="D30" i="8"/>
  <c r="D31" i="8"/>
  <c r="D32" i="8"/>
  <c r="D38" i="8"/>
  <c r="D39" i="8"/>
  <c r="D41" i="8"/>
  <c r="D42" i="8"/>
  <c r="D43" i="8"/>
  <c r="D46" i="8"/>
  <c r="D47" i="8"/>
  <c r="D48" i="8"/>
  <c r="D54" i="8"/>
  <c r="D55" i="8"/>
  <c r="D56" i="8"/>
  <c r="D58" i="8"/>
  <c r="D59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100" i="8"/>
  <c r="D136" i="8"/>
  <c r="D142" i="8"/>
  <c r="D179" i="8"/>
  <c r="D208" i="8"/>
  <c r="D154" i="8"/>
  <c r="D155" i="8"/>
  <c r="D157" i="8"/>
  <c r="D159" i="8"/>
  <c r="D40" i="8"/>
  <c r="D92" i="8"/>
  <c r="D205" i="8"/>
  <c r="D90" i="8"/>
  <c r="D81" i="8"/>
  <c r="D83" i="8"/>
  <c r="D88" i="8"/>
  <c r="D91" i="8"/>
  <c r="D103" i="8"/>
  <c r="D138" i="8"/>
  <c r="D181" i="8"/>
  <c r="D106" i="8"/>
  <c r="D107" i="8"/>
  <c r="D108" i="8"/>
  <c r="D109" i="8"/>
  <c r="D161" i="8"/>
  <c r="D174" i="8"/>
  <c r="D93" i="8"/>
  <c r="D180" i="8"/>
  <c r="D87" i="8"/>
  <c r="D178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69" i="8"/>
  <c r="D143" i="8"/>
  <c r="D170" i="8"/>
  <c r="D146" i="8"/>
  <c r="D171" i="8"/>
  <c r="D148" i="8"/>
  <c r="D172" i="8"/>
  <c r="D128" i="8"/>
  <c r="D173" i="8"/>
  <c r="D175" i="8"/>
  <c r="D82" i="8"/>
  <c r="D134" i="8"/>
  <c r="D185" i="8"/>
  <c r="D61" i="8"/>
  <c r="D152" i="8"/>
  <c r="D211" i="8"/>
  <c r="D153" i="8"/>
  <c r="D129" i="8"/>
  <c r="D195" i="8"/>
  <c r="D156" i="8"/>
  <c r="D196" i="8"/>
  <c r="D124" i="8"/>
  <c r="D197" i="8"/>
  <c r="D160" i="8"/>
  <c r="D198" i="8"/>
  <c r="D130" i="8"/>
  <c r="D199" i="8"/>
  <c r="D187" i="8"/>
  <c r="D209" i="8"/>
  <c r="D213" i="8"/>
  <c r="D86" i="8"/>
  <c r="D85" i="8"/>
  <c r="D97" i="8"/>
  <c r="D183" i="8"/>
  <c r="D84" i="8"/>
  <c r="D95" i="8"/>
  <c r="D137" i="8"/>
  <c r="D139" i="8"/>
  <c r="D141" i="8"/>
  <c r="D184" i="8"/>
  <c r="D186" i="8"/>
  <c r="D149" i="8"/>
  <c r="D176" i="8"/>
  <c r="D158" i="8"/>
  <c r="D201" i="8"/>
  <c r="D189" i="8"/>
  <c r="D190" i="8"/>
  <c r="D192" i="8"/>
  <c r="D194" i="8"/>
  <c r="D131" i="8"/>
  <c r="D125" i="8"/>
  <c r="D151" i="8"/>
  <c r="D27" i="8"/>
  <c r="D132" i="8"/>
  <c r="D163" i="8"/>
  <c r="D162" i="8"/>
  <c r="D33" i="8"/>
  <c r="D34" i="8"/>
  <c r="D35" i="8"/>
  <c r="D36" i="8"/>
  <c r="D37" i="8"/>
  <c r="D164" i="8"/>
  <c r="D133" i="8"/>
  <c r="D165" i="8"/>
  <c r="D126" i="8"/>
  <c r="D44" i="8"/>
  <c r="D45" i="8"/>
  <c r="D166" i="8"/>
  <c r="D177" i="8"/>
  <c r="D167" i="8"/>
  <c r="D127" i="8"/>
  <c r="D49" i="8"/>
  <c r="D50" i="8"/>
  <c r="D51" i="8"/>
  <c r="D168" i="8"/>
  <c r="D150" i="8"/>
  <c r="D53" i="8"/>
  <c r="D98" i="8"/>
  <c r="D145" i="8"/>
  <c r="D193" i="8"/>
  <c r="D89" i="8"/>
  <c r="D52" i="8"/>
  <c r="D57" i="8"/>
  <c r="D144" i="8"/>
  <c r="D101" i="8"/>
  <c r="D204" i="8"/>
  <c r="K59" i="5"/>
  <c r="K44" i="5"/>
  <c r="O10" i="1" a="1"/>
  <c r="O10" i="11" l="1"/>
  <c r="F17" i="8"/>
  <c r="F68" i="8"/>
  <c r="F132" i="8"/>
  <c r="F34" i="8"/>
  <c r="F35" i="8"/>
  <c r="F36" i="8"/>
  <c r="F37" i="8"/>
  <c r="F43" i="8"/>
  <c r="F153" i="8"/>
  <c r="F46" i="8"/>
  <c r="F54" i="8"/>
  <c r="F42" i="8"/>
  <c r="F67" i="8"/>
  <c r="F134" i="8"/>
  <c r="F128" i="8"/>
  <c r="F48" i="8"/>
  <c r="F151" i="8"/>
  <c r="F163" i="8"/>
  <c r="F104" i="8"/>
  <c r="F27" i="8"/>
  <c r="F185" i="8"/>
  <c r="F69" i="8"/>
  <c r="F47" i="8"/>
  <c r="F50" i="8"/>
  <c r="F59" i="8"/>
  <c r="F26" i="8"/>
  <c r="F28" i="8"/>
  <c r="F161" i="8"/>
  <c r="F72" i="8"/>
  <c r="F136" i="8"/>
  <c r="F73" i="8"/>
  <c r="F215" i="8"/>
  <c r="F45" i="8"/>
  <c r="F154" i="8"/>
  <c r="F156" i="8"/>
  <c r="F125" i="8"/>
  <c r="F126" i="8"/>
  <c r="F127" i="8"/>
  <c r="F131" i="8"/>
  <c r="F162" i="8"/>
  <c r="F139" i="8"/>
  <c r="F44" i="8"/>
  <c r="F70" i="8"/>
  <c r="F71" i="8"/>
  <c r="F182" i="8"/>
  <c r="F188" i="8"/>
  <c r="F177" i="8"/>
  <c r="F55" i="8"/>
  <c r="F58" i="8"/>
  <c r="F95" i="8"/>
  <c r="F100" i="8"/>
  <c r="F106" i="8"/>
  <c r="F56" i="8"/>
  <c r="F152" i="8"/>
  <c r="F200" i="8"/>
  <c r="F124" i="8"/>
  <c r="F129" i="8"/>
  <c r="F181" i="8"/>
  <c r="F83" i="8"/>
  <c r="F91" i="8"/>
  <c r="F103" i="8"/>
  <c r="F97" i="8"/>
  <c r="F92" i="8"/>
  <c r="F133" i="8"/>
  <c r="F174" i="8"/>
  <c r="F164" i="8"/>
  <c r="F198" i="8"/>
  <c r="F199" i="8"/>
  <c r="F183" i="8"/>
  <c r="F82" i="8"/>
  <c r="F25" i="8"/>
  <c r="F38" i="8"/>
  <c r="F130" i="8"/>
  <c r="F196" i="8"/>
  <c r="F197" i="8"/>
  <c r="F135" i="8"/>
  <c r="F33" i="8"/>
  <c r="F39" i="8"/>
  <c r="F216" i="8"/>
  <c r="F88" i="8"/>
  <c r="F61" i="8"/>
  <c r="F93" i="8"/>
  <c r="F180" i="8"/>
  <c r="F206" i="8"/>
  <c r="F66" i="8"/>
  <c r="F41" i="8"/>
  <c r="F213" i="8"/>
  <c r="F105" i="8"/>
  <c r="F142" i="8"/>
  <c r="F193" i="8"/>
  <c r="F148" i="8"/>
  <c r="F90" i="8"/>
  <c r="F207" i="8"/>
  <c r="F85" i="8"/>
  <c r="F87" i="8"/>
  <c r="F89" i="8"/>
  <c r="F143" i="8"/>
  <c r="F145" i="8"/>
  <c r="F64" i="8"/>
  <c r="F65" i="8"/>
  <c r="F57" i="8"/>
  <c r="F51" i="8"/>
  <c r="F52" i="8"/>
  <c r="F53" i="8"/>
  <c r="F60" i="8"/>
  <c r="F63" i="8"/>
  <c r="F62" i="8"/>
  <c r="F18" i="8"/>
  <c r="F40" i="8"/>
  <c r="F19" i="8"/>
  <c r="F116" i="8"/>
  <c r="F20" i="8"/>
  <c r="F21" i="8"/>
  <c r="F117" i="8"/>
  <c r="F22" i="8"/>
  <c r="F23" i="8"/>
  <c r="F118" i="8"/>
  <c r="F24" i="8"/>
  <c r="F119" i="8"/>
  <c r="F123" i="8"/>
  <c r="F120" i="8"/>
  <c r="F29" i="8"/>
  <c r="F30" i="8"/>
  <c r="F121" i="8"/>
  <c r="F49" i="8"/>
  <c r="F122" i="8"/>
  <c r="F138" i="8"/>
  <c r="F74" i="8"/>
  <c r="F141" i="8"/>
  <c r="F75" i="8"/>
  <c r="F178" i="8"/>
  <c r="F76" i="8"/>
  <c r="F77" i="8"/>
  <c r="F155" i="8"/>
  <c r="F78" i="8"/>
  <c r="F158" i="8"/>
  <c r="F79" i="8"/>
  <c r="F80" i="8"/>
  <c r="F190" i="8"/>
  <c r="F147" i="8"/>
  <c r="F184" i="8"/>
  <c r="F144" i="8"/>
  <c r="F187" i="8"/>
  <c r="F165" i="8"/>
  <c r="F107" i="8"/>
  <c r="F108" i="8"/>
  <c r="F109" i="8"/>
  <c r="F166" i="8"/>
  <c r="F167" i="8"/>
  <c r="F168" i="8"/>
  <c r="F169" i="8"/>
  <c r="F160" i="8"/>
  <c r="F175" i="8"/>
  <c r="F170" i="8"/>
  <c r="F171" i="8"/>
  <c r="F172" i="8"/>
  <c r="F173" i="8"/>
  <c r="F81" i="8"/>
  <c r="F192" i="8"/>
  <c r="F205" i="8"/>
  <c r="F137" i="8"/>
  <c r="F157" i="8"/>
  <c r="F146" i="8"/>
  <c r="F86" i="8"/>
  <c r="F214" i="8"/>
  <c r="F195" i="8"/>
  <c r="F96" i="8"/>
  <c r="F98" i="8"/>
  <c r="F176" i="8"/>
  <c r="F201" i="8"/>
  <c r="F159" i="8"/>
  <c r="F202" i="8"/>
  <c r="F203" i="8"/>
  <c r="F110" i="8"/>
  <c r="F209" i="8"/>
  <c r="F111" i="8"/>
  <c r="F31" i="8"/>
  <c r="F112" i="8"/>
  <c r="F32" i="8"/>
  <c r="F113" i="8"/>
  <c r="F114" i="8"/>
  <c r="F115" i="8"/>
  <c r="F191" i="8"/>
  <c r="F210" i="8"/>
  <c r="F211" i="8"/>
  <c r="F149" i="8"/>
  <c r="F208" i="8"/>
  <c r="F212" i="8"/>
  <c r="F194" i="8"/>
  <c r="F140" i="8"/>
  <c r="F94" i="8"/>
  <c r="F84" i="8"/>
  <c r="F179" i="8"/>
  <c r="F101" i="8"/>
  <c r="F99" i="8"/>
  <c r="F204" i="8"/>
  <c r="F189" i="8"/>
  <c r="F150" i="8"/>
  <c r="F186" i="8"/>
  <c r="F102" i="8"/>
  <c r="O10" i="1"/>
  <c r="I22" i="8" l="1" a="1"/>
  <c r="I22" i="8" s="1"/>
  <c r="M22" i="8" s="1"/>
  <c r="M23" i="8" s="1"/>
  <c r="M24" i="8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<sst xmlns="http://schemas.openxmlformats.org/spreadsheetml/2006/main" count="621" uniqueCount="544">
  <si>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</si>
  <si>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</si>
  <si>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</si>
  <si>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</si>
  <si>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</si>
  <si>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</si>
  <si>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</si>
  <si>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</si>
  <si>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</si>
  <si>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</si>
  <si>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</si>
  <si>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</si>
  <si>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</si>
  <si>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</si>
  <si>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</si>
  <si>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</si>
  <si>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</si>
  <si>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</si>
  <si>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</si>
  <si>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</si>
  <si>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</si>
  <si>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</si>
  <si>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</si>
  <si>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</si>
  <si>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</si>
  <si>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</si>
  <si>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</si>
  <si>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</si>
  <si>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</si>
  <si>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</si>
  <si>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</si>
  <si>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</si>
  <si>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</si>
  <si>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</si>
  <si>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</si>
  <si>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</si>
  <si>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</si>
  <si>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</si>
  <si>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</si>
  <si>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</si>
  <si>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</si>
  <si>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</si>
  <si>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</si>
  <si>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</si>
  <si>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</si>
  <si>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</si>
  <si>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</si>
  <si>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</si>
  <si>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</si>
  <si>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</si>
  <si>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</si>
  <si>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</si>
  <si>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</si>
  <si>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</si>
  <si>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</si>
  <si>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</si>
  <si>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</si>
  <si>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</si>
  <si>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</si>
  <si>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</si>
  <si>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</si>
  <si>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</si>
  <si>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</si>
  <si>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</si>
  <si>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</si>
  <si>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</si>
  <si>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</si>
  <si>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</si>
  <si>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</si>
  <si>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</si>
  <si>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</si>
  <si>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</si>
  <si>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</si>
  <si>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</si>
  <si>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</si>
  <si>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</si>
  <si>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</si>
  <si>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</si>
  <si>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</si>
  <si>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</si>
  <si>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</si>
  <si>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</si>
  <si>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</si>
  <si>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</si>
  <si>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</si>
  <si>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</si>
  <si>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</si>
  <si>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</si>
  <si>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</si>
  <si>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</si>
  <si>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</si>
  <si>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</si>
  <si>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</si>
  <si>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</si>
  <si>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</si>
  <si>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</si>
  <si>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</si>
  <si>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</si>
  <si>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</si>
  <si>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</si>
  <si>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</si>
  <si>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</si>
  <si>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</si>
  <si>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</si>
  <si>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</si>
  <si>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</si>
  <si>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</si>
  <si>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</si>
  <si>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</si>
  <si>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</si>
  <si>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</si>
  <si>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</si>
  <si>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</si>
  <si>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</si>
  <si>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</si>
  <si>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</si>
  <si>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</si>
  <si>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</si>
  <si>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</si>
  <si>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</si>
  <si>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</si>
  <si>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</si>
  <si>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</si>
  <si>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</si>
  <si>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</si>
  <si>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</si>
  <si>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</si>
  <si>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</si>
  <si>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</si>
  <si>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</si>
  <si>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</si>
  <si>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</si>
  <si>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</si>
  <si>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</si>
  <si>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</si>
  <si>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</si>
  <si>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</si>
  <si>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</si>
  <si>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</si>
  <si>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</si>
  <si>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</si>
  <si>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</si>
  <si>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</si>
  <si>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</si>
  <si>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</si>
  <si>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</si>
  <si>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</si>
  <si>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</si>
  <si>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</si>
  <si>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</si>
  <si>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</si>
  <si>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</si>
  <si>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</si>
  <si>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</si>
  <si>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</si>
  <si>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</si>
  <si>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</si>
  <si>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</si>
  <si>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</si>
  <si>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</si>
  <si>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</si>
  <si>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</si>
  <si>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</si>
  <si>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</si>
  <si>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</si>
  <si>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</si>
  <si>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</si>
  <si>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</si>
  <si>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</si>
  <si>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</si>
  <si>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</si>
  <si>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Schwab</t>
  </si>
  <si>
    <t>Vanguard</t>
  </si>
  <si>
    <t>Fidelity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</si>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</sst>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8" formatCode="&quot;$&quot;#,##0.00_);[Red]\(&quot;$&quot;#,##0.00\)"/>
    <numFmt numFmtId="164" formatCode=";;;\ @"/>
    <numFmt numFmtId="165" formatCode="0.00000"/>
  </numFmts>
  <fonts count="16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</borders>
  <cellStyleXfs count="15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</cellStyleXfs>
  <cellXfs count="45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8" fontId="0" fillId="0" borderId="0" xfId="0" applyNumberFormat="1"/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/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</cellXfs>
  <cellStyles count="15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43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42"/>
      <tableStyleElement type="headerRow" dxfId="41"/>
      <tableStyleElement type="totalRow" dxfId="40"/>
      <tableStyleElement type="firstColumnStripe" dxfId="39"/>
      <tableStyleElement type="firstHeaderCell" dxfId="38"/>
      <tableStyleElement type="firstSubtotalColumn" dxfId="37"/>
      <tableStyleElement type="firstSubtotalRow" dxfId="36"/>
      <tableStyleElement type="secondSubtotalRow" dxfId="35"/>
      <tableStyleElement type="firstRowSubheading" dxfId="34"/>
      <tableStyleElement type="secondRowSubheading" dxfId="33"/>
      <tableStyleElement type="pageFieldLabels" dxfId="32"/>
      <tableStyleElement type="pageFieldValues" dxfId="31"/>
    </tableStyle>
    <tableStyle name="Biegert Table Standard" pivot="0" count="7" xr9:uid="{95B43237-2845-4068-A415-A5A3E7804959}">
      <tableStyleElement type="wholeTable" dxfId="30"/>
      <tableStyleElement type="headerRow" dxfId="29"/>
      <tableStyleElement type="totalRow" dxfId="28"/>
      <tableStyleElement type="firstColumn" dxfId="27"/>
      <tableStyleElement type="lastColumn" dxfId="26"/>
      <tableStyleElement type="firstRowStripe" dxfId="25"/>
      <tableStyleElement type="firstColumnStripe" dxfId="24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microsoft.com/office/2023/09/relationships/Python" Target="python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22/11/relationships/FeaturePropertyBag" Target="featurePropertyBag/featurePropertyBag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16524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2" name="Rectangle: Top Corners Rounded 1">
          <a:extLst>
            <a:ext uri="{FF2B5EF4-FFF2-40B4-BE49-F238E27FC236}">
              <a16:creationId xmlns:a16="http://schemas.microsoft.com/office/drawing/2014/main" id="{B66B8452-5047-4618-BBFF-98ED925A0E3B}"/>
            </a:ext>
          </a:extLst>
        </xdr:cNvPr>
        <xdr:cNvSpPr/>
      </xdr:nvSpPr>
      <xdr:spPr>
        <a:xfrm>
          <a:off x="85191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1269" row="3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105" activePane="bottomLeft" state="frozen"/>
      <selection pane="bottomLeft" activeCell="O136" sqref="O136"/>
    </sheetView>
  </sheetViews>
  <sheetFormatPr defaultRowHeight="13.2" x14ac:dyDescent="0.25"/>
  <cols>
    <col min="3" max="4" width="3.33203125" customWidth="1"/>
    <col min="5" max="5" width="3.33203125" bestFit="1" customWidth="1"/>
    <col min="6" max="6" width="3.33203125" customWidth="1"/>
    <col min="7" max="9" width="3.33203125" bestFit="1" customWidth="1"/>
    <col min="10" max="13" width="3.33203125" customWidth="1"/>
    <col min="15" max="15" width="19.109375" customWidth="1"/>
    <col min="16" max="23" width="3.33203125" style="5" bestFit="1" customWidth="1"/>
    <col min="24" max="24" width="3.33203125" style="5" customWidth="1"/>
  </cols>
  <sheetData>
    <row r="5" spans="1:26" ht="13.8" x14ac:dyDescent="0.3">
      <c r="O5" s="10"/>
    </row>
    <row r="7" spans="1:26" ht="4.8" customHeight="1" thickBot="1" x14ac:dyDescent="0.3"/>
    <row r="8" spans="1:26" ht="13.8" hidden="1" thickBot="1" x14ac:dyDescent="0.3"/>
    <row r="9" spans="1:26" ht="121.2" thickBot="1" x14ac:dyDescent="0.3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8" thickTop="1" x14ac:dyDescent="0.25">
      <c r="B10" s="11" t="s">
        <v>174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2" customHeight="1" x14ac:dyDescent="0.25">
      <c r="B11" s="15" t="s">
        <v>175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5">
      <c r="B12" s="15" t="s">
        <v>176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5">
      <c r="B13" s="15" t="s">
        <v>177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5">
      <c r="B14" s="15" t="s">
        <v>178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5">
      <c r="B15" s="15" t="s">
        <v>179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5">
      <c r="B16" s="15" t="s">
        <v>180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5">
      <c r="B17" s="15" t="s">
        <v>181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5">
      <c r="B18" s="15" t="s">
        <v>182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5">
      <c r="B19" s="15" t="s">
        <v>183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5">
      <c r="B20" s="15" t="s">
        <v>184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5">
      <c r="B21" s="15" t="s">
        <v>185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5">
      <c r="B22" s="15" t="s">
        <v>186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5">
      <c r="B23" s="15" t="s">
        <v>187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5">
      <c r="B24" s="15" t="s">
        <v>188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5">
      <c r="B25" s="15" t="s">
        <v>189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5">
      <c r="B26" s="15" t="s">
        <v>190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5">
      <c r="B27" s="15" t="s">
        <v>191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5">
      <c r="B28" s="15" t="s">
        <v>192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5">
      <c r="B29" s="15" t="s">
        <v>193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5">
      <c r="B30" s="15" t="s">
        <v>194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5">
      <c r="B31" s="15" t="s">
        <v>195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5">
      <c r="B32" s="15" t="s">
        <v>196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5">
      <c r="B33" s="15" t="s">
        <v>197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5">
      <c r="B34" s="15" t="s">
        <v>198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5">
      <c r="B35" s="15" t="s">
        <v>199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5">
      <c r="B36" s="15" t="s">
        <v>200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5">
      <c r="B37" s="15" t="s">
        <v>201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5">
      <c r="B38" s="15" t="s">
        <v>202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5">
      <c r="B39" s="15" t="s">
        <v>203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5">
      <c r="B40" s="15" t="s">
        <v>204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5">
      <c r="B41" s="15" t="s">
        <v>205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5">
      <c r="B42" s="15" t="s">
        <v>206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5">
      <c r="B43" s="15" t="s">
        <v>207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5">
      <c r="B44" s="15" t="s">
        <v>208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5">
      <c r="B45" s="15" t="s">
        <v>209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5">
      <c r="B46" s="15" t="s">
        <v>210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5">
      <c r="B47" s="15" t="s">
        <v>211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5">
      <c r="B48" s="15" t="s">
        <v>212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5">
      <c r="B49" s="15" t="s">
        <v>213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5">
      <c r="B50" s="15" t="s">
        <v>214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5">
      <c r="B51" s="15" t="s">
        <v>215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5">
      <c r="B52" s="15" t="s">
        <v>216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5">
      <c r="B53" s="15" t="s">
        <v>217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5">
      <c r="B54" s="15" t="s">
        <v>218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5">
      <c r="B55" s="15" t="s">
        <v>219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5">
      <c r="B56" s="15" t="s">
        <v>220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5">
      <c r="B57" s="15" t="s">
        <v>221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5">
      <c r="B58" s="15" t="s">
        <v>222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5">
      <c r="B59" s="15" t="s">
        <v>223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5">
      <c r="B60" s="15" t="s">
        <v>224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5">
      <c r="B61" s="15" t="s">
        <v>225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5">
      <c r="B62" s="15" t="s">
        <v>226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5">
      <c r="B63" s="15" t="s">
        <v>227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5">
      <c r="B64" s="15" t="s">
        <v>228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5">
      <c r="B65" s="15" t="s">
        <v>229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5">
      <c r="B66" s="15" t="s">
        <v>230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5">
      <c r="B67" s="15" t="s">
        <v>231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5">
      <c r="B68" s="15" t="s">
        <v>232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5">
      <c r="B69" s="15" t="s">
        <v>233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5">
      <c r="B70" s="15" t="s">
        <v>234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5">
      <c r="B71" s="15" t="s">
        <v>235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5">
      <c r="B72" s="15" t="s">
        <v>236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5">
      <c r="B73" s="15" t="s">
        <v>237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5">
      <c r="B74" s="15" t="s">
        <v>238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5">
      <c r="B75" s="15" t="s">
        <v>239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5">
      <c r="B76" s="15" t="s">
        <v>240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5">
      <c r="B77" s="15" t="s">
        <v>241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5">
      <c r="B78" s="15" t="s">
        <v>242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5">
      <c r="B79" s="15" t="s">
        <v>243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5">
      <c r="B80" s="15" t="s">
        <v>244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5">
      <c r="B81" s="15" t="s">
        <v>245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5">
      <c r="B82" s="15" t="s">
        <v>246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5">
      <c r="B83" s="15" t="s">
        <v>247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5">
      <c r="B84" s="15" t="s">
        <v>248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5">
      <c r="B85" s="15" t="s">
        <v>249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5">
      <c r="B86" s="15" t="s">
        <v>250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5">
      <c r="B87" s="15" t="s">
        <v>251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5">
      <c r="B88" s="15" t="s">
        <v>252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5">
      <c r="B89" s="15" t="s">
        <v>253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5">
      <c r="B90" s="15" t="s">
        <v>254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5">
      <c r="B91" s="15" t="s">
        <v>255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5">
      <c r="B92" s="15" t="s">
        <v>256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5">
      <c r="B93" s="15" t="s">
        <v>257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5">
      <c r="B94" s="15" t="s">
        <v>258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5">
      <c r="B95" s="15" t="s">
        <v>259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5">
      <c r="B96" s="15" t="s">
        <v>260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5">
      <c r="B97" s="15" t="s">
        <v>261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5">
      <c r="B98" s="15" t="s">
        <v>262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5">
      <c r="B99" s="15" t="s">
        <v>263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5">
      <c r="B100" s="15" t="s">
        <v>264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5">
      <c r="B101" s="15" t="s">
        <v>265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5">
      <c r="B102" s="15" t="s">
        <v>266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5">
      <c r="B103" s="15" t="s">
        <v>267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5">
      <c r="B104" s="15" t="s">
        <v>268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5">
      <c r="B105" s="15" t="s">
        <v>269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5">
      <c r="B106" s="15" t="s">
        <v>270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5">
      <c r="B107" s="15" t="s">
        <v>271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5">
      <c r="B108" s="15" t="s">
        <v>272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5">
      <c r="B109" s="15" t="s">
        <v>273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5">
      <c r="B110" s="15" t="s">
        <v>274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5">
      <c r="B111" s="15" t="s">
        <v>275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5">
      <c r="B112" s="15" t="s">
        <v>276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5">
      <c r="B113" s="15" t="s">
        <v>277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5">
      <c r="B114" s="15" t="s">
        <v>278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5">
      <c r="B115" s="15" t="s">
        <v>279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5">
      <c r="B116" s="15" t="s">
        <v>280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5">
      <c r="B117" s="15" t="s">
        <v>281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5">
      <c r="B118" s="15" t="s">
        <v>282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5">
      <c r="B119" s="15" t="s">
        <v>283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5">
      <c r="B120" s="15" t="s">
        <v>284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5">
      <c r="B121" s="15" t="s">
        <v>285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5">
      <c r="B122" s="15" t="s">
        <v>286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5">
      <c r="B123" s="15" t="s">
        <v>287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5">
      <c r="B124" s="15" t="s">
        <v>288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5">
      <c r="B125" s="15" t="s">
        <v>289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5">
      <c r="B126" s="15" t="s">
        <v>290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5">
      <c r="B127" s="15" t="s">
        <v>291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5">
      <c r="B128" s="15" t="s">
        <v>292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5">
      <c r="B129" s="15" t="s">
        <v>293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5">
      <c r="B130" s="15" t="s">
        <v>294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5">
      <c r="B131" s="15" t="s">
        <v>295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5">
      <c r="B132" s="15" t="s">
        <v>296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5">
      <c r="A133" t="s">
        <v>30</v>
      </c>
      <c r="B133" s="15" t="s">
        <v>297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5">
      <c r="A134" t="s">
        <v>31</v>
      </c>
      <c r="B134" s="15" t="s">
        <v>298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5">
      <c r="B135" s="15" t="s">
        <v>299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5">
      <c r="B136" s="15" t="s">
        <v>300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5">
      <c r="B137" s="15" t="s">
        <v>301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5">
      <c r="B138" s="15" t="s">
        <v>302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5">
      <c r="B139" s="15" t="s">
        <v>303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5">
      <c r="B140" s="15" t="s">
        <v>304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5">
      <c r="B141" s="15" t="s">
        <v>305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5">
      <c r="B142" s="15" t="s">
        <v>306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5">
      <c r="B143" s="15" t="s">
        <v>307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5">
      <c r="B144" s="15" t="s">
        <v>308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5">
      <c r="B145" s="15" t="s">
        <v>309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5">
      <c r="B146" s="15" t="s">
        <v>310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5">
      <c r="B147" s="15" t="s">
        <v>311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5">
      <c r="B148" s="15" t="s">
        <v>312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5">
      <c r="B149" s="15" t="s">
        <v>313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5">
      <c r="B150" s="15" t="s">
        <v>314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5">
      <c r="B151" s="15" t="s">
        <v>315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5">
      <c r="B152" s="15" t="s">
        <v>316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5">
      <c r="B153" s="15" t="s">
        <v>317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5">
      <c r="B154" s="15" t="s">
        <v>318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5">
      <c r="B155" s="15" t="s">
        <v>319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5">
      <c r="B156" s="15" t="s">
        <v>320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5">
      <c r="B157" s="15" t="s">
        <v>321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5">
      <c r="B158" s="15" t="s">
        <v>322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5">
      <c r="B159" s="15" t="s">
        <v>323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5">
      <c r="B160" s="15" t="s">
        <v>324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5">
      <c r="B161" s="15" t="s">
        <v>325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5">
      <c r="B162" s="15" t="s">
        <v>326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5">
      <c r="B163" s="15" t="s">
        <v>327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5">
      <c r="B164" s="15" t="s">
        <v>328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5">
      <c r="B165" s="15" t="s">
        <v>329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5">
      <c r="B166" s="15" t="s">
        <v>330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5">
      <c r="B167" s="15" t="s">
        <v>331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5">
      <c r="B168" s="15" t="s">
        <v>332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5">
      <c r="B169" s="15" t="s">
        <v>333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5">
      <c r="B170" s="15" t="s">
        <v>334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5">
      <c r="B171" s="15" t="s">
        <v>335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5">
      <c r="B172" s="15" t="s">
        <v>336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5">
      <c r="B173" s="15" t="s">
        <v>337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5">
      <c r="B174" s="15" t="s">
        <v>338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5">
      <c r="B175" s="15" t="s">
        <v>339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5">
      <c r="B176" s="15" t="s">
        <v>340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5">
      <c r="B177" s="15" t="s">
        <v>341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5">
      <c r="B178" s="15" t="s">
        <v>342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5">
      <c r="B179" s="15" t="s">
        <v>343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5">
      <c r="B180" s="15" t="s">
        <v>344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5">
      <c r="B181" s="15" t="s">
        <v>345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5">
      <c r="B182" s="15" t="s">
        <v>346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5">
      <c r="B183" s="15" t="s">
        <v>347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5">
      <c r="B184" s="15" t="s">
        <v>348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5">
      <c r="B185" s="15" t="s">
        <v>349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5">
      <c r="B186" s="15" t="s">
        <v>350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5">
      <c r="B187" s="15" t="s">
        <v>351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5">
      <c r="B188" s="15" t="s">
        <v>352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5">
      <c r="B189" s="15" t="s">
        <v>353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5">
      <c r="B190" s="15" t="s">
        <v>354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5">
      <c r="B191" s="15" t="s">
        <v>355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5">
      <c r="B192" s="15" t="s">
        <v>356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5">
      <c r="B193" s="15" t="s">
        <v>357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5">
      <c r="B194" s="15" t="s">
        <v>358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5">
      <c r="B195" s="15" t="s">
        <v>359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5">
      <c r="B196" s="15" t="s">
        <v>360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5">
      <c r="B197" s="15" t="s">
        <v>361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5">
      <c r="B198" s="15" t="s">
        <v>362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5">
      <c r="B199" s="15" t="s">
        <v>363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5">
      <c r="B200" s="15" t="s">
        <v>364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5">
      <c r="B201" s="15" t="s">
        <v>365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5">
      <c r="B202" s="15" t="s">
        <v>366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5">
      <c r="B203" s="15" t="s">
        <v>367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5">
      <c r="B204" s="15" t="s">
        <v>368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5">
      <c r="B205" s="15" t="s">
        <v>369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5">
      <c r="B206" s="15" t="s">
        <v>370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5">
      <c r="B207" s="15" t="s">
        <v>371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5">
      <c r="B208" s="15" t="s">
        <v>372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5">
      <c r="B209" s="15" t="s">
        <v>373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5">
      <c r="B210" s="15" t="s">
        <v>374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5">
      <c r="B211" s="15" t="s">
        <v>375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5">
      <c r="B212" s="15" t="s">
        <v>376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5">
      <c r="B213" s="15" t="s">
        <v>377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5">
      <c r="B214" s="15" t="s">
        <v>378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5">
      <c r="B215" s="15" t="s">
        <v>379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5">
      <c r="B216" s="15" t="s">
        <v>380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5">
      <c r="B217" s="15" t="s">
        <v>381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5">
      <c r="B218" s="15" t="s">
        <v>382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5">
      <c r="B219" s="15" t="s">
        <v>383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5">
      <c r="B220" s="15" t="s">
        <v>384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5">
      <c r="B221" s="15" t="s">
        <v>385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5">
      <c r="B222" s="15" t="s">
        <v>386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5">
      <c r="B223" s="15" t="s">
        <v>387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5">
      <c r="B224" s="15" t="s">
        <v>388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5">
      <c r="B225" s="15" t="s">
        <v>389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5">
      <c r="B226" s="15" t="s">
        <v>390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5">
      <c r="B227" s="15" t="s">
        <v>391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5">
      <c r="B228" s="15" t="s">
        <v>392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5">
      <c r="B229" s="15" t="s">
        <v>393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5">
      <c r="B230" s="15" t="s">
        <v>394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5">
      <c r="B231" s="15" t="s">
        <v>395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5">
      <c r="B232" s="15" t="s">
        <v>396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5">
      <c r="B233" s="15" t="s">
        <v>397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5">
      <c r="B234" s="15" t="s">
        <v>398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5">
      <c r="B235" s="15" t="s">
        <v>399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5">
      <c r="B236" s="15" t="s">
        <v>400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5">
      <c r="B237" s="15" t="s">
        <v>401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5">
      <c r="B238" s="15" t="s">
        <v>402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5">
      <c r="B239" s="15" t="s">
        <v>403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5">
      <c r="B240" s="15" t="s">
        <v>404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5">
      <c r="B241" s="15" t="s">
        <v>405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5">
      <c r="B242" s="15" t="s">
        <v>406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5">
      <c r="B243" s="15" t="s">
        <v>407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5">
      <c r="B244" s="15" t="s">
        <v>408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5">
      <c r="B245" s="15" t="s">
        <v>409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5">
      <c r="B246" s="15" t="s">
        <v>410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5">
      <c r="B247" s="15" t="s">
        <v>411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5">
      <c r="B248" s="15" t="s">
        <v>412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5">
      <c r="B249" s="15" t="s">
        <v>413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5">
      <c r="B250" s="15" t="s">
        <v>414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5">
      <c r="B251" s="15" t="s">
        <v>415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5">
      <c r="B252" s="15" t="s">
        <v>416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5">
      <c r="B253" s="15" t="s">
        <v>417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5">
      <c r="B254" s="15" t="s">
        <v>418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5">
      <c r="B255" s="15" t="s">
        <v>419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5">
      <c r="B256" s="15" t="s">
        <v>420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5">
      <c r="B257" s="15" t="s">
        <v>421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5">
      <c r="B258" s="15" t="s">
        <v>422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5">
      <c r="B259" s="15" t="s">
        <v>423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5">
      <c r="B260" s="15" t="s">
        <v>424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5">
      <c r="B261" s="15" t="s">
        <v>425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5">
      <c r="B262" s="15" t="s">
        <v>426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5">
      <c r="B263" s="15" t="s">
        <v>427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5">
      <c r="B264" s="15" t="s">
        <v>428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5">
      <c r="B265" s="15" t="s">
        <v>429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5">
      <c r="B266" s="15" t="s">
        <v>430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5">
      <c r="B267" s="15" t="s">
        <v>431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5">
      <c r="B268" s="15" t="s">
        <v>432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5">
      <c r="B269" s="15" t="s">
        <v>433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5">
      <c r="B270" s="15" t="s">
        <v>434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5">
      <c r="B271" s="15" t="s">
        <v>435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5">
      <c r="B272" s="15" t="s">
        <v>436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5">
      <c r="B273" s="15" t="s">
        <v>437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5">
      <c r="B274" s="15" t="s">
        <v>438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5">
      <c r="B275" s="15" t="s">
        <v>439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5">
      <c r="B276" s="15" t="s">
        <v>440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5">
      <c r="B277" s="15" t="s">
        <v>441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5">
      <c r="B278" s="15" t="s">
        <v>442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5">
      <c r="B279" s="15" t="s">
        <v>443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5">
      <c r="B280" s="15" t="s">
        <v>444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5">
      <c r="B281" s="15" t="s">
        <v>445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5">
      <c r="B282" s="15" t="s">
        <v>446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5">
      <c r="B283" s="15" t="s">
        <v>447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5">
      <c r="B284" s="15" t="s">
        <v>448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5">
      <c r="B285" s="15" t="s">
        <v>449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5">
      <c r="B286" s="15" t="s">
        <v>450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5">
      <c r="B287" s="15" t="s">
        <v>451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5">
      <c r="B288" s="15" t="s">
        <v>452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5">
      <c r="B289" s="15" t="s">
        <v>453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5">
      <c r="B290" s="15" t="s">
        <v>454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5">
      <c r="B291" s="15" t="s">
        <v>455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5">
      <c r="B292" s="15" t="s">
        <v>456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5">
      <c r="B293" s="15" t="s">
        <v>457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5">
      <c r="B294" s="15" t="s">
        <v>458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5">
      <c r="B295" s="15" t="s">
        <v>459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5">
      <c r="B296" s="15" t="s">
        <v>460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5">
      <c r="B297" s="15" t="s">
        <v>461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5">
      <c r="B298" s="15" t="s">
        <v>462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5">
      <c r="B299" s="15" t="s">
        <v>463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5">
      <c r="B300" s="15" t="s">
        <v>464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5">
      <c r="B301" s="15" t="s">
        <v>465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5">
      <c r="B302" s="15" t="s">
        <v>466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5">
      <c r="B303" s="15" t="s">
        <v>467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5">
      <c r="B304" s="15" t="s">
        <v>468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5">
      <c r="B305" s="15" t="s">
        <v>469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5">
      <c r="B306" s="15" t="s">
        <v>470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5">
      <c r="B307" s="15" t="s">
        <v>471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5">
      <c r="B308" s="15" t="s">
        <v>472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5">
      <c r="B309" s="15" t="s">
        <v>473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5">
      <c r="B310" s="15" t="s">
        <v>474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5">
      <c r="B311" s="15" t="s">
        <v>475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5">
      <c r="B312" s="15" t="s">
        <v>476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5">
      <c r="B313" s="15" t="s">
        <v>477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5">
      <c r="B314" s="15" t="s">
        <v>478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5">
      <c r="B315" s="15" t="s">
        <v>479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5">
      <c r="B316" s="15" t="s">
        <v>480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5">
      <c r="B317" s="15" t="s">
        <v>481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5">
      <c r="B318" s="15" t="s">
        <v>482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5">
      <c r="B319" s="15" t="s">
        <v>483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5">
      <c r="B320" s="15" t="s">
        <v>484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5">
      <c r="B321" s="15" t="s">
        <v>485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5">
      <c r="B322" s="15" t="s">
        <v>486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5">
      <c r="B323" s="15" t="s">
        <v>487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5">
      <c r="B324" s="15" t="s">
        <v>488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5">
      <c r="B325" s="15" t="s">
        <v>489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5">
      <c r="B326" s="15" t="s">
        <v>490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5">
      <c r="B327" s="15" t="s">
        <v>491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5">
      <c r="B328" s="15" t="s">
        <v>492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5">
      <c r="B329" s="15" t="s">
        <v>493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5">
      <c r="B330" s="15" t="s">
        <v>494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5">
      <c r="B331" s="15" t="s">
        <v>495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5">
      <c r="B332" s="15" t="s">
        <v>496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5">
      <c r="B333" s="15" t="s">
        <v>497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5">
      <c r="B334" s="15" t="s">
        <v>498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5">
      <c r="B335" s="15" t="s">
        <v>499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5">
      <c r="B336" s="15" t="s">
        <v>500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5">
      <c r="B337" s="15" t="s">
        <v>501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5">
      <c r="B338" s="15" t="s">
        <v>502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5">
      <c r="B339" s="15" t="s">
        <v>503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5">
      <c r="B340" s="15" t="s">
        <v>504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5">
      <c r="B341" s="15" t="s">
        <v>505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5">
      <c r="B342" s="15" t="s">
        <v>506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5">
      <c r="B343" s="15" t="s">
        <v>507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5">
      <c r="B344" s="15" t="s">
        <v>508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5">
      <c r="B345" s="15" t="s">
        <v>509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5">
      <c r="B346" s="15" t="s">
        <v>510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5">
      <c r="B347" s="15" t="s">
        <v>511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5">
      <c r="B348" s="15" t="s">
        <v>512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5">
      <c r="B349" s="15" t="s">
        <v>513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5">
      <c r="B350" s="15" t="s">
        <v>514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5">
      <c r="B351" s="15" t="s">
        <v>515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5">
      <c r="B352" s="15" t="s">
        <v>516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5">
      <c r="B353" s="15" t="s">
        <v>517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5">
      <c r="B354" s="15" t="s">
        <v>518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5">
      <c r="B355" s="15" t="s">
        <v>519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5">
      <c r="B356" s="15" t="s">
        <v>520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5">
      <c r="B357" s="15" t="s">
        <v>521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5">
      <c r="B358" s="15" t="s">
        <v>522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5">
      <c r="B359" s="15" t="s">
        <v>523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5">
      <c r="B360" s="15" t="s">
        <v>524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5">
      <c r="B361" s="15" t="s">
        <v>525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5">
      <c r="B362" s="15" t="s">
        <v>526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5">
      <c r="B363" s="15" t="s">
        <v>527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5">
      <c r="B364" s="15" t="s">
        <v>528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5">
      <c r="B365" s="15" t="s">
        <v>529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5">
      <c r="B366" s="15" t="s">
        <v>530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5">
      <c r="B367" s="15" t="s">
        <v>531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5">
      <c r="B368" s="15" t="s">
        <v>532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5">
      <c r="B369" s="15" t="s">
        <v>533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5">
      <c r="B370" s="15" t="s">
        <v>534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5">
      <c r="B371" s="15" t="s">
        <v>535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5">
      <c r="B372" s="15" t="s">
        <v>536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5">
      <c r="B373" s="15" t="s">
        <v>537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5">
      <c r="B374" s="15" t="s">
        <v>538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5">
      <c r="J375" s="5"/>
      <c r="O375" t="s">
        <v>34</v>
      </c>
    </row>
    <row r="376" spans="2:15" x14ac:dyDescent="0.25">
      <c r="O376" t="s">
        <v>35</v>
      </c>
    </row>
    <row r="377" spans="2:15" x14ac:dyDescent="0.25">
      <c r="O377" t="s">
        <v>39</v>
      </c>
    </row>
    <row r="378" spans="2:15" x14ac:dyDescent="0.25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18" priority="25" stopIfTrue="1">
      <formula>MOD(ROW(N9)-ROW($B$9),2)</formula>
    </cfRule>
  </conditionalFormatting>
  <conditionalFormatting sqref="O10:X60">
    <cfRule type="expression" dxfId="17" priority="64">
      <formula>MOD(ROW(O10)-ROW($O$258),2)</formula>
    </cfRule>
  </conditionalFormatting>
  <conditionalFormatting sqref="O45">
    <cfRule type="expression" dxfId="16" priority="20">
      <formula>MOD(ROW(O45)-ROW($O$258),2)</formula>
    </cfRule>
  </conditionalFormatting>
  <conditionalFormatting sqref="O46:O52">
    <cfRule type="expression" dxfId="15" priority="19">
      <formula>MOD(ROW(O46)-ROW($O$258),2)</formula>
    </cfRule>
  </conditionalFormatting>
  <conditionalFormatting sqref="P46:X46">
    <cfRule type="expression" dxfId="14" priority="18">
      <formula>MOD(ROW(P46)-ROW($O$258),2)</formula>
    </cfRule>
  </conditionalFormatting>
  <conditionalFormatting sqref="O48:X48">
    <cfRule type="expression" dxfId="13" priority="17">
      <formula>MOD(ROW(O48)-ROW($O$258),2)</formula>
    </cfRule>
  </conditionalFormatting>
  <conditionalFormatting sqref="P48:X48">
    <cfRule type="expression" dxfId="12" priority="16">
      <formula>MOD(ROW(P48)-ROW($O$258),2)</formula>
    </cfRule>
  </conditionalFormatting>
  <conditionalFormatting sqref="O49:X49">
    <cfRule type="expression" dxfId="11" priority="14">
      <formula>MOD(ROW(O49)-ROW($O$258),2)</formula>
    </cfRule>
  </conditionalFormatting>
  <conditionalFormatting sqref="O50:X50">
    <cfRule type="expression" dxfId="10" priority="13">
      <formula>MOD(ROW(O50)-ROW($O$258),2)</formula>
    </cfRule>
  </conditionalFormatting>
  <conditionalFormatting sqref="P50:X50">
    <cfRule type="expression" dxfId="9" priority="12">
      <formula>MOD(ROW(P50)-ROW($O$258),2)</formula>
    </cfRule>
  </conditionalFormatting>
  <conditionalFormatting sqref="O51:X51">
    <cfRule type="expression" dxfId="8" priority="10">
      <formula>MOD(ROW(O51)-ROW($O$258),2)</formula>
    </cfRule>
  </conditionalFormatting>
  <conditionalFormatting sqref="O52:X52">
    <cfRule type="expression" dxfId="7" priority="9">
      <formula>MOD(ROW(O52)-ROW($O$258),2)</formula>
    </cfRule>
  </conditionalFormatting>
  <conditionalFormatting sqref="O52:X52">
    <cfRule type="expression" dxfId="6" priority="8">
      <formula>MOD(ROW(O52)-ROW($O$258),2)</formula>
    </cfRule>
  </conditionalFormatting>
  <conditionalFormatting sqref="P52:X52">
    <cfRule type="expression" dxfId="5" priority="7">
      <formula>MOD(ROW(P52)-ROW($O$258),2)</formula>
    </cfRule>
  </conditionalFormatting>
  <conditionalFormatting sqref="P54:X54">
    <cfRule type="expression" dxfId="4" priority="2">
      <formula>MOD(ROW(P54)-ROW($O$258),2)</formula>
    </cfRule>
  </conditionalFormatting>
  <conditionalFormatting sqref="P53:X53">
    <cfRule type="expression" dxfId="3" priority="1">
      <formula>MOD(ROW(P53)-ROW($O$258),2)</formula>
    </cfRule>
  </conditionalFormatting>
  <conditionalFormatting sqref="J375">
    <cfRule type="expression" dxfId="2" priority="65" stopIfTrue="1">
      <formula>MOD(ROW(J375)-ROW($B$9),2)</formula>
    </cfRule>
  </conditionalFormatting>
  <conditionalFormatting sqref="B10:K374">
    <cfRule type="expression" dxfId="1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5:AC375"/>
  <sheetViews>
    <sheetView tabSelected="1" workbookViewId="0">
      <pane ySplit="9" topLeftCell="A10" activePane="bottomLeft" state="frozen"/>
      <selection pane="bottomLeft" activeCell="K5" sqref="K5"/>
    </sheetView>
  </sheetViews>
  <sheetFormatPr defaultRowHeight="13.2" x14ac:dyDescent="0.25"/>
  <cols>
    <col min="2" max="2" width="11" bestFit="1" customWidth="1"/>
    <col min="3" max="4" width="3.33203125" customWidth="1"/>
    <col min="5" max="5" width="3.33203125" bestFit="1" customWidth="1"/>
    <col min="6" max="6" width="3.33203125" customWidth="1"/>
    <col min="7" max="9" width="3.33203125" bestFit="1" customWidth="1"/>
    <col min="10" max="11" width="3.33203125" customWidth="1"/>
    <col min="12" max="12" width="4.109375" customWidth="1"/>
    <col min="13" max="13" width="3.33203125" customWidth="1"/>
    <col min="15" max="15" width="6.44140625" customWidth="1"/>
    <col min="16" max="23" width="3.33203125" style="5" bestFit="1" customWidth="1"/>
    <col min="24" max="24" width="3.33203125" style="5" customWidth="1"/>
  </cols>
  <sheetData>
    <row r="5" spans="2:26" ht="13.8" x14ac:dyDescent="0.3">
      <c r="O5" s="10"/>
    </row>
    <row r="7" spans="2:26" ht="3.6" customHeight="1" thickBot="1" x14ac:dyDescent="0.3"/>
    <row r="8" spans="2:26" ht="13.8" hidden="1" thickBot="1" x14ac:dyDescent="0.3"/>
    <row r="9" spans="2:26" ht="148.80000000000001" thickBot="1" x14ac:dyDescent="0.3"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541</v>
      </c>
      <c r="H9" s="2" t="s">
        <v>6</v>
      </c>
      <c r="I9" s="2" t="s">
        <v>540</v>
      </c>
      <c r="J9" s="4" t="s">
        <v>542</v>
      </c>
      <c r="K9" s="2" t="s">
        <v>7</v>
      </c>
      <c r="L9" s="1" t="s">
        <v>539</v>
      </c>
      <c r="M9" s="9" t="s">
        <v>23</v>
      </c>
      <c r="N9" s="15"/>
      <c r="O9" s="40" t="s">
        <v>543</v>
      </c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Crossword</v>
      </c>
      <c r="U9" s="24" t="str">
        <v>German Vocab</v>
      </c>
      <c r="V9" s="24" t="str">
        <v>German Conjugation</v>
      </c>
      <c r="W9" s="24" t="str">
        <v>German Reading/W Practice</v>
      </c>
      <c r="X9" s="25" t="str">
        <v>CSS Drill</v>
      </c>
    </row>
    <row r="10" spans="2:26" ht="13.8" thickTop="1" x14ac:dyDescent="0.25">
      <c r="B10" s="43" t="str" cm="1">
        <f t="array" aca="1" ref="B10:B14" ca="1">TEXT(DATE(2026,1,_xlfn.SEQUENCE(1+_xlfn.DAYS(TODAY(),DATE(2026,1,1)))),"dd-mmm")</f>
        <v>01-Jan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 cm="1">
        <f t="array" aca="1" ref="L10:L14" ca="1">_xlfn.BYROW(_xlfn.TAKE(Banded,,1),_xleta.WEEKNUM)</f>
        <v>1</v>
      </c>
      <c r="M10" cm="1">
        <f t="array" ref="M10:M14">_xlfn.BYROW(_xlfn.DROP(Banded,,1),_xleta.SUM)</f>
        <v>7</v>
      </c>
      <c r="O10" s="39" cm="1">
        <f t="array" aca="1" ref="O10:X11" ca="1">_xlfn.PIVOTBY(ix,,_d,_xleta.SUM,0,0)</f>
        <v>1</v>
      </c>
      <c r="P10" s="5">
        <f ca="1"/>
        <v>3</v>
      </c>
      <c r="Q10" s="5">
        <f ca="1"/>
        <v>3</v>
      </c>
      <c r="R10" s="5">
        <f ca="1"/>
        <v>0</v>
      </c>
      <c r="S10" s="5">
        <f ca="1"/>
        <v>1</v>
      </c>
      <c r="T10" s="5">
        <f ca="1"/>
        <v>3</v>
      </c>
      <c r="U10" s="5">
        <f ca="1"/>
        <v>3</v>
      </c>
      <c r="V10" s="5">
        <f ca="1"/>
        <v>3</v>
      </c>
      <c r="W10" s="5">
        <f ca="1"/>
        <v>3</v>
      </c>
      <c r="X10" s="5">
        <f ca="1"/>
        <v>3</v>
      </c>
    </row>
    <row r="11" spans="2:26" ht="13.2" customHeight="1" x14ac:dyDescent="0.25">
      <c r="B11" s="43" t="str">
        <f ca="1"/>
        <v>02-Jan</v>
      </c>
      <c r="C11" s="5">
        <v>1</v>
      </c>
      <c r="D11" s="5">
        <v>1</v>
      </c>
      <c r="E11" s="5">
        <v>0</v>
      </c>
      <c r="F11" s="5">
        <v>0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1</v>
      </c>
      <c r="M11">
        <v>7</v>
      </c>
      <c r="O11" s="39">
        <f ca="1"/>
        <v>2</v>
      </c>
      <c r="P11" s="5">
        <f ca="1"/>
        <v>2</v>
      </c>
      <c r="Q11" s="5">
        <f ca="1"/>
        <v>2</v>
      </c>
      <c r="R11" s="5">
        <f ca="1"/>
        <v>0</v>
      </c>
      <c r="S11" s="5">
        <f ca="1"/>
        <v>1</v>
      </c>
      <c r="T11" s="5">
        <f ca="1"/>
        <v>2</v>
      </c>
      <c r="U11" s="5">
        <f ca="1"/>
        <v>2</v>
      </c>
      <c r="V11" s="5">
        <f ca="1"/>
        <v>2</v>
      </c>
      <c r="W11" s="5">
        <f ca="1"/>
        <v>1</v>
      </c>
      <c r="X11" s="5">
        <f ca="1"/>
        <v>2</v>
      </c>
      <c r="Z11" t="s">
        <v>13</v>
      </c>
    </row>
    <row r="12" spans="2:26" x14ac:dyDescent="0.25">
      <c r="B12" s="43" t="str">
        <f ca="1"/>
        <v>03-Jan</v>
      </c>
      <c r="C12" s="5">
        <v>1</v>
      </c>
      <c r="D12" s="5">
        <v>1</v>
      </c>
      <c r="E12" s="5">
        <v>0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1</v>
      </c>
      <c r="M12">
        <v>8</v>
      </c>
      <c r="O12" s="39"/>
      <c r="Z12" t="s">
        <v>14</v>
      </c>
    </row>
    <row r="13" spans="2:26" x14ac:dyDescent="0.25">
      <c r="B13" s="44" t="str">
        <f ca="1"/>
        <v>04-Jan</v>
      </c>
      <c r="C13" s="5">
        <v>1</v>
      </c>
      <c r="D13" s="5">
        <v>1</v>
      </c>
      <c r="E13" s="5">
        <v>0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8</v>
      </c>
      <c r="O13" s="39"/>
      <c r="Z13" t="s">
        <v>15</v>
      </c>
    </row>
    <row r="14" spans="2:26" x14ac:dyDescent="0.25">
      <c r="B14" s="44" t="str">
        <f ca="1"/>
        <v>05-Jan</v>
      </c>
      <c r="C14" s="5">
        <v>1</v>
      </c>
      <c r="D14" s="5">
        <v>1</v>
      </c>
      <c r="E14" s="5">
        <v>0</v>
      </c>
      <c r="F14" s="5">
        <v>0</v>
      </c>
      <c r="G14" s="5">
        <v>1</v>
      </c>
      <c r="H14" s="5">
        <v>1</v>
      </c>
      <c r="I14" s="5">
        <v>1</v>
      </c>
      <c r="J14" s="5">
        <v>0</v>
      </c>
      <c r="K14" s="5">
        <v>1</v>
      </c>
      <c r="L14">
        <f ca="1"/>
        <v>2</v>
      </c>
      <c r="M14">
        <v>6</v>
      </c>
      <c r="O14" s="39"/>
    </row>
    <row r="15" spans="2:26" x14ac:dyDescent="0.25">
      <c r="B15" s="44"/>
      <c r="C15" s="5"/>
      <c r="D15" s="5"/>
      <c r="E15" s="5"/>
      <c r="F15" s="5"/>
      <c r="G15" s="5"/>
      <c r="H15" s="5"/>
      <c r="I15" s="5"/>
      <c r="J15" s="5"/>
      <c r="K15" s="5"/>
      <c r="O15" s="39"/>
    </row>
    <row r="16" spans="2:26" x14ac:dyDescent="0.25">
      <c r="B16" s="44"/>
      <c r="C16" s="5"/>
      <c r="D16" s="5"/>
      <c r="E16" s="5"/>
      <c r="F16" s="5"/>
      <c r="G16" s="5"/>
      <c r="H16" s="5"/>
      <c r="I16" s="5"/>
      <c r="J16" s="5"/>
      <c r="K16" s="5"/>
      <c r="O16" s="39"/>
    </row>
    <row r="17" spans="2:15" x14ac:dyDescent="0.25">
      <c r="B17" s="44"/>
      <c r="C17" s="5"/>
      <c r="D17" s="5"/>
      <c r="E17" s="5"/>
      <c r="F17" s="5"/>
      <c r="G17" s="5"/>
      <c r="H17" s="5"/>
      <c r="I17" s="5"/>
      <c r="J17" s="5"/>
      <c r="K17" s="5"/>
      <c r="O17" s="39"/>
    </row>
    <row r="18" spans="2:15" x14ac:dyDescent="0.25">
      <c r="B18" s="44"/>
      <c r="C18" s="5"/>
      <c r="D18" s="5"/>
      <c r="E18" s="5"/>
      <c r="F18" s="5"/>
      <c r="G18" s="5"/>
      <c r="H18" s="5"/>
      <c r="I18" s="5"/>
      <c r="J18" s="5"/>
      <c r="K18" s="5"/>
      <c r="O18" s="39"/>
    </row>
    <row r="19" spans="2:15" x14ac:dyDescent="0.25">
      <c r="B19" s="44"/>
      <c r="C19" s="5"/>
      <c r="D19" s="5"/>
      <c r="E19" s="5"/>
      <c r="F19" s="5"/>
      <c r="G19" s="5"/>
      <c r="H19" s="5"/>
      <c r="I19" s="5"/>
      <c r="J19" s="5"/>
      <c r="K19" s="5"/>
      <c r="O19" s="39"/>
    </row>
    <row r="20" spans="2:15" x14ac:dyDescent="0.25">
      <c r="B20" s="44"/>
      <c r="C20" s="5"/>
      <c r="D20" s="5"/>
      <c r="E20" s="5"/>
      <c r="F20" s="5"/>
      <c r="G20" s="5"/>
      <c r="H20" s="5"/>
      <c r="I20" s="5"/>
      <c r="J20" s="5"/>
      <c r="K20" s="5"/>
      <c r="O20" s="39"/>
    </row>
    <row r="21" spans="2:15" x14ac:dyDescent="0.25">
      <c r="B21" s="44"/>
      <c r="C21" s="5"/>
      <c r="D21" s="5"/>
      <c r="E21" s="5"/>
      <c r="F21" s="5"/>
      <c r="G21" s="5"/>
      <c r="H21" s="5"/>
      <c r="I21" s="5"/>
      <c r="J21" s="5"/>
      <c r="K21" s="5"/>
      <c r="O21" s="39"/>
    </row>
    <row r="22" spans="2:15" x14ac:dyDescent="0.25">
      <c r="B22" s="44"/>
      <c r="C22" s="5"/>
      <c r="D22" s="5"/>
      <c r="E22" s="5"/>
      <c r="F22" s="5"/>
      <c r="G22" s="5"/>
      <c r="H22" s="5"/>
      <c r="I22" s="5"/>
      <c r="J22" s="5"/>
      <c r="K22" s="5"/>
      <c r="O22" s="39"/>
    </row>
    <row r="23" spans="2:15" x14ac:dyDescent="0.25">
      <c r="B23" s="44"/>
      <c r="C23" s="5"/>
      <c r="D23" s="5"/>
      <c r="E23" s="5"/>
      <c r="F23" s="5"/>
      <c r="G23" s="5"/>
      <c r="H23" s="5"/>
      <c r="I23" s="5"/>
      <c r="J23" s="5"/>
      <c r="K23" s="5"/>
      <c r="O23" s="39"/>
    </row>
    <row r="24" spans="2:15" x14ac:dyDescent="0.25">
      <c r="B24" s="44"/>
      <c r="C24" s="5"/>
      <c r="D24" s="5"/>
      <c r="E24" s="5"/>
      <c r="F24" s="5"/>
      <c r="G24" s="5"/>
      <c r="H24" s="5"/>
      <c r="I24" s="5"/>
      <c r="J24" s="5"/>
      <c r="K24" s="5"/>
      <c r="O24" s="39"/>
    </row>
    <row r="25" spans="2:15" x14ac:dyDescent="0.25">
      <c r="B25" s="44"/>
      <c r="C25" s="5"/>
      <c r="D25" s="5"/>
      <c r="E25" s="5"/>
      <c r="F25" s="5"/>
      <c r="G25" s="5"/>
      <c r="H25" s="5"/>
      <c r="I25" s="5"/>
      <c r="J25" s="5"/>
      <c r="K25" s="5"/>
      <c r="O25" s="39"/>
    </row>
    <row r="26" spans="2:15" x14ac:dyDescent="0.25">
      <c r="B26" s="44"/>
      <c r="C26" s="5"/>
      <c r="D26" s="5"/>
      <c r="E26" s="5"/>
      <c r="F26" s="5"/>
      <c r="G26" s="5"/>
      <c r="H26" s="5"/>
      <c r="I26" s="5"/>
      <c r="J26" s="5"/>
      <c r="K26" s="5"/>
      <c r="O26" s="39"/>
    </row>
    <row r="27" spans="2:15" x14ac:dyDescent="0.25">
      <c r="B27" s="44"/>
      <c r="C27" s="5"/>
      <c r="D27" s="5"/>
      <c r="E27" s="5"/>
      <c r="F27" s="5"/>
      <c r="G27" s="5"/>
      <c r="H27" s="5"/>
      <c r="I27" s="5"/>
      <c r="J27" s="5"/>
      <c r="K27" s="5"/>
      <c r="O27" s="39"/>
    </row>
    <row r="28" spans="2:15" x14ac:dyDescent="0.25">
      <c r="B28" s="44"/>
      <c r="C28" s="5"/>
      <c r="D28" s="5"/>
      <c r="E28" s="5"/>
      <c r="F28" s="5"/>
      <c r="G28" s="5"/>
      <c r="H28" s="5"/>
      <c r="I28" s="5"/>
      <c r="J28" s="5"/>
      <c r="K28" s="5"/>
      <c r="O28" s="39"/>
    </row>
    <row r="29" spans="2:15" x14ac:dyDescent="0.25">
      <c r="B29" s="44"/>
      <c r="C29" s="5"/>
      <c r="D29" s="5"/>
      <c r="E29" s="5"/>
      <c r="F29" s="5"/>
      <c r="G29" s="5"/>
      <c r="H29" s="5"/>
      <c r="I29" s="5"/>
      <c r="J29" s="5"/>
      <c r="K29" s="5"/>
      <c r="O29" s="39"/>
    </row>
    <row r="30" spans="2:15" x14ac:dyDescent="0.25">
      <c r="B30" s="43"/>
      <c r="C30" s="5"/>
      <c r="D30" s="5"/>
      <c r="E30" s="5"/>
      <c r="F30" s="5"/>
      <c r="G30" s="5"/>
      <c r="H30" s="5"/>
      <c r="I30" s="5"/>
      <c r="J30" s="5"/>
      <c r="K30" s="5"/>
      <c r="O30" s="39"/>
    </row>
    <row r="31" spans="2:15" x14ac:dyDescent="0.25">
      <c r="B31" s="43"/>
      <c r="C31" s="5"/>
      <c r="D31" s="5"/>
      <c r="E31" s="5"/>
      <c r="F31" s="5"/>
      <c r="G31" s="5"/>
      <c r="H31" s="5"/>
      <c r="I31" s="5"/>
      <c r="J31" s="5"/>
      <c r="K31" s="5"/>
      <c r="O31" s="39"/>
    </row>
    <row r="32" spans="2:15" x14ac:dyDescent="0.25">
      <c r="B32" s="43"/>
      <c r="C32" s="5"/>
      <c r="D32" s="5"/>
      <c r="E32" s="5"/>
      <c r="F32" s="5"/>
      <c r="G32" s="5"/>
      <c r="H32" s="5"/>
      <c r="I32" s="5"/>
      <c r="J32" s="5"/>
      <c r="K32" s="5"/>
      <c r="O32" s="39"/>
    </row>
    <row r="33" spans="2:15" x14ac:dyDescent="0.25">
      <c r="B33" s="43"/>
      <c r="C33" s="5"/>
      <c r="D33" s="5"/>
      <c r="E33" s="5"/>
      <c r="F33" s="5"/>
      <c r="G33" s="5"/>
      <c r="H33" s="5"/>
      <c r="I33" s="5"/>
      <c r="J33" s="5"/>
      <c r="K33" s="5"/>
      <c r="O33" s="39"/>
    </row>
    <row r="34" spans="2:15" x14ac:dyDescent="0.25">
      <c r="B34" s="43"/>
      <c r="C34" s="5"/>
      <c r="D34" s="5"/>
      <c r="E34" s="5"/>
      <c r="F34" s="5"/>
      <c r="G34" s="5"/>
      <c r="H34" s="5"/>
      <c r="I34" s="5"/>
      <c r="J34" s="5"/>
      <c r="K34" s="5"/>
      <c r="O34" s="39"/>
    </row>
    <row r="35" spans="2:15" x14ac:dyDescent="0.25">
      <c r="B35" s="43"/>
      <c r="C35" s="5"/>
      <c r="D35" s="5"/>
      <c r="E35" s="5"/>
      <c r="F35" s="5"/>
      <c r="G35" s="5"/>
      <c r="H35" s="5"/>
      <c r="I35" s="5"/>
      <c r="J35" s="5"/>
      <c r="K35" s="5"/>
      <c r="O35" s="39"/>
    </row>
    <row r="36" spans="2:15" x14ac:dyDescent="0.25">
      <c r="B36" s="43"/>
      <c r="C36" s="5"/>
      <c r="D36" s="5"/>
      <c r="E36" s="5"/>
      <c r="F36" s="5"/>
      <c r="G36" s="5"/>
      <c r="H36" s="5"/>
      <c r="I36" s="5"/>
      <c r="J36" s="5"/>
      <c r="K36" s="5"/>
      <c r="O36" s="39"/>
    </row>
    <row r="37" spans="2:15" x14ac:dyDescent="0.25">
      <c r="B37" s="43"/>
      <c r="C37" s="5"/>
      <c r="D37" s="5"/>
      <c r="E37" s="5"/>
      <c r="F37" s="5"/>
      <c r="G37" s="5"/>
      <c r="H37" s="5"/>
      <c r="I37" s="5"/>
      <c r="J37" s="5"/>
      <c r="K37" s="5"/>
      <c r="O37" s="39"/>
    </row>
    <row r="38" spans="2:15" x14ac:dyDescent="0.25">
      <c r="B38" s="43"/>
      <c r="C38" s="5"/>
      <c r="D38" s="5"/>
      <c r="E38" s="5"/>
      <c r="F38" s="5"/>
      <c r="G38" s="5"/>
      <c r="H38" s="5"/>
      <c r="I38" s="5"/>
      <c r="J38" s="5"/>
      <c r="K38" s="5"/>
      <c r="O38" s="39"/>
    </row>
    <row r="39" spans="2:15" x14ac:dyDescent="0.25">
      <c r="B39" s="43"/>
      <c r="C39" s="5"/>
      <c r="D39" s="5"/>
      <c r="E39" s="5"/>
      <c r="F39" s="5"/>
      <c r="G39" s="5"/>
      <c r="H39" s="5"/>
      <c r="I39" s="5"/>
      <c r="J39" s="5"/>
      <c r="K39" s="5"/>
      <c r="O39" s="39"/>
    </row>
    <row r="40" spans="2:15" x14ac:dyDescent="0.25">
      <c r="B40" s="43"/>
      <c r="C40" s="5"/>
      <c r="D40" s="5"/>
      <c r="E40" s="5"/>
      <c r="F40" s="5"/>
      <c r="G40" s="5"/>
      <c r="H40" s="5"/>
      <c r="I40" s="5"/>
      <c r="J40" s="5"/>
      <c r="K40" s="5"/>
      <c r="O40" s="39"/>
    </row>
    <row r="41" spans="2:15" x14ac:dyDescent="0.25">
      <c r="B41" s="43"/>
      <c r="C41" s="5"/>
      <c r="D41" s="5"/>
      <c r="E41" s="5"/>
      <c r="F41" s="5"/>
      <c r="G41" s="5"/>
      <c r="H41" s="5"/>
      <c r="I41" s="5"/>
      <c r="J41" s="5"/>
      <c r="K41" s="5"/>
      <c r="O41" s="39"/>
    </row>
    <row r="42" spans="2:15" x14ac:dyDescent="0.25">
      <c r="B42" s="43"/>
      <c r="C42" s="5"/>
      <c r="D42" s="5"/>
      <c r="E42" s="5"/>
      <c r="F42" s="5"/>
      <c r="G42" s="5"/>
      <c r="H42" s="5"/>
      <c r="I42" s="5"/>
      <c r="J42" s="5"/>
      <c r="K42" s="5"/>
      <c r="O42" s="39"/>
    </row>
    <row r="43" spans="2:15" x14ac:dyDescent="0.25">
      <c r="B43" s="43"/>
      <c r="C43" s="5"/>
      <c r="D43" s="5"/>
      <c r="E43" s="5"/>
      <c r="F43" s="5"/>
      <c r="G43" s="5"/>
      <c r="H43" s="5"/>
      <c r="I43" s="5"/>
      <c r="J43" s="5"/>
      <c r="K43" s="5"/>
      <c r="O43" s="39"/>
    </row>
    <row r="44" spans="2:15" x14ac:dyDescent="0.25">
      <c r="B44" s="43"/>
      <c r="C44" s="5"/>
      <c r="D44" s="5"/>
      <c r="E44" s="5"/>
      <c r="F44" s="5"/>
      <c r="G44" s="5"/>
      <c r="H44" s="5"/>
      <c r="I44" s="5"/>
      <c r="J44" s="5"/>
      <c r="K44" s="5"/>
      <c r="O44" s="39"/>
    </row>
    <row r="45" spans="2:15" x14ac:dyDescent="0.25">
      <c r="B45" s="43"/>
      <c r="C45" s="5"/>
      <c r="D45" s="5"/>
      <c r="E45" s="5"/>
      <c r="F45" s="5"/>
      <c r="G45" s="5"/>
      <c r="H45" s="5"/>
      <c r="I45" s="5"/>
      <c r="J45" s="5"/>
      <c r="K45" s="5"/>
      <c r="O45" s="39"/>
    </row>
    <row r="46" spans="2:15" x14ac:dyDescent="0.25">
      <c r="B46" s="43"/>
      <c r="C46" s="5"/>
      <c r="D46" s="5"/>
      <c r="E46" s="5"/>
      <c r="F46" s="5"/>
      <c r="G46" s="5"/>
      <c r="H46" s="5"/>
      <c r="I46" s="5"/>
      <c r="J46" s="5"/>
      <c r="K46" s="5"/>
      <c r="O46" s="39"/>
    </row>
    <row r="47" spans="2:15" x14ac:dyDescent="0.25">
      <c r="B47" s="43"/>
      <c r="C47" s="5"/>
      <c r="D47" s="5"/>
      <c r="E47" s="5"/>
      <c r="F47" s="5"/>
      <c r="G47" s="5"/>
      <c r="H47" s="5"/>
      <c r="I47" s="5"/>
      <c r="J47" s="5"/>
      <c r="K47" s="5"/>
      <c r="O47" s="39"/>
    </row>
    <row r="48" spans="2:15" x14ac:dyDescent="0.25">
      <c r="B48" s="43"/>
      <c r="C48" s="5"/>
      <c r="D48" s="5"/>
      <c r="E48" s="5"/>
      <c r="F48" s="5"/>
      <c r="G48" s="5"/>
      <c r="H48" s="5"/>
      <c r="I48" s="5"/>
      <c r="J48" s="5"/>
      <c r="K48" s="5"/>
      <c r="O48" s="39"/>
    </row>
    <row r="49" spans="2:15" x14ac:dyDescent="0.25">
      <c r="B49" s="43"/>
      <c r="C49" s="5"/>
      <c r="D49" s="5"/>
      <c r="E49" s="5"/>
      <c r="F49" s="5"/>
      <c r="G49" s="5"/>
      <c r="H49" s="5"/>
      <c r="I49" s="5"/>
      <c r="J49" s="5"/>
      <c r="K49" s="5"/>
      <c r="O49" s="39"/>
    </row>
    <row r="50" spans="2:15" x14ac:dyDescent="0.25">
      <c r="B50" s="43"/>
      <c r="C50" s="5"/>
      <c r="D50" s="5"/>
      <c r="E50" s="5"/>
      <c r="F50" s="5"/>
      <c r="G50" s="5"/>
      <c r="H50" s="5"/>
      <c r="I50" s="5"/>
      <c r="J50" s="5"/>
      <c r="K50" s="5"/>
      <c r="O50" s="39"/>
    </row>
    <row r="51" spans="2:15" x14ac:dyDescent="0.25">
      <c r="B51" s="43"/>
      <c r="C51" s="5"/>
      <c r="D51" s="5"/>
      <c r="E51" s="5"/>
      <c r="F51" s="5"/>
      <c r="G51" s="5"/>
      <c r="H51" s="5"/>
      <c r="I51" s="5"/>
      <c r="J51" s="5"/>
      <c r="K51" s="5"/>
      <c r="O51" s="39"/>
    </row>
    <row r="52" spans="2:15" x14ac:dyDescent="0.25">
      <c r="B52" s="43"/>
      <c r="C52" s="5"/>
      <c r="D52" s="5"/>
      <c r="E52" s="5"/>
      <c r="F52" s="5"/>
      <c r="G52" s="5"/>
      <c r="H52" s="5"/>
      <c r="I52" s="5"/>
      <c r="J52" s="5"/>
      <c r="K52" s="5"/>
      <c r="O52" s="39"/>
    </row>
    <row r="53" spans="2:15" x14ac:dyDescent="0.25">
      <c r="B53" s="43"/>
      <c r="C53" s="5"/>
      <c r="D53" s="5"/>
      <c r="E53" s="5"/>
      <c r="F53" s="5"/>
      <c r="G53" s="5"/>
      <c r="H53" s="5"/>
      <c r="I53" s="5"/>
      <c r="J53" s="5"/>
      <c r="K53" s="5"/>
      <c r="O53" s="39"/>
    </row>
    <row r="54" spans="2:15" x14ac:dyDescent="0.25">
      <c r="B54" s="43"/>
      <c r="C54" s="5"/>
      <c r="D54" s="5"/>
      <c r="E54" s="5"/>
      <c r="F54" s="5"/>
      <c r="G54" s="5"/>
      <c r="H54" s="5"/>
      <c r="I54" s="5"/>
      <c r="J54" s="5"/>
      <c r="K54" s="5"/>
      <c r="O54" s="39"/>
    </row>
    <row r="55" spans="2:15" x14ac:dyDescent="0.25">
      <c r="B55" s="43"/>
      <c r="C55" s="5"/>
      <c r="D55" s="5"/>
      <c r="E55" s="5"/>
      <c r="F55" s="5"/>
      <c r="G55" s="5"/>
      <c r="H55" s="5"/>
      <c r="I55" s="5"/>
      <c r="J55" s="5"/>
      <c r="K55" s="5"/>
      <c r="O55" s="39"/>
    </row>
    <row r="56" spans="2:15" x14ac:dyDescent="0.25">
      <c r="B56" s="43"/>
      <c r="C56" s="5"/>
      <c r="D56" s="5"/>
      <c r="E56" s="5"/>
      <c r="F56" s="5"/>
      <c r="G56" s="5"/>
      <c r="H56" s="5"/>
      <c r="I56" s="5"/>
      <c r="J56" s="5"/>
      <c r="K56" s="5"/>
      <c r="O56" s="39"/>
    </row>
    <row r="57" spans="2:15" x14ac:dyDescent="0.25">
      <c r="B57" s="43"/>
      <c r="C57" s="5"/>
      <c r="D57" s="5"/>
      <c r="E57" s="5"/>
      <c r="F57" s="5"/>
      <c r="G57" s="5"/>
      <c r="H57" s="5"/>
      <c r="I57" s="5"/>
      <c r="J57" s="5"/>
      <c r="K57" s="5"/>
      <c r="O57" s="39"/>
    </row>
    <row r="58" spans="2:15" x14ac:dyDescent="0.25">
      <c r="B58" s="43"/>
      <c r="C58" s="5"/>
      <c r="D58" s="5"/>
      <c r="E58" s="5"/>
      <c r="F58" s="5"/>
      <c r="G58" s="5"/>
      <c r="H58" s="5"/>
      <c r="I58" s="5"/>
      <c r="J58" s="5"/>
      <c r="K58" s="5"/>
      <c r="O58" s="39"/>
    </row>
    <row r="59" spans="2:15" x14ac:dyDescent="0.25">
      <c r="B59" s="43"/>
      <c r="C59" s="5"/>
      <c r="D59" s="5"/>
      <c r="E59" s="5"/>
      <c r="F59" s="5"/>
      <c r="G59" s="5"/>
      <c r="H59" s="5"/>
      <c r="I59" s="5"/>
      <c r="J59" s="5"/>
      <c r="K59" s="5"/>
      <c r="O59" s="39"/>
    </row>
    <row r="60" spans="2:15" x14ac:dyDescent="0.25">
      <c r="B60" s="43"/>
      <c r="C60" s="5"/>
      <c r="D60" s="5"/>
      <c r="E60" s="5"/>
      <c r="F60" s="5"/>
      <c r="G60" s="5"/>
      <c r="H60" s="5"/>
      <c r="I60" s="5"/>
      <c r="J60" s="5"/>
      <c r="K60" s="5"/>
      <c r="O60" s="39"/>
    </row>
    <row r="61" spans="2:15" x14ac:dyDescent="0.25">
      <c r="B61" s="43"/>
      <c r="C61" s="5"/>
      <c r="D61" s="5"/>
      <c r="E61" s="5"/>
      <c r="F61" s="5"/>
      <c r="G61" s="5"/>
      <c r="H61" s="5"/>
      <c r="I61" s="5"/>
      <c r="J61" s="5"/>
      <c r="K61" s="5"/>
      <c r="O61" s="39"/>
    </row>
    <row r="62" spans="2:15" x14ac:dyDescent="0.25">
      <c r="B62" s="43"/>
      <c r="C62" s="5"/>
      <c r="D62" s="5"/>
      <c r="E62" s="5"/>
      <c r="F62" s="5"/>
      <c r="G62" s="5"/>
      <c r="H62" s="5"/>
      <c r="I62" s="5"/>
      <c r="J62" s="5"/>
      <c r="K62" s="5"/>
      <c r="O62" s="39"/>
    </row>
    <row r="63" spans="2:15" x14ac:dyDescent="0.25">
      <c r="B63" s="43"/>
      <c r="C63" s="5"/>
      <c r="D63" s="5"/>
      <c r="E63" s="5"/>
      <c r="F63" s="5"/>
      <c r="G63" s="5"/>
      <c r="H63" s="5"/>
      <c r="I63" s="5"/>
      <c r="J63" s="5"/>
      <c r="K63" s="5"/>
      <c r="O63" s="39"/>
    </row>
    <row r="64" spans="2:15" x14ac:dyDescent="0.25">
      <c r="B64" s="43"/>
      <c r="C64" s="5"/>
      <c r="D64" s="5"/>
      <c r="E64" s="5"/>
      <c r="F64" s="5"/>
      <c r="G64" s="5"/>
      <c r="H64" s="5"/>
      <c r="I64" s="5"/>
      <c r="J64" s="5"/>
      <c r="K64" s="5"/>
      <c r="O64" s="39"/>
    </row>
    <row r="65" spans="2:15" x14ac:dyDescent="0.25">
      <c r="B65" s="43"/>
      <c r="C65" s="5"/>
      <c r="D65" s="5"/>
      <c r="E65" s="5"/>
      <c r="F65" s="5"/>
      <c r="G65" s="5"/>
      <c r="H65" s="5"/>
      <c r="I65" s="5"/>
      <c r="J65" s="5"/>
      <c r="K65" s="5"/>
      <c r="O65" s="39"/>
    </row>
    <row r="66" spans="2:15" x14ac:dyDescent="0.25">
      <c r="B66" s="43"/>
      <c r="C66" s="5"/>
      <c r="D66" s="5"/>
      <c r="E66" s="5"/>
      <c r="F66" s="5"/>
      <c r="G66" s="5"/>
      <c r="H66" s="5"/>
      <c r="I66" s="5"/>
      <c r="J66" s="5"/>
      <c r="K66" s="5"/>
      <c r="O66" s="39"/>
    </row>
    <row r="67" spans="2:15" x14ac:dyDescent="0.25">
      <c r="B67" s="43"/>
      <c r="C67" s="5"/>
      <c r="D67" s="5"/>
      <c r="E67" s="5"/>
      <c r="F67" s="5"/>
      <c r="G67" s="5"/>
      <c r="H67" s="5"/>
      <c r="I67" s="5"/>
      <c r="J67" s="5"/>
      <c r="K67" s="5"/>
      <c r="O67" s="39"/>
    </row>
    <row r="68" spans="2:15" x14ac:dyDescent="0.25">
      <c r="B68" s="43"/>
      <c r="C68" s="5"/>
      <c r="D68" s="5"/>
      <c r="E68" s="5"/>
      <c r="F68" s="5"/>
      <c r="G68" s="5"/>
      <c r="H68" s="5"/>
      <c r="I68" s="5"/>
      <c r="J68" s="5"/>
      <c r="K68" s="5"/>
      <c r="O68" s="39"/>
    </row>
    <row r="69" spans="2:15" x14ac:dyDescent="0.25">
      <c r="B69" s="43"/>
      <c r="C69" s="5"/>
      <c r="D69" s="5"/>
      <c r="E69" s="5"/>
      <c r="F69" s="5"/>
      <c r="G69" s="5"/>
      <c r="H69" s="5"/>
      <c r="I69" s="5"/>
      <c r="J69" s="5"/>
      <c r="K69" s="5"/>
      <c r="O69" s="39"/>
    </row>
    <row r="70" spans="2:15" x14ac:dyDescent="0.25">
      <c r="B70" s="43"/>
      <c r="C70" s="5"/>
      <c r="D70" s="5"/>
      <c r="E70" s="5"/>
      <c r="F70" s="5"/>
      <c r="G70" s="5"/>
      <c r="H70" s="5"/>
      <c r="I70" s="5"/>
      <c r="J70" s="5"/>
      <c r="K70" s="5"/>
      <c r="O70" s="39"/>
    </row>
    <row r="71" spans="2:15" x14ac:dyDescent="0.25">
      <c r="B71" s="43"/>
      <c r="C71" s="5"/>
      <c r="D71" s="5"/>
      <c r="E71" s="5"/>
      <c r="F71" s="5"/>
      <c r="G71" s="5"/>
      <c r="H71" s="5"/>
      <c r="I71" s="5"/>
      <c r="J71" s="5"/>
      <c r="K71" s="5"/>
      <c r="O71" s="39"/>
    </row>
    <row r="72" spans="2:15" x14ac:dyDescent="0.25">
      <c r="B72" s="43"/>
      <c r="C72" s="5"/>
      <c r="D72" s="5"/>
      <c r="E72" s="5"/>
      <c r="F72" s="5"/>
      <c r="G72" s="5"/>
      <c r="H72" s="5"/>
      <c r="I72" s="5"/>
      <c r="J72" s="5"/>
      <c r="K72" s="5"/>
      <c r="O72" s="39"/>
    </row>
    <row r="73" spans="2:15" x14ac:dyDescent="0.25">
      <c r="B73" s="43"/>
      <c r="C73" s="5"/>
      <c r="D73" s="5"/>
      <c r="E73" s="5"/>
      <c r="F73" s="5"/>
      <c r="G73" s="5"/>
      <c r="H73" s="5"/>
      <c r="I73" s="5"/>
      <c r="J73" s="5"/>
      <c r="K73" s="5"/>
      <c r="O73" s="39"/>
    </row>
    <row r="74" spans="2:15" x14ac:dyDescent="0.25">
      <c r="B74" s="43"/>
      <c r="C74" s="5"/>
      <c r="D74" s="5"/>
      <c r="E74" s="5"/>
      <c r="F74" s="5"/>
      <c r="G74" s="5"/>
      <c r="H74" s="5"/>
      <c r="I74" s="5"/>
      <c r="J74" s="5"/>
      <c r="K74" s="5"/>
      <c r="O74" s="39"/>
    </row>
    <row r="75" spans="2:15" x14ac:dyDescent="0.25">
      <c r="B75" s="43"/>
      <c r="C75" s="5"/>
      <c r="D75" s="5"/>
      <c r="E75" s="5"/>
      <c r="F75" s="5"/>
      <c r="G75" s="5"/>
      <c r="H75" s="5"/>
      <c r="I75" s="5"/>
      <c r="J75" s="5"/>
      <c r="K75" s="5"/>
      <c r="O75" s="39"/>
    </row>
    <row r="76" spans="2:15" x14ac:dyDescent="0.25">
      <c r="B76" s="43"/>
      <c r="C76" s="5"/>
      <c r="D76" s="5"/>
      <c r="E76" s="5"/>
      <c r="F76" s="5"/>
      <c r="G76" s="5"/>
      <c r="H76" s="5"/>
      <c r="I76" s="5"/>
      <c r="J76" s="5"/>
      <c r="K76" s="5"/>
      <c r="O76" s="39"/>
    </row>
    <row r="77" spans="2:15" x14ac:dyDescent="0.25">
      <c r="B77" s="43"/>
      <c r="C77" s="5"/>
      <c r="D77" s="5"/>
      <c r="E77" s="5"/>
      <c r="F77" s="5"/>
      <c r="G77" s="5"/>
      <c r="H77" s="5"/>
      <c r="I77" s="5"/>
      <c r="J77" s="5"/>
      <c r="K77" s="5"/>
      <c r="O77" s="39"/>
    </row>
    <row r="78" spans="2:15" x14ac:dyDescent="0.25">
      <c r="B78" s="43"/>
      <c r="C78" s="5"/>
      <c r="D78" s="5"/>
      <c r="E78" s="5"/>
      <c r="F78" s="5"/>
      <c r="G78" s="5"/>
      <c r="H78" s="5"/>
      <c r="I78" s="5"/>
      <c r="J78" s="5"/>
      <c r="K78" s="5"/>
      <c r="O78" s="39"/>
    </row>
    <row r="79" spans="2:15" x14ac:dyDescent="0.25">
      <c r="B79" s="43"/>
      <c r="C79" s="5"/>
      <c r="D79" s="5"/>
      <c r="E79" s="5"/>
      <c r="F79" s="5"/>
      <c r="G79" s="5"/>
      <c r="H79" s="5"/>
      <c r="I79" s="5"/>
      <c r="J79" s="5"/>
      <c r="K79" s="5"/>
      <c r="O79" s="39"/>
    </row>
    <row r="80" spans="2:15" x14ac:dyDescent="0.25">
      <c r="B80" s="43"/>
      <c r="C80" s="5"/>
      <c r="D80" s="5"/>
      <c r="E80" s="5"/>
      <c r="F80" s="5"/>
      <c r="G80" s="5"/>
      <c r="H80" s="5"/>
      <c r="I80" s="5"/>
      <c r="J80" s="5"/>
      <c r="K80" s="5"/>
      <c r="O80" s="39"/>
    </row>
    <row r="81" spans="2:15" x14ac:dyDescent="0.25">
      <c r="B81" s="43"/>
      <c r="C81" s="5"/>
      <c r="D81" s="5"/>
      <c r="E81" s="5"/>
      <c r="F81" s="5"/>
      <c r="G81" s="5"/>
      <c r="H81" s="5"/>
      <c r="I81" s="5"/>
      <c r="J81" s="5"/>
      <c r="K81" s="5"/>
      <c r="O81" s="39"/>
    </row>
    <row r="82" spans="2:15" x14ac:dyDescent="0.25">
      <c r="B82" s="43"/>
      <c r="C82" s="5"/>
      <c r="D82" s="5"/>
      <c r="E82" s="5"/>
      <c r="F82" s="5"/>
      <c r="G82" s="5"/>
      <c r="H82" s="5"/>
      <c r="I82" s="5"/>
      <c r="J82" s="5"/>
      <c r="K82" s="5"/>
      <c r="O82" s="39"/>
    </row>
    <row r="83" spans="2:15" x14ac:dyDescent="0.25">
      <c r="B83" s="43"/>
      <c r="C83" s="5"/>
      <c r="D83" s="5"/>
      <c r="E83" s="5"/>
      <c r="F83" s="5"/>
      <c r="G83" s="5"/>
      <c r="H83" s="5"/>
      <c r="I83" s="5"/>
      <c r="J83" s="5"/>
      <c r="K83" s="5"/>
      <c r="O83" s="39"/>
    </row>
    <row r="84" spans="2:15" x14ac:dyDescent="0.25">
      <c r="B84" s="43"/>
      <c r="C84" s="5"/>
      <c r="D84" s="5"/>
      <c r="E84" s="5"/>
      <c r="F84" s="5"/>
      <c r="G84" s="5"/>
      <c r="H84" s="5"/>
      <c r="I84" s="5"/>
      <c r="J84" s="5"/>
      <c r="K84" s="5"/>
      <c r="O84" s="39"/>
    </row>
    <row r="85" spans="2:15" x14ac:dyDescent="0.25">
      <c r="B85" s="43"/>
      <c r="C85" s="5"/>
      <c r="D85" s="5"/>
      <c r="E85" s="5"/>
      <c r="F85" s="5"/>
      <c r="G85" s="5"/>
      <c r="H85" s="5"/>
      <c r="I85" s="5"/>
      <c r="J85" s="5"/>
      <c r="K85" s="5"/>
      <c r="O85" s="39"/>
    </row>
    <row r="86" spans="2:15" x14ac:dyDescent="0.25">
      <c r="B86" s="43"/>
      <c r="C86" s="5"/>
      <c r="D86" s="5"/>
      <c r="E86" s="5"/>
      <c r="F86" s="5"/>
      <c r="G86" s="5"/>
      <c r="H86" s="5"/>
      <c r="I86" s="5"/>
      <c r="J86" s="5"/>
      <c r="K86" s="5"/>
      <c r="O86" s="39"/>
    </row>
    <row r="87" spans="2:15" x14ac:dyDescent="0.25">
      <c r="B87" s="43"/>
      <c r="C87" s="5"/>
      <c r="D87" s="5"/>
      <c r="E87" s="5"/>
      <c r="F87" s="5"/>
      <c r="G87" s="5"/>
      <c r="H87" s="5"/>
      <c r="I87" s="5"/>
      <c r="J87" s="5"/>
      <c r="K87" s="5"/>
      <c r="O87" s="39"/>
    </row>
    <row r="88" spans="2:15" x14ac:dyDescent="0.25">
      <c r="B88" s="43"/>
      <c r="C88" s="5"/>
      <c r="D88" s="5"/>
      <c r="E88" s="5"/>
      <c r="F88" s="5"/>
      <c r="G88" s="5"/>
      <c r="H88" s="5"/>
      <c r="I88" s="5"/>
      <c r="J88" s="5"/>
      <c r="K88" s="5"/>
      <c r="O88" s="39"/>
    </row>
    <row r="89" spans="2:15" x14ac:dyDescent="0.25">
      <c r="B89" s="43"/>
      <c r="C89" s="5"/>
      <c r="D89" s="5"/>
      <c r="E89" s="5"/>
      <c r="F89" s="5"/>
      <c r="G89" s="5"/>
      <c r="H89" s="5"/>
      <c r="I89" s="5"/>
      <c r="J89" s="5"/>
      <c r="K89" s="5"/>
      <c r="O89" s="39"/>
    </row>
    <row r="90" spans="2:15" x14ac:dyDescent="0.25">
      <c r="B90" s="43"/>
      <c r="C90" s="5"/>
      <c r="D90" s="5"/>
      <c r="E90" s="5"/>
      <c r="F90" s="5"/>
      <c r="G90" s="5"/>
      <c r="H90" s="5"/>
      <c r="I90" s="5"/>
      <c r="J90" s="5"/>
      <c r="K90" s="5"/>
      <c r="O90" s="39"/>
    </row>
    <row r="91" spans="2:15" x14ac:dyDescent="0.25">
      <c r="B91" s="43"/>
      <c r="C91" s="5"/>
      <c r="D91" s="5"/>
      <c r="E91" s="5"/>
      <c r="F91" s="5"/>
      <c r="G91" s="5"/>
      <c r="H91" s="5"/>
      <c r="I91" s="5"/>
      <c r="J91" s="5"/>
      <c r="K91" s="5"/>
      <c r="O91" s="39"/>
    </row>
    <row r="92" spans="2:15" x14ac:dyDescent="0.25">
      <c r="B92" s="43"/>
      <c r="C92" s="5"/>
      <c r="D92" s="5"/>
      <c r="E92" s="5"/>
      <c r="F92" s="5"/>
      <c r="G92" s="5"/>
      <c r="H92" s="5"/>
      <c r="I92" s="5"/>
      <c r="J92" s="5"/>
      <c r="K92" s="5"/>
      <c r="O92" s="39"/>
    </row>
    <row r="93" spans="2:15" x14ac:dyDescent="0.25">
      <c r="B93" s="43"/>
      <c r="C93" s="5"/>
      <c r="D93" s="5"/>
      <c r="E93" s="5"/>
      <c r="F93" s="5"/>
      <c r="G93" s="5"/>
      <c r="H93" s="5"/>
      <c r="I93" s="5"/>
      <c r="J93" s="5"/>
      <c r="K93" s="5"/>
      <c r="O93" s="39"/>
    </row>
    <row r="94" spans="2:15" x14ac:dyDescent="0.25">
      <c r="B94" s="43"/>
      <c r="C94" s="5"/>
      <c r="D94" s="5"/>
      <c r="E94" s="5"/>
      <c r="F94" s="5"/>
      <c r="G94" s="5"/>
      <c r="H94" s="5"/>
      <c r="I94" s="5"/>
      <c r="J94" s="5"/>
      <c r="K94" s="5"/>
      <c r="O94" s="39"/>
    </row>
    <row r="95" spans="2:15" x14ac:dyDescent="0.25">
      <c r="B95" s="43"/>
      <c r="C95" s="5"/>
      <c r="D95" s="5"/>
      <c r="E95" s="5"/>
      <c r="F95" s="5"/>
      <c r="G95" s="5"/>
      <c r="H95" s="5"/>
      <c r="I95" s="5"/>
      <c r="J95" s="5"/>
      <c r="K95" s="5"/>
      <c r="O95" s="39"/>
    </row>
    <row r="96" spans="2:15" x14ac:dyDescent="0.25">
      <c r="B96" s="43"/>
      <c r="C96" s="5"/>
      <c r="D96" s="5"/>
      <c r="E96" s="5"/>
      <c r="F96" s="5"/>
      <c r="G96" s="5"/>
      <c r="H96" s="5"/>
      <c r="I96" s="5"/>
      <c r="J96" s="5"/>
      <c r="K96" s="5"/>
      <c r="O96" s="39"/>
    </row>
    <row r="97" spans="2:24" x14ac:dyDescent="0.25">
      <c r="B97" s="43"/>
      <c r="C97" s="5"/>
      <c r="D97" s="5"/>
      <c r="E97" s="5"/>
      <c r="F97" s="5"/>
      <c r="G97" s="5"/>
      <c r="H97" s="5"/>
      <c r="I97" s="5"/>
      <c r="J97" s="5"/>
      <c r="K97" s="5"/>
      <c r="O97" s="39"/>
    </row>
    <row r="98" spans="2:24" x14ac:dyDescent="0.25">
      <c r="B98" s="43"/>
      <c r="C98" s="5"/>
      <c r="D98" s="5"/>
      <c r="E98" s="5"/>
      <c r="F98" s="5"/>
      <c r="G98" s="5"/>
      <c r="H98" s="5"/>
      <c r="I98" s="5"/>
      <c r="J98" s="5"/>
      <c r="K98" s="5"/>
      <c r="O98" s="39"/>
    </row>
    <row r="99" spans="2:24" x14ac:dyDescent="0.25">
      <c r="B99" s="43"/>
      <c r="C99" s="5"/>
      <c r="D99" s="5"/>
      <c r="E99" s="5"/>
      <c r="F99" s="5"/>
      <c r="G99" s="5"/>
      <c r="H99" s="5"/>
      <c r="I99" s="5"/>
      <c r="J99" s="5"/>
      <c r="K99" s="5"/>
      <c r="O99" s="39"/>
    </row>
    <row r="100" spans="2:24" x14ac:dyDescent="0.25">
      <c r="B100" s="43"/>
      <c r="C100" s="5"/>
      <c r="D100" s="5"/>
      <c r="E100" s="5"/>
      <c r="F100" s="5"/>
      <c r="G100" s="5"/>
      <c r="H100" s="5"/>
      <c r="I100" s="5"/>
      <c r="J100" s="5"/>
      <c r="K100" s="5"/>
      <c r="O100" s="39"/>
    </row>
    <row r="101" spans="2:24" x14ac:dyDescent="0.25">
      <c r="B101" s="43"/>
      <c r="C101" s="5"/>
      <c r="D101" s="5"/>
      <c r="E101" s="5"/>
      <c r="F101" s="5"/>
      <c r="G101" s="5"/>
      <c r="H101" s="5"/>
      <c r="I101" s="5"/>
      <c r="J101" s="5"/>
      <c r="K101" s="5"/>
      <c r="P101"/>
      <c r="Q101"/>
      <c r="R101"/>
      <c r="S101"/>
      <c r="T101"/>
      <c r="U101"/>
      <c r="V101"/>
      <c r="W101"/>
      <c r="X101"/>
    </row>
    <row r="102" spans="2:24" x14ac:dyDescent="0.25">
      <c r="B102" s="43"/>
      <c r="C102" s="5"/>
      <c r="D102" s="5"/>
      <c r="E102" s="5"/>
      <c r="F102" s="5"/>
      <c r="G102" s="5"/>
      <c r="H102" s="5"/>
      <c r="I102" s="5"/>
      <c r="J102" s="5"/>
      <c r="K102" s="5"/>
      <c r="P102"/>
      <c r="Q102"/>
      <c r="R102"/>
      <c r="S102"/>
      <c r="T102"/>
      <c r="U102"/>
      <c r="V102"/>
      <c r="W102"/>
      <c r="X102"/>
    </row>
    <row r="103" spans="2:24" x14ac:dyDescent="0.25">
      <c r="B103" s="43"/>
      <c r="C103" s="5"/>
      <c r="D103" s="5"/>
      <c r="E103" s="5"/>
      <c r="F103" s="5"/>
      <c r="G103" s="5"/>
      <c r="H103" s="5"/>
      <c r="I103" s="5"/>
      <c r="J103" s="5"/>
      <c r="K103" s="5"/>
      <c r="P103"/>
      <c r="Q103"/>
      <c r="R103"/>
      <c r="S103"/>
      <c r="T103"/>
      <c r="U103"/>
      <c r="V103"/>
      <c r="W103"/>
      <c r="X103"/>
    </row>
    <row r="104" spans="2:24" x14ac:dyDescent="0.25">
      <c r="B104" s="43"/>
      <c r="C104" s="5"/>
      <c r="D104" s="5"/>
      <c r="E104" s="5"/>
      <c r="F104" s="5"/>
      <c r="G104" s="5"/>
      <c r="H104" s="5"/>
      <c r="I104" s="5"/>
      <c r="J104" s="5"/>
      <c r="K104" s="5"/>
      <c r="P104"/>
      <c r="Q104"/>
      <c r="R104"/>
      <c r="S104"/>
      <c r="T104"/>
      <c r="U104"/>
      <c r="V104"/>
      <c r="W104"/>
      <c r="X104"/>
    </row>
    <row r="105" spans="2:24" x14ac:dyDescent="0.25">
      <c r="B105" s="43"/>
      <c r="C105" s="5"/>
      <c r="D105" s="5"/>
      <c r="E105" s="5"/>
      <c r="F105" s="5"/>
      <c r="G105" s="5"/>
      <c r="H105" s="5"/>
      <c r="I105" s="5"/>
      <c r="J105" s="5"/>
      <c r="K105" s="5"/>
      <c r="P105"/>
      <c r="Q105"/>
      <c r="R105"/>
      <c r="S105"/>
      <c r="T105"/>
      <c r="U105"/>
      <c r="V105"/>
      <c r="W105"/>
      <c r="X105"/>
    </row>
    <row r="106" spans="2:24" x14ac:dyDescent="0.25">
      <c r="B106" s="43"/>
      <c r="C106" s="5"/>
      <c r="D106" s="5"/>
      <c r="E106" s="5"/>
      <c r="F106" s="5"/>
      <c r="G106" s="5"/>
      <c r="H106" s="5"/>
      <c r="I106" s="5"/>
      <c r="J106" s="5"/>
      <c r="K106" s="5"/>
      <c r="P106"/>
      <c r="Q106"/>
      <c r="R106"/>
      <c r="S106"/>
      <c r="T106"/>
      <c r="U106"/>
      <c r="V106"/>
      <c r="W106"/>
      <c r="X106"/>
    </row>
    <row r="107" spans="2:24" x14ac:dyDescent="0.25">
      <c r="B107" s="43"/>
      <c r="C107" s="5"/>
      <c r="D107" s="5"/>
      <c r="E107" s="5"/>
      <c r="F107" s="5"/>
      <c r="G107" s="5"/>
      <c r="H107" s="5"/>
      <c r="I107" s="5"/>
      <c r="J107" s="5"/>
      <c r="K107" s="5"/>
      <c r="P107"/>
      <c r="Q107"/>
      <c r="R107"/>
      <c r="S107"/>
      <c r="T107"/>
      <c r="U107"/>
      <c r="V107"/>
      <c r="W107"/>
      <c r="X107"/>
    </row>
    <row r="108" spans="2:24" x14ac:dyDescent="0.25">
      <c r="B108" s="43"/>
      <c r="C108" s="5"/>
      <c r="D108" s="5"/>
      <c r="E108" s="5"/>
      <c r="F108" s="5"/>
      <c r="G108" s="5"/>
      <c r="H108" s="5"/>
      <c r="I108" s="5"/>
      <c r="J108" s="5"/>
      <c r="K108" s="5"/>
      <c r="P108"/>
      <c r="Q108"/>
      <c r="R108"/>
      <c r="S108"/>
      <c r="T108"/>
      <c r="U108"/>
      <c r="V108"/>
      <c r="W108"/>
      <c r="X108"/>
    </row>
    <row r="109" spans="2:24" x14ac:dyDescent="0.25">
      <c r="B109" s="43"/>
      <c r="C109" s="5"/>
      <c r="D109" s="5"/>
      <c r="E109" s="5"/>
      <c r="F109" s="5"/>
      <c r="G109" s="5"/>
      <c r="H109" s="5"/>
      <c r="I109" s="5"/>
      <c r="J109" s="5"/>
      <c r="K109" s="5"/>
      <c r="P109"/>
      <c r="Q109"/>
      <c r="R109"/>
      <c r="S109"/>
      <c r="T109"/>
      <c r="U109"/>
      <c r="V109"/>
      <c r="W109"/>
      <c r="X109"/>
    </row>
    <row r="110" spans="2:24" x14ac:dyDescent="0.25">
      <c r="B110" s="43"/>
      <c r="C110" s="5"/>
      <c r="D110" s="5"/>
      <c r="E110" s="5"/>
      <c r="F110" s="5"/>
      <c r="G110" s="5"/>
      <c r="H110" s="5"/>
      <c r="I110" s="5"/>
      <c r="J110" s="5"/>
      <c r="K110" s="5"/>
      <c r="P110"/>
      <c r="Q110"/>
      <c r="R110"/>
      <c r="S110"/>
      <c r="T110"/>
      <c r="U110"/>
      <c r="V110"/>
      <c r="W110"/>
      <c r="X110"/>
    </row>
    <row r="111" spans="2:24" x14ac:dyDescent="0.25">
      <c r="B111" s="43"/>
      <c r="C111" s="5"/>
      <c r="D111" s="5"/>
      <c r="E111" s="5"/>
      <c r="F111" s="5"/>
      <c r="G111" s="5"/>
      <c r="H111" s="5"/>
      <c r="I111" s="5"/>
      <c r="J111" s="5"/>
      <c r="K111" s="5"/>
      <c r="P111"/>
      <c r="Q111"/>
      <c r="R111"/>
      <c r="S111"/>
      <c r="T111"/>
      <c r="U111"/>
      <c r="V111"/>
      <c r="W111"/>
      <c r="X111"/>
    </row>
    <row r="112" spans="2:24" x14ac:dyDescent="0.25">
      <c r="B112" s="43"/>
      <c r="C112" s="5"/>
      <c r="D112" s="5"/>
      <c r="E112" s="5"/>
      <c r="F112" s="5"/>
      <c r="G112" s="5"/>
      <c r="H112" s="5"/>
      <c r="I112" s="5"/>
      <c r="J112" s="5"/>
      <c r="K112" s="5"/>
      <c r="P112"/>
      <c r="Q112"/>
      <c r="R112"/>
      <c r="S112"/>
      <c r="T112"/>
      <c r="U112"/>
      <c r="V112"/>
      <c r="W112"/>
      <c r="X112"/>
    </row>
    <row r="113" spans="2:25" x14ac:dyDescent="0.25">
      <c r="B113" s="43"/>
      <c r="C113" s="5"/>
      <c r="D113" s="5"/>
      <c r="E113" s="5"/>
      <c r="F113" s="5"/>
      <c r="G113" s="5"/>
      <c r="H113" s="5"/>
      <c r="I113" s="5"/>
      <c r="J113" s="5"/>
      <c r="K113" s="5"/>
      <c r="P113"/>
      <c r="Q113"/>
      <c r="R113"/>
      <c r="S113"/>
      <c r="T113"/>
      <c r="U113"/>
      <c r="V113"/>
      <c r="W113"/>
      <c r="X113"/>
    </row>
    <row r="114" spans="2:25" x14ac:dyDescent="0.25">
      <c r="B114" s="43"/>
      <c r="C114" s="5"/>
      <c r="D114" s="5"/>
      <c r="E114" s="5"/>
      <c r="F114" s="5"/>
      <c r="G114" s="5"/>
      <c r="H114" s="5"/>
      <c r="I114" s="5"/>
      <c r="J114" s="5"/>
      <c r="K114" s="5"/>
      <c r="P114"/>
      <c r="Q114"/>
      <c r="R114"/>
      <c r="S114"/>
      <c r="T114"/>
      <c r="U114"/>
      <c r="V114"/>
      <c r="W114"/>
      <c r="X114"/>
    </row>
    <row r="115" spans="2:25" x14ac:dyDescent="0.25">
      <c r="B115" s="43"/>
      <c r="C115" s="5"/>
      <c r="D115" s="5"/>
      <c r="E115" s="5"/>
      <c r="F115" s="5"/>
      <c r="G115" s="5"/>
      <c r="H115" s="5"/>
      <c r="I115" s="5"/>
      <c r="J115" s="5"/>
      <c r="K115" s="5"/>
      <c r="P115"/>
      <c r="Q115"/>
      <c r="R115"/>
      <c r="S115"/>
      <c r="T115"/>
      <c r="U115"/>
      <c r="V115"/>
      <c r="W115"/>
      <c r="X115"/>
    </row>
    <row r="116" spans="2:25" x14ac:dyDescent="0.25">
      <c r="B116" s="43"/>
      <c r="C116" s="5"/>
      <c r="D116" s="5"/>
      <c r="E116" s="5"/>
      <c r="F116" s="5"/>
      <c r="G116" s="5"/>
      <c r="H116" s="5"/>
      <c r="I116" s="5"/>
      <c r="J116" s="5"/>
      <c r="K116" s="5"/>
      <c r="P116"/>
      <c r="Q116"/>
      <c r="R116"/>
      <c r="S116"/>
      <c r="T116"/>
      <c r="U116"/>
      <c r="V116"/>
      <c r="W116"/>
      <c r="X116"/>
    </row>
    <row r="117" spans="2:25" x14ac:dyDescent="0.25">
      <c r="B117" s="43"/>
      <c r="C117" s="5"/>
      <c r="D117" s="5"/>
      <c r="E117" s="5"/>
      <c r="F117" s="5"/>
      <c r="G117" s="5"/>
      <c r="H117" s="5"/>
      <c r="I117" s="5"/>
      <c r="J117" s="5"/>
      <c r="K117" s="5"/>
      <c r="P117"/>
      <c r="Q117"/>
      <c r="R117"/>
      <c r="S117"/>
      <c r="T117"/>
      <c r="U117"/>
      <c r="V117"/>
      <c r="W117"/>
      <c r="X117"/>
    </row>
    <row r="118" spans="2:25" x14ac:dyDescent="0.25">
      <c r="B118" s="43"/>
      <c r="C118" s="5"/>
      <c r="D118" s="5"/>
      <c r="E118" s="5"/>
      <c r="F118" s="5"/>
      <c r="G118" s="5"/>
      <c r="H118" s="5"/>
      <c r="I118" s="5"/>
      <c r="J118" s="5"/>
      <c r="K118" s="5"/>
      <c r="P118"/>
      <c r="Q118"/>
      <c r="R118"/>
      <c r="S118"/>
      <c r="T118"/>
      <c r="U118"/>
      <c r="V118"/>
      <c r="W118"/>
      <c r="X118"/>
    </row>
    <row r="119" spans="2:25" x14ac:dyDescent="0.25">
      <c r="B119" s="43"/>
      <c r="C119" s="5"/>
      <c r="D119" s="5"/>
      <c r="E119" s="5"/>
      <c r="F119" s="5"/>
      <c r="G119" s="5"/>
      <c r="H119" s="5"/>
      <c r="I119" s="5"/>
      <c r="J119" s="5"/>
      <c r="K119" s="5"/>
      <c r="P119"/>
      <c r="Q119"/>
      <c r="R119"/>
      <c r="S119"/>
      <c r="T119"/>
      <c r="U119"/>
      <c r="V119"/>
      <c r="W119"/>
      <c r="X119"/>
    </row>
    <row r="120" spans="2:25" x14ac:dyDescent="0.25">
      <c r="B120" s="43"/>
      <c r="C120" s="5"/>
      <c r="D120" s="5"/>
      <c r="E120" s="5"/>
      <c r="F120" s="5"/>
      <c r="G120" s="5"/>
      <c r="H120" s="5"/>
      <c r="I120" s="5"/>
      <c r="J120" s="5"/>
      <c r="K120" s="5"/>
      <c r="P120"/>
      <c r="Q120"/>
      <c r="R120"/>
      <c r="S120"/>
      <c r="T120"/>
      <c r="U120"/>
      <c r="V120"/>
      <c r="W120"/>
      <c r="X120"/>
    </row>
    <row r="121" spans="2:25" x14ac:dyDescent="0.25">
      <c r="B121" s="43"/>
      <c r="C121" s="5"/>
      <c r="D121" s="5"/>
      <c r="E121" s="5"/>
      <c r="F121" s="5"/>
      <c r="G121" s="5"/>
      <c r="H121" s="5"/>
      <c r="I121" s="5"/>
      <c r="J121" s="5"/>
      <c r="K121" s="5"/>
      <c r="P121"/>
      <c r="Q121"/>
      <c r="R121"/>
      <c r="S121"/>
      <c r="T121"/>
      <c r="U121"/>
      <c r="V121"/>
      <c r="W121"/>
      <c r="X121"/>
    </row>
    <row r="122" spans="2:25" x14ac:dyDescent="0.25">
      <c r="B122" s="43"/>
      <c r="C122" s="5"/>
      <c r="D122" s="5"/>
      <c r="E122" s="5"/>
      <c r="F122" s="5"/>
      <c r="G122" s="5"/>
      <c r="H122" s="5"/>
      <c r="I122" s="5"/>
      <c r="J122" s="5"/>
      <c r="K122" s="5"/>
      <c r="P122"/>
      <c r="Q122"/>
      <c r="R122"/>
      <c r="S122"/>
      <c r="T122"/>
      <c r="U122"/>
      <c r="V122"/>
      <c r="W122"/>
      <c r="X122"/>
    </row>
    <row r="123" spans="2:25" x14ac:dyDescent="0.25">
      <c r="B123" s="43"/>
      <c r="C123" s="5"/>
      <c r="D123" s="5"/>
      <c r="E123" s="5"/>
      <c r="F123" s="5"/>
      <c r="G123" s="5"/>
      <c r="H123" s="5"/>
      <c r="I123" s="5"/>
      <c r="J123" s="5"/>
      <c r="K123" s="5"/>
      <c r="P123"/>
      <c r="Q123"/>
      <c r="R123"/>
      <c r="S123"/>
      <c r="T123"/>
      <c r="U123"/>
      <c r="V123"/>
      <c r="W123"/>
      <c r="X123"/>
    </row>
    <row r="124" spans="2:25" x14ac:dyDescent="0.25">
      <c r="B124" s="43"/>
      <c r="C124" s="5"/>
      <c r="D124" s="5"/>
      <c r="E124" s="5"/>
      <c r="F124" s="5"/>
      <c r="G124" s="5"/>
      <c r="H124" s="5"/>
      <c r="I124" s="5"/>
      <c r="J124" s="5"/>
      <c r="K124" s="5"/>
      <c r="P124"/>
      <c r="Q124"/>
      <c r="R124"/>
      <c r="S124"/>
      <c r="T124"/>
      <c r="U124"/>
      <c r="V124"/>
      <c r="W124"/>
      <c r="X124"/>
      <c r="Y124" t="s">
        <v>28</v>
      </c>
    </row>
    <row r="125" spans="2:25" x14ac:dyDescent="0.25">
      <c r="B125" s="43"/>
      <c r="C125" s="5"/>
      <c r="D125" s="5"/>
      <c r="E125" s="5"/>
      <c r="F125" s="5"/>
      <c r="G125" s="5"/>
      <c r="H125" s="5"/>
      <c r="I125" s="5"/>
      <c r="J125" s="5"/>
      <c r="K125" s="5"/>
      <c r="P125"/>
      <c r="Q125"/>
      <c r="R125"/>
      <c r="S125"/>
      <c r="T125"/>
      <c r="U125"/>
      <c r="V125"/>
      <c r="W125"/>
      <c r="X125"/>
    </row>
    <row r="126" spans="2:25" x14ac:dyDescent="0.25">
      <c r="B126" s="43"/>
      <c r="C126" s="5"/>
      <c r="D126" s="5"/>
      <c r="E126" s="5"/>
      <c r="F126" s="5"/>
      <c r="G126" s="5"/>
      <c r="H126" s="5"/>
      <c r="I126" s="5"/>
      <c r="J126" s="5"/>
      <c r="K126" s="5"/>
      <c r="P126"/>
      <c r="Q126"/>
      <c r="R126"/>
      <c r="S126"/>
      <c r="T126"/>
      <c r="U126"/>
      <c r="V126"/>
      <c r="W126"/>
      <c r="X126"/>
    </row>
    <row r="127" spans="2:25" x14ac:dyDescent="0.25">
      <c r="B127" s="43"/>
      <c r="C127" s="5"/>
      <c r="D127" s="5"/>
      <c r="E127" s="5"/>
      <c r="F127" s="5"/>
      <c r="G127" s="5"/>
      <c r="H127" s="5"/>
      <c r="I127" s="5"/>
      <c r="J127" s="5"/>
      <c r="K127" s="5"/>
      <c r="P127"/>
      <c r="Q127"/>
      <c r="R127"/>
      <c r="S127"/>
      <c r="T127"/>
      <c r="U127"/>
      <c r="V127"/>
      <c r="W127"/>
      <c r="X127"/>
    </row>
    <row r="128" spans="2:25" x14ac:dyDescent="0.25">
      <c r="B128" s="43"/>
      <c r="C128" s="5"/>
      <c r="D128" s="5"/>
      <c r="E128" s="5"/>
      <c r="F128" s="5"/>
      <c r="G128" s="5"/>
      <c r="H128" s="5"/>
      <c r="I128" s="5"/>
      <c r="J128" s="5"/>
      <c r="K128" s="5"/>
      <c r="P128"/>
      <c r="Q128"/>
      <c r="R128"/>
      <c r="S128"/>
      <c r="T128"/>
      <c r="U128"/>
      <c r="V128"/>
      <c r="W128"/>
      <c r="X128"/>
    </row>
    <row r="129" spans="2:11" customFormat="1" x14ac:dyDescent="0.25">
      <c r="B129" s="43"/>
      <c r="C129" s="5"/>
      <c r="D129" s="5"/>
      <c r="E129" s="5"/>
      <c r="F129" s="5"/>
      <c r="G129" s="5"/>
      <c r="H129" s="5"/>
      <c r="I129" s="5"/>
      <c r="J129" s="5"/>
      <c r="K129" s="5"/>
    </row>
    <row r="130" spans="2:11" customFormat="1" x14ac:dyDescent="0.25">
      <c r="B130" s="43"/>
      <c r="C130" s="5"/>
      <c r="D130" s="5"/>
      <c r="E130" s="5"/>
      <c r="F130" s="5"/>
      <c r="G130" s="5"/>
      <c r="H130" s="5"/>
      <c r="I130" s="5"/>
      <c r="J130" s="5"/>
      <c r="K130" s="5"/>
    </row>
    <row r="131" spans="2:11" customFormat="1" x14ac:dyDescent="0.25">
      <c r="B131" s="43"/>
      <c r="C131" s="5"/>
      <c r="D131" s="5"/>
      <c r="E131" s="5"/>
      <c r="F131" s="5"/>
      <c r="G131" s="5"/>
      <c r="H131" s="5"/>
      <c r="I131" s="5"/>
      <c r="J131" s="5"/>
      <c r="K131" s="5"/>
    </row>
    <row r="132" spans="2:11" customFormat="1" x14ac:dyDescent="0.25">
      <c r="B132" s="43"/>
      <c r="C132" s="5"/>
      <c r="D132" s="5"/>
      <c r="E132" s="5"/>
      <c r="F132" s="5"/>
      <c r="G132" s="5"/>
      <c r="H132" s="5"/>
      <c r="I132" s="5"/>
      <c r="J132" s="5"/>
      <c r="K132" s="5"/>
    </row>
    <row r="133" spans="2:11" customFormat="1" x14ac:dyDescent="0.25">
      <c r="B133" s="43"/>
      <c r="C133" s="5"/>
      <c r="D133" s="5"/>
      <c r="E133" s="5"/>
      <c r="F133" s="5"/>
      <c r="G133" s="5"/>
      <c r="H133" s="5"/>
      <c r="I133" s="5"/>
      <c r="J133" s="5"/>
      <c r="K133" s="5"/>
    </row>
    <row r="134" spans="2:11" customFormat="1" x14ac:dyDescent="0.25">
      <c r="B134" s="43"/>
      <c r="C134" s="5"/>
      <c r="D134" s="5"/>
      <c r="E134" s="5"/>
      <c r="F134" s="5"/>
      <c r="G134" s="5"/>
      <c r="H134" s="5"/>
      <c r="I134" s="5"/>
      <c r="J134" s="5"/>
      <c r="K134" s="5"/>
    </row>
    <row r="135" spans="2:11" customFormat="1" x14ac:dyDescent="0.25">
      <c r="B135" s="43"/>
      <c r="C135" s="5"/>
      <c r="D135" s="5"/>
      <c r="E135" s="5"/>
      <c r="F135" s="5"/>
      <c r="G135" s="5"/>
      <c r="H135" s="5"/>
      <c r="I135" s="5"/>
      <c r="J135" s="5"/>
      <c r="K135" s="5"/>
    </row>
    <row r="136" spans="2:11" customFormat="1" x14ac:dyDescent="0.25">
      <c r="B136" s="43"/>
      <c r="C136" s="5"/>
      <c r="D136" s="5"/>
      <c r="E136" s="5"/>
      <c r="F136" s="5"/>
      <c r="G136" s="5"/>
      <c r="H136" s="5"/>
      <c r="I136" s="5"/>
      <c r="J136" s="5"/>
      <c r="K136" s="5"/>
    </row>
    <row r="137" spans="2:11" customFormat="1" x14ac:dyDescent="0.25">
      <c r="B137" s="43"/>
      <c r="C137" s="5"/>
      <c r="D137" s="5"/>
      <c r="E137" s="5"/>
      <c r="F137" s="5"/>
      <c r="G137" s="5"/>
      <c r="H137" s="5"/>
      <c r="I137" s="5"/>
      <c r="J137" s="5"/>
      <c r="K137" s="5"/>
    </row>
    <row r="138" spans="2:11" customFormat="1" x14ac:dyDescent="0.25">
      <c r="B138" s="43"/>
      <c r="C138" s="5"/>
      <c r="D138" s="5"/>
      <c r="E138" s="5"/>
      <c r="F138" s="5"/>
      <c r="G138" s="5"/>
      <c r="H138" s="5"/>
      <c r="I138" s="5"/>
      <c r="J138" s="5"/>
      <c r="K138" s="5"/>
    </row>
    <row r="139" spans="2:11" customFormat="1" x14ac:dyDescent="0.25">
      <c r="B139" s="43"/>
      <c r="C139" s="5"/>
      <c r="D139" s="5"/>
      <c r="E139" s="5"/>
      <c r="F139" s="5"/>
      <c r="G139" s="5"/>
      <c r="H139" s="5"/>
      <c r="I139" s="5"/>
      <c r="J139" s="5"/>
      <c r="K139" s="5"/>
    </row>
    <row r="140" spans="2:11" customFormat="1" x14ac:dyDescent="0.25">
      <c r="B140" s="43"/>
      <c r="C140" s="5"/>
      <c r="D140" s="5"/>
      <c r="E140" s="5"/>
      <c r="F140" s="5"/>
      <c r="G140" s="5"/>
      <c r="H140" s="5"/>
      <c r="I140" s="5"/>
      <c r="J140" s="5"/>
      <c r="K140" s="5"/>
    </row>
    <row r="141" spans="2:11" customFormat="1" x14ac:dyDescent="0.25">
      <c r="B141" s="43"/>
      <c r="C141" s="5"/>
      <c r="D141" s="5"/>
      <c r="E141" s="5"/>
      <c r="F141" s="5"/>
      <c r="G141" s="5"/>
      <c r="H141" s="5"/>
      <c r="I141" s="5"/>
      <c r="J141" s="5"/>
      <c r="K141" s="5"/>
    </row>
    <row r="142" spans="2:11" customFormat="1" x14ac:dyDescent="0.25">
      <c r="B142" s="43"/>
      <c r="C142" s="5"/>
      <c r="D142" s="5"/>
      <c r="E142" s="5"/>
      <c r="F142" s="5"/>
      <c r="G142" s="5"/>
      <c r="H142" s="5"/>
      <c r="I142" s="5"/>
      <c r="J142" s="5"/>
      <c r="K142" s="5"/>
    </row>
    <row r="143" spans="2:11" customFormat="1" x14ac:dyDescent="0.25">
      <c r="B143" s="43"/>
      <c r="C143" s="5"/>
      <c r="D143" s="5"/>
      <c r="E143" s="5"/>
      <c r="F143" s="5"/>
      <c r="G143" s="5"/>
      <c r="H143" s="5"/>
      <c r="I143" s="5"/>
      <c r="J143" s="5"/>
      <c r="K143" s="5"/>
    </row>
    <row r="144" spans="2:11" customFormat="1" x14ac:dyDescent="0.25">
      <c r="B144" s="43"/>
      <c r="C144" s="5"/>
      <c r="D144" s="5"/>
      <c r="E144" s="5"/>
      <c r="F144" s="5"/>
      <c r="G144" s="5"/>
      <c r="H144" s="5"/>
      <c r="I144" s="5"/>
      <c r="J144" s="5"/>
      <c r="K144" s="5"/>
    </row>
    <row r="145" spans="2:24" x14ac:dyDescent="0.25">
      <c r="B145" s="43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5">
      <c r="B146" s="43"/>
      <c r="C146" s="5"/>
      <c r="D146" s="5"/>
      <c r="E146" s="5"/>
      <c r="F146" s="5"/>
      <c r="G146" s="5"/>
      <c r="H146" s="5"/>
      <c r="I146" s="5"/>
      <c r="J146" s="5"/>
      <c r="K146" s="5"/>
      <c r="P146"/>
      <c r="Q146"/>
      <c r="R146"/>
      <c r="S146"/>
      <c r="T146"/>
      <c r="U146"/>
      <c r="V146"/>
      <c r="W146"/>
      <c r="X146"/>
    </row>
    <row r="147" spans="2:24" x14ac:dyDescent="0.25">
      <c r="B147" s="43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5">
      <c r="B148" s="43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5">
      <c r="B149" s="43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5">
      <c r="B150" s="43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5">
      <c r="B151" s="43"/>
      <c r="C151" s="5"/>
      <c r="D151" s="5"/>
      <c r="E151" s="5"/>
      <c r="F151" s="5"/>
      <c r="G151" s="5"/>
      <c r="H151" s="5"/>
      <c r="I151" s="5"/>
      <c r="J151" s="5"/>
      <c r="K151" s="5"/>
      <c r="N151" t="s">
        <v>33</v>
      </c>
      <c r="P151"/>
      <c r="Q151"/>
      <c r="R151"/>
      <c r="S151"/>
      <c r="T151"/>
      <c r="U151"/>
      <c r="V151"/>
      <c r="W151"/>
      <c r="X151"/>
    </row>
    <row r="152" spans="2:24" x14ac:dyDescent="0.25">
      <c r="B152" s="43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5">
      <c r="B153" s="43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5">
      <c r="B154" s="43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5">
      <c r="B155" s="43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5">
      <c r="B156" s="43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5">
      <c r="B157" s="43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5">
      <c r="B158" s="43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5">
      <c r="B159" s="43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5">
      <c r="B160" s="43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11" customFormat="1" x14ac:dyDescent="0.25">
      <c r="B161" s="43"/>
      <c r="C161" s="5"/>
      <c r="D161" s="5"/>
      <c r="E161" s="5"/>
      <c r="F161" s="5"/>
      <c r="G161" s="5"/>
      <c r="H161" s="5"/>
      <c r="I161" s="5"/>
      <c r="J161" s="5"/>
      <c r="K161" s="5"/>
    </row>
    <row r="162" spans="2:11" customFormat="1" x14ac:dyDescent="0.25">
      <c r="B162" s="43"/>
      <c r="C162" s="5"/>
      <c r="D162" s="5"/>
      <c r="E162" s="5"/>
      <c r="F162" s="5"/>
      <c r="G162" s="5"/>
      <c r="H162" s="5"/>
      <c r="I162" s="5"/>
      <c r="J162" s="5"/>
      <c r="K162" s="5"/>
    </row>
    <row r="163" spans="2:11" customFormat="1" x14ac:dyDescent="0.25">
      <c r="B163" s="43"/>
      <c r="C163" s="5"/>
      <c r="D163" s="5"/>
      <c r="E163" s="5"/>
      <c r="F163" s="5"/>
      <c r="G163" s="5"/>
      <c r="H163" s="5"/>
      <c r="I163" s="5"/>
      <c r="J163" s="5"/>
      <c r="K163" s="5"/>
    </row>
    <row r="164" spans="2:11" customFormat="1" x14ac:dyDescent="0.25">
      <c r="B164" s="43"/>
      <c r="C164" s="5"/>
      <c r="D164" s="5"/>
      <c r="E164" s="5"/>
      <c r="F164" s="5"/>
      <c r="G164" s="5"/>
      <c r="H164" s="5"/>
      <c r="I164" s="5"/>
      <c r="J164" s="5"/>
      <c r="K164" s="5"/>
    </row>
    <row r="165" spans="2:11" customFormat="1" x14ac:dyDescent="0.25">
      <c r="B165" s="43"/>
      <c r="C165" s="5"/>
      <c r="D165" s="5"/>
      <c r="E165" s="5"/>
      <c r="F165" s="5"/>
      <c r="G165" s="5"/>
      <c r="H165" s="5"/>
      <c r="I165" s="5"/>
      <c r="J165" s="5"/>
      <c r="K165" s="5"/>
    </row>
    <row r="166" spans="2:11" customFormat="1" x14ac:dyDescent="0.25">
      <c r="B166" s="43"/>
      <c r="C166" s="5"/>
      <c r="D166" s="5"/>
      <c r="E166" s="5"/>
      <c r="F166" s="5"/>
      <c r="G166" s="5"/>
      <c r="H166" s="5"/>
      <c r="I166" s="5"/>
      <c r="J166" s="5"/>
      <c r="K166" s="5"/>
    </row>
    <row r="167" spans="2:11" customFormat="1" x14ac:dyDescent="0.25">
      <c r="B167" s="43"/>
      <c r="C167" s="5"/>
      <c r="D167" s="5"/>
      <c r="E167" s="5"/>
      <c r="F167" s="5"/>
      <c r="G167" s="5"/>
      <c r="H167" s="5"/>
      <c r="I167" s="5"/>
      <c r="J167" s="5"/>
      <c r="K167" s="5"/>
    </row>
    <row r="168" spans="2:11" customFormat="1" x14ac:dyDescent="0.25">
      <c r="B168" s="43"/>
      <c r="C168" s="5"/>
      <c r="D168" s="5"/>
      <c r="E168" s="5"/>
      <c r="F168" s="5"/>
      <c r="G168" s="5"/>
      <c r="H168" s="5"/>
      <c r="I168" s="5"/>
      <c r="J168" s="5"/>
      <c r="K168" s="5"/>
    </row>
    <row r="169" spans="2:11" customFormat="1" x14ac:dyDescent="0.25">
      <c r="B169" s="43"/>
      <c r="C169" s="5"/>
      <c r="D169" s="5"/>
      <c r="E169" s="5"/>
      <c r="F169" s="5"/>
      <c r="G169" s="5"/>
      <c r="H169" s="5"/>
      <c r="I169" s="5"/>
      <c r="J169" s="5"/>
      <c r="K169" s="5"/>
    </row>
    <row r="170" spans="2:11" customFormat="1" x14ac:dyDescent="0.25">
      <c r="B170" s="43"/>
      <c r="C170" s="5"/>
      <c r="D170" s="5"/>
      <c r="E170" s="5"/>
      <c r="F170" s="5"/>
      <c r="G170" s="5"/>
      <c r="H170" s="5"/>
      <c r="I170" s="5"/>
      <c r="J170" s="5"/>
      <c r="K170" s="5"/>
    </row>
    <row r="171" spans="2:11" customFormat="1" x14ac:dyDescent="0.25">
      <c r="B171" s="43"/>
      <c r="C171" s="5"/>
      <c r="D171" s="5"/>
      <c r="E171" s="5"/>
      <c r="F171" s="5"/>
      <c r="G171" s="5"/>
      <c r="H171" s="5"/>
      <c r="I171" s="5"/>
      <c r="J171" s="5"/>
      <c r="K171" s="5"/>
    </row>
    <row r="172" spans="2:11" customFormat="1" x14ac:dyDescent="0.25">
      <c r="B172" s="43"/>
      <c r="C172" s="5"/>
      <c r="D172" s="5"/>
      <c r="E172" s="5"/>
      <c r="F172" s="5"/>
      <c r="G172" s="5"/>
      <c r="H172" s="5"/>
      <c r="I172" s="5"/>
      <c r="J172" s="5"/>
      <c r="K172" s="5"/>
    </row>
    <row r="173" spans="2:11" customFormat="1" x14ac:dyDescent="0.25">
      <c r="B173" s="43"/>
      <c r="C173" s="5"/>
      <c r="D173" s="5"/>
      <c r="E173" s="5"/>
      <c r="F173" s="5"/>
      <c r="G173" s="5"/>
      <c r="H173" s="5"/>
      <c r="I173" s="5"/>
      <c r="J173" s="5"/>
      <c r="K173" s="5"/>
    </row>
    <row r="174" spans="2:11" customFormat="1" x14ac:dyDescent="0.25">
      <c r="B174" s="43"/>
      <c r="C174" s="5"/>
      <c r="D174" s="5"/>
      <c r="E174" s="5"/>
      <c r="F174" s="5"/>
      <c r="G174" s="5"/>
      <c r="H174" s="5"/>
      <c r="I174" s="5"/>
      <c r="J174" s="5"/>
      <c r="K174" s="5"/>
    </row>
    <row r="175" spans="2:11" customFormat="1" x14ac:dyDescent="0.25">
      <c r="B175" s="43"/>
      <c r="C175" s="5"/>
      <c r="D175" s="5"/>
      <c r="E175" s="5"/>
      <c r="F175" s="5"/>
      <c r="G175" s="5"/>
      <c r="H175" s="5"/>
      <c r="I175" s="5"/>
      <c r="J175" s="5"/>
      <c r="K175" s="5"/>
    </row>
    <row r="176" spans="2:11" customFormat="1" x14ac:dyDescent="0.25">
      <c r="B176" s="43"/>
      <c r="C176" s="5"/>
      <c r="D176" s="5"/>
      <c r="E176" s="5"/>
      <c r="F176" s="5"/>
      <c r="G176" s="5"/>
      <c r="H176" s="5"/>
      <c r="I176" s="5"/>
      <c r="J176" s="5"/>
      <c r="K176" s="5"/>
    </row>
    <row r="177" spans="2:11" customFormat="1" x14ac:dyDescent="0.25">
      <c r="B177" s="43"/>
      <c r="C177" s="5"/>
      <c r="D177" s="5"/>
      <c r="E177" s="5"/>
      <c r="F177" s="5"/>
      <c r="G177" s="5"/>
      <c r="H177" s="5"/>
      <c r="I177" s="5"/>
      <c r="J177" s="5"/>
      <c r="K177" s="5"/>
    </row>
    <row r="178" spans="2:11" customFormat="1" x14ac:dyDescent="0.25">
      <c r="B178" s="43"/>
      <c r="C178" s="5"/>
      <c r="D178" s="5"/>
      <c r="E178" s="5"/>
      <c r="F178" s="5"/>
      <c r="G178" s="5"/>
      <c r="H178" s="5"/>
      <c r="I178" s="5"/>
      <c r="J178" s="5"/>
      <c r="K178" s="5"/>
    </row>
    <row r="179" spans="2:11" customFormat="1" x14ac:dyDescent="0.25">
      <c r="B179" s="43"/>
      <c r="C179" s="5"/>
      <c r="D179" s="5"/>
      <c r="E179" s="5"/>
      <c r="F179" s="5"/>
      <c r="G179" s="5"/>
      <c r="H179" s="5"/>
      <c r="I179" s="5"/>
      <c r="J179" s="5"/>
      <c r="K179" s="5"/>
    </row>
    <row r="180" spans="2:11" customFormat="1" x14ac:dyDescent="0.25">
      <c r="B180" s="43"/>
      <c r="C180" s="5"/>
      <c r="D180" s="5"/>
      <c r="E180" s="5"/>
      <c r="F180" s="5"/>
      <c r="G180" s="5"/>
      <c r="H180" s="5"/>
      <c r="I180" s="5"/>
      <c r="J180" s="5"/>
      <c r="K180" s="5"/>
    </row>
    <row r="181" spans="2:11" customFormat="1" x14ac:dyDescent="0.25">
      <c r="B181" s="43"/>
      <c r="C181" s="5"/>
      <c r="D181" s="5"/>
      <c r="E181" s="5"/>
      <c r="F181" s="5"/>
      <c r="G181" s="5"/>
      <c r="H181" s="5"/>
      <c r="I181" s="5"/>
      <c r="J181" s="5"/>
      <c r="K181" s="5"/>
    </row>
    <row r="182" spans="2:11" customFormat="1" x14ac:dyDescent="0.25">
      <c r="B182" s="43"/>
      <c r="C182" s="5"/>
      <c r="D182" s="5"/>
      <c r="E182" s="5"/>
      <c r="F182" s="5"/>
      <c r="G182" s="5"/>
      <c r="H182" s="5"/>
      <c r="I182" s="5"/>
      <c r="J182" s="5"/>
      <c r="K182" s="5"/>
    </row>
    <row r="183" spans="2:11" customFormat="1" x14ac:dyDescent="0.25">
      <c r="B183" s="43"/>
      <c r="C183" s="5"/>
      <c r="D183" s="5"/>
      <c r="E183" s="5"/>
      <c r="F183" s="5"/>
      <c r="G183" s="5"/>
      <c r="H183" s="5"/>
      <c r="I183" s="5"/>
      <c r="J183" s="5"/>
      <c r="K183" s="5"/>
    </row>
    <row r="184" spans="2:11" customFormat="1" x14ac:dyDescent="0.25">
      <c r="B184" s="43"/>
      <c r="C184" s="5"/>
      <c r="D184" s="5"/>
      <c r="E184" s="5"/>
      <c r="F184" s="5"/>
      <c r="G184" s="5"/>
      <c r="H184" s="5"/>
      <c r="I184" s="5"/>
      <c r="J184" s="5"/>
      <c r="K184" s="5"/>
    </row>
    <row r="185" spans="2:11" customFormat="1" x14ac:dyDescent="0.25">
      <c r="B185" s="43"/>
      <c r="C185" s="5"/>
      <c r="D185" s="5"/>
      <c r="E185" s="5"/>
      <c r="F185" s="5"/>
      <c r="G185" s="5"/>
      <c r="H185" s="5"/>
      <c r="I185" s="5"/>
      <c r="J185" s="5"/>
      <c r="K185" s="5"/>
    </row>
    <row r="186" spans="2:11" customFormat="1" x14ac:dyDescent="0.25">
      <c r="B186" s="43"/>
      <c r="C186" s="5"/>
      <c r="D186" s="5"/>
      <c r="E186" s="5"/>
      <c r="F186" s="5"/>
      <c r="G186" s="5"/>
      <c r="H186" s="5"/>
      <c r="I186" s="5"/>
      <c r="J186" s="5"/>
      <c r="K186" s="5"/>
    </row>
    <row r="187" spans="2:11" customFormat="1" x14ac:dyDescent="0.25">
      <c r="B187" s="43"/>
      <c r="C187" s="5"/>
      <c r="D187" s="5"/>
      <c r="E187" s="5"/>
      <c r="F187" s="5"/>
      <c r="G187" s="5"/>
      <c r="H187" s="5"/>
      <c r="I187" s="5"/>
      <c r="J187" s="5"/>
      <c r="K187" s="5"/>
    </row>
    <row r="188" spans="2:11" customFormat="1" x14ac:dyDescent="0.25">
      <c r="B188" s="43"/>
      <c r="C188" s="5"/>
      <c r="D188" s="5"/>
      <c r="E188" s="5"/>
      <c r="F188" s="5"/>
      <c r="G188" s="5"/>
      <c r="H188" s="5"/>
      <c r="I188" s="5"/>
      <c r="J188" s="5"/>
      <c r="K188" s="5"/>
    </row>
    <row r="189" spans="2:11" customFormat="1" x14ac:dyDescent="0.25">
      <c r="B189" s="43"/>
      <c r="C189" s="5"/>
      <c r="D189" s="5"/>
      <c r="E189" s="5"/>
      <c r="F189" s="5"/>
      <c r="G189" s="5"/>
      <c r="H189" s="5"/>
      <c r="I189" s="5"/>
      <c r="J189" s="5"/>
      <c r="K189" s="5"/>
    </row>
    <row r="190" spans="2:11" customFormat="1" x14ac:dyDescent="0.25">
      <c r="B190" s="43"/>
      <c r="C190" s="5"/>
      <c r="D190" s="5"/>
      <c r="E190" s="5"/>
      <c r="F190" s="5"/>
      <c r="G190" s="5"/>
      <c r="H190" s="5"/>
      <c r="I190" s="5"/>
      <c r="J190" s="5"/>
      <c r="K190" s="5"/>
    </row>
    <row r="191" spans="2:11" customFormat="1" x14ac:dyDescent="0.25">
      <c r="B191" s="43"/>
      <c r="C191" s="5"/>
      <c r="D191" s="5"/>
      <c r="E191" s="5"/>
      <c r="F191" s="5"/>
      <c r="G191" s="5"/>
      <c r="H191" s="5"/>
      <c r="I191" s="5"/>
      <c r="J191" s="5"/>
      <c r="K191" s="5"/>
    </row>
    <row r="192" spans="2:11" customFormat="1" x14ac:dyDescent="0.25">
      <c r="B192" s="43"/>
      <c r="C192" s="5"/>
      <c r="D192" s="5"/>
      <c r="E192" s="5"/>
      <c r="F192" s="5"/>
      <c r="G192" s="5"/>
      <c r="H192" s="5"/>
      <c r="I192" s="5"/>
      <c r="J192" s="5"/>
      <c r="K192" s="5"/>
    </row>
    <row r="193" spans="2:11" customFormat="1" x14ac:dyDescent="0.25">
      <c r="B193" s="43"/>
      <c r="C193" s="5"/>
      <c r="D193" s="5"/>
      <c r="E193" s="5"/>
      <c r="F193" s="5"/>
      <c r="G193" s="5"/>
      <c r="H193" s="5"/>
      <c r="I193" s="5"/>
      <c r="J193" s="5"/>
      <c r="K193" s="5"/>
    </row>
    <row r="194" spans="2:11" customFormat="1" x14ac:dyDescent="0.25">
      <c r="B194" s="43"/>
      <c r="C194" s="5"/>
      <c r="D194" s="5"/>
      <c r="E194" s="5"/>
      <c r="F194" s="5"/>
      <c r="G194" s="5"/>
      <c r="H194" s="5"/>
      <c r="I194" s="5"/>
      <c r="J194" s="5"/>
      <c r="K194" s="5"/>
    </row>
    <row r="195" spans="2:11" customFormat="1" x14ac:dyDescent="0.25">
      <c r="B195" s="43"/>
      <c r="C195" s="5"/>
      <c r="D195" s="5"/>
      <c r="E195" s="5"/>
      <c r="F195" s="5"/>
      <c r="G195" s="5"/>
      <c r="H195" s="5"/>
      <c r="I195" s="5"/>
      <c r="J195" s="5"/>
      <c r="K195" s="5"/>
    </row>
    <row r="196" spans="2:11" customFormat="1" x14ac:dyDescent="0.25">
      <c r="B196" s="43"/>
      <c r="C196" s="5"/>
      <c r="D196" s="5"/>
      <c r="E196" s="5"/>
      <c r="F196" s="5"/>
      <c r="G196" s="5"/>
      <c r="H196" s="5"/>
      <c r="I196" s="5"/>
      <c r="J196" s="5"/>
      <c r="K196" s="5"/>
    </row>
    <row r="197" spans="2:11" customFormat="1" x14ac:dyDescent="0.25">
      <c r="B197" s="43"/>
      <c r="C197" s="5"/>
      <c r="D197" s="5"/>
      <c r="E197" s="5"/>
      <c r="F197" s="5"/>
      <c r="G197" s="5"/>
      <c r="H197" s="5"/>
      <c r="I197" s="5"/>
      <c r="J197" s="5"/>
      <c r="K197" s="5"/>
    </row>
    <row r="198" spans="2:11" customFormat="1" x14ac:dyDescent="0.25">
      <c r="B198" s="43"/>
      <c r="C198" s="5"/>
      <c r="D198" s="5"/>
      <c r="E198" s="5"/>
      <c r="F198" s="5"/>
      <c r="G198" s="5"/>
      <c r="H198" s="5"/>
      <c r="I198" s="5"/>
      <c r="J198" s="5"/>
      <c r="K198" s="5"/>
    </row>
    <row r="199" spans="2:11" customFormat="1" x14ac:dyDescent="0.25">
      <c r="B199" s="43"/>
      <c r="C199" s="5"/>
      <c r="D199" s="5"/>
      <c r="E199" s="5"/>
      <c r="F199" s="5"/>
      <c r="G199" s="5"/>
      <c r="H199" s="5"/>
      <c r="I199" s="5"/>
      <c r="J199" s="5"/>
      <c r="K199" s="5"/>
    </row>
    <row r="200" spans="2:11" customFormat="1" x14ac:dyDescent="0.25">
      <c r="B200" s="43"/>
      <c r="C200" s="5"/>
      <c r="D200" s="5"/>
      <c r="E200" s="5"/>
      <c r="F200" s="5"/>
      <c r="G200" s="5"/>
      <c r="H200" s="5"/>
      <c r="I200" s="5"/>
      <c r="J200" s="5"/>
      <c r="K200" s="5"/>
    </row>
    <row r="201" spans="2:11" customFormat="1" x14ac:dyDescent="0.25">
      <c r="B201" s="43"/>
      <c r="C201" s="5"/>
      <c r="D201" s="5"/>
      <c r="E201" s="5"/>
      <c r="F201" s="5"/>
      <c r="G201" s="5"/>
      <c r="H201" s="5"/>
      <c r="I201" s="5"/>
      <c r="J201" s="5"/>
      <c r="K201" s="5"/>
    </row>
    <row r="202" spans="2:11" customFormat="1" x14ac:dyDescent="0.25">
      <c r="B202" s="43"/>
      <c r="C202" s="5"/>
      <c r="D202" s="5"/>
      <c r="E202" s="5"/>
      <c r="F202" s="5"/>
      <c r="G202" s="5"/>
      <c r="H202" s="5"/>
      <c r="I202" s="5"/>
      <c r="J202" s="5"/>
      <c r="K202" s="5"/>
    </row>
    <row r="203" spans="2:11" customFormat="1" x14ac:dyDescent="0.25">
      <c r="B203" s="43"/>
      <c r="C203" s="5"/>
      <c r="D203" s="5"/>
      <c r="E203" s="5"/>
      <c r="F203" s="5"/>
      <c r="G203" s="5"/>
      <c r="H203" s="5"/>
      <c r="I203" s="5"/>
      <c r="J203" s="5"/>
      <c r="K203" s="5"/>
    </row>
    <row r="204" spans="2:11" customFormat="1" x14ac:dyDescent="0.25">
      <c r="B204" s="43"/>
      <c r="C204" s="5"/>
      <c r="D204" s="5"/>
      <c r="E204" s="5"/>
      <c r="F204" s="5"/>
      <c r="G204" s="5"/>
      <c r="H204" s="5"/>
      <c r="I204" s="5"/>
      <c r="J204" s="5"/>
      <c r="K204" s="5"/>
    </row>
    <row r="205" spans="2:11" customFormat="1" x14ac:dyDescent="0.25">
      <c r="B205" s="43"/>
      <c r="C205" s="5"/>
      <c r="D205" s="5"/>
      <c r="E205" s="5"/>
      <c r="F205" s="5"/>
      <c r="G205" s="5"/>
      <c r="H205" s="5"/>
      <c r="I205" s="5"/>
      <c r="J205" s="5"/>
      <c r="K205" s="5"/>
    </row>
    <row r="206" spans="2:11" customFormat="1" x14ac:dyDescent="0.25">
      <c r="B206" s="43"/>
      <c r="C206" s="5"/>
      <c r="D206" s="5"/>
      <c r="E206" s="5"/>
      <c r="F206" s="5"/>
      <c r="G206" s="5"/>
      <c r="H206" s="5"/>
      <c r="I206" s="5"/>
      <c r="J206" s="5"/>
      <c r="K206" s="5"/>
    </row>
    <row r="207" spans="2:11" customFormat="1" x14ac:dyDescent="0.25">
      <c r="B207" s="43"/>
      <c r="C207" s="5"/>
      <c r="D207" s="5"/>
      <c r="E207" s="5"/>
      <c r="F207" s="5"/>
      <c r="G207" s="5"/>
      <c r="H207" s="5"/>
      <c r="I207" s="5"/>
      <c r="J207" s="5"/>
      <c r="K207" s="5"/>
    </row>
    <row r="208" spans="2:11" customFormat="1" x14ac:dyDescent="0.25">
      <c r="B208" s="43"/>
      <c r="C208" s="5"/>
      <c r="D208" s="5"/>
      <c r="E208" s="5"/>
      <c r="F208" s="5"/>
      <c r="G208" s="5"/>
      <c r="H208" s="5"/>
      <c r="I208" s="5"/>
      <c r="J208" s="5"/>
      <c r="K208" s="5"/>
    </row>
    <row r="209" spans="2:11" customFormat="1" x14ac:dyDescent="0.25">
      <c r="B209" s="43"/>
      <c r="C209" s="5"/>
      <c r="D209" s="5"/>
      <c r="E209" s="5"/>
      <c r="F209" s="5"/>
      <c r="G209" s="5"/>
      <c r="H209" s="5"/>
      <c r="I209" s="5"/>
      <c r="J209" s="5"/>
      <c r="K209" s="5"/>
    </row>
    <row r="210" spans="2:11" customFormat="1" x14ac:dyDescent="0.25">
      <c r="B210" s="43"/>
      <c r="C210" s="5"/>
      <c r="D210" s="5"/>
      <c r="E210" s="5"/>
      <c r="F210" s="5"/>
      <c r="G210" s="5"/>
      <c r="H210" s="5"/>
      <c r="I210" s="5"/>
      <c r="J210" s="5"/>
      <c r="K210" s="5"/>
    </row>
    <row r="211" spans="2:11" customFormat="1" x14ac:dyDescent="0.25">
      <c r="B211" s="43"/>
      <c r="C211" s="5"/>
      <c r="D211" s="5"/>
      <c r="E211" s="5"/>
      <c r="F211" s="5"/>
      <c r="G211" s="5"/>
      <c r="H211" s="5"/>
      <c r="I211" s="5"/>
      <c r="J211" s="5"/>
      <c r="K211" s="5"/>
    </row>
    <row r="212" spans="2:11" customFormat="1" x14ac:dyDescent="0.25">
      <c r="B212" s="43"/>
      <c r="C212" s="5"/>
      <c r="D212" s="5"/>
      <c r="E212" s="5"/>
      <c r="F212" s="5"/>
      <c r="G212" s="5"/>
      <c r="H212" s="5"/>
      <c r="I212" s="5"/>
      <c r="J212" s="5"/>
      <c r="K212" s="5"/>
    </row>
    <row r="213" spans="2:11" customFormat="1" x14ac:dyDescent="0.25">
      <c r="B213" s="43"/>
      <c r="C213" s="5"/>
      <c r="D213" s="5"/>
      <c r="E213" s="5"/>
      <c r="F213" s="5"/>
      <c r="G213" s="5"/>
      <c r="H213" s="5"/>
      <c r="I213" s="5"/>
      <c r="J213" s="5"/>
      <c r="K213" s="5"/>
    </row>
    <row r="214" spans="2:11" customFormat="1" x14ac:dyDescent="0.25">
      <c r="B214" s="43"/>
      <c r="C214" s="5"/>
      <c r="D214" s="5"/>
      <c r="E214" s="5"/>
      <c r="F214" s="5"/>
      <c r="G214" s="5"/>
      <c r="H214" s="5"/>
      <c r="I214" s="5"/>
      <c r="J214" s="5"/>
      <c r="K214" s="5"/>
    </row>
    <row r="215" spans="2:11" customFormat="1" x14ac:dyDescent="0.25">
      <c r="B215" s="43"/>
      <c r="C215" s="5"/>
      <c r="D215" s="5"/>
      <c r="E215" s="5"/>
      <c r="F215" s="5"/>
      <c r="G215" s="5"/>
      <c r="H215" s="5"/>
      <c r="I215" s="5"/>
      <c r="J215" s="5"/>
      <c r="K215" s="5"/>
    </row>
    <row r="216" spans="2:11" customFormat="1" x14ac:dyDescent="0.25">
      <c r="B216" s="43"/>
      <c r="C216" s="5"/>
      <c r="D216" s="5"/>
      <c r="E216" s="5"/>
      <c r="F216" s="5"/>
      <c r="G216" s="5"/>
      <c r="H216" s="5"/>
      <c r="I216" s="5"/>
      <c r="J216" s="5"/>
      <c r="K216" s="5"/>
    </row>
    <row r="217" spans="2:11" customFormat="1" x14ac:dyDescent="0.25">
      <c r="B217" s="43"/>
      <c r="C217" s="5"/>
      <c r="D217" s="5"/>
      <c r="E217" s="5"/>
      <c r="F217" s="5"/>
      <c r="G217" s="5"/>
      <c r="H217" s="5"/>
      <c r="I217" s="5"/>
      <c r="J217" s="5"/>
      <c r="K217" s="5"/>
    </row>
    <row r="218" spans="2:11" customFormat="1" x14ac:dyDescent="0.25">
      <c r="B218" s="43"/>
      <c r="C218" s="5"/>
      <c r="D218" s="5"/>
      <c r="E218" s="5"/>
      <c r="F218" s="5"/>
      <c r="G218" s="5"/>
      <c r="H218" s="5"/>
      <c r="I218" s="5"/>
      <c r="J218" s="5"/>
      <c r="K218" s="5"/>
    </row>
    <row r="219" spans="2:11" customFormat="1" x14ac:dyDescent="0.25">
      <c r="B219" s="43"/>
      <c r="C219" s="5"/>
      <c r="D219" s="5"/>
      <c r="E219" s="5"/>
      <c r="F219" s="5"/>
      <c r="G219" s="5"/>
      <c r="H219" s="5"/>
      <c r="I219" s="5"/>
      <c r="J219" s="5"/>
      <c r="K219" s="5"/>
    </row>
    <row r="220" spans="2:11" customFormat="1" x14ac:dyDescent="0.25">
      <c r="B220" s="43"/>
      <c r="C220" s="5"/>
      <c r="D220" s="5"/>
      <c r="E220" s="5"/>
      <c r="F220" s="5"/>
      <c r="G220" s="5"/>
      <c r="H220" s="5"/>
      <c r="I220" s="5"/>
      <c r="J220" s="5"/>
      <c r="K220" s="5"/>
    </row>
    <row r="221" spans="2:11" customFormat="1" x14ac:dyDescent="0.25">
      <c r="B221" s="43"/>
      <c r="C221" s="5"/>
      <c r="D221" s="5"/>
      <c r="E221" s="5"/>
      <c r="F221" s="5"/>
      <c r="G221" s="5"/>
      <c r="H221" s="5"/>
      <c r="I221" s="5"/>
      <c r="J221" s="5"/>
      <c r="K221" s="5"/>
    </row>
    <row r="222" spans="2:11" customFormat="1" x14ac:dyDescent="0.25">
      <c r="B222" s="43"/>
      <c r="C222" s="5"/>
      <c r="D222" s="5"/>
      <c r="E222" s="5"/>
      <c r="F222" s="5"/>
      <c r="G222" s="5"/>
      <c r="H222" s="5"/>
      <c r="I222" s="5"/>
      <c r="J222" s="5"/>
      <c r="K222" s="5"/>
    </row>
    <row r="223" spans="2:11" customFormat="1" x14ac:dyDescent="0.25">
      <c r="B223" s="43"/>
      <c r="C223" s="5"/>
      <c r="D223" s="5"/>
      <c r="E223" s="5"/>
      <c r="F223" s="5"/>
      <c r="G223" s="5"/>
      <c r="H223" s="5"/>
      <c r="I223" s="5"/>
      <c r="J223" s="5"/>
      <c r="K223" s="5"/>
    </row>
    <row r="224" spans="2:11" customFormat="1" x14ac:dyDescent="0.25">
      <c r="B224" s="43"/>
      <c r="C224" s="5"/>
      <c r="D224" s="5"/>
      <c r="E224" s="5"/>
      <c r="F224" s="5"/>
      <c r="G224" s="5"/>
      <c r="H224" s="5"/>
      <c r="I224" s="5"/>
      <c r="J224" s="5"/>
      <c r="K224" s="5"/>
    </row>
    <row r="225" spans="2:11" customFormat="1" x14ac:dyDescent="0.25">
      <c r="B225" s="43"/>
      <c r="C225" s="5"/>
      <c r="D225" s="5"/>
      <c r="E225" s="5"/>
      <c r="F225" s="5"/>
      <c r="G225" s="5"/>
      <c r="H225" s="5"/>
      <c r="I225" s="5"/>
      <c r="J225" s="5"/>
      <c r="K225" s="5"/>
    </row>
    <row r="226" spans="2:11" customFormat="1" x14ac:dyDescent="0.25">
      <c r="B226" s="43"/>
      <c r="C226" s="5"/>
      <c r="D226" s="5"/>
      <c r="E226" s="5"/>
      <c r="F226" s="5"/>
      <c r="G226" s="5"/>
      <c r="H226" s="5"/>
      <c r="I226" s="5"/>
      <c r="J226" s="5"/>
      <c r="K226" s="5"/>
    </row>
    <row r="227" spans="2:11" customFormat="1" x14ac:dyDescent="0.25">
      <c r="B227" s="43"/>
      <c r="C227" s="5"/>
      <c r="D227" s="5"/>
      <c r="E227" s="5"/>
      <c r="F227" s="5"/>
      <c r="G227" s="5"/>
      <c r="H227" s="5"/>
      <c r="I227" s="5"/>
      <c r="J227" s="5"/>
      <c r="K227" s="5"/>
    </row>
    <row r="228" spans="2:11" customFormat="1" x14ac:dyDescent="0.25">
      <c r="B228" s="43"/>
      <c r="C228" s="5"/>
      <c r="D228" s="5"/>
      <c r="E228" s="5"/>
      <c r="F228" s="5"/>
      <c r="G228" s="5"/>
      <c r="H228" s="5"/>
      <c r="I228" s="5"/>
      <c r="J228" s="5"/>
      <c r="K228" s="5"/>
    </row>
    <row r="229" spans="2:11" customFormat="1" x14ac:dyDescent="0.25">
      <c r="B229" s="43"/>
      <c r="C229" s="5"/>
      <c r="D229" s="5"/>
      <c r="E229" s="5"/>
      <c r="F229" s="5"/>
      <c r="G229" s="5"/>
      <c r="H229" s="5"/>
      <c r="I229" s="5"/>
      <c r="J229" s="5"/>
      <c r="K229" s="5"/>
    </row>
    <row r="230" spans="2:11" customFormat="1" x14ac:dyDescent="0.25">
      <c r="B230" s="43"/>
      <c r="C230" s="5"/>
      <c r="D230" s="5"/>
      <c r="E230" s="5"/>
      <c r="F230" s="5"/>
      <c r="G230" s="5"/>
      <c r="H230" s="5"/>
      <c r="I230" s="5"/>
      <c r="J230" s="5"/>
      <c r="K230" s="5"/>
    </row>
    <row r="231" spans="2:11" customFormat="1" x14ac:dyDescent="0.25">
      <c r="B231" s="43"/>
      <c r="C231" s="5"/>
      <c r="D231" s="5"/>
      <c r="E231" s="5"/>
      <c r="F231" s="5"/>
      <c r="G231" s="5"/>
      <c r="H231" s="5"/>
      <c r="I231" s="5"/>
      <c r="J231" s="5"/>
      <c r="K231" s="5"/>
    </row>
    <row r="232" spans="2:11" customFormat="1" x14ac:dyDescent="0.25">
      <c r="B232" s="43"/>
      <c r="C232" s="5"/>
      <c r="D232" s="5"/>
      <c r="E232" s="5"/>
      <c r="F232" s="5"/>
      <c r="G232" s="5"/>
      <c r="H232" s="5"/>
      <c r="I232" s="5"/>
      <c r="J232" s="5"/>
      <c r="K232" s="5"/>
    </row>
    <row r="233" spans="2:11" customFormat="1" x14ac:dyDescent="0.25">
      <c r="B233" s="43"/>
      <c r="C233" s="5"/>
      <c r="D233" s="5"/>
      <c r="E233" s="5"/>
      <c r="F233" s="5"/>
      <c r="G233" s="5"/>
      <c r="H233" s="5"/>
      <c r="I233" s="5"/>
      <c r="J233" s="5"/>
      <c r="K233" s="5"/>
    </row>
    <row r="234" spans="2:11" customFormat="1" x14ac:dyDescent="0.25">
      <c r="B234" s="43"/>
      <c r="C234" s="5"/>
      <c r="D234" s="5"/>
      <c r="E234" s="5"/>
      <c r="F234" s="5"/>
      <c r="G234" s="5"/>
      <c r="H234" s="5"/>
      <c r="I234" s="5"/>
      <c r="J234" s="5"/>
      <c r="K234" s="5"/>
    </row>
    <row r="235" spans="2:11" customFormat="1" x14ac:dyDescent="0.25">
      <c r="B235" s="43"/>
      <c r="C235" s="5"/>
      <c r="D235" s="5"/>
      <c r="E235" s="5"/>
      <c r="F235" s="5"/>
      <c r="G235" s="5"/>
      <c r="H235" s="5"/>
      <c r="I235" s="5"/>
      <c r="J235" s="5"/>
      <c r="K235" s="5"/>
    </row>
    <row r="236" spans="2:11" customFormat="1" x14ac:dyDescent="0.25">
      <c r="B236" s="43"/>
      <c r="C236" s="5"/>
      <c r="D236" s="5"/>
      <c r="E236" s="5"/>
      <c r="F236" s="5"/>
      <c r="G236" s="5"/>
      <c r="H236" s="5"/>
      <c r="I236" s="5"/>
      <c r="J236" s="5"/>
      <c r="K236" s="5"/>
    </row>
    <row r="237" spans="2:11" customFormat="1" x14ac:dyDescent="0.25">
      <c r="B237" s="43"/>
      <c r="C237" s="5"/>
      <c r="D237" s="5"/>
      <c r="E237" s="5"/>
      <c r="F237" s="5"/>
      <c r="G237" s="5"/>
      <c r="H237" s="5"/>
      <c r="I237" s="5"/>
      <c r="J237" s="5"/>
      <c r="K237" s="5"/>
    </row>
    <row r="238" spans="2:11" customFormat="1" x14ac:dyDescent="0.25">
      <c r="B238" s="43"/>
      <c r="C238" s="5"/>
      <c r="D238" s="5"/>
      <c r="E238" s="5"/>
      <c r="F238" s="5"/>
      <c r="G238" s="5"/>
      <c r="H238" s="5"/>
      <c r="I238" s="5"/>
      <c r="J238" s="5"/>
      <c r="K238" s="5"/>
    </row>
    <row r="239" spans="2:11" customFormat="1" x14ac:dyDescent="0.25">
      <c r="B239" s="43"/>
      <c r="C239" s="5"/>
      <c r="D239" s="5"/>
      <c r="E239" s="5"/>
      <c r="F239" s="5"/>
      <c r="G239" s="5"/>
      <c r="H239" s="5"/>
      <c r="I239" s="5"/>
      <c r="J239" s="5"/>
      <c r="K239" s="5"/>
    </row>
    <row r="240" spans="2:11" customFormat="1" x14ac:dyDescent="0.25">
      <c r="B240" s="43"/>
      <c r="C240" s="5"/>
      <c r="D240" s="5"/>
      <c r="E240" s="5"/>
      <c r="F240" s="5"/>
      <c r="G240" s="5"/>
      <c r="H240" s="5"/>
      <c r="I240" s="5"/>
      <c r="J240" s="5"/>
      <c r="K240" s="5"/>
    </row>
    <row r="241" spans="2:11" customFormat="1" x14ac:dyDescent="0.25">
      <c r="B241" s="43"/>
      <c r="C241" s="5"/>
      <c r="D241" s="5"/>
      <c r="E241" s="5"/>
      <c r="F241" s="5"/>
      <c r="G241" s="5"/>
      <c r="H241" s="5"/>
      <c r="I241" s="5"/>
      <c r="J241" s="5"/>
      <c r="K241" s="5"/>
    </row>
    <row r="242" spans="2:11" customFormat="1" x14ac:dyDescent="0.25">
      <c r="B242" s="43"/>
      <c r="C242" s="5"/>
      <c r="D242" s="5"/>
      <c r="E242" s="5"/>
      <c r="F242" s="5"/>
      <c r="G242" s="5"/>
      <c r="H242" s="5"/>
      <c r="I242" s="5"/>
      <c r="J242" s="5"/>
      <c r="K242" s="5"/>
    </row>
    <row r="243" spans="2:11" customFormat="1" x14ac:dyDescent="0.25">
      <c r="B243" s="43"/>
      <c r="C243" s="5"/>
      <c r="D243" s="5"/>
      <c r="E243" s="5"/>
      <c r="F243" s="5"/>
      <c r="G243" s="5"/>
      <c r="H243" s="5"/>
      <c r="I243" s="5"/>
      <c r="J243" s="5"/>
      <c r="K243" s="5"/>
    </row>
    <row r="244" spans="2:11" customFormat="1" x14ac:dyDescent="0.25">
      <c r="B244" s="43"/>
      <c r="C244" s="5"/>
      <c r="D244" s="5"/>
      <c r="E244" s="5"/>
      <c r="F244" s="5"/>
      <c r="G244" s="5"/>
      <c r="H244" s="5"/>
      <c r="I244" s="5"/>
      <c r="J244" s="5"/>
      <c r="K244" s="5"/>
    </row>
    <row r="245" spans="2:11" customFormat="1" x14ac:dyDescent="0.25">
      <c r="B245" s="43"/>
      <c r="C245" s="5"/>
      <c r="D245" s="5"/>
      <c r="E245" s="5"/>
      <c r="F245" s="5"/>
      <c r="G245" s="5"/>
      <c r="H245" s="5"/>
      <c r="I245" s="5"/>
      <c r="J245" s="5"/>
      <c r="K245" s="5"/>
    </row>
    <row r="246" spans="2:11" customFormat="1" x14ac:dyDescent="0.25">
      <c r="B246" s="43"/>
      <c r="C246" s="5"/>
      <c r="D246" s="5"/>
      <c r="E246" s="5"/>
      <c r="F246" s="5"/>
      <c r="G246" s="5"/>
      <c r="H246" s="5"/>
      <c r="I246" s="5"/>
      <c r="J246" s="5"/>
      <c r="K246" s="5"/>
    </row>
    <row r="247" spans="2:11" customFormat="1" x14ac:dyDescent="0.25">
      <c r="B247" s="43"/>
      <c r="C247" s="5"/>
      <c r="D247" s="5"/>
      <c r="E247" s="5"/>
      <c r="F247" s="5"/>
      <c r="G247" s="5"/>
      <c r="H247" s="5"/>
      <c r="I247" s="5"/>
      <c r="J247" s="5"/>
      <c r="K247" s="5"/>
    </row>
    <row r="248" spans="2:11" customFormat="1" x14ac:dyDescent="0.25">
      <c r="B248" s="43"/>
      <c r="C248" s="5"/>
      <c r="D248" s="5"/>
      <c r="E248" s="5"/>
      <c r="F248" s="5"/>
      <c r="G248" s="5"/>
      <c r="H248" s="5"/>
      <c r="I248" s="5"/>
      <c r="J248" s="5"/>
      <c r="K248" s="5"/>
    </row>
    <row r="249" spans="2:11" customFormat="1" x14ac:dyDescent="0.25">
      <c r="B249" s="43"/>
      <c r="C249" s="5"/>
      <c r="D249" s="5"/>
      <c r="E249" s="5"/>
      <c r="F249" s="5"/>
      <c r="G249" s="5"/>
      <c r="H249" s="5"/>
      <c r="I249" s="5"/>
      <c r="J249" s="5"/>
      <c r="K249" s="5"/>
    </row>
    <row r="250" spans="2:11" customFormat="1" x14ac:dyDescent="0.25">
      <c r="B250" s="43"/>
      <c r="C250" s="5"/>
      <c r="D250" s="5"/>
      <c r="E250" s="5"/>
      <c r="F250" s="5"/>
      <c r="G250" s="5"/>
      <c r="H250" s="5"/>
      <c r="I250" s="5"/>
      <c r="J250" s="5"/>
      <c r="K250" s="5"/>
    </row>
    <row r="251" spans="2:11" customFormat="1" x14ac:dyDescent="0.25">
      <c r="B251" s="43"/>
      <c r="C251" s="5"/>
      <c r="D251" s="5"/>
      <c r="E251" s="5"/>
      <c r="F251" s="5"/>
      <c r="G251" s="5"/>
      <c r="H251" s="5"/>
      <c r="I251" s="5"/>
      <c r="J251" s="5"/>
      <c r="K251" s="5"/>
    </row>
    <row r="252" spans="2:11" customFormat="1" x14ac:dyDescent="0.25">
      <c r="B252" s="43"/>
      <c r="C252" s="5"/>
      <c r="D252" s="5"/>
      <c r="E252" s="5"/>
      <c r="F252" s="5"/>
      <c r="G252" s="5"/>
      <c r="H252" s="5"/>
      <c r="I252" s="5"/>
      <c r="J252" s="5"/>
      <c r="K252" s="5"/>
    </row>
    <row r="253" spans="2:11" customFormat="1" x14ac:dyDescent="0.25">
      <c r="B253" s="43"/>
      <c r="C253" s="5"/>
      <c r="D253" s="5"/>
      <c r="E253" s="5"/>
      <c r="F253" s="5"/>
      <c r="G253" s="5"/>
      <c r="H253" s="5"/>
      <c r="I253" s="5"/>
      <c r="J253" s="5"/>
      <c r="K253" s="5"/>
    </row>
    <row r="254" spans="2:11" customFormat="1" x14ac:dyDescent="0.25">
      <c r="B254" s="43"/>
      <c r="C254" s="5"/>
      <c r="D254" s="5"/>
      <c r="E254" s="5"/>
      <c r="F254" s="5"/>
      <c r="G254" s="5"/>
      <c r="H254" s="5"/>
      <c r="I254" s="5"/>
      <c r="J254" s="5"/>
      <c r="K254" s="5"/>
    </row>
    <row r="255" spans="2:11" customFormat="1" x14ac:dyDescent="0.25">
      <c r="B255" s="43"/>
      <c r="C255" s="5"/>
      <c r="D255" s="5"/>
      <c r="E255" s="5"/>
      <c r="F255" s="5"/>
      <c r="G255" s="5"/>
      <c r="H255" s="5"/>
      <c r="I255" s="5"/>
      <c r="J255" s="5"/>
      <c r="K255" s="5"/>
    </row>
    <row r="256" spans="2:11" customFormat="1" x14ac:dyDescent="0.25">
      <c r="B256" s="43"/>
      <c r="C256" s="5"/>
      <c r="D256" s="5"/>
      <c r="E256" s="5"/>
      <c r="F256" s="5"/>
      <c r="G256" s="5"/>
      <c r="H256" s="5"/>
      <c r="I256" s="5"/>
      <c r="J256" s="5"/>
      <c r="K256" s="5"/>
    </row>
    <row r="257" spans="2:11" customFormat="1" x14ac:dyDescent="0.25">
      <c r="B257" s="43"/>
      <c r="C257" s="5"/>
      <c r="D257" s="5"/>
      <c r="E257" s="5"/>
      <c r="F257" s="5"/>
      <c r="G257" s="5"/>
      <c r="H257" s="5"/>
      <c r="I257" s="5"/>
      <c r="J257" s="5"/>
      <c r="K257" s="5"/>
    </row>
    <row r="258" spans="2:11" customFormat="1" x14ac:dyDescent="0.25">
      <c r="B258" s="43"/>
      <c r="C258" s="5"/>
      <c r="D258" s="5"/>
      <c r="E258" s="5"/>
      <c r="F258" s="5"/>
      <c r="G258" s="5"/>
      <c r="H258" s="5"/>
      <c r="I258" s="5"/>
      <c r="J258" s="5"/>
      <c r="K258" s="5"/>
    </row>
    <row r="259" spans="2:11" customFormat="1" x14ac:dyDescent="0.25">
      <c r="B259" s="43"/>
      <c r="C259" s="5"/>
      <c r="D259" s="5"/>
      <c r="E259" s="5"/>
      <c r="F259" s="5"/>
      <c r="G259" s="5"/>
      <c r="H259" s="5"/>
      <c r="I259" s="5"/>
      <c r="J259" s="5"/>
      <c r="K259" s="5"/>
    </row>
    <row r="260" spans="2:11" customFormat="1" x14ac:dyDescent="0.25">
      <c r="B260" s="43"/>
      <c r="C260" s="5"/>
      <c r="D260" s="5"/>
      <c r="E260" s="5"/>
      <c r="F260" s="5"/>
      <c r="G260" s="5"/>
      <c r="H260" s="5"/>
      <c r="I260" s="5"/>
      <c r="J260" s="5"/>
      <c r="K260" s="5"/>
    </row>
    <row r="261" spans="2:11" customFormat="1" x14ac:dyDescent="0.25">
      <c r="B261" s="43"/>
      <c r="C261" s="5"/>
      <c r="D261" s="5"/>
      <c r="E261" s="5"/>
      <c r="F261" s="5"/>
      <c r="G261" s="5"/>
      <c r="H261" s="5"/>
      <c r="I261" s="5"/>
      <c r="J261" s="5"/>
      <c r="K261" s="5"/>
    </row>
    <row r="262" spans="2:11" customFormat="1" x14ac:dyDescent="0.25">
      <c r="B262" s="43"/>
      <c r="C262" s="5"/>
      <c r="D262" s="5"/>
      <c r="E262" s="5"/>
      <c r="F262" s="5"/>
      <c r="G262" s="5"/>
      <c r="H262" s="5"/>
      <c r="I262" s="5"/>
      <c r="J262" s="5"/>
      <c r="K262" s="5"/>
    </row>
    <row r="263" spans="2:11" customFormat="1" x14ac:dyDescent="0.25">
      <c r="B263" s="43"/>
      <c r="C263" s="5"/>
      <c r="D263" s="5"/>
      <c r="E263" s="5"/>
      <c r="F263" s="5"/>
      <c r="G263" s="5"/>
      <c r="H263" s="5"/>
      <c r="I263" s="5"/>
      <c r="J263" s="5"/>
      <c r="K263" s="5"/>
    </row>
    <row r="264" spans="2:11" customFormat="1" x14ac:dyDescent="0.25">
      <c r="B264" s="43"/>
      <c r="C264" s="5"/>
      <c r="D264" s="5"/>
      <c r="E264" s="5"/>
      <c r="F264" s="5"/>
      <c r="G264" s="5"/>
      <c r="H264" s="5"/>
      <c r="I264" s="5"/>
      <c r="J264" s="5"/>
      <c r="K264" s="5"/>
    </row>
    <row r="265" spans="2:11" customFormat="1" x14ac:dyDescent="0.25">
      <c r="B265" s="43"/>
      <c r="C265" s="5"/>
      <c r="D265" s="5"/>
      <c r="E265" s="5"/>
      <c r="F265" s="5"/>
      <c r="G265" s="5"/>
      <c r="H265" s="5"/>
      <c r="I265" s="5"/>
      <c r="J265" s="5"/>
      <c r="K265" s="5"/>
    </row>
    <row r="266" spans="2:11" customFormat="1" x14ac:dyDescent="0.25">
      <c r="B266" s="43"/>
      <c r="C266" s="5"/>
      <c r="D266" s="5"/>
      <c r="E266" s="5"/>
      <c r="F266" s="5"/>
      <c r="G266" s="5"/>
      <c r="H266" s="5"/>
      <c r="I266" s="5"/>
      <c r="J266" s="5"/>
      <c r="K266" s="5"/>
    </row>
    <row r="267" spans="2:11" customFormat="1" x14ac:dyDescent="0.25">
      <c r="B267" s="43"/>
      <c r="C267" s="5"/>
      <c r="D267" s="5"/>
      <c r="E267" s="5"/>
      <c r="F267" s="5"/>
      <c r="G267" s="5"/>
      <c r="H267" s="5"/>
      <c r="I267" s="5"/>
      <c r="J267" s="5"/>
      <c r="K267" s="5"/>
    </row>
    <row r="268" spans="2:11" customFormat="1" x14ac:dyDescent="0.25">
      <c r="B268" s="43"/>
      <c r="C268" s="5"/>
      <c r="D268" s="5"/>
      <c r="E268" s="5"/>
      <c r="F268" s="5"/>
      <c r="G268" s="5"/>
      <c r="H268" s="5"/>
      <c r="I268" s="5"/>
      <c r="J268" s="5"/>
      <c r="K268" s="5"/>
    </row>
    <row r="269" spans="2:11" customFormat="1" x14ac:dyDescent="0.25">
      <c r="B269" s="43"/>
      <c r="C269" s="5"/>
      <c r="D269" s="5"/>
      <c r="E269" s="5"/>
      <c r="F269" s="5"/>
      <c r="G269" s="5"/>
      <c r="H269" s="5"/>
      <c r="I269" s="5"/>
      <c r="J269" s="5"/>
      <c r="K269" s="5"/>
    </row>
    <row r="270" spans="2:11" customFormat="1" x14ac:dyDescent="0.25">
      <c r="B270" s="43"/>
      <c r="C270" s="5"/>
      <c r="D270" s="5"/>
      <c r="E270" s="5"/>
      <c r="F270" s="5"/>
      <c r="G270" s="5"/>
      <c r="H270" s="5"/>
      <c r="I270" s="5"/>
      <c r="J270" s="5"/>
      <c r="K270" s="5"/>
    </row>
    <row r="271" spans="2:11" customFormat="1" x14ac:dyDescent="0.25">
      <c r="B271" s="43"/>
      <c r="C271" s="5"/>
      <c r="D271" s="5"/>
      <c r="E271" s="5"/>
      <c r="F271" s="5"/>
      <c r="G271" s="5"/>
      <c r="H271" s="5"/>
      <c r="I271" s="5"/>
      <c r="J271" s="5"/>
      <c r="K271" s="5"/>
    </row>
    <row r="272" spans="2:11" customFormat="1" x14ac:dyDescent="0.25">
      <c r="B272" s="43"/>
      <c r="C272" s="5"/>
      <c r="D272" s="5"/>
      <c r="E272" s="5"/>
      <c r="F272" s="5"/>
      <c r="G272" s="5"/>
      <c r="H272" s="5"/>
      <c r="I272" s="5"/>
      <c r="J272" s="5"/>
      <c r="K272" s="5"/>
    </row>
    <row r="273" spans="2:11" customFormat="1" x14ac:dyDescent="0.25">
      <c r="B273" s="43"/>
      <c r="C273" s="5"/>
      <c r="D273" s="5"/>
      <c r="E273" s="5"/>
      <c r="F273" s="5"/>
      <c r="G273" s="5"/>
      <c r="H273" s="5"/>
      <c r="I273" s="5"/>
      <c r="J273" s="5"/>
      <c r="K273" s="5"/>
    </row>
    <row r="274" spans="2:11" customFormat="1" x14ac:dyDescent="0.25">
      <c r="B274" s="43"/>
      <c r="C274" s="5"/>
      <c r="D274" s="5"/>
      <c r="E274" s="5"/>
      <c r="F274" s="5"/>
      <c r="G274" s="5"/>
      <c r="H274" s="5"/>
      <c r="I274" s="5"/>
      <c r="J274" s="5"/>
      <c r="K274" s="5"/>
    </row>
    <row r="275" spans="2:11" customFormat="1" x14ac:dyDescent="0.25">
      <c r="B275" s="43"/>
      <c r="C275" s="5"/>
      <c r="D275" s="5"/>
      <c r="E275" s="5"/>
      <c r="F275" s="5"/>
      <c r="G275" s="5"/>
      <c r="H275" s="5"/>
      <c r="I275" s="5"/>
      <c r="J275" s="5"/>
      <c r="K275" s="5"/>
    </row>
    <row r="276" spans="2:11" customFormat="1" x14ac:dyDescent="0.25">
      <c r="B276" s="43"/>
      <c r="C276" s="5"/>
      <c r="D276" s="5"/>
      <c r="E276" s="5"/>
      <c r="F276" s="5"/>
      <c r="G276" s="5"/>
      <c r="H276" s="5"/>
      <c r="I276" s="5"/>
      <c r="J276" s="5"/>
      <c r="K276" s="5"/>
    </row>
    <row r="277" spans="2:11" customFormat="1" x14ac:dyDescent="0.25">
      <c r="B277" s="43"/>
      <c r="C277" s="5"/>
      <c r="D277" s="5"/>
      <c r="E277" s="5"/>
      <c r="F277" s="5"/>
      <c r="G277" s="5"/>
      <c r="H277" s="5"/>
      <c r="I277" s="5"/>
      <c r="J277" s="5"/>
      <c r="K277" s="5"/>
    </row>
    <row r="278" spans="2:11" customFormat="1" x14ac:dyDescent="0.25">
      <c r="B278" s="43"/>
      <c r="C278" s="5"/>
      <c r="D278" s="5"/>
      <c r="E278" s="5"/>
      <c r="F278" s="5"/>
      <c r="G278" s="5"/>
      <c r="H278" s="5"/>
      <c r="I278" s="5"/>
      <c r="J278" s="5"/>
      <c r="K278" s="5"/>
    </row>
    <row r="279" spans="2:11" customFormat="1" x14ac:dyDescent="0.25">
      <c r="B279" s="43"/>
      <c r="C279" s="5"/>
      <c r="D279" s="5"/>
      <c r="E279" s="5"/>
      <c r="F279" s="5"/>
      <c r="G279" s="5"/>
      <c r="H279" s="5"/>
      <c r="I279" s="5"/>
      <c r="J279" s="5"/>
      <c r="K279" s="5"/>
    </row>
    <row r="280" spans="2:11" customFormat="1" x14ac:dyDescent="0.25">
      <c r="B280" s="43"/>
      <c r="C280" s="5"/>
      <c r="D280" s="5"/>
      <c r="E280" s="5"/>
      <c r="F280" s="5"/>
      <c r="G280" s="5"/>
      <c r="H280" s="5"/>
      <c r="I280" s="5"/>
      <c r="J280" s="5"/>
      <c r="K280" s="5"/>
    </row>
    <row r="281" spans="2:11" customFormat="1" x14ac:dyDescent="0.25">
      <c r="B281" s="43"/>
      <c r="C281" s="5"/>
      <c r="D281" s="5"/>
      <c r="E281" s="5"/>
      <c r="F281" s="5"/>
      <c r="G281" s="5"/>
      <c r="H281" s="5"/>
      <c r="I281" s="5"/>
      <c r="J281" s="5"/>
      <c r="K281" s="5"/>
    </row>
    <row r="282" spans="2:11" customFormat="1" x14ac:dyDescent="0.25">
      <c r="B282" s="43"/>
      <c r="C282" s="5"/>
      <c r="D282" s="5"/>
      <c r="E282" s="5"/>
      <c r="F282" s="5"/>
      <c r="G282" s="5"/>
      <c r="H282" s="5"/>
      <c r="I282" s="5"/>
      <c r="J282" s="5"/>
      <c r="K282" s="5"/>
    </row>
    <row r="283" spans="2:11" customFormat="1" x14ac:dyDescent="0.25">
      <c r="B283" s="43"/>
      <c r="C283" s="5"/>
      <c r="D283" s="5"/>
      <c r="E283" s="5"/>
      <c r="F283" s="5"/>
      <c r="G283" s="5"/>
      <c r="H283" s="5"/>
      <c r="I283" s="5"/>
      <c r="J283" s="5"/>
      <c r="K283" s="5"/>
    </row>
    <row r="284" spans="2:11" customFormat="1" x14ac:dyDescent="0.25">
      <c r="B284" s="43"/>
      <c r="C284" s="5"/>
      <c r="D284" s="5"/>
      <c r="E284" s="5"/>
      <c r="F284" s="5"/>
      <c r="G284" s="5"/>
      <c r="H284" s="5"/>
      <c r="I284" s="5"/>
      <c r="J284" s="5"/>
      <c r="K284" s="5"/>
    </row>
    <row r="285" spans="2:11" customFormat="1" x14ac:dyDescent="0.25">
      <c r="B285" s="43"/>
      <c r="C285" s="5"/>
      <c r="D285" s="5"/>
      <c r="E285" s="5"/>
      <c r="F285" s="5"/>
      <c r="G285" s="5"/>
      <c r="H285" s="5"/>
      <c r="I285" s="5"/>
      <c r="J285" s="5"/>
      <c r="K285" s="5"/>
    </row>
    <row r="286" spans="2:11" customFormat="1" x14ac:dyDescent="0.25">
      <c r="B286" s="43"/>
      <c r="C286" s="5"/>
      <c r="D286" s="5"/>
      <c r="E286" s="5"/>
      <c r="F286" s="5"/>
      <c r="G286" s="5"/>
      <c r="H286" s="5"/>
      <c r="I286" s="5"/>
      <c r="J286" s="5"/>
      <c r="K286" s="5"/>
    </row>
    <row r="287" spans="2:11" customFormat="1" x14ac:dyDescent="0.25">
      <c r="B287" s="43"/>
      <c r="C287" s="5"/>
      <c r="D287" s="5"/>
      <c r="E287" s="5"/>
      <c r="F287" s="5"/>
      <c r="G287" s="5"/>
      <c r="H287" s="5"/>
      <c r="I287" s="5"/>
      <c r="J287" s="5"/>
      <c r="K287" s="5"/>
    </row>
    <row r="288" spans="2:11" customFormat="1" x14ac:dyDescent="0.25">
      <c r="B288" s="43"/>
      <c r="C288" s="5"/>
      <c r="D288" s="5"/>
      <c r="E288" s="5"/>
      <c r="F288" s="5"/>
      <c r="G288" s="5"/>
      <c r="H288" s="5"/>
      <c r="I288" s="5"/>
      <c r="J288" s="5"/>
      <c r="K288" s="5"/>
    </row>
    <row r="289" spans="2:11" customFormat="1" x14ac:dyDescent="0.25">
      <c r="B289" s="43"/>
      <c r="C289" s="5"/>
      <c r="D289" s="5"/>
      <c r="E289" s="5"/>
      <c r="F289" s="5"/>
      <c r="G289" s="5"/>
      <c r="H289" s="5"/>
      <c r="I289" s="5"/>
      <c r="J289" s="5"/>
      <c r="K289" s="5"/>
    </row>
    <row r="290" spans="2:11" customFormat="1" x14ac:dyDescent="0.25">
      <c r="B290" s="43"/>
      <c r="C290" s="5"/>
      <c r="D290" s="5"/>
      <c r="E290" s="5"/>
      <c r="F290" s="5"/>
      <c r="G290" s="5"/>
      <c r="H290" s="5"/>
      <c r="I290" s="5"/>
      <c r="J290" s="5"/>
      <c r="K290" s="5"/>
    </row>
    <row r="291" spans="2:11" customFormat="1" x14ac:dyDescent="0.25">
      <c r="B291" s="43"/>
      <c r="C291" s="5"/>
      <c r="D291" s="5"/>
      <c r="E291" s="5"/>
      <c r="F291" s="5"/>
      <c r="G291" s="5"/>
      <c r="H291" s="5"/>
      <c r="I291" s="5"/>
      <c r="J291" s="5"/>
      <c r="K291" s="5"/>
    </row>
    <row r="292" spans="2:11" customFormat="1" x14ac:dyDescent="0.25">
      <c r="B292" s="43"/>
      <c r="C292" s="5"/>
      <c r="D292" s="5"/>
      <c r="E292" s="5"/>
      <c r="F292" s="5"/>
      <c r="G292" s="5"/>
      <c r="H292" s="5"/>
      <c r="I292" s="5"/>
      <c r="J292" s="5"/>
      <c r="K292" s="5"/>
    </row>
    <row r="293" spans="2:11" customFormat="1" x14ac:dyDescent="0.25">
      <c r="B293" s="43"/>
      <c r="C293" s="5"/>
      <c r="D293" s="5"/>
      <c r="E293" s="5"/>
      <c r="F293" s="5"/>
      <c r="G293" s="5"/>
      <c r="H293" s="5"/>
      <c r="I293" s="5"/>
      <c r="J293" s="5"/>
      <c r="K293" s="5"/>
    </row>
    <row r="294" spans="2:11" customFormat="1" x14ac:dyDescent="0.25">
      <c r="B294" s="43"/>
      <c r="C294" s="5"/>
      <c r="D294" s="5"/>
      <c r="E294" s="5"/>
      <c r="F294" s="5"/>
      <c r="G294" s="5"/>
      <c r="H294" s="5"/>
      <c r="I294" s="5"/>
      <c r="J294" s="5"/>
      <c r="K294" s="5"/>
    </row>
    <row r="295" spans="2:11" customFormat="1" x14ac:dyDescent="0.25">
      <c r="B295" s="43"/>
      <c r="C295" s="5"/>
      <c r="D295" s="5"/>
      <c r="E295" s="5"/>
      <c r="F295" s="5"/>
      <c r="G295" s="5"/>
      <c r="H295" s="5"/>
      <c r="I295" s="5"/>
      <c r="J295" s="5"/>
      <c r="K295" s="5"/>
    </row>
    <row r="296" spans="2:11" customFormat="1" x14ac:dyDescent="0.25">
      <c r="B296" s="43"/>
      <c r="C296" s="5"/>
      <c r="D296" s="5"/>
      <c r="E296" s="5"/>
      <c r="F296" s="5"/>
      <c r="G296" s="5"/>
      <c r="H296" s="5"/>
      <c r="I296" s="5"/>
      <c r="J296" s="5"/>
      <c r="K296" s="5"/>
    </row>
    <row r="297" spans="2:11" customFormat="1" x14ac:dyDescent="0.25">
      <c r="B297" s="43"/>
      <c r="C297" s="5"/>
      <c r="D297" s="5"/>
      <c r="E297" s="5"/>
      <c r="F297" s="5"/>
      <c r="G297" s="5"/>
      <c r="H297" s="5"/>
      <c r="I297" s="5"/>
      <c r="J297" s="5"/>
      <c r="K297" s="5"/>
    </row>
    <row r="298" spans="2:11" customFormat="1" x14ac:dyDescent="0.25">
      <c r="B298" s="43"/>
      <c r="C298" s="5"/>
      <c r="D298" s="5"/>
      <c r="E298" s="5"/>
      <c r="F298" s="5"/>
      <c r="G298" s="5"/>
      <c r="H298" s="5"/>
      <c r="I298" s="5"/>
      <c r="J298" s="5"/>
      <c r="K298" s="5"/>
    </row>
    <row r="299" spans="2:11" customFormat="1" x14ac:dyDescent="0.25">
      <c r="B299" s="43"/>
      <c r="C299" s="5"/>
      <c r="D299" s="5"/>
      <c r="E299" s="5"/>
      <c r="F299" s="5"/>
      <c r="G299" s="5"/>
      <c r="H299" s="5"/>
      <c r="I299" s="5"/>
      <c r="J299" s="5"/>
      <c r="K299" s="5"/>
    </row>
    <row r="300" spans="2:11" customFormat="1" x14ac:dyDescent="0.25">
      <c r="B300" s="43"/>
      <c r="C300" s="5"/>
      <c r="D300" s="5"/>
      <c r="E300" s="5"/>
      <c r="F300" s="5"/>
      <c r="G300" s="5"/>
      <c r="H300" s="5"/>
      <c r="I300" s="5"/>
      <c r="J300" s="5"/>
      <c r="K300" s="5"/>
    </row>
    <row r="301" spans="2:11" customFormat="1" x14ac:dyDescent="0.25">
      <c r="B301" s="43"/>
      <c r="C301" s="5"/>
      <c r="D301" s="5"/>
      <c r="E301" s="5"/>
      <c r="F301" s="5"/>
      <c r="G301" s="5"/>
      <c r="H301" s="5"/>
      <c r="I301" s="5"/>
      <c r="J301" s="5"/>
      <c r="K301" s="5"/>
    </row>
    <row r="302" spans="2:11" customFormat="1" x14ac:dyDescent="0.25">
      <c r="B302" s="43"/>
      <c r="C302" s="5"/>
      <c r="D302" s="5"/>
      <c r="E302" s="5"/>
      <c r="F302" s="5"/>
      <c r="G302" s="5"/>
      <c r="H302" s="5"/>
      <c r="I302" s="5"/>
      <c r="J302" s="5"/>
      <c r="K302" s="5"/>
    </row>
    <row r="303" spans="2:11" customFormat="1" x14ac:dyDescent="0.25">
      <c r="B303" s="43"/>
      <c r="C303" s="5"/>
      <c r="D303" s="5"/>
      <c r="E303" s="5"/>
      <c r="F303" s="5"/>
      <c r="G303" s="5"/>
      <c r="H303" s="5"/>
      <c r="I303" s="5"/>
      <c r="J303" s="5"/>
      <c r="K303" s="5"/>
    </row>
    <row r="304" spans="2:11" customFormat="1" x14ac:dyDescent="0.25">
      <c r="B304" s="43"/>
      <c r="C304" s="5"/>
      <c r="D304" s="5"/>
      <c r="E304" s="5"/>
      <c r="F304" s="5"/>
      <c r="G304" s="5"/>
      <c r="H304" s="5"/>
      <c r="I304" s="5"/>
      <c r="J304" s="5"/>
      <c r="K304" s="5"/>
    </row>
    <row r="305" spans="2:11" customFormat="1" x14ac:dyDescent="0.25">
      <c r="B305" s="43"/>
      <c r="C305" s="5"/>
      <c r="D305" s="5"/>
      <c r="E305" s="5"/>
      <c r="F305" s="5"/>
      <c r="G305" s="5"/>
      <c r="H305" s="5"/>
      <c r="I305" s="5"/>
      <c r="J305" s="5"/>
      <c r="K305" s="5"/>
    </row>
    <row r="306" spans="2:11" customFormat="1" x14ac:dyDescent="0.25">
      <c r="B306" s="43"/>
      <c r="C306" s="5"/>
      <c r="D306" s="5"/>
      <c r="E306" s="5"/>
      <c r="F306" s="5"/>
      <c r="G306" s="5"/>
      <c r="H306" s="5"/>
      <c r="I306" s="5"/>
      <c r="J306" s="5"/>
      <c r="K306" s="5"/>
    </row>
    <row r="307" spans="2:11" customFormat="1" x14ac:dyDescent="0.25">
      <c r="B307" s="43"/>
      <c r="C307" s="5"/>
      <c r="D307" s="5"/>
      <c r="E307" s="5"/>
      <c r="F307" s="5"/>
      <c r="G307" s="5"/>
      <c r="H307" s="5"/>
      <c r="I307" s="5"/>
      <c r="J307" s="5"/>
      <c r="K307" s="5"/>
    </row>
    <row r="308" spans="2:11" customFormat="1" x14ac:dyDescent="0.25">
      <c r="B308" s="43"/>
      <c r="C308" s="5"/>
      <c r="D308" s="5"/>
      <c r="E308" s="5"/>
      <c r="F308" s="5"/>
      <c r="G308" s="5"/>
      <c r="H308" s="5"/>
      <c r="I308" s="5"/>
      <c r="J308" s="5"/>
      <c r="K308" s="5"/>
    </row>
    <row r="309" spans="2:11" customFormat="1" x14ac:dyDescent="0.25">
      <c r="B309" s="43"/>
      <c r="C309" s="5"/>
      <c r="D309" s="5"/>
      <c r="E309" s="5"/>
      <c r="F309" s="5"/>
      <c r="G309" s="5"/>
      <c r="H309" s="5"/>
      <c r="I309" s="5"/>
      <c r="J309" s="5"/>
      <c r="K309" s="5"/>
    </row>
    <row r="310" spans="2:11" customFormat="1" x14ac:dyDescent="0.25">
      <c r="B310" s="43"/>
      <c r="C310" s="5"/>
      <c r="D310" s="5"/>
      <c r="E310" s="5"/>
      <c r="F310" s="5"/>
      <c r="G310" s="5"/>
      <c r="H310" s="5"/>
      <c r="I310" s="5"/>
      <c r="J310" s="5"/>
      <c r="K310" s="5"/>
    </row>
    <row r="311" spans="2:11" customFormat="1" x14ac:dyDescent="0.25">
      <c r="B311" s="43"/>
      <c r="C311" s="5"/>
      <c r="D311" s="5"/>
      <c r="E311" s="5"/>
      <c r="F311" s="5"/>
      <c r="G311" s="5"/>
      <c r="H311" s="5"/>
      <c r="I311" s="5"/>
      <c r="J311" s="5"/>
      <c r="K311" s="5"/>
    </row>
    <row r="312" spans="2:11" customFormat="1" x14ac:dyDescent="0.25">
      <c r="B312" s="43"/>
      <c r="C312" s="5"/>
      <c r="D312" s="5"/>
      <c r="E312" s="5"/>
      <c r="F312" s="5"/>
      <c r="G312" s="5"/>
      <c r="H312" s="5"/>
      <c r="I312" s="5"/>
      <c r="J312" s="5"/>
      <c r="K312" s="5"/>
    </row>
    <row r="313" spans="2:11" customFormat="1" x14ac:dyDescent="0.25">
      <c r="B313" s="43"/>
      <c r="C313" s="5"/>
      <c r="D313" s="5"/>
      <c r="E313" s="5"/>
      <c r="F313" s="5"/>
      <c r="G313" s="5"/>
      <c r="H313" s="5"/>
      <c r="I313" s="5"/>
      <c r="J313" s="5"/>
      <c r="K313" s="5"/>
    </row>
    <row r="314" spans="2:11" customFormat="1" x14ac:dyDescent="0.25">
      <c r="B314" s="43"/>
      <c r="C314" s="5"/>
      <c r="D314" s="5"/>
      <c r="E314" s="5"/>
      <c r="F314" s="5"/>
      <c r="G314" s="5"/>
      <c r="H314" s="5"/>
      <c r="I314" s="5"/>
      <c r="J314" s="5"/>
      <c r="K314" s="5"/>
    </row>
    <row r="315" spans="2:11" customFormat="1" x14ac:dyDescent="0.25">
      <c r="B315" s="43"/>
      <c r="C315" s="5"/>
      <c r="D315" s="5"/>
      <c r="E315" s="5"/>
      <c r="F315" s="5"/>
      <c r="G315" s="5"/>
      <c r="H315" s="5"/>
      <c r="I315" s="5"/>
      <c r="J315" s="5"/>
      <c r="K315" s="5"/>
    </row>
    <row r="316" spans="2:11" customFormat="1" x14ac:dyDescent="0.25">
      <c r="B316" s="43"/>
      <c r="C316" s="5"/>
      <c r="D316" s="5"/>
      <c r="E316" s="5"/>
      <c r="F316" s="5"/>
      <c r="G316" s="5"/>
      <c r="H316" s="5"/>
      <c r="I316" s="5"/>
      <c r="J316" s="5"/>
      <c r="K316" s="5"/>
    </row>
    <row r="317" spans="2:11" customFormat="1" x14ac:dyDescent="0.25">
      <c r="B317" s="43"/>
      <c r="C317" s="5"/>
      <c r="D317" s="5"/>
      <c r="E317" s="5"/>
      <c r="F317" s="5"/>
      <c r="G317" s="5"/>
      <c r="H317" s="5"/>
      <c r="I317" s="5"/>
      <c r="J317" s="5"/>
      <c r="K317" s="5"/>
    </row>
    <row r="318" spans="2:11" customFormat="1" x14ac:dyDescent="0.25">
      <c r="B318" s="43"/>
      <c r="C318" s="5"/>
      <c r="D318" s="5"/>
      <c r="E318" s="5"/>
      <c r="F318" s="5"/>
      <c r="G318" s="5"/>
      <c r="H318" s="5"/>
      <c r="I318" s="5"/>
      <c r="J318" s="5"/>
      <c r="K318" s="5"/>
    </row>
    <row r="319" spans="2:11" customFormat="1" x14ac:dyDescent="0.25">
      <c r="B319" s="43"/>
      <c r="C319" s="5"/>
      <c r="D319" s="5"/>
      <c r="E319" s="5"/>
      <c r="F319" s="5"/>
      <c r="G319" s="5"/>
      <c r="H319" s="5"/>
      <c r="I319" s="5"/>
      <c r="J319" s="5"/>
      <c r="K319" s="5"/>
    </row>
    <row r="320" spans="2:11" customFormat="1" x14ac:dyDescent="0.25">
      <c r="B320" s="43"/>
      <c r="C320" s="5"/>
      <c r="D320" s="5"/>
      <c r="E320" s="5"/>
      <c r="F320" s="5"/>
      <c r="G320" s="5"/>
      <c r="H320" s="5"/>
      <c r="I320" s="5"/>
      <c r="J320" s="5"/>
      <c r="K320" s="5"/>
    </row>
    <row r="321" spans="2:11" customFormat="1" x14ac:dyDescent="0.25">
      <c r="B321" s="43"/>
      <c r="C321" s="5"/>
      <c r="D321" s="5"/>
      <c r="E321" s="5"/>
      <c r="F321" s="5"/>
      <c r="G321" s="5"/>
      <c r="H321" s="5"/>
      <c r="I321" s="5"/>
      <c r="J321" s="5"/>
      <c r="K321" s="5"/>
    </row>
    <row r="322" spans="2:11" customFormat="1" x14ac:dyDescent="0.25">
      <c r="B322" s="43"/>
      <c r="C322" s="5"/>
      <c r="D322" s="5"/>
      <c r="E322" s="5"/>
      <c r="F322" s="5"/>
      <c r="G322" s="5"/>
      <c r="H322" s="5"/>
      <c r="I322" s="5"/>
      <c r="J322" s="5"/>
      <c r="K322" s="5"/>
    </row>
    <row r="323" spans="2:11" customFormat="1" x14ac:dyDescent="0.25">
      <c r="B323" s="43"/>
      <c r="C323" s="5"/>
      <c r="D323" s="5"/>
      <c r="E323" s="5"/>
      <c r="F323" s="5"/>
      <c r="G323" s="5"/>
      <c r="H323" s="5"/>
      <c r="I323" s="5"/>
      <c r="J323" s="5"/>
      <c r="K323" s="5"/>
    </row>
    <row r="324" spans="2:11" customFormat="1" x14ac:dyDescent="0.25">
      <c r="B324" s="43"/>
      <c r="C324" s="5"/>
      <c r="D324" s="5"/>
      <c r="E324" s="5"/>
      <c r="F324" s="5"/>
      <c r="G324" s="5"/>
      <c r="H324" s="5"/>
      <c r="I324" s="5"/>
      <c r="J324" s="5"/>
      <c r="K324" s="5"/>
    </row>
    <row r="325" spans="2:11" customFormat="1" x14ac:dyDescent="0.25">
      <c r="B325" s="43"/>
      <c r="C325" s="5"/>
      <c r="D325" s="5"/>
      <c r="E325" s="5"/>
      <c r="F325" s="5"/>
      <c r="G325" s="5"/>
      <c r="H325" s="5"/>
      <c r="I325" s="5"/>
      <c r="J325" s="5"/>
      <c r="K325" s="5"/>
    </row>
    <row r="326" spans="2:11" customFormat="1" x14ac:dyDescent="0.25">
      <c r="B326" s="43"/>
      <c r="C326" s="5"/>
      <c r="D326" s="5"/>
      <c r="E326" s="5"/>
      <c r="F326" s="5"/>
      <c r="G326" s="5"/>
      <c r="H326" s="5"/>
      <c r="I326" s="5"/>
      <c r="J326" s="5"/>
      <c r="K326" s="5"/>
    </row>
    <row r="327" spans="2:11" customFormat="1" x14ac:dyDescent="0.25">
      <c r="B327" s="43"/>
      <c r="C327" s="5"/>
      <c r="D327" s="5"/>
      <c r="E327" s="5"/>
      <c r="F327" s="5"/>
      <c r="G327" s="5"/>
      <c r="H327" s="5"/>
      <c r="I327" s="5"/>
      <c r="J327" s="5"/>
      <c r="K327" s="5"/>
    </row>
    <row r="328" spans="2:11" customFormat="1" x14ac:dyDescent="0.25">
      <c r="B328" s="43"/>
      <c r="C328" s="5"/>
      <c r="D328" s="5"/>
      <c r="E328" s="5"/>
      <c r="F328" s="5"/>
      <c r="G328" s="5"/>
      <c r="H328" s="5"/>
      <c r="I328" s="5"/>
      <c r="J328" s="5"/>
      <c r="K328" s="5"/>
    </row>
    <row r="329" spans="2:11" customFormat="1" x14ac:dyDescent="0.25">
      <c r="B329" s="43"/>
      <c r="C329" s="5"/>
      <c r="D329" s="5"/>
      <c r="E329" s="5"/>
      <c r="F329" s="5"/>
      <c r="G329" s="5"/>
      <c r="H329" s="5"/>
      <c r="I329" s="5"/>
      <c r="J329" s="5"/>
      <c r="K329" s="5"/>
    </row>
    <row r="330" spans="2:11" customFormat="1" x14ac:dyDescent="0.25">
      <c r="B330" s="43"/>
      <c r="C330" s="5"/>
      <c r="D330" s="5"/>
      <c r="E330" s="5"/>
      <c r="F330" s="5"/>
      <c r="G330" s="5"/>
      <c r="H330" s="5"/>
      <c r="I330" s="5"/>
      <c r="J330" s="5"/>
      <c r="K330" s="5"/>
    </row>
    <row r="331" spans="2:11" customFormat="1" x14ac:dyDescent="0.25">
      <c r="B331" s="43"/>
      <c r="C331" s="5"/>
      <c r="D331" s="5"/>
      <c r="E331" s="5"/>
      <c r="F331" s="5"/>
      <c r="G331" s="5"/>
      <c r="H331" s="5"/>
      <c r="I331" s="5"/>
      <c r="J331" s="5"/>
      <c r="K331" s="5"/>
    </row>
    <row r="332" spans="2:11" customFormat="1" x14ac:dyDescent="0.25">
      <c r="B332" s="43"/>
      <c r="C332" s="5"/>
      <c r="D332" s="5"/>
      <c r="E332" s="5"/>
      <c r="F332" s="5"/>
      <c r="G332" s="5"/>
      <c r="H332" s="5"/>
      <c r="I332" s="5"/>
      <c r="J332" s="5"/>
      <c r="K332" s="5"/>
    </row>
    <row r="333" spans="2:11" customFormat="1" x14ac:dyDescent="0.25">
      <c r="B333" s="43"/>
      <c r="C333" s="5"/>
      <c r="D333" s="5"/>
      <c r="E333" s="5"/>
      <c r="F333" s="5"/>
      <c r="G333" s="5"/>
      <c r="H333" s="5"/>
      <c r="I333" s="5"/>
      <c r="J333" s="5"/>
      <c r="K333" s="5"/>
    </row>
    <row r="334" spans="2:11" customFormat="1" x14ac:dyDescent="0.25">
      <c r="B334" s="43"/>
      <c r="C334" s="5"/>
      <c r="D334" s="5"/>
      <c r="E334" s="5"/>
      <c r="F334" s="5"/>
      <c r="G334" s="5"/>
      <c r="H334" s="5"/>
      <c r="I334" s="5"/>
      <c r="J334" s="5"/>
      <c r="K334" s="5"/>
    </row>
    <row r="335" spans="2:11" customFormat="1" x14ac:dyDescent="0.25">
      <c r="B335" s="43"/>
      <c r="C335" s="5"/>
      <c r="D335" s="5"/>
      <c r="E335" s="5"/>
      <c r="F335" s="5"/>
      <c r="G335" s="5"/>
      <c r="H335" s="5"/>
      <c r="I335" s="5"/>
      <c r="J335" s="5"/>
      <c r="K335" s="5"/>
    </row>
    <row r="336" spans="2:11" customFormat="1" x14ac:dyDescent="0.25">
      <c r="B336" s="43"/>
      <c r="C336" s="5"/>
      <c r="D336" s="5"/>
      <c r="E336" s="5"/>
      <c r="F336" s="5"/>
      <c r="G336" s="5"/>
      <c r="H336" s="5"/>
      <c r="I336" s="5"/>
      <c r="J336" s="5"/>
      <c r="K336" s="5"/>
    </row>
    <row r="337" spans="2:29" x14ac:dyDescent="0.25">
      <c r="B337" s="43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5">
      <c r="B338" s="43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5">
      <c r="B339" s="43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5">
      <c r="B340" s="43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5">
      <c r="B341" s="43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5">
      <c r="B342" s="43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5">
      <c r="B343" s="43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5">
      <c r="B344" s="43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5">
      <c r="B345" s="43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5">
      <c r="B346" s="43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</row>
    <row r="347" spans="2:29" x14ac:dyDescent="0.25">
      <c r="B347" s="43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5">
      <c r="B348" s="43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5">
      <c r="B349" s="43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5">
      <c r="B350" s="43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5">
      <c r="B351" s="43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  <c r="AC351" t="s">
        <v>76</v>
      </c>
    </row>
    <row r="352" spans="2:29" x14ac:dyDescent="0.25">
      <c r="B352" s="43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11" customFormat="1" x14ac:dyDescent="0.25">
      <c r="B353" s="43"/>
      <c r="C353" s="5"/>
      <c r="D353" s="5"/>
      <c r="E353" s="5"/>
      <c r="F353" s="5"/>
      <c r="G353" s="5"/>
      <c r="H353" s="5"/>
      <c r="I353" s="5"/>
      <c r="J353" s="5"/>
      <c r="K353" s="5"/>
    </row>
    <row r="354" spans="2:11" customFormat="1" x14ac:dyDescent="0.25">
      <c r="B354" s="43"/>
      <c r="C354" s="5"/>
      <c r="D354" s="5"/>
      <c r="E354" s="5"/>
      <c r="F354" s="5"/>
      <c r="G354" s="5"/>
      <c r="H354" s="5"/>
      <c r="I354" s="5"/>
      <c r="J354" s="5"/>
      <c r="K354" s="5"/>
    </row>
    <row r="355" spans="2:11" customFormat="1" x14ac:dyDescent="0.25">
      <c r="B355" s="43"/>
      <c r="C355" s="5"/>
      <c r="D355" s="5"/>
      <c r="E355" s="5"/>
      <c r="F355" s="5"/>
      <c r="G355" s="5"/>
      <c r="H355" s="5"/>
      <c r="I355" s="5"/>
      <c r="J355" s="5"/>
      <c r="K355" s="5"/>
    </row>
    <row r="356" spans="2:11" customFormat="1" x14ac:dyDescent="0.25">
      <c r="B356" s="43"/>
      <c r="C356" s="5"/>
      <c r="D356" s="5"/>
      <c r="E356" s="5"/>
      <c r="F356" s="5"/>
      <c r="G356" s="5"/>
      <c r="H356" s="5"/>
      <c r="I356" s="5"/>
      <c r="J356" s="5"/>
      <c r="K356" s="5"/>
    </row>
    <row r="357" spans="2:11" customFormat="1" x14ac:dyDescent="0.25">
      <c r="B357" s="43"/>
      <c r="C357" s="5"/>
      <c r="D357" s="5"/>
      <c r="E357" s="5"/>
      <c r="F357" s="5"/>
      <c r="G357" s="5"/>
      <c r="H357" s="5"/>
      <c r="I357" s="5"/>
      <c r="J357" s="5"/>
      <c r="K357" s="5"/>
    </row>
    <row r="358" spans="2:11" customFormat="1" x14ac:dyDescent="0.25">
      <c r="B358" s="43"/>
      <c r="C358" s="5"/>
      <c r="D358" s="5"/>
      <c r="E358" s="5"/>
      <c r="F358" s="5"/>
      <c r="G358" s="5"/>
      <c r="H358" s="5"/>
      <c r="I358" s="5"/>
      <c r="J358" s="5"/>
      <c r="K358" s="5"/>
    </row>
    <row r="359" spans="2:11" customFormat="1" x14ac:dyDescent="0.25">
      <c r="B359" s="43"/>
      <c r="C359" s="5"/>
      <c r="D359" s="5"/>
      <c r="E359" s="5"/>
      <c r="F359" s="5"/>
      <c r="G359" s="5"/>
      <c r="H359" s="5"/>
      <c r="I359" s="5"/>
      <c r="J359" s="5"/>
      <c r="K359" s="5"/>
    </row>
    <row r="360" spans="2:11" customFormat="1" x14ac:dyDescent="0.25">
      <c r="B360" s="43"/>
      <c r="C360" s="5"/>
      <c r="D360" s="5"/>
      <c r="E360" s="5"/>
      <c r="F360" s="5"/>
      <c r="G360" s="5"/>
      <c r="H360" s="5"/>
      <c r="I360" s="5"/>
      <c r="J360" s="5"/>
      <c r="K360" s="5"/>
    </row>
    <row r="361" spans="2:11" customFormat="1" x14ac:dyDescent="0.25">
      <c r="B361" s="43"/>
      <c r="C361" s="5"/>
      <c r="D361" s="5"/>
      <c r="E361" s="5"/>
      <c r="F361" s="5"/>
      <c r="G361" s="5"/>
      <c r="H361" s="5"/>
      <c r="I361" s="5"/>
      <c r="J361" s="5"/>
      <c r="K361" s="5"/>
    </row>
    <row r="362" spans="2:11" customFormat="1" x14ac:dyDescent="0.25">
      <c r="B362" s="43"/>
      <c r="C362" s="5"/>
      <c r="D362" s="5"/>
      <c r="E362" s="5"/>
      <c r="F362" s="5"/>
      <c r="G362" s="5"/>
      <c r="H362" s="5"/>
      <c r="I362" s="5"/>
      <c r="J362" s="5"/>
      <c r="K362" s="5"/>
    </row>
    <row r="363" spans="2:11" customFormat="1" x14ac:dyDescent="0.25">
      <c r="B363" s="43"/>
      <c r="C363" s="5"/>
      <c r="D363" s="5"/>
      <c r="E363" s="5"/>
      <c r="F363" s="5"/>
      <c r="G363" s="5"/>
      <c r="H363" s="5"/>
      <c r="I363" s="5"/>
      <c r="J363" s="5"/>
      <c r="K363" s="5"/>
    </row>
    <row r="364" spans="2:11" customFormat="1" x14ac:dyDescent="0.25">
      <c r="B364" s="43"/>
      <c r="C364" s="5"/>
      <c r="D364" s="5"/>
      <c r="E364" s="5"/>
      <c r="F364" s="5"/>
      <c r="G364" s="5"/>
      <c r="H364" s="5"/>
      <c r="I364" s="5"/>
      <c r="J364" s="5"/>
      <c r="K364" s="5"/>
    </row>
    <row r="365" spans="2:11" customFormat="1" x14ac:dyDescent="0.25">
      <c r="B365" s="43"/>
      <c r="C365" s="5"/>
      <c r="D365" s="5"/>
      <c r="E365" s="5"/>
      <c r="F365" s="5"/>
      <c r="G365" s="5"/>
      <c r="H365" s="5"/>
      <c r="I365" s="5"/>
      <c r="J365" s="5"/>
      <c r="K365" s="5"/>
    </row>
    <row r="366" spans="2:11" customFormat="1" x14ac:dyDescent="0.25">
      <c r="B366" s="43"/>
      <c r="C366" s="5"/>
      <c r="D366" s="5"/>
      <c r="E366" s="5"/>
      <c r="F366" s="5"/>
      <c r="G366" s="5"/>
      <c r="H366" s="5"/>
      <c r="I366" s="5"/>
      <c r="J366" s="5"/>
      <c r="K366" s="5"/>
    </row>
    <row r="367" spans="2:11" customFormat="1" x14ac:dyDescent="0.25">
      <c r="B367" s="43"/>
      <c r="C367" s="5"/>
      <c r="D367" s="5"/>
      <c r="E367" s="5"/>
      <c r="F367" s="5"/>
      <c r="G367" s="5"/>
      <c r="H367" s="5"/>
      <c r="I367" s="5"/>
      <c r="J367" s="5"/>
      <c r="K367" s="5"/>
    </row>
    <row r="368" spans="2:11" customFormat="1" x14ac:dyDescent="0.25">
      <c r="B368" s="43"/>
      <c r="C368" s="5"/>
      <c r="D368" s="5"/>
      <c r="E368" s="5"/>
      <c r="F368" s="5"/>
      <c r="G368" s="5"/>
      <c r="H368" s="5"/>
      <c r="I368" s="5"/>
      <c r="J368" s="5"/>
      <c r="K368" s="5"/>
    </row>
    <row r="369" spans="2:11" customFormat="1" x14ac:dyDescent="0.25">
      <c r="B369" s="43"/>
      <c r="C369" s="5"/>
      <c r="D369" s="5"/>
      <c r="E369" s="5"/>
      <c r="F369" s="5"/>
      <c r="G369" s="5"/>
      <c r="H369" s="5"/>
      <c r="I369" s="5"/>
      <c r="J369" s="5"/>
      <c r="K369" s="5"/>
    </row>
    <row r="370" spans="2:11" customFormat="1" x14ac:dyDescent="0.25">
      <c r="B370" s="43"/>
      <c r="C370" s="5"/>
      <c r="D370" s="5"/>
      <c r="E370" s="5"/>
      <c r="F370" s="5"/>
      <c r="G370" s="5"/>
      <c r="H370" s="5"/>
      <c r="I370" s="5"/>
      <c r="J370" s="5"/>
      <c r="K370" s="5"/>
    </row>
    <row r="371" spans="2:11" customFormat="1" x14ac:dyDescent="0.25">
      <c r="B371" s="43"/>
      <c r="C371" s="5"/>
      <c r="D371" s="5"/>
      <c r="E371" s="5"/>
      <c r="F371" s="5"/>
      <c r="G371" s="5"/>
      <c r="H371" s="5"/>
      <c r="I371" s="5"/>
      <c r="J371" s="5"/>
      <c r="K371" s="5"/>
    </row>
    <row r="372" spans="2:11" customFormat="1" x14ac:dyDescent="0.25">
      <c r="B372" s="43"/>
      <c r="C372" s="5"/>
      <c r="D372" s="5"/>
      <c r="E372" s="5"/>
      <c r="F372" s="5"/>
      <c r="G372" s="5"/>
      <c r="H372" s="5"/>
      <c r="I372" s="5"/>
      <c r="J372" s="5"/>
      <c r="K372" s="5"/>
    </row>
    <row r="373" spans="2:11" customFormat="1" x14ac:dyDescent="0.25">
      <c r="B373" s="43"/>
      <c r="C373" s="5"/>
      <c r="D373" s="5"/>
      <c r="E373" s="5"/>
      <c r="F373" s="5"/>
      <c r="G373" s="5"/>
      <c r="H373" s="5"/>
      <c r="I373" s="5"/>
      <c r="J373" s="5"/>
      <c r="K373" s="5"/>
    </row>
    <row r="374" spans="2:11" customFormat="1" x14ac:dyDescent="0.25">
      <c r="B374" s="43"/>
      <c r="C374" s="5"/>
      <c r="D374" s="5"/>
      <c r="E374" s="5"/>
      <c r="F374" s="5"/>
      <c r="G374" s="5"/>
      <c r="H374" s="5"/>
      <c r="I374" s="5"/>
      <c r="J374" s="5"/>
      <c r="K374" s="5"/>
    </row>
    <row r="375" spans="2:11" customFormat="1" x14ac:dyDescent="0.25"/>
  </sheetData>
  <conditionalFormatting sqref="O10:X100">
    <cfRule type="expression" dxfId="23" priority="4">
      <formula>AND(LEN($O10)&gt;0,MOD(ROW(O10)-ROW($O$9),2))</formula>
    </cfRule>
  </conditionalFormatting>
  <conditionalFormatting sqref="O10:O100">
    <cfRule type="expression" dxfId="22" priority="3">
      <formula>LEN(O10)=0</formula>
    </cfRule>
  </conditionalFormatting>
  <conditionalFormatting sqref="B10:K374">
    <cfRule type="expression" dxfId="21" priority="1" stopIfTrue="1">
      <formula>LEN($B10)=0</formula>
    </cfRule>
    <cfRule type="expression" dxfId="20" priority="2" stopIfTrue="1">
      <formula>(LEN($B10)&gt;0)*(MOD(ROW(B10)-ROW(B$9),2)=0)</formula>
    </cfRule>
    <cfRule type="expression" dxfId="19" priority="5" stopIfTrue="1">
      <formula>AND(LEN($B10)&gt;0,MOD(ROW(B10)-ROW(B$9),2)=1)</formula>
    </cfRule>
  </conditionalFormatting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B401"/>
  <sheetViews>
    <sheetView topLeftCell="A4" workbookViewId="0">
      <pane ySplit="5" topLeftCell="A366" activePane="bottomLeft" state="frozen"/>
      <selection activeCell="A4" sqref="A4"/>
      <selection pane="bottomLeft" activeCell="Z387" sqref="Z387"/>
    </sheetView>
  </sheetViews>
  <sheetFormatPr defaultRowHeight="13.2" x14ac:dyDescent="0.25"/>
  <cols>
    <col min="5" max="24" width="3.33203125" style="5" customWidth="1"/>
    <col min="25" max="27" width="3.33203125" customWidth="1"/>
  </cols>
  <sheetData>
    <row r="7" spans="4:26" ht="13.8" thickBot="1" x14ac:dyDescent="0.3"/>
    <row r="8" spans="4:26" ht="132" thickBot="1" x14ac:dyDescent="0.3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18" t="s">
        <v>18</v>
      </c>
    </row>
    <row r="9" spans="4:26" ht="13.8" thickTop="1" x14ac:dyDescent="0.25">
      <c r="D9" t="str" cm="1">
        <f t="array" aca="1" ref="D9:D378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Z9" cm="1">
        <f t="array" ref="Z9:Z378">_xlfn.BYROW(_xlfn.DROP(_xlnm.Print_Area,,1),_xleta.SUM)</f>
        <v>0</v>
      </c>
    </row>
    <row r="10" spans="4:26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Z10">
        <v>0</v>
      </c>
    </row>
    <row r="11" spans="4:26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Z11">
        <v>0</v>
      </c>
    </row>
    <row r="12" spans="4:26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Z12">
        <v>0</v>
      </c>
    </row>
    <row r="13" spans="4:26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Z13">
        <v>0</v>
      </c>
    </row>
    <row r="14" spans="4:26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Z14">
        <v>0</v>
      </c>
    </row>
    <row r="15" spans="4:26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Z15">
        <v>0</v>
      </c>
    </row>
    <row r="16" spans="4:26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Z16">
        <v>0</v>
      </c>
    </row>
    <row r="17" spans="4:26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Z17">
        <v>0</v>
      </c>
    </row>
    <row r="18" spans="4:26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Z18">
        <v>0</v>
      </c>
    </row>
    <row r="19" spans="4:26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Z19">
        <v>0</v>
      </c>
    </row>
    <row r="20" spans="4:26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Z20">
        <v>2</v>
      </c>
    </row>
    <row r="21" spans="4:26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Z21">
        <v>2</v>
      </c>
    </row>
    <row r="22" spans="4:26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Z22">
        <v>2</v>
      </c>
    </row>
    <row r="23" spans="4:26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Z23">
        <v>2</v>
      </c>
    </row>
    <row r="24" spans="4:26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Z24">
        <v>2</v>
      </c>
    </row>
    <row r="25" spans="4:26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Z25">
        <v>2</v>
      </c>
    </row>
    <row r="26" spans="4:26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Z26">
        <v>2</v>
      </c>
    </row>
    <row r="27" spans="4:26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Z27">
        <v>2</v>
      </c>
    </row>
    <row r="28" spans="4:26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Z28">
        <v>2</v>
      </c>
    </row>
    <row r="29" spans="4:26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Z29">
        <v>2</v>
      </c>
    </row>
    <row r="30" spans="4:26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Z30">
        <v>2</v>
      </c>
    </row>
    <row r="31" spans="4:26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Z31">
        <v>2</v>
      </c>
    </row>
    <row r="32" spans="4:26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Z32">
        <v>2</v>
      </c>
    </row>
    <row r="33" spans="4:26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Z33">
        <v>2</v>
      </c>
    </row>
    <row r="34" spans="4:26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Z34">
        <v>2</v>
      </c>
    </row>
    <row r="35" spans="4:26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Z35">
        <v>2</v>
      </c>
    </row>
    <row r="36" spans="4:26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Z36">
        <v>2</v>
      </c>
    </row>
    <row r="37" spans="4:26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Z37">
        <v>2</v>
      </c>
    </row>
    <row r="38" spans="4:26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Z38">
        <v>2</v>
      </c>
    </row>
    <row r="39" spans="4:26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Z39">
        <v>1</v>
      </c>
    </row>
    <row r="40" spans="4:26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Z40">
        <v>1</v>
      </c>
    </row>
    <row r="41" spans="4:26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Z41">
        <v>1</v>
      </c>
    </row>
    <row r="42" spans="4:26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Z42">
        <v>1</v>
      </c>
    </row>
    <row r="43" spans="4:26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Z43">
        <v>1</v>
      </c>
    </row>
    <row r="44" spans="4:26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Z44">
        <v>1</v>
      </c>
    </row>
    <row r="45" spans="4:26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Z45">
        <v>0</v>
      </c>
    </row>
    <row r="46" spans="4:26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Z46">
        <v>0</v>
      </c>
    </row>
    <row r="47" spans="4:26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Z47">
        <v>0</v>
      </c>
    </row>
    <row r="48" spans="4:26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Z48">
        <v>0</v>
      </c>
    </row>
    <row r="49" spans="4:26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Z49">
        <v>0</v>
      </c>
    </row>
    <row r="50" spans="4:26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Z50">
        <v>0</v>
      </c>
    </row>
    <row r="51" spans="4:26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Z51">
        <v>1</v>
      </c>
    </row>
    <row r="52" spans="4:26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Z52">
        <v>1</v>
      </c>
    </row>
    <row r="53" spans="4:26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Z53">
        <v>1</v>
      </c>
    </row>
    <row r="54" spans="4:26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Z54">
        <v>1</v>
      </c>
    </row>
    <row r="55" spans="4:26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Z55">
        <v>1</v>
      </c>
    </row>
    <row r="56" spans="4:26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Z56">
        <v>2</v>
      </c>
    </row>
    <row r="57" spans="4:26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Z57">
        <v>2</v>
      </c>
    </row>
    <row r="58" spans="4:26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Z58">
        <v>2</v>
      </c>
    </row>
    <row r="59" spans="4:26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Z59">
        <v>2</v>
      </c>
    </row>
    <row r="60" spans="4:26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Z60">
        <v>2</v>
      </c>
    </row>
    <row r="61" spans="4:26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Z61">
        <v>2</v>
      </c>
    </row>
    <row r="62" spans="4:26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Z62">
        <v>2</v>
      </c>
    </row>
    <row r="63" spans="4:26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Z63">
        <v>2</v>
      </c>
    </row>
    <row r="64" spans="4:26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Z64">
        <v>2</v>
      </c>
    </row>
    <row r="65" spans="4:26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Z65">
        <v>2</v>
      </c>
    </row>
    <row r="66" spans="4:26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Z66">
        <v>2</v>
      </c>
    </row>
    <row r="67" spans="4:26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Z67">
        <v>2</v>
      </c>
    </row>
    <row r="68" spans="4:26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Z68">
        <v>2</v>
      </c>
    </row>
    <row r="69" spans="4:26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Z69">
        <v>2</v>
      </c>
    </row>
    <row r="70" spans="4:26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Z70">
        <v>2</v>
      </c>
    </row>
    <row r="71" spans="4:26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Z71">
        <v>2</v>
      </c>
    </row>
    <row r="72" spans="4:26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Z72">
        <v>2</v>
      </c>
    </row>
    <row r="73" spans="4:26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Z73">
        <v>2</v>
      </c>
    </row>
    <row r="74" spans="4:26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Z74">
        <v>2</v>
      </c>
    </row>
    <row r="75" spans="4:26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Z75">
        <v>3</v>
      </c>
    </row>
    <row r="76" spans="4:26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Z76">
        <v>3</v>
      </c>
    </row>
    <row r="77" spans="4:26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1</v>
      </c>
      <c r="Z77">
        <v>4</v>
      </c>
    </row>
    <row r="78" spans="4:26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1</v>
      </c>
      <c r="Z78">
        <v>4</v>
      </c>
    </row>
    <row r="79" spans="4:26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1</v>
      </c>
      <c r="Z79">
        <v>3</v>
      </c>
    </row>
    <row r="80" spans="4:26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1</v>
      </c>
      <c r="Z80">
        <v>4</v>
      </c>
    </row>
    <row r="81" spans="4:26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1</v>
      </c>
      <c r="Z81">
        <v>3</v>
      </c>
    </row>
    <row r="82" spans="4:26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1</v>
      </c>
      <c r="Z82">
        <v>4</v>
      </c>
    </row>
    <row r="83" spans="4:26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1</v>
      </c>
      <c r="Z83">
        <v>4</v>
      </c>
    </row>
    <row r="84" spans="4:26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1</v>
      </c>
      <c r="Z84">
        <v>4</v>
      </c>
    </row>
    <row r="85" spans="4:26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1</v>
      </c>
      <c r="Z85">
        <v>3</v>
      </c>
    </row>
    <row r="86" spans="4:26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1</v>
      </c>
      <c r="Z86">
        <v>3</v>
      </c>
    </row>
    <row r="87" spans="4:26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1</v>
      </c>
      <c r="Z87">
        <v>3</v>
      </c>
    </row>
    <row r="88" spans="4:26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1</v>
      </c>
      <c r="Z88">
        <v>3</v>
      </c>
    </row>
    <row r="89" spans="4:26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1</v>
      </c>
      <c r="Z89">
        <v>3</v>
      </c>
    </row>
    <row r="90" spans="4:26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1</v>
      </c>
      <c r="Z90">
        <v>3</v>
      </c>
    </row>
    <row r="91" spans="4:26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Z91">
        <v>0</v>
      </c>
    </row>
    <row r="92" spans="4:26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Z92">
        <v>2</v>
      </c>
    </row>
    <row r="93" spans="4:26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Z93">
        <v>2</v>
      </c>
    </row>
    <row r="94" spans="4:26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Z94">
        <v>2</v>
      </c>
    </row>
    <row r="95" spans="4:26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Z95">
        <v>2</v>
      </c>
    </row>
    <row r="96" spans="4:26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Z96">
        <v>3</v>
      </c>
    </row>
    <row r="97" spans="4:26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Z97">
        <v>3</v>
      </c>
    </row>
    <row r="98" spans="4:26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Z98">
        <v>3</v>
      </c>
    </row>
    <row r="99" spans="4:26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Z99">
        <v>3</v>
      </c>
    </row>
    <row r="100" spans="4:26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Z100">
        <v>2</v>
      </c>
    </row>
    <row r="101" spans="4:26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Z101">
        <v>2</v>
      </c>
    </row>
    <row r="102" spans="4:26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Z102">
        <v>2</v>
      </c>
    </row>
    <row r="103" spans="4:26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Z103">
        <v>2</v>
      </c>
    </row>
    <row r="104" spans="4:26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Z104">
        <v>2</v>
      </c>
    </row>
    <row r="105" spans="4:26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Z105">
        <v>2</v>
      </c>
    </row>
    <row r="106" spans="4:26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Z106">
        <v>2</v>
      </c>
    </row>
    <row r="107" spans="4:26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Z107">
        <v>2</v>
      </c>
    </row>
    <row r="108" spans="4:26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Z108">
        <v>2</v>
      </c>
    </row>
    <row r="109" spans="4:26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Z109">
        <v>2</v>
      </c>
    </row>
    <row r="110" spans="4:26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Z110">
        <v>2</v>
      </c>
    </row>
    <row r="111" spans="4:26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Z111">
        <v>2</v>
      </c>
    </row>
    <row r="112" spans="4:26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Z112">
        <v>2</v>
      </c>
    </row>
    <row r="113" spans="4:26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Z113">
        <v>2</v>
      </c>
    </row>
    <row r="114" spans="4:26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Z114">
        <v>2</v>
      </c>
    </row>
    <row r="115" spans="4:26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Z115">
        <v>2</v>
      </c>
    </row>
    <row r="116" spans="4:26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Z116">
        <v>2</v>
      </c>
    </row>
    <row r="117" spans="4:26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Z117">
        <v>2</v>
      </c>
    </row>
    <row r="118" spans="4:26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Z118">
        <v>2</v>
      </c>
    </row>
    <row r="119" spans="4:26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Z119">
        <v>2</v>
      </c>
    </row>
    <row r="120" spans="4:26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Z120">
        <v>2</v>
      </c>
    </row>
    <row r="121" spans="4:26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Z121">
        <v>2</v>
      </c>
    </row>
    <row r="122" spans="4:26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Z122">
        <v>2</v>
      </c>
    </row>
    <row r="123" spans="4:26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Z123">
        <v>2</v>
      </c>
    </row>
    <row r="124" spans="4:26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Z124">
        <v>2</v>
      </c>
    </row>
    <row r="125" spans="4:26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Z125">
        <v>2</v>
      </c>
    </row>
    <row r="126" spans="4:26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Z126">
        <v>2</v>
      </c>
    </row>
    <row r="127" spans="4:26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Z127">
        <v>2</v>
      </c>
    </row>
    <row r="128" spans="4:26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Z128">
        <v>2</v>
      </c>
    </row>
    <row r="129" spans="4:26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Z129">
        <v>2</v>
      </c>
    </row>
    <row r="130" spans="4:26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Z130">
        <v>2</v>
      </c>
    </row>
    <row r="131" spans="4:26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Z131">
        <v>2</v>
      </c>
    </row>
    <row r="132" spans="4:26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Z132">
        <v>2</v>
      </c>
    </row>
    <row r="133" spans="4:26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Z133">
        <v>2</v>
      </c>
    </row>
    <row r="134" spans="4:26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Z134">
        <v>3</v>
      </c>
    </row>
    <row r="135" spans="4:26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Z135">
        <v>3</v>
      </c>
    </row>
    <row r="136" spans="4:26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Z136">
        <v>3</v>
      </c>
    </row>
    <row r="137" spans="4:26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Z137">
        <v>2</v>
      </c>
    </row>
    <row r="138" spans="4:26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Z138">
        <v>3</v>
      </c>
    </row>
    <row r="139" spans="4:26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Z139">
        <v>3</v>
      </c>
    </row>
    <row r="140" spans="4:26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Z140">
        <v>3</v>
      </c>
    </row>
    <row r="141" spans="4:26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Z141">
        <v>3</v>
      </c>
    </row>
    <row r="142" spans="4:26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Z142">
        <v>3</v>
      </c>
    </row>
    <row r="143" spans="4:26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Z143">
        <v>3</v>
      </c>
    </row>
    <row r="144" spans="4:26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Z144">
        <v>3</v>
      </c>
    </row>
    <row r="145" spans="4:26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Z145">
        <v>3</v>
      </c>
    </row>
    <row r="146" spans="4:26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Z146">
        <v>3</v>
      </c>
    </row>
    <row r="147" spans="4:26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Z147">
        <v>3</v>
      </c>
    </row>
    <row r="148" spans="4:26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Z148">
        <v>3</v>
      </c>
    </row>
    <row r="149" spans="4:26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Z149">
        <v>3</v>
      </c>
    </row>
    <row r="150" spans="4:26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Z150">
        <v>3</v>
      </c>
    </row>
    <row r="151" spans="4:26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Z151">
        <v>3</v>
      </c>
    </row>
    <row r="152" spans="4:26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Z152">
        <v>3</v>
      </c>
    </row>
    <row r="153" spans="4:26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Z153">
        <v>3</v>
      </c>
    </row>
    <row r="154" spans="4:26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Z154">
        <v>3</v>
      </c>
    </row>
    <row r="155" spans="4:26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Z155">
        <v>2</v>
      </c>
    </row>
    <row r="156" spans="4:26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Z156">
        <v>2</v>
      </c>
    </row>
    <row r="157" spans="4:26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Z157">
        <v>2</v>
      </c>
    </row>
    <row r="158" spans="4:26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Z158">
        <v>2</v>
      </c>
    </row>
    <row r="159" spans="4:26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Z159">
        <v>2</v>
      </c>
    </row>
    <row r="160" spans="4:26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Z160">
        <v>1</v>
      </c>
    </row>
    <row r="161" spans="4:28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Z161">
        <v>1</v>
      </c>
    </row>
    <row r="162" spans="4:28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Z162">
        <v>1</v>
      </c>
    </row>
    <row r="163" spans="4:28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Z163">
        <v>1</v>
      </c>
    </row>
    <row r="164" spans="4:28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Z164">
        <v>1</v>
      </c>
    </row>
    <row r="165" spans="4:28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Z165">
        <v>1</v>
      </c>
    </row>
    <row r="166" spans="4:28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Z166">
        <v>1</v>
      </c>
    </row>
    <row r="167" spans="4:28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Z167">
        <v>1</v>
      </c>
    </row>
    <row r="168" spans="4:28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Z168">
        <v>1</v>
      </c>
    </row>
    <row r="169" spans="4:28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Z169">
        <v>1</v>
      </c>
    </row>
    <row r="170" spans="4:28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Z170">
        <v>1</v>
      </c>
    </row>
    <row r="171" spans="4:28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Z171">
        <v>1</v>
      </c>
    </row>
    <row r="172" spans="4:28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Z172">
        <v>1</v>
      </c>
    </row>
    <row r="173" spans="4:28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Z173">
        <v>1</v>
      </c>
    </row>
    <row r="174" spans="4:28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Z174">
        <v>1</v>
      </c>
    </row>
    <row r="175" spans="4:28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Z175">
        <v>1</v>
      </c>
      <c r="AB175" t="s">
        <v>36</v>
      </c>
    </row>
    <row r="176" spans="4:28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Z176">
        <v>1</v>
      </c>
    </row>
    <row r="177" spans="4:26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Z177">
        <v>2</v>
      </c>
    </row>
    <row r="178" spans="4:26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Z178">
        <v>2</v>
      </c>
    </row>
    <row r="179" spans="4:26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Z179">
        <v>2</v>
      </c>
    </row>
    <row r="180" spans="4:26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Z180">
        <v>2</v>
      </c>
    </row>
    <row r="181" spans="4:26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Z181">
        <v>2</v>
      </c>
    </row>
    <row r="182" spans="4:26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Z182">
        <v>2</v>
      </c>
    </row>
    <row r="183" spans="4:26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Z183">
        <v>3</v>
      </c>
    </row>
    <row r="184" spans="4:26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Z184">
        <v>1</v>
      </c>
    </row>
    <row r="185" spans="4:26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Z185">
        <v>3</v>
      </c>
    </row>
    <row r="186" spans="4:26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Z186">
        <v>1</v>
      </c>
    </row>
    <row r="187" spans="4:26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Z187">
        <v>3</v>
      </c>
    </row>
    <row r="188" spans="4:26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Z188">
        <v>1</v>
      </c>
    </row>
    <row r="189" spans="4:26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Z189">
        <v>3</v>
      </c>
    </row>
    <row r="190" spans="4:26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Z190">
        <v>3</v>
      </c>
    </row>
    <row r="191" spans="4:26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Z191">
        <v>2</v>
      </c>
    </row>
    <row r="192" spans="4:26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Z192">
        <v>3</v>
      </c>
    </row>
    <row r="193" spans="4:26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Z193">
        <v>3</v>
      </c>
    </row>
    <row r="194" spans="4:26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Z194">
        <v>3</v>
      </c>
    </row>
    <row r="195" spans="4:26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Z195">
        <v>3</v>
      </c>
    </row>
    <row r="196" spans="4:26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Z196">
        <v>3</v>
      </c>
    </row>
    <row r="197" spans="4:26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Z197">
        <v>3</v>
      </c>
    </row>
    <row r="198" spans="4:26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Z198">
        <v>3</v>
      </c>
    </row>
    <row r="199" spans="4:26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Z199">
        <v>3</v>
      </c>
    </row>
    <row r="200" spans="4:26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Z200">
        <v>3</v>
      </c>
    </row>
    <row r="201" spans="4:26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Z201">
        <v>3</v>
      </c>
    </row>
    <row r="202" spans="4:26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Z202">
        <v>3</v>
      </c>
    </row>
    <row r="203" spans="4:26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Z203">
        <v>3</v>
      </c>
    </row>
    <row r="204" spans="4:26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Z204">
        <v>3</v>
      </c>
    </row>
    <row r="205" spans="4:26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Z205">
        <v>3</v>
      </c>
    </row>
    <row r="206" spans="4:26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Z206">
        <v>3</v>
      </c>
    </row>
    <row r="207" spans="4:26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Z207">
        <v>3</v>
      </c>
    </row>
    <row r="208" spans="4:26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Z208">
        <v>3</v>
      </c>
    </row>
    <row r="209" spans="4:26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Z209">
        <v>3</v>
      </c>
    </row>
    <row r="210" spans="4:26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Z210">
        <v>3</v>
      </c>
    </row>
    <row r="211" spans="4:26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Z211">
        <v>2</v>
      </c>
    </row>
    <row r="212" spans="4:26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Z212">
        <v>2</v>
      </c>
    </row>
    <row r="213" spans="4:26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Z213">
        <v>2</v>
      </c>
    </row>
    <row r="214" spans="4:26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Z214">
        <v>2</v>
      </c>
    </row>
    <row r="215" spans="4:26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Z215">
        <v>2</v>
      </c>
    </row>
    <row r="216" spans="4:26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Z216">
        <v>2</v>
      </c>
    </row>
    <row r="217" spans="4:26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Z217">
        <v>2</v>
      </c>
    </row>
    <row r="218" spans="4:26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Z218">
        <v>2</v>
      </c>
    </row>
    <row r="219" spans="4:26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Z219">
        <v>2</v>
      </c>
    </row>
    <row r="220" spans="4:26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Z220">
        <v>2</v>
      </c>
    </row>
    <row r="221" spans="4:26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Z221">
        <v>2</v>
      </c>
    </row>
    <row r="222" spans="4:26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Z222">
        <v>2</v>
      </c>
    </row>
    <row r="223" spans="4:26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Z223">
        <v>3</v>
      </c>
    </row>
    <row r="224" spans="4:26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Z224">
        <v>3</v>
      </c>
    </row>
    <row r="225" spans="4:26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Z225">
        <v>2</v>
      </c>
    </row>
    <row r="226" spans="4:26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Z226">
        <v>2</v>
      </c>
    </row>
    <row r="227" spans="4:26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Z227">
        <v>2</v>
      </c>
    </row>
    <row r="228" spans="4:26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Z228">
        <v>2</v>
      </c>
    </row>
    <row r="229" spans="4:26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Z229">
        <v>2</v>
      </c>
    </row>
    <row r="230" spans="4:26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Z230">
        <v>0</v>
      </c>
    </row>
    <row r="231" spans="4:26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Z231">
        <v>0</v>
      </c>
    </row>
    <row r="232" spans="4:26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Z232">
        <v>0</v>
      </c>
    </row>
    <row r="233" spans="4:26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Z233">
        <v>2</v>
      </c>
    </row>
    <row r="234" spans="4:26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Z234">
        <v>2</v>
      </c>
    </row>
    <row r="235" spans="4:26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Z235">
        <v>2</v>
      </c>
    </row>
    <row r="236" spans="4:26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Z236">
        <v>2</v>
      </c>
    </row>
    <row r="237" spans="4:26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Z237">
        <v>2</v>
      </c>
    </row>
    <row r="238" spans="4:26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Z238">
        <v>2</v>
      </c>
    </row>
    <row r="239" spans="4:26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Z239">
        <v>2</v>
      </c>
    </row>
    <row r="240" spans="4:26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Z240">
        <v>2</v>
      </c>
    </row>
    <row r="241" spans="4:26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Z241">
        <v>2</v>
      </c>
    </row>
    <row r="242" spans="4:26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Z242">
        <v>2</v>
      </c>
    </row>
    <row r="243" spans="4:26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Z243">
        <v>2</v>
      </c>
    </row>
    <row r="244" spans="4:26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Z244">
        <v>2</v>
      </c>
    </row>
    <row r="245" spans="4:26" x14ac:dyDescent="0.25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Z245">
        <v>2</v>
      </c>
    </row>
    <row r="246" spans="4:26" x14ac:dyDescent="0.25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Z246">
        <v>2</v>
      </c>
    </row>
    <row r="247" spans="4:26" x14ac:dyDescent="0.25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Z247">
        <v>2</v>
      </c>
    </row>
    <row r="248" spans="4:26" x14ac:dyDescent="0.25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Z248">
        <v>2</v>
      </c>
    </row>
    <row r="249" spans="4:26" x14ac:dyDescent="0.25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Z249">
        <v>2</v>
      </c>
    </row>
    <row r="250" spans="4:26" x14ac:dyDescent="0.25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Z250">
        <v>2</v>
      </c>
    </row>
    <row r="251" spans="4:26" x14ac:dyDescent="0.25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Z251">
        <v>2</v>
      </c>
    </row>
    <row r="252" spans="4:26" x14ac:dyDescent="0.25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Z252">
        <v>2</v>
      </c>
    </row>
    <row r="253" spans="4:26" x14ac:dyDescent="0.25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Z253">
        <v>2</v>
      </c>
    </row>
    <row r="254" spans="4:26" x14ac:dyDescent="0.25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Z254">
        <v>2</v>
      </c>
    </row>
    <row r="255" spans="4:26" x14ac:dyDescent="0.25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Z255">
        <v>2</v>
      </c>
    </row>
    <row r="256" spans="4:26" x14ac:dyDescent="0.25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Z256">
        <v>2</v>
      </c>
    </row>
    <row r="257" spans="4:26" x14ac:dyDescent="0.25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Z257">
        <v>2</v>
      </c>
    </row>
    <row r="258" spans="4:26" x14ac:dyDescent="0.25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Z258">
        <v>2</v>
      </c>
    </row>
    <row r="259" spans="4:26" x14ac:dyDescent="0.25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Z259">
        <v>2</v>
      </c>
    </row>
    <row r="260" spans="4:26" x14ac:dyDescent="0.25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Z260">
        <v>2</v>
      </c>
    </row>
    <row r="261" spans="4:26" x14ac:dyDescent="0.25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Z261">
        <v>2</v>
      </c>
    </row>
    <row r="262" spans="4:26" x14ac:dyDescent="0.25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Z262">
        <v>2</v>
      </c>
    </row>
    <row r="263" spans="4:26" x14ac:dyDescent="0.25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Z263">
        <v>2</v>
      </c>
    </row>
    <row r="264" spans="4:26" x14ac:dyDescent="0.25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Z264">
        <v>2</v>
      </c>
    </row>
    <row r="265" spans="4:26" x14ac:dyDescent="0.25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Z265">
        <v>2</v>
      </c>
    </row>
    <row r="266" spans="4:26" x14ac:dyDescent="0.25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Z266">
        <v>2</v>
      </c>
    </row>
    <row r="267" spans="4:26" x14ac:dyDescent="0.25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Z267">
        <v>2</v>
      </c>
    </row>
    <row r="268" spans="4:26" x14ac:dyDescent="0.25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Z268">
        <v>2</v>
      </c>
    </row>
    <row r="269" spans="4:26" x14ac:dyDescent="0.25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Z269">
        <v>2</v>
      </c>
    </row>
    <row r="270" spans="4:26" x14ac:dyDescent="0.25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Z270">
        <v>2</v>
      </c>
    </row>
    <row r="271" spans="4:26" x14ac:dyDescent="0.25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Z271">
        <v>2</v>
      </c>
    </row>
    <row r="272" spans="4:26" x14ac:dyDescent="0.25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Z272">
        <v>2</v>
      </c>
    </row>
    <row r="273" spans="4:26" x14ac:dyDescent="0.25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Z273">
        <v>2</v>
      </c>
    </row>
    <row r="274" spans="4:26" x14ac:dyDescent="0.25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Z274">
        <v>2</v>
      </c>
    </row>
    <row r="275" spans="4:26" x14ac:dyDescent="0.25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Z275">
        <v>2</v>
      </c>
    </row>
    <row r="276" spans="4:26" x14ac:dyDescent="0.25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Z276">
        <v>2</v>
      </c>
    </row>
    <row r="277" spans="4:26" x14ac:dyDescent="0.25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Z277">
        <v>2</v>
      </c>
    </row>
    <row r="278" spans="4:26" x14ac:dyDescent="0.25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Z278">
        <v>2</v>
      </c>
    </row>
    <row r="279" spans="4:26" x14ac:dyDescent="0.25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Z279">
        <v>2</v>
      </c>
    </row>
    <row r="280" spans="4:26" x14ac:dyDescent="0.25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Z280">
        <v>2</v>
      </c>
    </row>
    <row r="281" spans="4:26" x14ac:dyDescent="0.25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Z281">
        <v>2</v>
      </c>
    </row>
    <row r="282" spans="4:26" x14ac:dyDescent="0.25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Z282">
        <v>2</v>
      </c>
    </row>
    <row r="283" spans="4:26" x14ac:dyDescent="0.25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Z283">
        <v>2</v>
      </c>
    </row>
    <row r="284" spans="4:26" x14ac:dyDescent="0.25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Z284">
        <v>2</v>
      </c>
    </row>
    <row r="285" spans="4:26" x14ac:dyDescent="0.25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Z285">
        <v>2</v>
      </c>
    </row>
    <row r="286" spans="4:26" x14ac:dyDescent="0.25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Z286">
        <v>2</v>
      </c>
    </row>
    <row r="287" spans="4:26" x14ac:dyDescent="0.25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Z287">
        <v>2</v>
      </c>
    </row>
    <row r="288" spans="4:26" x14ac:dyDescent="0.25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Z288">
        <v>2</v>
      </c>
    </row>
    <row r="289" spans="4:26" x14ac:dyDescent="0.25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Z289">
        <v>2</v>
      </c>
    </row>
    <row r="290" spans="4:26" x14ac:dyDescent="0.25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Z290">
        <v>2</v>
      </c>
    </row>
    <row r="291" spans="4:26" x14ac:dyDescent="0.25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Z291">
        <v>2</v>
      </c>
    </row>
    <row r="292" spans="4:26" x14ac:dyDescent="0.25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Z292">
        <v>2</v>
      </c>
    </row>
    <row r="293" spans="4:26" x14ac:dyDescent="0.25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Z293">
        <v>2</v>
      </c>
    </row>
    <row r="294" spans="4:26" x14ac:dyDescent="0.25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Z294">
        <v>2</v>
      </c>
    </row>
    <row r="295" spans="4:26" x14ac:dyDescent="0.25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Z295">
        <v>2</v>
      </c>
    </row>
    <row r="296" spans="4:26" x14ac:dyDescent="0.25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Z296">
        <v>2</v>
      </c>
    </row>
    <row r="297" spans="4:26" x14ac:dyDescent="0.25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Z297">
        <v>2</v>
      </c>
    </row>
    <row r="298" spans="4:26" x14ac:dyDescent="0.25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Z298">
        <v>2</v>
      </c>
    </row>
    <row r="299" spans="4:26" x14ac:dyDescent="0.25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Z299">
        <v>2</v>
      </c>
    </row>
    <row r="300" spans="4:26" x14ac:dyDescent="0.25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Z300">
        <v>2</v>
      </c>
    </row>
    <row r="301" spans="4:26" x14ac:dyDescent="0.25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Z301">
        <v>2</v>
      </c>
    </row>
    <row r="302" spans="4:26" x14ac:dyDescent="0.25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Z302">
        <v>2</v>
      </c>
    </row>
    <row r="303" spans="4:26" x14ac:dyDescent="0.25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Z303">
        <v>2</v>
      </c>
    </row>
    <row r="304" spans="4:26" x14ac:dyDescent="0.25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Z304">
        <v>2</v>
      </c>
    </row>
    <row r="305" spans="4:26" x14ac:dyDescent="0.25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Z305">
        <v>2</v>
      </c>
    </row>
    <row r="306" spans="4:26" x14ac:dyDescent="0.25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Z306">
        <v>2</v>
      </c>
    </row>
    <row r="307" spans="4:26" x14ac:dyDescent="0.25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Z307">
        <v>2</v>
      </c>
    </row>
    <row r="308" spans="4:26" x14ac:dyDescent="0.25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Z308">
        <v>2</v>
      </c>
    </row>
    <row r="309" spans="4:26" x14ac:dyDescent="0.25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Z309">
        <v>2</v>
      </c>
    </row>
    <row r="310" spans="4:26" x14ac:dyDescent="0.25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Z310">
        <v>2</v>
      </c>
    </row>
    <row r="311" spans="4:26" x14ac:dyDescent="0.25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Z311">
        <v>2</v>
      </c>
    </row>
    <row r="312" spans="4:26" x14ac:dyDescent="0.25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Z312">
        <v>2</v>
      </c>
    </row>
    <row r="313" spans="4:26" x14ac:dyDescent="0.25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Z313">
        <v>2</v>
      </c>
    </row>
    <row r="314" spans="4:26" x14ac:dyDescent="0.25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Z314">
        <v>2</v>
      </c>
    </row>
    <row r="315" spans="4:26" x14ac:dyDescent="0.25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Z315">
        <v>2</v>
      </c>
    </row>
    <row r="316" spans="4:26" x14ac:dyDescent="0.25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Z316">
        <v>2</v>
      </c>
    </row>
    <row r="317" spans="4:26" x14ac:dyDescent="0.25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Z317">
        <v>2</v>
      </c>
    </row>
    <row r="318" spans="4:26" x14ac:dyDescent="0.25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Z318">
        <v>2</v>
      </c>
    </row>
    <row r="319" spans="4:26" x14ac:dyDescent="0.25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Z319">
        <v>2</v>
      </c>
    </row>
    <row r="320" spans="4:26" x14ac:dyDescent="0.25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Z320">
        <v>2</v>
      </c>
    </row>
    <row r="321" spans="4:26" x14ac:dyDescent="0.25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Z321">
        <v>2</v>
      </c>
    </row>
    <row r="322" spans="4:26" x14ac:dyDescent="0.25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Z322">
        <v>2</v>
      </c>
    </row>
    <row r="323" spans="4:26" x14ac:dyDescent="0.25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Z323">
        <v>2</v>
      </c>
    </row>
    <row r="324" spans="4:26" x14ac:dyDescent="0.25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Z324">
        <v>2</v>
      </c>
    </row>
    <row r="325" spans="4:26" x14ac:dyDescent="0.25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Z325">
        <v>2</v>
      </c>
    </row>
    <row r="326" spans="4:26" x14ac:dyDescent="0.25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Z326">
        <v>2</v>
      </c>
    </row>
    <row r="327" spans="4:26" x14ac:dyDescent="0.25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Z327">
        <v>2</v>
      </c>
    </row>
    <row r="328" spans="4:26" x14ac:dyDescent="0.25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Z328">
        <v>2</v>
      </c>
    </row>
    <row r="329" spans="4:26" x14ac:dyDescent="0.25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Z329">
        <v>2</v>
      </c>
    </row>
    <row r="330" spans="4:26" x14ac:dyDescent="0.25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Z330">
        <v>2</v>
      </c>
    </row>
    <row r="331" spans="4:26" x14ac:dyDescent="0.25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Z331">
        <v>2</v>
      </c>
    </row>
    <row r="332" spans="4:26" x14ac:dyDescent="0.25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Z332">
        <v>2</v>
      </c>
    </row>
    <row r="333" spans="4:26" x14ac:dyDescent="0.25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Z333">
        <v>2</v>
      </c>
    </row>
    <row r="334" spans="4:26" x14ac:dyDescent="0.25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Z334">
        <v>3</v>
      </c>
    </row>
    <row r="335" spans="4:26" x14ac:dyDescent="0.25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Z335">
        <v>3</v>
      </c>
    </row>
    <row r="336" spans="4:26" x14ac:dyDescent="0.25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Z336">
        <v>3</v>
      </c>
    </row>
    <row r="337" spans="4:26" x14ac:dyDescent="0.25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Z337">
        <v>3</v>
      </c>
    </row>
    <row r="338" spans="4:26" x14ac:dyDescent="0.25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Z338">
        <v>3</v>
      </c>
    </row>
    <row r="339" spans="4:26" x14ac:dyDescent="0.25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Z339">
        <v>3</v>
      </c>
    </row>
    <row r="340" spans="4:26" x14ac:dyDescent="0.25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Z340">
        <v>3</v>
      </c>
    </row>
    <row r="341" spans="4:26" x14ac:dyDescent="0.25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Z341">
        <v>3</v>
      </c>
    </row>
    <row r="342" spans="4:26" x14ac:dyDescent="0.25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Z342">
        <v>3</v>
      </c>
    </row>
    <row r="343" spans="4:26" x14ac:dyDescent="0.25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Z343">
        <v>3</v>
      </c>
    </row>
    <row r="344" spans="4:26" x14ac:dyDescent="0.25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Z344">
        <v>3</v>
      </c>
    </row>
    <row r="345" spans="4:26" x14ac:dyDescent="0.25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Z345">
        <v>3</v>
      </c>
    </row>
    <row r="346" spans="4:26" x14ac:dyDescent="0.25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Z346">
        <v>3</v>
      </c>
    </row>
    <row r="347" spans="4:26" x14ac:dyDescent="0.25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Z347">
        <v>3</v>
      </c>
    </row>
    <row r="348" spans="4:26" x14ac:dyDescent="0.25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Z348">
        <v>3</v>
      </c>
    </row>
    <row r="349" spans="4:26" x14ac:dyDescent="0.25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Z349">
        <v>3</v>
      </c>
    </row>
    <row r="350" spans="4:26" x14ac:dyDescent="0.25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Z350">
        <v>3</v>
      </c>
    </row>
    <row r="351" spans="4:26" x14ac:dyDescent="0.25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Z351">
        <v>3</v>
      </c>
    </row>
    <row r="352" spans="4:26" x14ac:dyDescent="0.25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Z352">
        <v>3</v>
      </c>
    </row>
    <row r="353" spans="4:26" x14ac:dyDescent="0.25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Z353">
        <v>3</v>
      </c>
    </row>
    <row r="354" spans="4:26" x14ac:dyDescent="0.25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Z354">
        <v>3</v>
      </c>
    </row>
    <row r="355" spans="4:26" x14ac:dyDescent="0.25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Z355">
        <v>3</v>
      </c>
    </row>
    <row r="356" spans="4:26" x14ac:dyDescent="0.25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Z356">
        <v>3</v>
      </c>
    </row>
    <row r="357" spans="4:26" x14ac:dyDescent="0.25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Z357">
        <v>3</v>
      </c>
    </row>
    <row r="358" spans="4:26" x14ac:dyDescent="0.25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Z358">
        <v>3</v>
      </c>
    </row>
    <row r="359" spans="4:26" x14ac:dyDescent="0.25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Z359">
        <v>3</v>
      </c>
    </row>
    <row r="360" spans="4:26" x14ac:dyDescent="0.25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Z360">
        <v>3</v>
      </c>
    </row>
    <row r="361" spans="4:26" x14ac:dyDescent="0.25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Z361">
        <v>4</v>
      </c>
    </row>
    <row r="362" spans="4:26" x14ac:dyDescent="0.25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Z362">
        <v>4</v>
      </c>
    </row>
    <row r="363" spans="4:26" x14ac:dyDescent="0.25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Z363">
        <v>3</v>
      </c>
    </row>
    <row r="364" spans="4:26" x14ac:dyDescent="0.25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Z364">
        <v>3</v>
      </c>
    </row>
    <row r="365" spans="4:26" x14ac:dyDescent="0.25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Z365">
        <v>3</v>
      </c>
    </row>
    <row r="366" spans="4:26" x14ac:dyDescent="0.25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Z366">
        <v>3</v>
      </c>
    </row>
    <row r="367" spans="4:26" x14ac:dyDescent="0.25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Z367">
        <v>3</v>
      </c>
    </row>
    <row r="368" spans="4:26" x14ac:dyDescent="0.25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Z368">
        <v>3</v>
      </c>
    </row>
    <row r="369" spans="4:26" x14ac:dyDescent="0.25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Z369">
        <v>3</v>
      </c>
    </row>
    <row r="370" spans="4:26" x14ac:dyDescent="0.25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Z370">
        <v>3</v>
      </c>
    </row>
    <row r="371" spans="4:26" x14ac:dyDescent="0.25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Z371">
        <v>3</v>
      </c>
    </row>
    <row r="372" spans="4:26" x14ac:dyDescent="0.25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Z372">
        <v>3</v>
      </c>
    </row>
    <row r="373" spans="4:26" x14ac:dyDescent="0.25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Z373">
        <v>3</v>
      </c>
    </row>
    <row r="374" spans="4:26" x14ac:dyDescent="0.25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Z374">
        <v>3</v>
      </c>
    </row>
    <row r="375" spans="4:26" x14ac:dyDescent="0.25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Z375">
        <v>3</v>
      </c>
    </row>
    <row r="376" spans="4:26" x14ac:dyDescent="0.25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Z376">
        <v>3</v>
      </c>
    </row>
    <row r="377" spans="4:26" x14ac:dyDescent="0.25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Z377">
        <v>3</v>
      </c>
    </row>
    <row r="378" spans="4:26" x14ac:dyDescent="0.25">
      <c r="D378" t="str">
        <f ca="1"/>
        <v>05-Jan</v>
      </c>
      <c r="Z378">
        <v>0</v>
      </c>
    </row>
    <row r="389" spans="26:26" x14ac:dyDescent="0.25">
      <c r="Z389" s="41"/>
    </row>
    <row r="401" spans="6:6" x14ac:dyDescent="0.25">
      <c r="F401" s="42"/>
    </row>
  </sheetData>
  <conditionalFormatting sqref="D9:X339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24</v>
      </c>
    </row>
    <row r="6" spans="1:2" x14ac:dyDescent="0.25">
      <c r="A6" s="8" t="b">
        <v>0</v>
      </c>
      <c r="B6" t="s">
        <v>25</v>
      </c>
    </row>
    <row r="7" spans="1:2" x14ac:dyDescent="0.25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dimension ref="B1:S216"/>
  <sheetViews>
    <sheetView topLeftCell="A10" zoomScaleNormal="100" workbookViewId="0">
      <selection activeCell="I24" sqref="I24:I26"/>
    </sheetView>
  </sheetViews>
  <sheetFormatPr defaultRowHeight="13.2" x14ac:dyDescent="0.25"/>
  <cols>
    <col min="10" max="10" width="12" bestFit="1" customWidth="1"/>
  </cols>
  <sheetData>
    <row r="1" spans="2:6" x14ac:dyDescent="0.25">
      <c r="B1" t="s">
        <v>131</v>
      </c>
      <c r="C1">
        <v>10</v>
      </c>
      <c r="D1" t="s">
        <v>135</v>
      </c>
    </row>
    <row r="2" spans="2:6" x14ac:dyDescent="0.25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5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5">
      <c r="B4" t="s">
        <v>134</v>
      </c>
      <c r="C4">
        <v>100</v>
      </c>
      <c r="D4" t="s">
        <v>138</v>
      </c>
    </row>
    <row r="5" spans="2:6" x14ac:dyDescent="0.25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5">
      <c r="B6" t="s">
        <v>150</v>
      </c>
      <c r="C6">
        <v>0</v>
      </c>
      <c r="D6" t="s">
        <v>137</v>
      </c>
    </row>
    <row r="8" spans="2:6" x14ac:dyDescent="0.25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5">
      <c r="B9" t="s">
        <v>143</v>
      </c>
      <c r="C9" s="29">
        <f>_R*COS(_B*PI()/180)</f>
        <v>1732.0508075688774</v>
      </c>
      <c r="D9" t="s">
        <v>138</v>
      </c>
    </row>
    <row r="10" spans="2:6" x14ac:dyDescent="0.25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5">
      <c r="B11" t="s">
        <v>145</v>
      </c>
      <c r="C11">
        <f>-SIN(PI()/180*_Theta)*_L</f>
        <v>-76.604444311897808</v>
      </c>
    </row>
    <row r="12" spans="2:6" x14ac:dyDescent="0.25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5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5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5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5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5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5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5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5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5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5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5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5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5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5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5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5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5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5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5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5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5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5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5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5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5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5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5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5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5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5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5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5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5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5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5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5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5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5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5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5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5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5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5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5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5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5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5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5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5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5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5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5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5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5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5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5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5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5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5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5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5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5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5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5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5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5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5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5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5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5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5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5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5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5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5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5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5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5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5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5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5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5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5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5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5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5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5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5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5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5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5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5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5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5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5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5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5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5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5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5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5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5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5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5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5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5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5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5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5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5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5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5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5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5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5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5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5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5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5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5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5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5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5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5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5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5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5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5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5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5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5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5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5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5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5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5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5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5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5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5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5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5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5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5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5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5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5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5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5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5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5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5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5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5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5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5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5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5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5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5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5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5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5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5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5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5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5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5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5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5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5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5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5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5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5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5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5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5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5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5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5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5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5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5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5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5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5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5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5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5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5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5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5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5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5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5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5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5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5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5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5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5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dimension ref="A1:M12"/>
  <sheetViews>
    <sheetView workbookViewId="0">
      <selection activeCell="B12" sqref="B4:B12"/>
    </sheetView>
  </sheetViews>
  <sheetFormatPr defaultRowHeight="13.2" x14ac:dyDescent="0.25"/>
  <cols>
    <col min="1" max="1" width="17.21875" bestFit="1" customWidth="1"/>
    <col min="2" max="2" width="17.2187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33203125" customWidth="1"/>
  </cols>
  <sheetData>
    <row r="1" spans="1:13" x14ac:dyDescent="0.25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5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8" thickBot="1" x14ac:dyDescent="0.3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8" thickTop="1" x14ac:dyDescent="0.25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5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5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5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5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5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5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5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5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dimension ref="A1:R64"/>
  <sheetViews>
    <sheetView topLeftCell="A40" workbookViewId="0">
      <selection activeCell="G52" sqref="G52"/>
    </sheetView>
  </sheetViews>
  <sheetFormatPr defaultRowHeight="13.2" x14ac:dyDescent="0.25"/>
  <sheetData>
    <row r="1" spans="1:3" x14ac:dyDescent="0.25">
      <c r="A1" s="27" t="s">
        <v>49</v>
      </c>
      <c r="B1" s="26" t="s">
        <v>48</v>
      </c>
      <c r="C1" s="26"/>
    </row>
    <row r="2" spans="1:3" x14ac:dyDescent="0.25">
      <c r="A2" s="27" t="s">
        <v>47</v>
      </c>
      <c r="B2" s="26"/>
      <c r="C2" s="26"/>
    </row>
    <row r="3" spans="1:3" x14ac:dyDescent="0.25">
      <c r="A3" s="27" t="s">
        <v>46</v>
      </c>
      <c r="B3" s="26" t="str" cm="1">
        <f t="array" aca="1" ref="B3" ca="1">HD_Date</f>
        <v>05-Jan-2026</v>
      </c>
      <c r="C3" s="26"/>
    </row>
    <row r="43" spans="4:12" x14ac:dyDescent="0.25">
      <c r="E43" t="s">
        <v>50</v>
      </c>
      <c r="F43" t="s">
        <v>50</v>
      </c>
      <c r="G43" t="s">
        <v>50</v>
      </c>
      <c r="H43" t="s">
        <v>51</v>
      </c>
    </row>
    <row r="44" spans="4:12" x14ac:dyDescent="0.25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5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5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5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5">
      <c r="J48" t="str">
        <v>BB</v>
      </c>
    </row>
    <row r="49" spans="4:18" x14ac:dyDescent="0.25">
      <c r="J49" t="str">
        <v>BB</v>
      </c>
    </row>
    <row r="50" spans="4:18" x14ac:dyDescent="0.25">
      <c r="J50" t="str">
        <v>BR</v>
      </c>
    </row>
    <row r="51" spans="4:18" x14ac:dyDescent="0.25">
      <c r="J51" t="str">
        <v>BR</v>
      </c>
    </row>
    <row r="52" spans="4:18" x14ac:dyDescent="0.25">
      <c r="J52" t="str">
        <v>BR</v>
      </c>
    </row>
    <row r="53" spans="4:18" x14ac:dyDescent="0.25">
      <c r="J53" t="str">
        <v>BR</v>
      </c>
    </row>
    <row r="54" spans="4:18" x14ac:dyDescent="0.25">
      <c r="J54" t="str">
        <v>BR</v>
      </c>
    </row>
    <row r="55" spans="4:18" x14ac:dyDescent="0.25">
      <c r="J55" t="str">
        <v>BR</v>
      </c>
    </row>
    <row r="58" spans="4:18" x14ac:dyDescent="0.25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5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5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5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5">
      <c r="J62" t="str">
        <v>BB</v>
      </c>
    </row>
    <row r="63" spans="4:18" x14ac:dyDescent="0.25">
      <c r="J63" t="str">
        <v>BR</v>
      </c>
    </row>
    <row r="64" spans="4:18" x14ac:dyDescent="0.25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dimension ref="B2:Q8"/>
  <sheetViews>
    <sheetView topLeftCell="A19" workbookViewId="0">
      <selection activeCell="J10" sqref="J10"/>
    </sheetView>
  </sheetViews>
  <sheetFormatPr defaultRowHeight="13.2" x14ac:dyDescent="0.25"/>
  <cols>
    <col min="2" max="2" width="7.88671875" customWidth="1"/>
    <col min="3" max="3" width="10.88671875" customWidth="1"/>
    <col min="4" max="4" width="8.88671875" customWidth="1"/>
    <col min="5" max="5" width="12.88671875" customWidth="1"/>
    <col min="6" max="6" width="5.88671875" customWidth="1"/>
  </cols>
  <sheetData>
    <row r="2" spans="2:17" x14ac:dyDescent="0.25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5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5">
      <c r="B4" t="s">
        <v>63</v>
      </c>
      <c r="C4" t="s">
        <v>69</v>
      </c>
      <c r="E4" t="s">
        <v>73</v>
      </c>
    </row>
    <row r="5" spans="2:17" x14ac:dyDescent="0.25">
      <c r="B5" t="s">
        <v>64</v>
      </c>
      <c r="E5" t="s">
        <v>74</v>
      </c>
    </row>
    <row r="6" spans="2:17" x14ac:dyDescent="0.25">
      <c r="B6" t="s">
        <v>65</v>
      </c>
      <c r="C6" t="s">
        <v>70</v>
      </c>
    </row>
    <row r="7" spans="2:17" x14ac:dyDescent="0.25">
      <c r="B7" t="s">
        <v>66</v>
      </c>
      <c r="E7" t="s">
        <v>72</v>
      </c>
    </row>
    <row r="8" spans="2:17" x14ac:dyDescent="0.25">
      <c r="B8" t="s">
        <v>67</v>
      </c>
      <c r="C8" t="s">
        <v>71</v>
      </c>
      <c r="E8" t="s">
        <v>75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dimension ref="B2:C4"/>
  <sheetViews>
    <sheetView workbookViewId="0">
      <selection activeCell="I14" sqref="I14"/>
    </sheetView>
  </sheetViews>
  <sheetFormatPr defaultRowHeight="13.2" x14ac:dyDescent="0.25"/>
  <cols>
    <col min="3" max="3" width="15.109375" bestFit="1" customWidth="1"/>
  </cols>
  <sheetData>
    <row r="2" spans="2:3" x14ac:dyDescent="0.25">
      <c r="B2" t="s">
        <v>171</v>
      </c>
      <c r="C2" s="38">
        <v>1302.9100000000001</v>
      </c>
    </row>
    <row r="3" spans="2:3" x14ac:dyDescent="0.25">
      <c r="B3" t="s">
        <v>172</v>
      </c>
      <c r="C3" s="38">
        <v>61022.73</v>
      </c>
    </row>
    <row r="4" spans="2:3" x14ac:dyDescent="0.25">
      <c r="B4" t="s">
        <v>173</v>
      </c>
      <c r="C4" s="38">
        <v>1373382.41</v>
      </c>
    </row>
  </sheetData>
  <pageMargins left="0.7" right="0.7" top="0.75" bottom="0.75" header="0.3" footer="0.3"/>
  <pageSetup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dimension ref="A1:AB31"/>
  <sheetViews>
    <sheetView topLeftCell="K1" workbookViewId="0">
      <selection activeCell="U19" sqref="U19"/>
    </sheetView>
  </sheetViews>
  <sheetFormatPr defaultRowHeight="13.2" x14ac:dyDescent="0.25"/>
  <cols>
    <col min="11" max="11" width="11" bestFit="1" customWidth="1"/>
  </cols>
  <sheetData>
    <row r="1" spans="1:28" x14ac:dyDescent="0.25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5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5">
      <c r="A3" s="27" t="s">
        <v>46</v>
      </c>
      <c r="B3" s="26" t="str" cm="1">
        <f t="array" aca="1" ref="B3" ca="1">HD_Date</f>
        <v>05-Jan-2026</v>
      </c>
      <c r="C3" s="26"/>
    </row>
    <row r="6" spans="1:28" x14ac:dyDescent="0.25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5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5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5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5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5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5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5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5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5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5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5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5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5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5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5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5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5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5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5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5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5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15</vt:i4>
      </vt:variant>
    </vt:vector>
  </HeadingPairs>
  <TitlesOfParts>
    <vt:vector size="25" baseType="lpstr">
      <vt:lpstr>2025</vt:lpstr>
      <vt:lpstr>2026</vt:lpstr>
      <vt:lpstr>LongTermTraining</vt:lpstr>
      <vt:lpstr>PointTraining</vt:lpstr>
      <vt:lpstr>RAOBF</vt:lpstr>
      <vt:lpstr>BP_Data</vt:lpstr>
      <vt:lpstr>Sheet1</vt:lpstr>
      <vt:lpstr>Sheet2</vt:lpstr>
      <vt:lpstr>Sheet3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'2026'!data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2026-01-05T20:21:12Z</dcterms:modified>
</cp:coreProperties>
</file>